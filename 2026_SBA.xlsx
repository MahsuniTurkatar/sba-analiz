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77B39ED3-C1DC-4208-96E7-AED14DC3E66F}" xr6:coauthVersionLast="47" xr6:coauthVersionMax="47" xr10:uidLastSave="{00000000-0000-0000-0000-000000000000}"/>
  <bookViews>
    <workbookView xWindow="-120" yWindow="-120" windowWidth="29040" windowHeight="16440" tabRatio="598" activeTab="1" xr2:uid="{00000000-000D-0000-FFFF-FFFF00000000}"/>
  </bookViews>
  <sheets>
    <sheet name="Faaliyet" sheetId="1" r:id="rId1"/>
    <sheet name="Başvuru" sheetId="2" r:id="rId2"/>
    <sheet name="Üye_1" sheetId="3" r:id="rId3"/>
    <sheet name="Üye_2" sheetId="4" r:id="rId4"/>
    <sheet name="Toplantı" sheetId="12" r:id="rId5"/>
    <sheet name="Pivot" sheetId="5" r:id="rId6"/>
    <sheet name="Sayılar" sheetId="6" r:id="rId7"/>
    <sheet name="Word_Gündem" sheetId="7" r:id="rId8"/>
    <sheet name="2025" sheetId="8" r:id="rId9"/>
    <sheet name="Deneme" sheetId="9" r:id="rId10"/>
    <sheet name="Sonuçlar" sheetId="10" r:id="rId11"/>
    <sheet name="Grafikler (Veri)" sheetId="11" r:id="rId12"/>
  </sheets>
  <definedNames>
    <definedName name="Eski">'2025'!$D$72:$D$1081</definedName>
    <definedName name="EskiListe">'2025'!$D:$D</definedName>
    <definedName name="F">'2025'!$D:$D</definedName>
  </definedNames>
  <calcPr calcId="191029"/>
  <pivotCaches>
    <pivotCache cacheId="0"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3" i="12" l="1"/>
  <c r="B13" i="12"/>
  <c r="C12" i="12"/>
  <c r="B12" i="12"/>
  <c r="C11" i="12"/>
  <c r="B11" i="12"/>
  <c r="C10" i="12"/>
  <c r="B10" i="12"/>
  <c r="K9" i="12"/>
  <c r="J9" i="12"/>
  <c r="I9" i="12"/>
  <c r="H9" i="12"/>
  <c r="G9" i="12"/>
  <c r="F9" i="12"/>
  <c r="E9" i="12"/>
  <c r="D9" i="12"/>
  <c r="C9" i="12"/>
  <c r="B9" i="12"/>
  <c r="K8" i="12"/>
  <c r="J8" i="12"/>
  <c r="I8" i="12"/>
  <c r="H8" i="12"/>
  <c r="G8" i="12"/>
  <c r="F8" i="12"/>
  <c r="E8" i="12"/>
  <c r="D8" i="12"/>
  <c r="C8" i="12"/>
  <c r="B8" i="12"/>
  <c r="K7" i="12"/>
  <c r="J7" i="12"/>
  <c r="I7" i="12"/>
  <c r="H7" i="12"/>
  <c r="G7" i="12"/>
  <c r="F7" i="12"/>
  <c r="E7" i="12"/>
  <c r="D7" i="12"/>
  <c r="C7" i="12"/>
  <c r="B7" i="12"/>
  <c r="K6" i="12"/>
  <c r="J6" i="12"/>
  <c r="I6" i="12"/>
  <c r="H6" i="12"/>
  <c r="G6" i="12"/>
  <c r="F6" i="12"/>
  <c r="E6" i="12"/>
  <c r="D6" i="12"/>
  <c r="C6" i="12"/>
  <c r="B6" i="12"/>
  <c r="K5" i="12"/>
  <c r="J5" i="12"/>
  <c r="I5" i="12"/>
  <c r="H5" i="12"/>
  <c r="G5" i="12"/>
  <c r="F5" i="12"/>
  <c r="E5" i="12"/>
  <c r="D5" i="12"/>
  <c r="C5" i="12"/>
  <c r="B5" i="12"/>
  <c r="K4" i="12"/>
  <c r="J4" i="12"/>
  <c r="I4" i="12"/>
  <c r="H4" i="12"/>
  <c r="G4" i="12"/>
  <c r="F4" i="12"/>
  <c r="E4" i="12"/>
  <c r="D4" i="12"/>
  <c r="C4" i="12"/>
  <c r="B4" i="12"/>
  <c r="K3" i="12"/>
  <c r="J3" i="12"/>
  <c r="I3" i="12"/>
  <c r="H3" i="12"/>
  <c r="G3" i="12"/>
  <c r="F3" i="12"/>
  <c r="E3" i="12"/>
  <c r="D3" i="12"/>
  <c r="C3" i="12"/>
  <c r="B3" i="12"/>
  <c r="C50" i="7" a="1"/>
  <c r="B50" i="7" a="1"/>
  <c r="B50" i="7"/>
  <c r="C49" i="7" a="1"/>
  <c r="B49" i="7" a="1"/>
  <c r="C48" i="7" a="1"/>
  <c r="B48" i="7" a="1"/>
  <c r="B48" i="7"/>
  <c r="C47" i="7" a="1"/>
  <c r="B47" i="7" a="1"/>
  <c r="B47" i="7"/>
  <c r="C46" i="7" a="1"/>
  <c r="B46" i="7" a="1"/>
  <c r="B46" i="7"/>
  <c r="C45" i="7" a="1"/>
  <c r="B45" i="7" a="1"/>
  <c r="C44" i="7" a="1"/>
  <c r="B44" i="7" a="1"/>
  <c r="C43" i="7" a="1"/>
  <c r="C43" i="7"/>
  <c r="B43" i="7" a="1"/>
  <c r="C42" i="7" a="1"/>
  <c r="B42" i="7" a="1"/>
  <c r="C41" i="7" a="1"/>
  <c r="B41" i="7" a="1"/>
  <c r="C40" i="7" a="1"/>
  <c r="B40" i="7" a="1"/>
  <c r="C39" i="7" a="1"/>
  <c r="B39" i="7" a="1"/>
  <c r="C38" i="7" a="1"/>
  <c r="B38" i="7" a="1"/>
  <c r="C37" i="7" a="1"/>
  <c r="B37" i="7" a="1"/>
  <c r="C36" i="7" a="1"/>
  <c r="B36" i="7" a="1"/>
  <c r="C35" i="7" a="1"/>
  <c r="B35" i="7" a="1"/>
  <c r="C34" i="7" a="1"/>
  <c r="B34" i="7" a="1"/>
  <c r="C33" i="7" a="1"/>
  <c r="B33" i="7" a="1"/>
  <c r="C32" i="7" a="1"/>
  <c r="B32" i="7" a="1"/>
  <c r="C31" i="7" a="1"/>
  <c r="B31" i="7" a="1"/>
  <c r="C30" i="7" a="1"/>
  <c r="B30" i="7" a="1"/>
  <c r="C29" i="7" a="1"/>
  <c r="B29" i="7" a="1"/>
  <c r="C28" i="7" a="1"/>
  <c r="B28" i="7" a="1"/>
  <c r="C27" i="7" a="1"/>
  <c r="B27" i="7" a="1"/>
  <c r="C26" i="7" a="1"/>
  <c r="B26" i="7" a="1"/>
  <c r="C25" i="7" a="1"/>
  <c r="B25" i="7" a="1"/>
  <c r="C24" i="7" a="1"/>
  <c r="B24" i="7" a="1"/>
  <c r="C23" i="7" a="1"/>
  <c r="B23" i="7" a="1"/>
  <c r="C22" i="7" a="1"/>
  <c r="B22" i="7" a="1"/>
  <c r="C21" i="7" a="1"/>
  <c r="B21" i="7" a="1"/>
  <c r="C20" i="7" a="1"/>
  <c r="B20" i="7" a="1"/>
  <c r="C19" i="7" a="1"/>
  <c r="B19" i="7" a="1"/>
  <c r="C18" i="7" a="1"/>
  <c r="B18" i="7" a="1"/>
  <c r="C17" i="7" a="1"/>
  <c r="B17" i="7" a="1"/>
  <c r="C16" i="7" a="1"/>
  <c r="B16" i="7" a="1"/>
  <c r="C15" i="7" a="1"/>
  <c r="B15" i="7" a="1"/>
  <c r="C14" i="7" a="1"/>
  <c r="B14" i="7" a="1"/>
  <c r="C13" i="7" a="1"/>
  <c r="B13" i="7" a="1"/>
  <c r="C12" i="7" a="1"/>
  <c r="B12" i="7" a="1"/>
  <c r="C11" i="7" a="1"/>
  <c r="B11" i="7" a="1"/>
  <c r="C10" i="7" a="1"/>
  <c r="B10" i="7" a="1"/>
  <c r="B10" i="7"/>
  <c r="C9" i="7" a="1"/>
  <c r="C9" i="7"/>
  <c r="B9" i="7" a="1"/>
  <c r="B9" i="7"/>
  <c r="C8" i="7" a="1"/>
  <c r="C8" i="7"/>
  <c r="B8" i="7" a="1"/>
  <c r="B8" i="7"/>
  <c r="C7" i="7" a="1"/>
  <c r="C7" i="7"/>
  <c r="B7" i="7" a="1"/>
  <c r="B7" i="7"/>
  <c r="C6" i="7" a="1"/>
  <c r="C6" i="7"/>
  <c r="B6" i="7" a="1"/>
  <c r="B6" i="7"/>
  <c r="C5" i="7" a="1"/>
  <c r="C5" i="7"/>
  <c r="B5" i="7" a="1"/>
  <c r="B5" i="7"/>
  <c r="C4" i="7" a="1"/>
  <c r="C4" i="7"/>
  <c r="B4" i="7" a="1"/>
  <c r="B4" i="7"/>
  <c r="C3" i="7" a="1"/>
  <c r="C3" i="7"/>
  <c r="B3" i="7" a="1"/>
  <c r="B3" i="7"/>
  <c r="C2" i="7" a="1"/>
  <c r="C2" i="7"/>
  <c r="B2" i="7" a="1"/>
  <c r="B2" i="7"/>
  <c r="C1" i="7" a="1"/>
  <c r="C1" i="7"/>
  <c r="B1" i="7" a="1"/>
  <c r="B1" i="7"/>
  <c r="E27" i="6"/>
  <c r="D27" i="6"/>
  <c r="C27" i="6"/>
  <c r="F26" i="6"/>
  <c r="F25" i="6"/>
  <c r="F24" i="6"/>
  <c r="F23" i="6"/>
  <c r="F22" i="6"/>
  <c r="F21" i="6"/>
  <c r="F20" i="6"/>
  <c r="F19" i="6"/>
  <c r="F18" i="6"/>
  <c r="F17" i="6"/>
  <c r="F16" i="6"/>
  <c r="F15" i="6"/>
  <c r="F14" i="6"/>
  <c r="F13" i="6"/>
  <c r="F12" i="6"/>
  <c r="F11" i="6"/>
  <c r="F10" i="6"/>
  <c r="F9" i="6"/>
  <c r="F8" i="6"/>
  <c r="F7" i="6"/>
  <c r="F6" i="6"/>
  <c r="F5" i="6"/>
  <c r="F4" i="6"/>
  <c r="E63" i="4"/>
  <c r="D63" i="4"/>
  <c r="C63" i="4"/>
  <c r="F58" i="4"/>
  <c r="F57" i="4"/>
  <c r="F56" i="4"/>
  <c r="F55" i="4"/>
  <c r="F54" i="4"/>
  <c r="F53" i="4"/>
  <c r="F52" i="4"/>
  <c r="F51" i="4"/>
  <c r="F50" i="4"/>
  <c r="F49" i="4"/>
  <c r="F48" i="4"/>
  <c r="F47" i="4"/>
  <c r="F46" i="4"/>
  <c r="F45" i="4"/>
  <c r="F44" i="4"/>
  <c r="F43" i="4"/>
  <c r="F42" i="4"/>
  <c r="F41" i="4"/>
  <c r="C25" i="4"/>
  <c r="C24" i="4"/>
  <c r="C23" i="4"/>
  <c r="C22" i="4"/>
  <c r="AH14" i="4"/>
  <c r="AG14" i="4"/>
  <c r="AF14" i="4"/>
  <c r="AE14" i="4"/>
  <c r="AD14" i="4"/>
  <c r="AC14" i="4"/>
  <c r="AB14" i="4"/>
  <c r="Z14" i="4"/>
  <c r="Y14" i="4"/>
  <c r="X14" i="4"/>
  <c r="W14" i="4"/>
  <c r="V14" i="4"/>
  <c r="U14" i="4"/>
  <c r="T14" i="4"/>
  <c r="R14" i="4"/>
  <c r="Q14" i="4"/>
  <c r="P14" i="4"/>
  <c r="O14" i="4"/>
  <c r="N14" i="4"/>
  <c r="M14" i="4"/>
  <c r="L14" i="4"/>
  <c r="J14" i="4"/>
  <c r="I14" i="4"/>
  <c r="H14" i="4"/>
  <c r="G14" i="4"/>
  <c r="F14" i="4"/>
  <c r="E14" i="4"/>
  <c r="D14" i="4"/>
  <c r="C14" i="4"/>
  <c r="AH13" i="4"/>
  <c r="AG13" i="4"/>
  <c r="AF13" i="4"/>
  <c r="AE13" i="4"/>
  <c r="AD13" i="4"/>
  <c r="AC13" i="4"/>
  <c r="AB13" i="4"/>
  <c r="Z13" i="4"/>
  <c r="Y13" i="4"/>
  <c r="X13" i="4"/>
  <c r="W13" i="4"/>
  <c r="V13" i="4"/>
  <c r="U13" i="4"/>
  <c r="T13" i="4"/>
  <c r="R13" i="4"/>
  <c r="Q13" i="4"/>
  <c r="P13" i="4"/>
  <c r="O13" i="4"/>
  <c r="N13" i="4"/>
  <c r="M13" i="4"/>
  <c r="L13" i="4"/>
  <c r="J13" i="4"/>
  <c r="I13" i="4"/>
  <c r="H13" i="4"/>
  <c r="G13" i="4"/>
  <c r="F13" i="4"/>
  <c r="E13" i="4"/>
  <c r="D13" i="4"/>
  <c r="C13" i="4"/>
  <c r="AH12" i="4"/>
  <c r="AG12" i="4"/>
  <c r="AF12" i="4"/>
  <c r="AE12" i="4"/>
  <c r="AD12" i="4"/>
  <c r="AC12" i="4"/>
  <c r="AB12" i="4"/>
  <c r="Z12" i="4"/>
  <c r="Y12" i="4"/>
  <c r="X12" i="4"/>
  <c r="W12" i="4"/>
  <c r="V12" i="4"/>
  <c r="U12" i="4"/>
  <c r="T12" i="4"/>
  <c r="R12" i="4"/>
  <c r="Q12" i="4"/>
  <c r="P12" i="4"/>
  <c r="O12" i="4"/>
  <c r="N12" i="4"/>
  <c r="M12" i="4"/>
  <c r="L12" i="4"/>
  <c r="J12" i="4"/>
  <c r="I12" i="4"/>
  <c r="H12" i="4"/>
  <c r="G12" i="4"/>
  <c r="F12" i="4"/>
  <c r="E12" i="4"/>
  <c r="D12" i="4"/>
  <c r="C12" i="4"/>
  <c r="AH11" i="4"/>
  <c r="AG11" i="4"/>
  <c r="AF11" i="4"/>
  <c r="AE11" i="4"/>
  <c r="AD11" i="4"/>
  <c r="AC11" i="4"/>
  <c r="AB11" i="4"/>
  <c r="Z11" i="4"/>
  <c r="Y11" i="4"/>
  <c r="X11" i="4"/>
  <c r="W11" i="4"/>
  <c r="V11" i="4"/>
  <c r="U11" i="4"/>
  <c r="T11" i="4"/>
  <c r="R11" i="4"/>
  <c r="Q11" i="4"/>
  <c r="P11" i="4"/>
  <c r="O11" i="4"/>
  <c r="N11" i="4"/>
  <c r="M11" i="4"/>
  <c r="L11" i="4"/>
  <c r="J11" i="4"/>
  <c r="I11" i="4"/>
  <c r="H11" i="4"/>
  <c r="G11" i="4"/>
  <c r="F11" i="4"/>
  <c r="E11" i="4"/>
  <c r="D11" i="4"/>
  <c r="C11" i="4"/>
  <c r="AH10" i="4"/>
  <c r="AG10" i="4"/>
  <c r="AF10" i="4"/>
  <c r="AE10" i="4"/>
  <c r="AD10" i="4"/>
  <c r="AC10" i="4"/>
  <c r="AB10" i="4"/>
  <c r="Z10" i="4"/>
  <c r="Y10" i="4"/>
  <c r="X10" i="4"/>
  <c r="W10" i="4"/>
  <c r="V10" i="4"/>
  <c r="U10" i="4"/>
  <c r="T10" i="4"/>
  <c r="R10" i="4"/>
  <c r="Q10" i="4"/>
  <c r="P10" i="4"/>
  <c r="O10" i="4"/>
  <c r="N10" i="4"/>
  <c r="M10" i="4"/>
  <c r="L10" i="4"/>
  <c r="J10" i="4"/>
  <c r="I10" i="4"/>
  <c r="H10" i="4"/>
  <c r="G10" i="4"/>
  <c r="F10" i="4"/>
  <c r="E10" i="4"/>
  <c r="D10" i="4"/>
  <c r="C10" i="4"/>
  <c r="AH9" i="4"/>
  <c r="AG9" i="4"/>
  <c r="AF9" i="4"/>
  <c r="AE9" i="4"/>
  <c r="AD9" i="4"/>
  <c r="AC9" i="4"/>
  <c r="AB9" i="4"/>
  <c r="Z9" i="4"/>
  <c r="Y9" i="4"/>
  <c r="X9" i="4"/>
  <c r="W9" i="4"/>
  <c r="V9" i="4"/>
  <c r="U9" i="4"/>
  <c r="T9" i="4"/>
  <c r="R9" i="4"/>
  <c r="Q9" i="4"/>
  <c r="P9" i="4"/>
  <c r="O9" i="4"/>
  <c r="N9" i="4"/>
  <c r="M9" i="4"/>
  <c r="L9" i="4"/>
  <c r="J9" i="4"/>
  <c r="I9" i="4"/>
  <c r="H9" i="4"/>
  <c r="G9" i="4"/>
  <c r="F9" i="4"/>
  <c r="E9" i="4"/>
  <c r="D9" i="4"/>
  <c r="C9" i="4"/>
  <c r="AH8" i="4"/>
  <c r="AG8" i="4"/>
  <c r="AF8" i="4"/>
  <c r="AE8" i="4"/>
  <c r="AD8" i="4"/>
  <c r="AC8" i="4"/>
  <c r="AB8" i="4"/>
  <c r="Z8" i="4"/>
  <c r="Y8" i="4"/>
  <c r="X8" i="4"/>
  <c r="W8" i="4"/>
  <c r="V8" i="4"/>
  <c r="U8" i="4"/>
  <c r="T8" i="4"/>
  <c r="R8" i="4"/>
  <c r="Q8" i="4"/>
  <c r="P8" i="4"/>
  <c r="O8" i="4"/>
  <c r="N8" i="4"/>
  <c r="M8" i="4"/>
  <c r="L8" i="4"/>
  <c r="J8" i="4"/>
  <c r="I8" i="4"/>
  <c r="H8" i="4"/>
  <c r="G8" i="4"/>
  <c r="F8" i="4"/>
  <c r="E8" i="4"/>
  <c r="D8" i="4"/>
  <c r="C8" i="4"/>
  <c r="AH7" i="4"/>
  <c r="AG7" i="4"/>
  <c r="AF7" i="4"/>
  <c r="AE7" i="4"/>
  <c r="AD7" i="4"/>
  <c r="AC7" i="4"/>
  <c r="AB7" i="4"/>
  <c r="Z7" i="4"/>
  <c r="Y7" i="4"/>
  <c r="X7" i="4"/>
  <c r="W7" i="4"/>
  <c r="V7" i="4"/>
  <c r="U7" i="4"/>
  <c r="T7" i="4"/>
  <c r="R7" i="4"/>
  <c r="Q7" i="4"/>
  <c r="P7" i="4"/>
  <c r="O7" i="4"/>
  <c r="N7" i="4"/>
  <c r="M7" i="4"/>
  <c r="L7" i="4"/>
  <c r="J7" i="4"/>
  <c r="I7" i="4"/>
  <c r="H7" i="4"/>
  <c r="G7" i="4"/>
  <c r="F7" i="4"/>
  <c r="E7" i="4"/>
  <c r="D7" i="4"/>
  <c r="C7" i="4"/>
  <c r="AH6" i="4"/>
  <c r="AG6" i="4"/>
  <c r="AF6" i="4"/>
  <c r="AE6" i="4"/>
  <c r="AD6" i="4"/>
  <c r="AC6" i="4"/>
  <c r="AB6" i="4"/>
  <c r="Z6" i="4"/>
  <c r="Y6" i="4"/>
  <c r="X6" i="4"/>
  <c r="W6" i="4"/>
  <c r="V6" i="4"/>
  <c r="U6" i="4"/>
  <c r="T6" i="4"/>
  <c r="R6" i="4"/>
  <c r="Q6" i="4"/>
  <c r="P6" i="4"/>
  <c r="O6" i="4"/>
  <c r="N6" i="4"/>
  <c r="M6" i="4"/>
  <c r="L6" i="4"/>
  <c r="J6" i="4"/>
  <c r="I6" i="4"/>
  <c r="H6" i="4"/>
  <c r="G6" i="4"/>
  <c r="F6" i="4"/>
  <c r="E6" i="4"/>
  <c r="D6" i="4"/>
  <c r="C6" i="4"/>
  <c r="AH5" i="4"/>
  <c r="AG5" i="4"/>
  <c r="AF5" i="4"/>
  <c r="AE5" i="4"/>
  <c r="AD5" i="4"/>
  <c r="AC5" i="4"/>
  <c r="AB5" i="4"/>
  <c r="Z5" i="4"/>
  <c r="Y5" i="4"/>
  <c r="X5" i="4"/>
  <c r="W5" i="4"/>
  <c r="V5" i="4"/>
  <c r="U5" i="4"/>
  <c r="T5" i="4"/>
  <c r="R5" i="4"/>
  <c r="Q5" i="4"/>
  <c r="P5" i="4"/>
  <c r="O5" i="4"/>
  <c r="N5" i="4"/>
  <c r="M5" i="4"/>
  <c r="L5" i="4"/>
  <c r="J5" i="4"/>
  <c r="I5" i="4"/>
  <c r="H5" i="4"/>
  <c r="G5" i="4"/>
  <c r="F5" i="4"/>
  <c r="E5" i="4"/>
  <c r="D5" i="4"/>
  <c r="C5" i="4"/>
  <c r="AH4" i="4"/>
  <c r="AG4" i="4"/>
  <c r="AF4" i="4"/>
  <c r="AE4" i="4"/>
  <c r="AD4" i="4"/>
  <c r="AC4" i="4"/>
  <c r="AB4" i="4"/>
  <c r="Z4" i="4"/>
  <c r="Y4" i="4"/>
  <c r="X4" i="4"/>
  <c r="W4" i="4"/>
  <c r="V4" i="4"/>
  <c r="U4" i="4"/>
  <c r="T4" i="4"/>
  <c r="R4" i="4"/>
  <c r="Q4" i="4"/>
  <c r="P4" i="4"/>
  <c r="O4" i="4"/>
  <c r="N4" i="4"/>
  <c r="M4" i="4"/>
  <c r="L4" i="4"/>
  <c r="J4" i="4"/>
  <c r="I4" i="4"/>
  <c r="H4" i="4"/>
  <c r="G4" i="4"/>
  <c r="F4" i="4"/>
  <c r="E4" i="4"/>
  <c r="D4" i="4"/>
  <c r="C4" i="4"/>
  <c r="AH3" i="4"/>
  <c r="AG3" i="4"/>
  <c r="AF3" i="4"/>
  <c r="AE3" i="4"/>
  <c r="AD3" i="4"/>
  <c r="AC3" i="4"/>
  <c r="AB3" i="4"/>
  <c r="Z3" i="4"/>
  <c r="Y3" i="4"/>
  <c r="X3" i="4"/>
  <c r="W3" i="4"/>
  <c r="V3" i="4"/>
  <c r="U3" i="4"/>
  <c r="T3" i="4"/>
  <c r="R3" i="4"/>
  <c r="Q3" i="4"/>
  <c r="P3" i="4"/>
  <c r="O3" i="4"/>
  <c r="N3" i="4"/>
  <c r="M3" i="4"/>
  <c r="L3" i="4"/>
  <c r="J3" i="4"/>
  <c r="I3" i="4"/>
  <c r="H3" i="4"/>
  <c r="G3" i="4"/>
  <c r="F3" i="4"/>
  <c r="E3" i="4"/>
  <c r="D3" i="4"/>
  <c r="C3" i="4"/>
  <c r="C23" i="3"/>
  <c r="C22" i="3"/>
  <c r="C21" i="3"/>
  <c r="C20" i="3"/>
  <c r="AT13" i="3"/>
  <c r="AS13" i="3"/>
  <c r="C13" i="3"/>
  <c r="AT12" i="3"/>
  <c r="AS12" i="3"/>
  <c r="C12" i="3"/>
  <c r="AT11" i="3"/>
  <c r="AS11" i="3"/>
  <c r="C11" i="3"/>
  <c r="AT10" i="3"/>
  <c r="AS10" i="3"/>
  <c r="C10" i="3"/>
  <c r="AT9" i="3"/>
  <c r="AS9" i="3"/>
  <c r="C9" i="3"/>
  <c r="AT8" i="3"/>
  <c r="AS8" i="3"/>
  <c r="C8" i="3"/>
  <c r="AT7" i="3"/>
  <c r="AS7" i="3"/>
  <c r="C7" i="3"/>
  <c r="AT6" i="3"/>
  <c r="AS6" i="3"/>
  <c r="C6" i="3"/>
  <c r="AT5" i="3"/>
  <c r="AS5" i="3"/>
  <c r="C5" i="3"/>
  <c r="AT4" i="3"/>
  <c r="AS4" i="3"/>
  <c r="C4" i="3"/>
  <c r="AT3" i="3"/>
  <c r="AS3" i="3"/>
  <c r="C3" i="3"/>
  <c r="AT2" i="3"/>
  <c r="AS2" i="3"/>
  <c r="C2" i="3"/>
  <c r="B32" i="1"/>
  <c r="C28" i="1"/>
  <c r="C27" i="1"/>
  <c r="C26" i="1"/>
  <c r="C25" i="1"/>
  <c r="C22" i="1"/>
  <c r="C8" i="1"/>
  <c r="C7" i="1"/>
  <c r="L541" i="2"/>
  <c r="L539" i="2"/>
  <c r="O535" i="2"/>
  <c r="N535" i="2"/>
  <c r="M535" i="2"/>
  <c r="L535" i="2"/>
  <c r="O534" i="2"/>
  <c r="N534" i="2"/>
  <c r="M534" i="2"/>
  <c r="L534" i="2"/>
  <c r="O533" i="2"/>
  <c r="N533" i="2"/>
  <c r="M533" i="2"/>
  <c r="L533" i="2"/>
  <c r="O532" i="2"/>
  <c r="N532" i="2"/>
  <c r="M532" i="2"/>
  <c r="L532" i="2"/>
  <c r="O531" i="2"/>
  <c r="N531" i="2"/>
  <c r="M531" i="2"/>
  <c r="L531" i="2"/>
  <c r="O530" i="2"/>
  <c r="N530" i="2"/>
  <c r="M530" i="2"/>
  <c r="L530" i="2"/>
  <c r="O529" i="2"/>
  <c r="N529" i="2"/>
  <c r="M529" i="2"/>
  <c r="L529" i="2"/>
  <c r="P524" i="2"/>
  <c r="P523" i="2"/>
  <c r="P522" i="2"/>
  <c r="P521" i="2"/>
  <c r="P520" i="2"/>
  <c r="P519" i="2"/>
  <c r="P518" i="2"/>
  <c r="P517" i="2"/>
  <c r="P516" i="2"/>
  <c r="P515" i="2"/>
  <c r="P514" i="2"/>
  <c r="P513" i="2"/>
  <c r="P512" i="2"/>
  <c r="P511" i="2"/>
  <c r="P510" i="2"/>
  <c r="P509" i="2"/>
  <c r="P508" i="2"/>
  <c r="P507" i="2"/>
  <c r="P506" i="2"/>
  <c r="P505" i="2"/>
  <c r="P504" i="2"/>
  <c r="P503" i="2"/>
  <c r="P502" i="2"/>
  <c r="P501" i="2"/>
  <c r="P500" i="2"/>
  <c r="P499" i="2"/>
  <c r="P498" i="2"/>
  <c r="P497" i="2"/>
  <c r="P496" i="2"/>
  <c r="P495" i="2"/>
  <c r="P494" i="2"/>
  <c r="P493" i="2"/>
  <c r="P492" i="2"/>
  <c r="P491" i="2"/>
  <c r="P490" i="2"/>
  <c r="P489" i="2"/>
  <c r="P488" i="2"/>
  <c r="P487" i="2"/>
  <c r="P486" i="2"/>
  <c r="P485" i="2"/>
  <c r="P484" i="2"/>
  <c r="P483" i="2"/>
  <c r="P482" i="2"/>
  <c r="P481" i="2"/>
  <c r="P480" i="2"/>
  <c r="P479" i="2"/>
  <c r="P478" i="2"/>
  <c r="P477" i="2"/>
  <c r="P476" i="2"/>
  <c r="P475" i="2"/>
  <c r="P474" i="2"/>
  <c r="P473" i="2"/>
  <c r="P472" i="2"/>
  <c r="P471" i="2"/>
  <c r="P470" i="2"/>
  <c r="P469" i="2"/>
  <c r="P468" i="2"/>
  <c r="P467" i="2"/>
  <c r="P466" i="2"/>
  <c r="P465" i="2"/>
  <c r="P464" i="2"/>
  <c r="P463" i="2"/>
  <c r="P462" i="2"/>
  <c r="P461" i="2"/>
  <c r="P460" i="2"/>
  <c r="P459" i="2"/>
  <c r="P458" i="2"/>
  <c r="P457" i="2"/>
  <c r="P456" i="2"/>
  <c r="P455" i="2"/>
  <c r="P454" i="2"/>
  <c r="P453" i="2"/>
  <c r="P452" i="2"/>
  <c r="P451" i="2"/>
  <c r="P450" i="2"/>
  <c r="P449" i="2"/>
  <c r="P448" i="2"/>
  <c r="P447" i="2"/>
  <c r="P446" i="2"/>
  <c r="P445" i="2"/>
  <c r="P444" i="2"/>
  <c r="P443" i="2"/>
  <c r="P442" i="2"/>
  <c r="P441" i="2"/>
  <c r="P440" i="2"/>
  <c r="P439" i="2"/>
  <c r="P438" i="2"/>
  <c r="P437" i="2"/>
  <c r="P436" i="2"/>
  <c r="P435" i="2"/>
  <c r="P434" i="2"/>
  <c r="P433" i="2"/>
  <c r="P432" i="2"/>
  <c r="P431" i="2"/>
  <c r="P430" i="2"/>
  <c r="P429" i="2"/>
  <c r="P428" i="2"/>
  <c r="P427" i="2"/>
  <c r="P426" i="2"/>
  <c r="P425" i="2"/>
  <c r="P424" i="2"/>
  <c r="P423" i="2"/>
  <c r="P422" i="2"/>
  <c r="P421" i="2"/>
  <c r="P420" i="2"/>
  <c r="P419" i="2"/>
  <c r="P418" i="2"/>
  <c r="P417" i="2"/>
  <c r="P416" i="2"/>
  <c r="P415" i="2"/>
  <c r="P414" i="2"/>
  <c r="P413" i="2"/>
  <c r="P412" i="2"/>
  <c r="P411" i="2"/>
  <c r="P410" i="2"/>
  <c r="P409" i="2"/>
  <c r="P408" i="2"/>
  <c r="P407" i="2"/>
  <c r="P406" i="2"/>
  <c r="P405" i="2"/>
  <c r="P404" i="2"/>
  <c r="P403" i="2"/>
  <c r="P402" i="2"/>
  <c r="P401" i="2"/>
  <c r="P400" i="2"/>
  <c r="P399" i="2"/>
  <c r="P398" i="2"/>
  <c r="P397" i="2"/>
  <c r="P396" i="2"/>
  <c r="P395" i="2"/>
  <c r="P394" i="2"/>
  <c r="P393" i="2"/>
  <c r="P392" i="2"/>
  <c r="P391" i="2"/>
  <c r="P390" i="2"/>
  <c r="P389" i="2"/>
  <c r="P388" i="2"/>
  <c r="P387" i="2"/>
  <c r="P386" i="2"/>
  <c r="P385" i="2"/>
  <c r="P384" i="2"/>
  <c r="P383" i="2"/>
  <c r="P382" i="2"/>
  <c r="P381" i="2"/>
  <c r="P380" i="2"/>
  <c r="P379" i="2"/>
  <c r="P378" i="2"/>
  <c r="P377" i="2"/>
  <c r="P376" i="2"/>
  <c r="P375" i="2"/>
  <c r="P374" i="2"/>
  <c r="P373" i="2"/>
  <c r="P372" i="2"/>
  <c r="P371" i="2"/>
  <c r="P370" i="2"/>
  <c r="P369" i="2"/>
  <c r="P368" i="2"/>
  <c r="P367" i="2"/>
  <c r="P366" i="2"/>
  <c r="P365" i="2"/>
  <c r="P364"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 r="AP3" i="4" l="1"/>
  <c r="AO3" i="4"/>
  <c r="AN3" i="4"/>
  <c r="AM3" i="4"/>
  <c r="AL3" i="4"/>
  <c r="AK3" i="4"/>
  <c r="J13" i="12"/>
  <c r="K12" i="12"/>
  <c r="L3" i="12"/>
  <c r="C49" i="7"/>
  <c r="C48" i="7"/>
  <c r="C45" i="7"/>
  <c r="B43" i="7"/>
  <c r="B42" i="7"/>
  <c r="B39" i="7"/>
  <c r="C38" i="7"/>
  <c r="C37" i="7"/>
  <c r="B37" i="7"/>
  <c r="C35" i="7"/>
  <c r="C34" i="7"/>
  <c r="B34" i="7"/>
  <c r="B33" i="7"/>
  <c r="C32" i="7"/>
  <c r="C31" i="7"/>
  <c r="B31" i="7"/>
  <c r="B30" i="7"/>
  <c r="C29" i="7"/>
  <c r="B27" i="7"/>
  <c r="C25" i="7"/>
  <c r="C23" i="7"/>
  <c r="B23" i="7"/>
  <c r="C21" i="7"/>
  <c r="B19" i="7"/>
  <c r="B17" i="7"/>
  <c r="C16" i="7"/>
  <c r="C14" i="7"/>
  <c r="C12" i="7"/>
  <c r="C26" i="4"/>
  <c r="AO14" i="4"/>
  <c r="AM14" i="4"/>
  <c r="AK14" i="4"/>
  <c r="S14" i="4"/>
  <c r="AA12" i="4"/>
  <c r="AP9" i="4"/>
  <c r="AO9" i="4"/>
  <c r="AN9" i="4"/>
  <c r="AM9" i="4"/>
  <c r="AL9" i="4"/>
  <c r="AK9" i="4"/>
  <c r="AJ9" i="4"/>
  <c r="AQ9" i="4" s="1"/>
  <c r="AI9" i="4"/>
  <c r="S8" i="4"/>
  <c r="AO7" i="4"/>
  <c r="AN7" i="4"/>
  <c r="AL7" i="4"/>
  <c r="AI7" i="4"/>
  <c r="K7" i="4"/>
  <c r="S5" i="4"/>
  <c r="S4" i="4"/>
  <c r="D28" i="6"/>
  <c r="F27" i="6"/>
  <c r="D29" i="6" s="1"/>
  <c r="F63" i="4"/>
  <c r="AA13" i="4"/>
  <c r="S10" i="4"/>
  <c r="K9" i="4"/>
  <c r="K11" i="4"/>
  <c r="AP10" i="4"/>
  <c r="AO10" i="4"/>
  <c r="AN10" i="4"/>
  <c r="AM10" i="4"/>
  <c r="AL10" i="4"/>
  <c r="AK10" i="4"/>
  <c r="AJ10" i="4"/>
  <c r="AI10" i="4"/>
  <c r="K10" i="4"/>
  <c r="K5" i="4"/>
  <c r="AS14" i="3"/>
  <c r="C14" i="3"/>
  <c r="C15" i="3" s="1"/>
  <c r="AJ3" i="4"/>
  <c r="AI3" i="4"/>
  <c r="AA3" i="4"/>
  <c r="S3" i="4"/>
  <c r="K3" i="4"/>
  <c r="C24" i="3"/>
  <c r="F2" i="3" a="1"/>
  <c r="E2" i="3" a="1"/>
  <c r="D2" i="3" a="1"/>
  <c r="O536" i="2"/>
  <c r="N536" i="2"/>
  <c r="M536" i="2"/>
  <c r="L536" i="2"/>
  <c r="P535" i="2"/>
  <c r="P534" i="2"/>
  <c r="P533" i="2"/>
  <c r="P532" i="2"/>
  <c r="P531" i="2"/>
  <c r="P530" i="2"/>
  <c r="P529" i="2"/>
  <c r="F13" i="12"/>
  <c r="F12" i="12"/>
  <c r="J11" i="12"/>
  <c r="E11" i="12"/>
  <c r="I10" i="12"/>
  <c r="D10" i="12"/>
  <c r="S12" i="4"/>
  <c r="AA9" i="4"/>
  <c r="AA8" i="4"/>
  <c r="K8" i="4"/>
  <c r="AA7" i="4"/>
  <c r="AK6" i="4"/>
  <c r="K6" i="4"/>
  <c r="AT14" i="3"/>
  <c r="AH13" i="3" a="1"/>
  <c r="Z13" i="3" a="1"/>
  <c r="R13" i="3" a="1"/>
  <c r="R13" i="3" s="1"/>
  <c r="I13" i="3" a="1"/>
  <c r="I13" i="3" s="1"/>
  <c r="AG12" i="3" a="1"/>
  <c r="AG12" i="3" s="1"/>
  <c r="Y12" i="3" a="1"/>
  <c r="Y12" i="3" s="1"/>
  <c r="Q12" i="3" a="1"/>
  <c r="Q12" i="3" s="1"/>
  <c r="F12" i="3" a="1"/>
  <c r="F12" i="3" s="1"/>
  <c r="AB11" i="3" a="1"/>
  <c r="AB11" i="3" s="1"/>
  <c r="Q11" i="3" a="1"/>
  <c r="Q11" i="3" s="1"/>
  <c r="G11" i="3" a="1"/>
  <c r="G11" i="3" s="1"/>
  <c r="H10" i="3" a="1"/>
  <c r="H10" i="3" s="1"/>
  <c r="AD9" i="3" a="1"/>
  <c r="AD9" i="3" s="1"/>
  <c r="R9" i="3" a="1"/>
  <c r="R9" i="3" s="1"/>
  <c r="G9" i="3" a="1"/>
  <c r="G9" i="3" s="1"/>
  <c r="AD8" i="3" a="1"/>
  <c r="AD8" i="3" s="1"/>
  <c r="T8" i="3" a="1"/>
  <c r="H8" i="3" a="1"/>
  <c r="H8" i="3" s="1"/>
  <c r="AC7" i="3" a="1"/>
  <c r="AC7" i="3" s="1"/>
  <c r="Q7" i="3" a="1"/>
  <c r="Q7" i="3" s="1"/>
  <c r="F7" i="3" a="1"/>
  <c r="F7" i="3" s="1"/>
  <c r="AB5" i="3" a="1"/>
  <c r="AB5" i="3" s="1"/>
  <c r="N5" i="3" a="1"/>
  <c r="N5" i="3" s="1"/>
  <c r="AF4" i="3" a="1"/>
  <c r="AF4" i="3" s="1"/>
  <c r="U4" i="3" a="1"/>
  <c r="U4" i="3" s="1"/>
  <c r="H4" i="3" a="1"/>
  <c r="H4" i="3" s="1"/>
  <c r="Z3" i="3" a="1"/>
  <c r="Z3" i="3" s="1"/>
  <c r="S2" i="2"/>
  <c r="I13" i="12"/>
  <c r="D13" i="12"/>
  <c r="J12" i="12"/>
  <c r="E12" i="12"/>
  <c r="H11" i="12"/>
  <c r="J10" i="12"/>
  <c r="F10" i="12"/>
  <c r="L8" i="12"/>
  <c r="M8" i="12" s="1"/>
  <c r="L7" i="12"/>
  <c r="M7" i="12" s="1"/>
  <c r="C24" i="7"/>
  <c r="B24" i="7"/>
  <c r="C15" i="7"/>
  <c r="C13" i="7"/>
  <c r="C11" i="7"/>
  <c r="AH15" i="4"/>
  <c r="AG15" i="4"/>
  <c r="AF15" i="4"/>
  <c r="AE15" i="4"/>
  <c r="AD15" i="4"/>
  <c r="AC15" i="4"/>
  <c r="AB15" i="4"/>
  <c r="AB16" i="4" s="1"/>
  <c r="Z15" i="4"/>
  <c r="Y15" i="4"/>
  <c r="X15" i="4"/>
  <c r="W15" i="4"/>
  <c r="V15" i="4"/>
  <c r="U15" i="4"/>
  <c r="T15" i="4"/>
  <c r="T16" i="4" s="1"/>
  <c r="R15" i="4"/>
  <c r="Q15" i="4"/>
  <c r="P15" i="4"/>
  <c r="O15" i="4"/>
  <c r="N15" i="4"/>
  <c r="M15" i="4"/>
  <c r="L15" i="4"/>
  <c r="L16" i="4" s="1"/>
  <c r="J15" i="4"/>
  <c r="I15" i="4"/>
  <c r="H15" i="4"/>
  <c r="G15" i="4"/>
  <c r="F15" i="4"/>
  <c r="E15" i="4"/>
  <c r="D15" i="4"/>
  <c r="D16" i="4" s="1"/>
  <c r="D17" i="4" s="1"/>
  <c r="C15" i="4"/>
  <c r="AP14" i="4"/>
  <c r="AN14" i="4"/>
  <c r="AL14" i="4"/>
  <c r="AJ14" i="4"/>
  <c r="AI14" i="4"/>
  <c r="S13" i="4"/>
  <c r="AO11" i="4"/>
  <c r="AN11" i="4"/>
  <c r="AM11" i="4"/>
  <c r="AL11" i="4"/>
  <c r="AK11" i="4"/>
  <c r="AI11" i="4"/>
  <c r="AA10" i="4"/>
  <c r="S9" i="4"/>
  <c r="AL5" i="4"/>
  <c r="AI5" i="4"/>
  <c r="AA5" i="4"/>
  <c r="AO4" i="4"/>
  <c r="AM4" i="4"/>
  <c r="AK4" i="4"/>
  <c r="AI4" i="4"/>
  <c r="U5" i="3" a="1"/>
  <c r="I5" i="3" a="1"/>
  <c r="AC4" i="3" a="1"/>
  <c r="Q4" i="3" a="1"/>
  <c r="F4" i="3" a="1"/>
  <c r="F4" i="3" s="1"/>
  <c r="Y3" i="3" a="1"/>
  <c r="Y3" i="3" s="1"/>
  <c r="K13" i="12"/>
  <c r="E13" i="12"/>
  <c r="G12" i="12"/>
  <c r="D12" i="12"/>
  <c r="G11" i="12"/>
  <c r="K10" i="12"/>
  <c r="E10" i="12"/>
  <c r="C50" i="7"/>
  <c r="B49" i="7"/>
  <c r="C47" i="7"/>
  <c r="C46" i="7"/>
  <c r="C44" i="7"/>
  <c r="B44" i="7"/>
  <c r="C41" i="7"/>
  <c r="C40" i="7"/>
  <c r="B40" i="7"/>
  <c r="B38" i="7"/>
  <c r="C36" i="7"/>
  <c r="B35" i="7"/>
  <c r="C33" i="7"/>
  <c r="B32" i="7"/>
  <c r="C30" i="7"/>
  <c r="B29" i="7"/>
  <c r="C27" i="7"/>
  <c r="B26" i="7"/>
  <c r="C22" i="7"/>
  <c r="B21" i="7"/>
  <c r="C19" i="7"/>
  <c r="B18" i="7"/>
  <c r="C17" i="7"/>
  <c r="B16" i="7"/>
  <c r="B14" i="7"/>
  <c r="B12" i="7"/>
  <c r="C10" i="7"/>
  <c r="AA14" i="4"/>
  <c r="K14" i="4"/>
  <c r="AP13" i="4"/>
  <c r="AO13" i="4"/>
  <c r="AN13" i="4"/>
  <c r="AM13" i="4"/>
  <c r="AL13" i="4"/>
  <c r="AK13" i="4"/>
  <c r="AJ13" i="4"/>
  <c r="AI13" i="4"/>
  <c r="AP11" i="4"/>
  <c r="AJ11" i="4"/>
  <c r="AA11" i="4"/>
  <c r="S11" i="4"/>
  <c r="S7" i="4"/>
  <c r="AP6" i="4"/>
  <c r="AO6" i="4"/>
  <c r="AN6" i="4"/>
  <c r="AM6" i="4"/>
  <c r="AL6" i="4"/>
  <c r="AJ6" i="4"/>
  <c r="AI6" i="4"/>
  <c r="AA6" i="4"/>
  <c r="AP5" i="4"/>
  <c r="AO5" i="4"/>
  <c r="AN5" i="4"/>
  <c r="AM5" i="4"/>
  <c r="AK5" i="4"/>
  <c r="AJ5" i="4"/>
  <c r="AA4" i="4"/>
  <c r="U8" i="3" a="1"/>
  <c r="I8" i="3" a="1"/>
  <c r="AE7" i="3" a="1"/>
  <c r="T7" i="3" a="1"/>
  <c r="T7" i="3" s="1"/>
  <c r="H7" i="3" a="1"/>
  <c r="H7" i="3" s="1"/>
  <c r="AD5" i="3" a="1"/>
  <c r="AD5" i="3" s="1"/>
  <c r="R5" i="3" a="1"/>
  <c r="R5" i="3" s="1"/>
  <c r="F5" i="3" a="1"/>
  <c r="F5" i="3" s="1"/>
  <c r="AB4" i="3" a="1"/>
  <c r="O4" i="3" a="1"/>
  <c r="AD3" i="3" a="1"/>
  <c r="AD3" i="3" s="1"/>
  <c r="R3" i="3" a="1"/>
  <c r="R3" i="3" s="1"/>
  <c r="H13" i="12"/>
  <c r="H12" i="12"/>
  <c r="K11" i="12"/>
  <c r="F11" i="12"/>
  <c r="H10" i="12"/>
  <c r="L9" i="12"/>
  <c r="M9" i="12" s="1"/>
  <c r="Y11" i="3" a="1"/>
  <c r="Y11" i="3" s="1"/>
  <c r="M11" i="3" a="1"/>
  <c r="M11" i="3" s="1"/>
  <c r="O10" i="3" a="1"/>
  <c r="O10" i="3" s="1"/>
  <c r="E10" i="3" a="1"/>
  <c r="E10" i="3" s="1"/>
  <c r="Y9" i="3" a="1"/>
  <c r="Y9" i="3" s="1"/>
  <c r="O9" i="3" a="1"/>
  <c r="O9" i="3" s="1"/>
  <c r="AH8" i="3" a="1"/>
  <c r="AH8" i="3" s="1"/>
  <c r="Y8" i="3" a="1"/>
  <c r="Y8" i="3" s="1"/>
  <c r="N8" i="3" a="1"/>
  <c r="N8" i="3" s="1"/>
  <c r="AD7" i="3" a="1"/>
  <c r="AD7" i="3" s="1"/>
  <c r="R7" i="3" a="1"/>
  <c r="R7" i="3" s="1"/>
  <c r="G13" i="12"/>
  <c r="I12" i="12"/>
  <c r="I11" i="12"/>
  <c r="D11" i="12"/>
  <c r="G10" i="12"/>
  <c r="L6" i="12"/>
  <c r="M6" i="12" s="1"/>
  <c r="L5" i="12"/>
  <c r="M5" i="12" s="1"/>
  <c r="L4" i="12"/>
  <c r="M4" i="12" s="1"/>
  <c r="B45" i="7"/>
  <c r="C42" i="7"/>
  <c r="B41" i="7"/>
  <c r="C39" i="7"/>
  <c r="B36" i="7"/>
  <c r="C28" i="7"/>
  <c r="B28" i="7"/>
  <c r="C26" i="7"/>
  <c r="B25" i="7"/>
  <c r="B22" i="7"/>
  <c r="C20" i="7"/>
  <c r="B20" i="7"/>
  <c r="C18" i="7"/>
  <c r="B15" i="7"/>
  <c r="B13" i="7"/>
  <c r="B11" i="7"/>
  <c r="K13" i="4"/>
  <c r="AP12" i="4"/>
  <c r="AO12" i="4"/>
  <c r="AN12" i="4"/>
  <c r="AM12" i="4"/>
  <c r="AL12" i="4"/>
  <c r="AK12" i="4"/>
  <c r="AJ12" i="4"/>
  <c r="AQ12" i="4" s="1"/>
  <c r="AI12" i="4"/>
  <c r="K12" i="4"/>
  <c r="AP8" i="4"/>
  <c r="AO8" i="4"/>
  <c r="AN8" i="4"/>
  <c r="AM8" i="4"/>
  <c r="AL8" i="4"/>
  <c r="AK8" i="4"/>
  <c r="AJ8" i="4"/>
  <c r="AI8" i="4"/>
  <c r="AP7" i="4"/>
  <c r="AM7" i="4"/>
  <c r="AK7" i="4"/>
  <c r="AJ7" i="4"/>
  <c r="S6" i="4"/>
  <c r="AP4" i="4"/>
  <c r="AN4" i="4"/>
  <c r="AL4" i="4"/>
  <c r="AJ4" i="4"/>
  <c r="K4" i="4"/>
  <c r="D9" i="3" a="1"/>
  <c r="Q8" i="3" a="1"/>
  <c r="F8" i="3" a="1"/>
  <c r="Z7" i="3" a="1"/>
  <c r="P7" i="3" a="1"/>
  <c r="P7" i="3" s="1"/>
  <c r="E7" i="3" a="1"/>
  <c r="E7" i="3" s="1"/>
  <c r="Z5" i="3" a="1"/>
  <c r="Z5" i="3" s="1"/>
  <c r="N4" i="3" a="1"/>
  <c r="N4" i="3" s="1"/>
  <c r="AH3" i="3" a="1"/>
  <c r="AH3" i="3" s="1"/>
  <c r="V3" i="3" a="1"/>
  <c r="V3" i="3" s="1"/>
  <c r="AQ13" i="4" l="1"/>
  <c r="D2" i="3"/>
  <c r="F2" i="3"/>
  <c r="Z13" i="3"/>
  <c r="Q4" i="3"/>
  <c r="AC4" i="3"/>
  <c r="AE7" i="3"/>
  <c r="AB4" i="3"/>
  <c r="Z7" i="3"/>
  <c r="F8" i="3"/>
  <c r="AQ5" i="4"/>
  <c r="AQ10" i="4"/>
  <c r="AQ11" i="4"/>
  <c r="AQ7" i="4"/>
  <c r="AQ4" i="4"/>
  <c r="E2" i="3"/>
  <c r="C16" i="1"/>
  <c r="C10" i="1"/>
  <c r="AI15" i="4"/>
  <c r="AH13" i="3"/>
  <c r="T8" i="3"/>
  <c r="I5" i="3"/>
  <c r="AQ14" i="4"/>
  <c r="U5" i="3"/>
  <c r="I8" i="3"/>
  <c r="U8" i="3"/>
  <c r="O4" i="3"/>
  <c r="Q8" i="3"/>
  <c r="AQ8" i="4"/>
  <c r="D9" i="3"/>
  <c r="M3" i="12"/>
  <c r="AQ3" i="4"/>
  <c r="AJ15" i="4"/>
  <c r="Z2" i="3" a="1"/>
  <c r="Z2" i="3" s="1"/>
  <c r="G3" i="3" a="1"/>
  <c r="G3" i="3" s="1"/>
  <c r="AD2" i="3" a="1"/>
  <c r="AD2" i="3" s="1"/>
  <c r="J3" i="3" a="1"/>
  <c r="J3" i="3" s="1"/>
  <c r="AP3" i="3" s="1"/>
  <c r="AH2" i="3" a="1"/>
  <c r="AH2" i="3" s="1"/>
  <c r="O3" i="3" a="1"/>
  <c r="O3" i="3" s="1"/>
  <c r="E3" i="3" a="1"/>
  <c r="E3" i="3" s="1"/>
  <c r="AF2" i="3" a="1"/>
  <c r="AF2" i="3" s="1"/>
  <c r="M3" i="3" a="1"/>
  <c r="M3" i="3" s="1"/>
  <c r="AB2" i="3" a="1"/>
  <c r="AB2" i="3" s="1"/>
  <c r="H3" i="3" a="1"/>
  <c r="H3" i="3" s="1"/>
  <c r="AC2" i="3" a="1"/>
  <c r="AC2" i="3" s="1"/>
  <c r="I3" i="3" a="1"/>
  <c r="I3" i="3" s="1"/>
  <c r="P3" i="3" a="1"/>
  <c r="P3" i="3" s="1"/>
  <c r="F3" i="3" a="1"/>
  <c r="F3" i="3" s="1"/>
  <c r="AG2" i="3" a="1"/>
  <c r="AG2" i="3" s="1"/>
  <c r="N3" i="3" a="1"/>
  <c r="N3" i="3" s="1"/>
  <c r="AE2" i="3" a="1"/>
  <c r="AE2" i="3" s="1"/>
  <c r="L3" i="3" a="1"/>
  <c r="L3" i="3" s="1"/>
  <c r="D3" i="3" a="1"/>
  <c r="D3" i="3" s="1"/>
  <c r="C16" i="4"/>
  <c r="AJ17" i="4"/>
  <c r="AG11" i="3" a="1"/>
  <c r="AG11" i="3" s="1"/>
  <c r="N9" i="3" a="1"/>
  <c r="N9" i="3" s="1"/>
  <c r="G8" i="3" a="1"/>
  <c r="G8" i="3" s="1"/>
  <c r="D5" i="3" a="1"/>
  <c r="D5" i="3" s="1"/>
  <c r="C33" i="4"/>
  <c r="AF13" i="3" a="1"/>
  <c r="AF13" i="3" s="1"/>
  <c r="X11" i="3" a="1"/>
  <c r="X11" i="3" s="1"/>
  <c r="L9" i="3" a="1"/>
  <c r="L9" i="3" s="1"/>
  <c r="AF5" i="3" a="1"/>
  <c r="AF5" i="3" s="1"/>
  <c r="D12" i="3" a="1"/>
  <c r="D12" i="3" s="1"/>
  <c r="P8" i="3" a="1"/>
  <c r="P8" i="3" s="1"/>
  <c r="AH4" i="3" a="1"/>
  <c r="AH4" i="3" s="1"/>
  <c r="C31" i="3"/>
  <c r="C28" i="3"/>
  <c r="AB13" i="3" a="1"/>
  <c r="AB13" i="3" s="1"/>
  <c r="I12" i="3" a="1"/>
  <c r="I12" i="3" s="1"/>
  <c r="AO12" i="3" s="1"/>
  <c r="AF8" i="3" a="1"/>
  <c r="AF8" i="3" s="1"/>
  <c r="Z10" i="3" a="1"/>
  <c r="Z10" i="3" s="1"/>
  <c r="R10" i="3" a="1"/>
  <c r="R10" i="3" s="1"/>
  <c r="Y7" i="3" a="1"/>
  <c r="Y7" i="3" s="1"/>
  <c r="W3" i="3" a="1"/>
  <c r="W3" i="3" s="1"/>
  <c r="AB6" i="3" a="1"/>
  <c r="AB6" i="3" s="1"/>
  <c r="R6" i="3" a="1"/>
  <c r="R6" i="3" s="1"/>
  <c r="I6" i="3" a="1"/>
  <c r="I6" i="3" s="1"/>
  <c r="W4" i="3" a="1"/>
  <c r="W4" i="3" s="1"/>
  <c r="P536" i="2"/>
  <c r="AD4" i="3" a="1"/>
  <c r="AD4" i="3" s="1"/>
  <c r="R4" i="3" a="1"/>
  <c r="R4" i="3" s="1"/>
  <c r="E4" i="3" a="1"/>
  <c r="E4" i="3" s="1"/>
  <c r="X3" i="3" a="1"/>
  <c r="X3" i="3" s="1"/>
  <c r="AG13" i="3" a="1"/>
  <c r="AG13" i="3" s="1"/>
  <c r="Y13" i="3" a="1"/>
  <c r="Y13" i="3" s="1"/>
  <c r="P13" i="3" a="1"/>
  <c r="P13" i="3" s="1"/>
  <c r="H13" i="3" a="1"/>
  <c r="H13" i="3" s="1"/>
  <c r="M12" i="3" a="1"/>
  <c r="M12" i="3" s="1"/>
  <c r="AB9" i="3" a="1"/>
  <c r="AB9" i="3" s="1"/>
  <c r="E8" i="3" a="1"/>
  <c r="E8" i="3" s="1"/>
  <c r="AC3" i="3" a="1"/>
  <c r="AC3" i="3" s="1"/>
  <c r="V12" i="3" a="1"/>
  <c r="V12" i="3" s="1"/>
  <c r="L10" i="3" a="1"/>
  <c r="L10" i="3" s="1"/>
  <c r="AH7" i="3" a="1"/>
  <c r="AH7" i="3" s="1"/>
  <c r="V10" i="3" a="1"/>
  <c r="V10" i="3" s="1"/>
  <c r="Z8" i="3" a="1"/>
  <c r="Z8" i="3" s="1"/>
  <c r="Z4" i="3" a="1"/>
  <c r="Z4" i="3" s="1"/>
  <c r="AE6" i="3" a="1"/>
  <c r="AE6" i="3" s="1"/>
  <c r="V6" i="3" a="1"/>
  <c r="V6" i="3" s="1"/>
  <c r="N6" i="3" a="1"/>
  <c r="N6" i="3" s="1"/>
  <c r="D6" i="3" a="1"/>
  <c r="D6" i="3" s="1"/>
  <c r="AH5" i="3" a="1"/>
  <c r="AH5" i="3" s="1"/>
  <c r="V5" i="3" a="1"/>
  <c r="V5" i="3" s="1"/>
  <c r="AL5" i="3" s="1"/>
  <c r="J5" i="3" a="1"/>
  <c r="J5" i="3" s="1"/>
  <c r="AP5" i="3" s="1"/>
  <c r="AE4" i="3" a="1"/>
  <c r="AE4" i="3" s="1"/>
  <c r="T4" i="3" a="1"/>
  <c r="T4" i="3" s="1"/>
  <c r="G4" i="3" a="1"/>
  <c r="G4" i="3" s="1"/>
  <c r="AB3" i="3" a="1"/>
  <c r="AB3" i="3" s="1"/>
  <c r="D11" i="3" a="1"/>
  <c r="D11" i="3" s="1"/>
  <c r="AH10" i="3" a="1"/>
  <c r="AH10" i="3" s="1"/>
  <c r="AG10" i="3" a="1"/>
  <c r="AG10" i="3" s="1"/>
  <c r="AF10" i="3" a="1"/>
  <c r="AF10" i="3" s="1"/>
  <c r="AE10" i="3" a="1"/>
  <c r="AE10" i="3" s="1"/>
  <c r="AD10" i="3" a="1"/>
  <c r="AD10" i="3" s="1"/>
  <c r="AC10" i="3" a="1"/>
  <c r="AC10" i="3" s="1"/>
  <c r="Y10" i="3" a="1"/>
  <c r="Y10" i="3" s="1"/>
  <c r="M10" i="3" a="1"/>
  <c r="M10" i="3" s="1"/>
  <c r="AE5" i="3" a="1"/>
  <c r="AE5" i="3" s="1"/>
  <c r="AH6" i="3" a="1"/>
  <c r="AH6" i="3" s="1"/>
  <c r="Z6" i="3" a="1"/>
  <c r="Z6" i="3" s="1"/>
  <c r="Q6" i="3" a="1"/>
  <c r="Q6" i="3" s="1"/>
  <c r="H6" i="3" a="1"/>
  <c r="H6" i="3" s="1"/>
  <c r="J4" i="3" a="1"/>
  <c r="J4" i="3" s="1"/>
  <c r="AE3" i="3" a="1"/>
  <c r="AE3" i="3" s="1"/>
  <c r="T3" i="3" a="1"/>
  <c r="T3" i="3" s="1"/>
  <c r="Y2" i="3" a="1"/>
  <c r="Y2" i="3" s="1"/>
  <c r="X2" i="3" a="1"/>
  <c r="X2" i="3" s="1"/>
  <c r="W2" i="3" a="1"/>
  <c r="W2" i="3" s="1"/>
  <c r="V2" i="3" a="1"/>
  <c r="V2" i="3" s="1"/>
  <c r="U2" i="3" a="1"/>
  <c r="U2" i="3" s="1"/>
  <c r="T2" i="3" a="1"/>
  <c r="T2" i="3" s="1"/>
  <c r="R2" i="3" a="1"/>
  <c r="R2" i="3" s="1"/>
  <c r="Q2" i="3" a="1"/>
  <c r="Q2" i="3" s="1"/>
  <c r="P2" i="3" a="1"/>
  <c r="P2" i="3" s="1"/>
  <c r="O2" i="3" a="1"/>
  <c r="O2" i="3" s="1"/>
  <c r="N2" i="3" a="1"/>
  <c r="N2" i="3" s="1"/>
  <c r="M2" i="3" a="1"/>
  <c r="M2" i="3" s="1"/>
  <c r="L2" i="3" a="1"/>
  <c r="L2" i="3" s="1"/>
  <c r="J2" i="3" a="1"/>
  <c r="J2" i="3" s="1"/>
  <c r="I2" i="3" a="1"/>
  <c r="I2" i="3" s="1"/>
  <c r="H2" i="3" a="1"/>
  <c r="H2" i="3" s="1"/>
  <c r="G2" i="3" a="1"/>
  <c r="G2" i="3" s="1"/>
  <c r="L13" i="12"/>
  <c r="M13" i="12" s="1"/>
  <c r="C29" i="4"/>
  <c r="AP15" i="4"/>
  <c r="AO15" i="4"/>
  <c r="AN15" i="4"/>
  <c r="AM15" i="4"/>
  <c r="AL15" i="4"/>
  <c r="AK15" i="4"/>
  <c r="AC13" i="3" a="1"/>
  <c r="AC13" i="3" s="1"/>
  <c r="V13" i="3" a="1"/>
  <c r="V13" i="3" s="1"/>
  <c r="N13" i="3" a="1"/>
  <c r="N13" i="3" s="1"/>
  <c r="G13" i="3" a="1"/>
  <c r="G13" i="3" s="1"/>
  <c r="AH12" i="3" a="1"/>
  <c r="AH12" i="3" s="1"/>
  <c r="X12" i="3" a="1"/>
  <c r="X12" i="3" s="1"/>
  <c r="P12" i="3" a="1"/>
  <c r="P12" i="3" s="1"/>
  <c r="H12" i="3" a="1"/>
  <c r="H12" i="3" s="1"/>
  <c r="AD11" i="3" a="1"/>
  <c r="AD11" i="3" s="1"/>
  <c r="T11" i="3" a="1"/>
  <c r="T11" i="3" s="1"/>
  <c r="I11" i="3" a="1"/>
  <c r="I11" i="3" s="1"/>
  <c r="J10" i="3" a="1"/>
  <c r="J10" i="3" s="1"/>
  <c r="AF9" i="3" a="1"/>
  <c r="AF9" i="3" s="1"/>
  <c r="V9" i="3" a="1"/>
  <c r="V9" i="3" s="1"/>
  <c r="J9" i="3" a="1"/>
  <c r="J9" i="3" s="1"/>
  <c r="AG8" i="3" a="1"/>
  <c r="AG8" i="3" s="1"/>
  <c r="X8" i="3" a="1"/>
  <c r="X8" i="3" s="1"/>
  <c r="M8" i="3" a="1"/>
  <c r="M8" i="3" s="1"/>
  <c r="AG7" i="3" a="1"/>
  <c r="AG7" i="3" s="1"/>
  <c r="W7" i="3" a="1"/>
  <c r="W7" i="3" s="1"/>
  <c r="J7" i="3" a="1"/>
  <c r="J7" i="3" s="1"/>
  <c r="AG5" i="3" a="1"/>
  <c r="AG5" i="3" s="1"/>
  <c r="C30" i="4"/>
  <c r="AQ6" i="4"/>
  <c r="AD13" i="3" a="1"/>
  <c r="AD13" i="3" s="1"/>
  <c r="W13" i="3" a="1"/>
  <c r="W13" i="3" s="1"/>
  <c r="O13" i="3" a="1"/>
  <c r="O13" i="3" s="1"/>
  <c r="F13" i="3" a="1"/>
  <c r="F13" i="3" s="1"/>
  <c r="AE12" i="3" a="1"/>
  <c r="AE12" i="3" s="1"/>
  <c r="W12" i="3" a="1"/>
  <c r="W12" i="3" s="1"/>
  <c r="N12" i="3" a="1"/>
  <c r="N12" i="3" s="1"/>
  <c r="E12" i="3" a="1"/>
  <c r="E12" i="3" s="1"/>
  <c r="AC11" i="3" a="1"/>
  <c r="AC11" i="3" s="1"/>
  <c r="R11" i="3" a="1"/>
  <c r="R11" i="3" s="1"/>
  <c r="H11" i="3" a="1"/>
  <c r="H11" i="3" s="1"/>
  <c r="I10" i="3" a="1"/>
  <c r="I10" i="3" s="1"/>
  <c r="AE9" i="3" a="1"/>
  <c r="AE9" i="3" s="1"/>
  <c r="T9" i="3" a="1"/>
  <c r="T9" i="3" s="1"/>
  <c r="H9" i="3" a="1"/>
  <c r="H9" i="3" s="1"/>
  <c r="AE8" i="3" a="1"/>
  <c r="AE8" i="3" s="1"/>
  <c r="G7" i="3" a="1"/>
  <c r="G7" i="3" s="1"/>
  <c r="AC5" i="3" a="1"/>
  <c r="AC5" i="3" s="1"/>
  <c r="P5" i="3" a="1"/>
  <c r="P5" i="3" s="1"/>
  <c r="E5" i="3" a="1"/>
  <c r="E5" i="3" s="1"/>
  <c r="Y4" i="3" a="1"/>
  <c r="Y4" i="3" s="1"/>
  <c r="M4" i="3" a="1"/>
  <c r="M4" i="3" s="1"/>
  <c r="AG3" i="3" a="1"/>
  <c r="AG3" i="3" s="1"/>
  <c r="L11" i="12"/>
  <c r="M11" i="12" s="1"/>
  <c r="C31" i="4"/>
  <c r="AE13" i="3" a="1"/>
  <c r="AE13" i="3" s="1"/>
  <c r="U13" i="3" a="1"/>
  <c r="U13" i="3" s="1"/>
  <c r="L13" i="3" a="1"/>
  <c r="L13" i="3" s="1"/>
  <c r="D13" i="3" a="1"/>
  <c r="D13" i="3" s="1"/>
  <c r="AF12" i="3" a="1"/>
  <c r="AF12" i="3" s="1"/>
  <c r="Z12" i="3" a="1"/>
  <c r="Z12" i="3" s="1"/>
  <c r="R12" i="3" a="1"/>
  <c r="R12" i="3" s="1"/>
  <c r="G12" i="3" a="1"/>
  <c r="G12" i="3" s="1"/>
  <c r="AF11" i="3" a="1"/>
  <c r="AF11" i="3" s="1"/>
  <c r="V11" i="3" a="1"/>
  <c r="V11" i="3" s="1"/>
  <c r="L11" i="3" a="1"/>
  <c r="L11" i="3" s="1"/>
  <c r="N10" i="3" a="1"/>
  <c r="N10" i="3" s="1"/>
  <c r="D10" i="3" a="1"/>
  <c r="D10" i="3" s="1"/>
  <c r="X9" i="3" a="1"/>
  <c r="X9" i="3" s="1"/>
  <c r="M9" i="3" a="1"/>
  <c r="M9" i="3" s="1"/>
  <c r="N11" i="3" a="1"/>
  <c r="N11" i="3" s="1"/>
  <c r="Z9" i="3" a="1"/>
  <c r="Z9" i="3" s="1"/>
  <c r="AB7" i="3" a="1"/>
  <c r="AB7" i="3" s="1"/>
  <c r="O5" i="3" a="1"/>
  <c r="O5" i="3" s="1"/>
  <c r="U3" i="3" a="1"/>
  <c r="U3" i="3" s="1"/>
  <c r="T12" i="3" a="1"/>
  <c r="T12" i="3" s="1"/>
  <c r="AG9" i="3" a="1"/>
  <c r="AG9" i="3" s="1"/>
  <c r="AF7" i="3" a="1"/>
  <c r="AF7" i="3" s="1"/>
  <c r="AC12" i="3" a="1"/>
  <c r="AC12" i="3" s="1"/>
  <c r="F11" i="3" a="1"/>
  <c r="F11" i="3" s="1"/>
  <c r="M7" i="3" a="1"/>
  <c r="M7" i="3" s="1"/>
  <c r="I4" i="3" a="1"/>
  <c r="I4" i="3" s="1"/>
  <c r="AD12" i="3" a="1"/>
  <c r="AD12" i="3" s="1"/>
  <c r="AH9" i="3" a="1"/>
  <c r="AH9" i="3" s="1"/>
  <c r="L8" i="3" a="1"/>
  <c r="L8" i="3" s="1"/>
  <c r="W10" i="3" a="1"/>
  <c r="W10" i="3" s="1"/>
  <c r="Q9" i="3" a="1"/>
  <c r="Q9" i="3" s="1"/>
  <c r="Q5" i="3" a="1"/>
  <c r="Q5" i="3" s="1"/>
  <c r="AF6" i="3" a="1"/>
  <c r="AF6" i="3" s="1"/>
  <c r="X6" i="3" a="1"/>
  <c r="X6" i="3" s="1"/>
  <c r="P6" i="3" a="1"/>
  <c r="P6" i="3" s="1"/>
  <c r="G6" i="3" a="1"/>
  <c r="G6" i="3" s="1"/>
  <c r="C21" i="1"/>
  <c r="L10" i="12"/>
  <c r="M10" i="12" s="1"/>
  <c r="K14" i="12"/>
  <c r="F14" i="12"/>
  <c r="E14" i="12"/>
  <c r="J12" i="3" a="1"/>
  <c r="J12" i="3" s="1"/>
  <c r="AC8" i="3" a="1"/>
  <c r="AC8" i="3" s="1"/>
  <c r="C35" i="4"/>
  <c r="C34" i="4"/>
  <c r="AB12" i="3" a="1"/>
  <c r="AB12" i="3" s="1"/>
  <c r="E11" i="3" a="1"/>
  <c r="E11" i="3" s="1"/>
  <c r="U7" i="3" a="1"/>
  <c r="U7" i="3" s="1"/>
  <c r="U12" i="3" a="1"/>
  <c r="U12" i="3" s="1"/>
  <c r="G10" i="3" a="1"/>
  <c r="G10" i="3" s="1"/>
  <c r="X7" i="3" a="1"/>
  <c r="X7" i="3" s="1"/>
  <c r="V4" i="3" a="1"/>
  <c r="V4" i="3" s="1"/>
  <c r="M13" i="3" a="1"/>
  <c r="M13" i="3" s="1"/>
  <c r="U11" i="3" a="1"/>
  <c r="U11" i="3" s="1"/>
  <c r="W8" i="3" a="1"/>
  <c r="W8" i="3" s="1"/>
  <c r="X10" i="3" a="1"/>
  <c r="X10" i="3" s="1"/>
  <c r="AC9" i="3" a="1"/>
  <c r="AC9" i="3" s="1"/>
  <c r="G5" i="3" a="1"/>
  <c r="G5" i="3" s="1"/>
  <c r="AD6" i="3" a="1"/>
  <c r="AD6" i="3" s="1"/>
  <c r="U6" i="3" a="1"/>
  <c r="U6" i="3" s="1"/>
  <c r="L6" i="3" a="1"/>
  <c r="L6" i="3" s="1"/>
  <c r="L5" i="3" a="1"/>
  <c r="L5" i="3" s="1"/>
  <c r="C14" i="1"/>
  <c r="I14" i="12"/>
  <c r="D14" i="12"/>
  <c r="P10" i="3" a="1"/>
  <c r="P10" i="3" s="1"/>
  <c r="E9" i="3" a="1"/>
  <c r="E9" i="3" s="1"/>
  <c r="O7" i="3" a="1"/>
  <c r="O7" i="3" s="1"/>
  <c r="X4" i="3" a="1"/>
  <c r="X4" i="3" s="1"/>
  <c r="C32" i="4"/>
  <c r="J13" i="3" a="1"/>
  <c r="J13" i="3" s="1"/>
  <c r="O11" i="3" a="1"/>
  <c r="O11" i="3" s="1"/>
  <c r="J8" i="3" a="1"/>
  <c r="J8" i="3" s="1"/>
  <c r="H5" i="3" a="1"/>
  <c r="H5" i="3" s="1"/>
  <c r="P9" i="3" a="1"/>
  <c r="P9" i="3" s="1"/>
  <c r="E6" i="3" a="1"/>
  <c r="E6" i="3" s="1"/>
  <c r="Q3" i="3" a="1"/>
  <c r="Q3" i="3" s="1"/>
  <c r="O12" i="3" a="1"/>
  <c r="O12" i="3" s="1"/>
  <c r="U9" i="3" a="1"/>
  <c r="U9" i="3" s="1"/>
  <c r="V7" i="3" a="1"/>
  <c r="V7" i="3" s="1"/>
  <c r="U10" i="3" a="1"/>
  <c r="U10" i="3" s="1"/>
  <c r="O8" i="3" a="1"/>
  <c r="O8" i="3" s="1"/>
  <c r="D4" i="3" a="1"/>
  <c r="D4" i="3" s="1"/>
  <c r="Y6" i="3" a="1"/>
  <c r="Y6" i="3" s="1"/>
  <c r="O6" i="3" a="1"/>
  <c r="O6" i="3" s="1"/>
  <c r="F6" i="3" a="1"/>
  <c r="F6" i="3" s="1"/>
  <c r="J14" i="12"/>
  <c r="H14" i="12"/>
  <c r="G14" i="12"/>
  <c r="F10" i="3" a="1"/>
  <c r="F10" i="3" s="1"/>
  <c r="R8" i="3" a="1"/>
  <c r="R8" i="3" s="1"/>
  <c r="Y5" i="3" a="1"/>
  <c r="Y5" i="3" s="1"/>
  <c r="L4" i="3" a="1"/>
  <c r="L4" i="3" s="1"/>
  <c r="X13" i="3" a="1"/>
  <c r="X13" i="3" s="1"/>
  <c r="L12" i="3" a="1"/>
  <c r="L12" i="3" s="1"/>
  <c r="W9" i="3" a="1"/>
  <c r="W9" i="3" s="1"/>
  <c r="I7" i="3" a="1"/>
  <c r="I7" i="3" s="1"/>
  <c r="Z11" i="3" a="1"/>
  <c r="Z11" i="3" s="1"/>
  <c r="AB8" i="3" a="1"/>
  <c r="AB8" i="3" s="1"/>
  <c r="M5" i="3" a="1"/>
  <c r="M5" i="3" s="1"/>
  <c r="C32" i="3"/>
  <c r="C29" i="3"/>
  <c r="C27" i="3"/>
  <c r="T13" i="3" a="1"/>
  <c r="T13" i="3" s="1"/>
  <c r="AE11" i="3" a="1"/>
  <c r="AE11" i="3" s="1"/>
  <c r="I9" i="3" a="1"/>
  <c r="I9" i="3" s="1"/>
  <c r="AB10" i="3" a="1"/>
  <c r="AB10" i="3" s="1"/>
  <c r="Q10" i="3" a="1"/>
  <c r="Q10" i="3" s="1"/>
  <c r="N7" i="3" a="1"/>
  <c r="N7" i="3" s="1"/>
  <c r="AG6" i="3" a="1"/>
  <c r="AG6" i="3" s="1"/>
  <c r="W6" i="3" a="1"/>
  <c r="W6" i="3" s="1"/>
  <c r="M6" i="3" a="1"/>
  <c r="M6" i="3" s="1"/>
  <c r="W5" i="3" a="1"/>
  <c r="W5" i="3" s="1"/>
  <c r="C15" i="1"/>
  <c r="L12" i="12"/>
  <c r="M12" i="12" s="1"/>
  <c r="W11" i="3" a="1"/>
  <c r="W11" i="3" s="1"/>
  <c r="D7" i="3" a="1"/>
  <c r="D7" i="3" s="1"/>
  <c r="AF3" i="3" a="1"/>
  <c r="AF3" i="3" s="1"/>
  <c r="Q13" i="3" a="1"/>
  <c r="Q13" i="3" s="1"/>
  <c r="AH11" i="3" a="1"/>
  <c r="AH11" i="3" s="1"/>
  <c r="V8" i="3" a="1"/>
  <c r="V8" i="3" s="1"/>
  <c r="T5" i="3" a="1"/>
  <c r="T5" i="3" s="1"/>
  <c r="P11" i="3" a="1"/>
  <c r="P11" i="3" s="1"/>
  <c r="F9" i="3" a="1"/>
  <c r="F9" i="3" s="1"/>
  <c r="X5" i="3" a="1"/>
  <c r="X5" i="3" s="1"/>
  <c r="AA15" i="4"/>
  <c r="S15" i="4"/>
  <c r="K15" i="4"/>
  <c r="C33" i="3"/>
  <c r="C30" i="3"/>
  <c r="E13" i="3" a="1"/>
  <c r="E13" i="3" s="1"/>
  <c r="J11" i="3" a="1"/>
  <c r="J11" i="3" s="1"/>
  <c r="L7" i="3" a="1"/>
  <c r="L7" i="3" s="1"/>
  <c r="T10" i="3" a="1"/>
  <c r="T10" i="3" s="1"/>
  <c r="D8" i="3" a="1"/>
  <c r="D8" i="3" s="1"/>
  <c r="P4" i="3" a="1"/>
  <c r="P4" i="3" s="1"/>
  <c r="AC6" i="3" a="1"/>
  <c r="AC6" i="3" s="1"/>
  <c r="T6" i="3" a="1"/>
  <c r="T6" i="3" s="1"/>
  <c r="J6" i="3" a="1"/>
  <c r="J6" i="3" s="1"/>
  <c r="AG4" i="3" a="1"/>
  <c r="AG4" i="3" s="1"/>
  <c r="AP13" i="3" l="1"/>
  <c r="AL13" i="3"/>
  <c r="C19" i="1"/>
  <c r="AM12" i="3"/>
  <c r="AM9" i="3"/>
  <c r="AK4" i="3"/>
  <c r="AN13" i="3"/>
  <c r="AM4" i="3"/>
  <c r="AO11" i="3"/>
  <c r="AP7" i="3"/>
  <c r="AN11" i="3"/>
  <c r="AO10" i="3"/>
  <c r="AI7" i="3"/>
  <c r="AM10" i="3"/>
  <c r="AP8" i="3"/>
  <c r="AN5" i="3"/>
  <c r="AL6" i="3"/>
  <c r="AL10" i="3"/>
  <c r="C34" i="3"/>
  <c r="AO9" i="3"/>
  <c r="C18" i="1"/>
  <c r="C13" i="1"/>
  <c r="AO13" i="3"/>
  <c r="AA8" i="3"/>
  <c r="AA5" i="3"/>
  <c r="AI2" i="3"/>
  <c r="AB14" i="3"/>
  <c r="K3" i="3"/>
  <c r="AJ3" i="3"/>
  <c r="AJ5" i="3"/>
  <c r="K5" i="3"/>
  <c r="AJ12" i="3"/>
  <c r="K12" i="3"/>
  <c r="K6" i="3"/>
  <c r="AJ6" i="3"/>
  <c r="AJ11" i="3"/>
  <c r="K11" i="3"/>
  <c r="T14" i="3"/>
  <c r="AA2" i="3"/>
  <c r="L14" i="3"/>
  <c r="S2" i="3"/>
  <c r="J14" i="3"/>
  <c r="AP2" i="3"/>
  <c r="I14" i="3"/>
  <c r="AO2" i="3"/>
  <c r="H14" i="3"/>
  <c r="AN2" i="3"/>
  <c r="G14" i="3"/>
  <c r="AM2" i="3"/>
  <c r="AJ13" i="3"/>
  <c r="K13" i="3"/>
  <c r="AJ10" i="3"/>
  <c r="K10" i="3"/>
  <c r="K4" i="3"/>
  <c r="AJ4" i="3"/>
  <c r="AJ7" i="3"/>
  <c r="K7" i="3"/>
  <c r="AJ8" i="3"/>
  <c r="K8" i="3"/>
  <c r="F14" i="3"/>
  <c r="AK2" i="3"/>
  <c r="D14" i="3"/>
  <c r="AM3" i="3"/>
  <c r="AC14" i="3"/>
  <c r="AL3" i="3"/>
  <c r="AE14" i="3"/>
  <c r="K9" i="3"/>
  <c r="AJ9" i="3"/>
  <c r="AI13" i="3"/>
  <c r="AL4" i="3"/>
  <c r="AI4" i="3"/>
  <c r="AA4" i="3"/>
  <c r="AM8" i="3"/>
  <c r="S9" i="3"/>
  <c r="AN8" i="3"/>
  <c r="AO6" i="3"/>
  <c r="AI3" i="3"/>
  <c r="AI9" i="3"/>
  <c r="AK8" i="3"/>
  <c r="S10" i="3"/>
  <c r="AN6" i="3"/>
  <c r="AN7" i="3"/>
  <c r="AP4" i="3"/>
  <c r="AA3" i="3"/>
  <c r="Y14" i="3"/>
  <c r="X14" i="3"/>
  <c r="W14" i="3"/>
  <c r="V14" i="3"/>
  <c r="U14" i="3"/>
  <c r="R14" i="3"/>
  <c r="Q14" i="3"/>
  <c r="P14" i="3"/>
  <c r="O14" i="3"/>
  <c r="N14" i="3"/>
  <c r="M14" i="3"/>
  <c r="AI11" i="3"/>
  <c r="AL12" i="3"/>
  <c r="AN12" i="3"/>
  <c r="AA11" i="3"/>
  <c r="AP10" i="3"/>
  <c r="AP9" i="3"/>
  <c r="AA9" i="3"/>
  <c r="AN9" i="3"/>
  <c r="AO8" i="3"/>
  <c r="AM7" i="3"/>
  <c r="AI5" i="3"/>
  <c r="AK5" i="3"/>
  <c r="S13" i="3"/>
  <c r="AL11" i="3"/>
  <c r="AK7" i="3"/>
  <c r="AO4" i="3"/>
  <c r="S8" i="3"/>
  <c r="AO5" i="3"/>
  <c r="AM6" i="3"/>
  <c r="AP12" i="3"/>
  <c r="AI12" i="3"/>
  <c r="AK11" i="3"/>
  <c r="AA7" i="3"/>
  <c r="AM5" i="3"/>
  <c r="S6" i="3"/>
  <c r="S5" i="3"/>
  <c r="C17" i="1"/>
  <c r="AN10" i="3"/>
  <c r="AK9" i="3"/>
  <c r="AM11" i="3"/>
  <c r="AK6" i="3"/>
  <c r="S4" i="3"/>
  <c r="S12" i="3"/>
  <c r="AO7" i="3"/>
  <c r="AI8" i="3"/>
  <c r="AA13" i="3"/>
  <c r="AI10" i="3"/>
  <c r="AL7" i="3"/>
  <c r="AL9" i="3"/>
  <c r="AK13" i="3"/>
  <c r="AP11" i="3"/>
  <c r="S7" i="3"/>
  <c r="AA10" i="3"/>
  <c r="AN4" i="3"/>
  <c r="AA6" i="3"/>
  <c r="AP6" i="3"/>
  <c r="AK10" i="3"/>
  <c r="AM13" i="3"/>
  <c r="AQ15" i="4"/>
  <c r="AN17" i="4" s="1"/>
  <c r="E14" i="3"/>
  <c r="AJ2" i="3"/>
  <c r="AD14" i="3"/>
  <c r="AH14" i="3"/>
  <c r="AF14" i="3"/>
  <c r="AN3" i="3"/>
  <c r="AG14" i="3"/>
  <c r="AI6" i="3"/>
  <c r="C36" i="4"/>
  <c r="AK12" i="3"/>
  <c r="S11" i="3"/>
  <c r="AA12" i="3"/>
  <c r="L14" i="12"/>
  <c r="M14" i="12" s="1"/>
  <c r="AL2" i="3"/>
  <c r="K2" i="3"/>
  <c r="Z14" i="3"/>
  <c r="AK3" i="3"/>
  <c r="AO3" i="3"/>
  <c r="S3" i="3"/>
  <c r="AL8" i="3"/>
  <c r="AJ14" i="3" l="1"/>
  <c r="AQ2" i="3"/>
  <c r="AR2" i="3" s="1"/>
  <c r="AI14" i="3"/>
  <c r="AQ3" i="3"/>
  <c r="AR3" i="3" s="1"/>
  <c r="AQ5" i="3"/>
  <c r="AR5" i="3" s="1"/>
  <c r="AQ6" i="3"/>
  <c r="AR6" i="3" s="1"/>
  <c r="AQ11" i="3"/>
  <c r="AR11" i="3" s="1"/>
  <c r="AA14" i="3"/>
  <c r="S14" i="3"/>
  <c r="AO14" i="3"/>
  <c r="AM14" i="3"/>
  <c r="AQ10" i="3"/>
  <c r="AR10" i="3" s="1"/>
  <c r="AQ4" i="3"/>
  <c r="AR4" i="3" s="1"/>
  <c r="AK14" i="3"/>
  <c r="AQ13" i="3"/>
  <c r="AR13" i="3" s="1"/>
  <c r="AQ9" i="3"/>
  <c r="AR9" i="3" s="1"/>
  <c r="AL14" i="3"/>
  <c r="K14" i="3"/>
  <c r="AQ7" i="3"/>
  <c r="AR7" i="3" s="1"/>
  <c r="AQ12" i="3"/>
  <c r="AR12" i="3" s="1"/>
  <c r="AP14" i="3"/>
  <c r="AN14" i="3"/>
  <c r="AQ8" i="3"/>
  <c r="AR8" i="3" s="1"/>
  <c r="AQ14" i="3" l="1"/>
  <c r="AR14" i="3"/>
  <c r="AR15" i="3" s="1"/>
</calcChain>
</file>

<file path=xl/sharedStrings.xml><?xml version="1.0" encoding="utf-8"?>
<sst xmlns="http://schemas.openxmlformats.org/spreadsheetml/2006/main" count="11918" uniqueCount="5477">
  <si>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</si>
  <si>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</si>
  <si>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</si>
  <si>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</si>
  <si>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</si>
  <si>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</si>
  <si>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</si>
  <si>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</si>
  <si>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</si>
  <si>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</si>
  <si>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</si>
  <si>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</si>
  <si>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</si>
  <si>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</si>
  <si>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</si>
  <si>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</si>
  <si>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</si>
  <si>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</si>
  <si>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</si>
  <si>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</si>
  <si>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</si>
  <si>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</si>
  <si>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</si>
  <si>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</si>
  <si>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</si>
  <si>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</si>
  <si>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</si>
  <si>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</si>
  <si>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</si>
  <si>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</si>
  <si>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</si>
  <si>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</si>
  <si>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</si>
  <si>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</si>
  <si>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</si>
  <si>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</si>
  <si>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</si>
  <si>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</si>
  <si>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</si>
  <si>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</si>
  <si>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</si>
  <si>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</si>
  <si>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</si>
  <si>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</si>
  <si>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</si>
  <si>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</si>
  <si>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</si>
  <si>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</si>
  <si>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</si>
  <si>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</si>
  <si>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</si>
  <si>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</si>
  <si>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</si>
  <si>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</si>
  <si>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</si>
  <si>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</si>
  <si>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</si>
  <si>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</si>
  <si>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</si>
  <si>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</si>
  <si>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</si>
  <si>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</si>
  <si>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</si>
  <si>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</si>
  <si>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</si>
  <si>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</si>
  <si>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</si>
  <si>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</si>
  <si>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</si>
  <si>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</si>
  <si>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</si>
  <si>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</si>
  <si>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</si>
  <si>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</si>
  <si>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</si>
  <si>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</si>
  <si>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</si>
  <si>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</si>
  <si>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</si>
  <si>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</si>
  <si>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</si>
  <si>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</si>
  <si>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</si>
  <si>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</si>
  <si>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</si>
  <si>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</si>
  <si>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</si>
  <si>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</si>
  <si>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</si>
  <si>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</si>
  <si>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</si>
  <si>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</si>
  <si>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</si>
  <si>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</si>
  <si>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</si>
  <si>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</si>
  <si>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</si>
  <si>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</si>
  <si>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</si>
  <si>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</si>
  <si>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</si>
  <si>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</si>
  <si>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</si>
  <si>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</si>
  <si>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</si>
  <si>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</si>
  <si>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</si>
  <si>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</si>
  <si>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</si>
  <si>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</si>
  <si>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</si>
  <si>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</si>
  <si>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</si>
  <si>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</si>
  <si>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</si>
  <si>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</si>
  <si>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</si>
  <si>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</si>
  <si>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</si>
  <si>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</si>
  <si>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</si>
  <si>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</si>
  <si>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</si>
  <si>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</si>
  <si>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</si>
  <si>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</si>
  <si>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</si>
  <si>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</si>
  <si>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</si>
  <si>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</si>
  <si>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</si>
  <si>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</si>
  <si>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</si>
  <si>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</si>
  <si>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</si>
  <si>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</si>
  <si>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</si>
  <si>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</si>
  <si>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</si>
  <si>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</si>
  <si>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</si>
  <si>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</si>
  <si>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</si>
  <si>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</si>
  <si>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</si>
  <si>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</si>
  <si>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</si>
  <si>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</si>
  <si>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</si>
  <si>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</si>
  <si>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</si>
  <si>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</si>
  <si>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</si>
  <si>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</si>
  <si>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</si>
  <si>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</si>
  <si>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</si>
  <si>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</si>
  <si>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</si>
  <si>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</si>
  <si>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</si>
  <si>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</si>
  <si>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</si>
  <si>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</si>
  <si>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</si>
  <si>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</si>
  <si>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</si>
  <si>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</si>
  <si>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</si>
  <si>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</si>
  <si>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</si>
  <si>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</si>
  <si>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</si>
  <si>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</si>
  <si>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</si>
  <si>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</si>
  <si>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</si>
  <si>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</si>
  <si>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</si>
  <si>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</si>
  <si>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</si>
  <si>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</si>
  <si>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</si>
  <si>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</si>
  <si>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</si>
  <si>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</si>
  <si>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</si>
  <si>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</si>
  <si>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</si>
  <si>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</si>
  <si>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</si>
  <si>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</si>
  <si>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</si>
  <si>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</si>
  <si>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</si>
  <si>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</si>
  <si>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</si>
  <si>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</si>
  <si>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</si>
  <si>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</si>
  <si>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</si>
  <si>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</si>
  <si>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</si>
  <si>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</si>
  <si>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</si>
  <si>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</si>
  <si>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</si>
  <si>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</si>
  <si>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</si>
  <si>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</si>
  <si>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</si>
  <si>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</si>
  <si>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</si>
  <si>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</si>
  <si>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</si>
  <si>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</si>
  <si>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</si>
  <si>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</si>
  <si>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</si>
  <si>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</si>
  <si>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</si>
  <si>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</si>
  <si>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</si>
  <si>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</si>
  <si>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</si>
  <si>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</si>
  <si>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</si>
  <si>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</si>
  <si>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</si>
  <si>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</si>
  <si>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</si>
  <si>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</si>
  <si>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</si>
  <si>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</si>
  <si>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</si>
  <si>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</si>
  <si>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</si>
  <si>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</si>
  <si>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</si>
  <si>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</si>
  <si>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</si>
  <si>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</si>
  <si>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</si>
  <si>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</si>
  <si>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</si>
  <si>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</si>
  <si>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</si>
  <si>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</si>
  <si>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</si>
  <si>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</si>
  <si>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</si>
  <si>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</si>
  <si>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</si>
  <si>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</si>
  <si>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</si>
  <si>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</si>
  <si>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</si>
  <si>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</si>
  <si>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</si>
  <si>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</si>
  <si>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</si>
  <si>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</si>
  <si>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</si>
  <si>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</si>
  <si>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</si>
  <si>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</si>
  <si>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</si>
  <si>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</si>
  <si>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</si>
  <si>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</si>
  <si>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</si>
  <si>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</si>
  <si>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</si>
  <si>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</si>
  <si>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</si>
  <si>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</si>
  <si>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</si>
  <si>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</si>
  <si>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</si>
  <si>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</si>
  <si>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</si>
  <si>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</si>
  <si>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</si>
  <si>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</si>
  <si>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</si>
  <si>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</si>
  <si>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</si>
  <si>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</si>
  <si>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</si>
  <si>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</si>
  <si>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</si>
  <si>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</si>
  <si>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</si>
  <si>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</si>
  <si>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</si>
  <si>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</si>
  <si>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</si>
  <si>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</si>
  <si>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</si>
  <si>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</si>
  <si>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</si>
  <si>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</si>
  <si>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</si>
  <si>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</si>
  <si>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</si>
  <si>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</si>
  <si>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</si>
  <si>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</si>
  <si>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</si>
  <si>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</si>
  <si>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</si>
  <si>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</si>
  <si>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</si>
  <si>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</si>
  <si>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</si>
  <si>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</si>
  <si>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</si>
  <si>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</si>
  <si>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</si>
  <si>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</si>
  <si>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</si>
  <si>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</si>
  <si>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</si>
  <si>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</si>
  <si>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</si>
  <si>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</si>
  <si>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</si>
  <si>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</si>
  <si>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</si>
  <si>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</si>
  <si>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</si>
  <si>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</si>
  <si>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</si>
  <si>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</si>
  <si>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</si>
  <si>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</si>
  <si>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</si>
  <si>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</si>
  <si>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</si>
  <si>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</si>
  <si>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</si>
  <si>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</si>
  <si>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</si>
  <si>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</si>
  <si>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</si>
  <si>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</si>
  <si>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</si>
  <si>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</si>
  <si>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</si>
  <si>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</si>
  <si>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</si>
  <si>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</si>
  <si>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</si>
  <si>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</si>
  <si>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</si>
  <si>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</si>
  <si>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</si>
  <si>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</si>
  <si>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</si>
  <si>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</si>
  <si>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</si>
  <si>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</si>
  <si>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</si>
  <si>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</si>
  <si>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</si>
  <si>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</si>
  <si>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</si>
  <si>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</si>
  <si>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</si>
  <si>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</si>
  <si>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</si>
  <si>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</si>
  <si>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</si>
  <si>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</si>
  <si>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</si>
  <si>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</si>
  <si>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</si>
  <si>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</si>
  <si>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</si>
  <si>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</si>
  <si>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</si>
  <si>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</si>
  <si>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</si>
  <si>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</si>
  <si>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</si>
  <si>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</si>
  <si>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</si>
  <si>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</si>
  <si>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</si>
  <si>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</si>
  <si>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</si>
  <si>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</si>
  <si>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</si>
  <si>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</si>
  <si>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</si>
  <si>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</si>
  <si>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</si>
  <si>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</si>
  <si>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</si>
  <si>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</si>
  <si>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</si>
  <si>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</si>
  <si>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</si>
  <si>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</si>
  <si>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</si>
  <si>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</si>
  <si>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</si>
  <si>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</si>
  <si>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</si>
  <si>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</si>
  <si>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</si>
  <si>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</si>
  <si>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</si>
  <si>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</si>
  <si>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</si>
  <si>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</si>
  <si>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</si>
  <si>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</si>
  <si>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</si>
  <si>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</si>
  <si>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</si>
  <si>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</si>
  <si>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</si>
  <si>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</si>
  <si>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</si>
  <si>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</si>
  <si>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</si>
  <si>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</si>
  <si>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</si>
  <si>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</si>
  <si>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</si>
  <si>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</si>
  <si>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</si>
  <si>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</si>
  <si>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</si>
  <si>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</si>
  <si>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</si>
  <si>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</si>
  <si>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</si>
  <si>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</si>
  <si>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</si>
  <si>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</si>
  <si>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</si>
  <si>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</si>
  <si>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</si>
  <si>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</si>
  <si>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</si>
  <si>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</si>
  <si>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</si>
  <si>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</si>
  <si>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</si>
  <si>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</si>
  <si>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</si>
  <si>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</si>
  <si>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</si>
  <si>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</si>
  <si>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</si>
  <si>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</si>
  <si>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</si>
  <si>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</si>
  <si>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</si>
  <si>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</si>
  <si>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</si>
  <si>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</si>
  <si>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</si>
  <si>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</si>
  <si>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</si>
  <si>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</si>
  <si>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</si>
  <si>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</si>
  <si>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</si>
  <si>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</si>
  <si>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</si>
  <si>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</si>
  <si>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</si>
  <si>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</si>
  <si>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</si>
  <si>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</si>
  <si>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</si>
  <si>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</si>
  <si>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</si>
  <si>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</si>
  <si>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</si>
  <si>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</si>
  <si>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</si>
  <si>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</si>
  <si>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</si>
  <si>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</si>
  <si>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</si>
  <si>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</si>
  <si>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</si>
  <si>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</si>
  <si>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</si>
  <si>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</si>
  <si>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</si>
  <si>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</si>
  <si>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</si>
  <si>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</si>
  <si>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</si>
  <si>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</si>
  <si>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</si>
  <si>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</si>
  <si>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</si>
  <si>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</si>
  <si>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</si>
  <si>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</si>
  <si>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</si>
  <si>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</si>
  <si>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</si>
  <si>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</si>
  <si>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</si>
  <si>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</si>
  <si>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</si>
  <si>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</si>
  <si>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</si>
  <si>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</si>
  <si>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</si>
  <si>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</si>
  <si>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</si>
  <si>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</si>
  <si>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</si>
  <si>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</si>
  <si>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</si>
  <si>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</si>
  <si>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</si>
  <si>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</si>
  <si>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</si>
  <si>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</si>
  <si>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</si>
  <si>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</si>
  <si>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</si>
  <si>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</si>
  <si>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</si>
  <si>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</si>
  <si>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</si>
  <si>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</si>
  <si>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</si>
  <si>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</si>
  <si>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</si>
  <si>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</si>
  <si>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</si>
  <si>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</si>
  <si>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</si>
  <si>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</si>
  <si>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</si>
  <si>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</si>
  <si>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</si>
  <si>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</si>
  <si>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</si>
  <si>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</si>
  <si>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</si>
  <si>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</si>
  <si>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</si>
  <si>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</si>
  <si>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</si>
  <si>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</si>
  <si>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</si>
  <si>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</si>
  <si>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</si>
  <si>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</si>
  <si>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</si>
  <si>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</si>
  <si>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</si>
  <si>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</si>
  <si>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</si>
  <si>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</si>
  <si>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</si>
  <si>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</si>
  <si>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</si>
  <si>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</si>
  <si>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</si>
  <si>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</si>
  <si>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</si>
  <si>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</si>
  <si>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</si>
  <si>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</si>
  <si>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</si>
  <si>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</si>
  <si>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</si>
  <si>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</si>
  <si>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</si>
  <si>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</si>
  <si>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</si>
  <si>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</si>
  <si>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</si>
  <si>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</si>
  <si>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</si>
  <si>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</si>
  <si>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</si>
  <si>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</si>
  <si>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</si>
  <si>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</si>
  <si>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</si>
  <si>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</si>
  <si>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</si>
  <si>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</si>
  <si>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</si>
  <si>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</si>
  <si>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</si>
  <si>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</si>
  <si>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</si>
  <si>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</si>
  <si>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</si>
  <si>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</si>
  <si>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</si>
  <si>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</si>
  <si>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</si>
  <si>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</si>
  <si>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</si>
  <si>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</si>
  <si>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</si>
  <si>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</si>
  <si>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</si>
  <si>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</si>
  <si>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</si>
  <si>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</si>
  <si>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</si>
  <si>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</si>
  <si>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</si>
  <si>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</si>
  <si>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</si>
  <si>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</si>
  <si>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</si>
  <si>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</si>
  <si>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</si>
  <si>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</si>
  <si>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</si>
  <si>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</si>
  <si>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</si>
  <si>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</si>
  <si>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</si>
  <si>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</si>
  <si>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</si>
  <si>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</si>
  <si>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</si>
  <si>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</si>
  <si>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</si>
  <si>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</si>
  <si>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</si>
  <si>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</si>
  <si>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</si>
  <si>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</si>
  <si>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</si>
  <si>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</si>
  <si>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</si>
  <si>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</si>
  <si>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</si>
  <si>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</si>
  <si>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</si>
  <si>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</si>
  <si>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</si>
  <si>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</si>
  <si>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</si>
  <si>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</si>
  <si>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</si>
  <si>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</si>
  <si>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</si>
  <si>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</si>
  <si>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</si>
  <si>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</si>
  <si>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</si>
  <si>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</si>
  <si>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</si>
  <si>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</si>
  <si>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</si>
  <si>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</si>
  <si>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</si>
  <si>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</si>
  <si>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</si>
  <si>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</si>
  <si>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</si>
  <si>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</si>
  <si>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</si>
  <si>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</si>
  <si>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</si>
  <si>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</si>
  <si>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</si>
  <si>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</si>
  <si>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</si>
  <si>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</si>
  <si>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</si>
  <si>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</si>
  <si>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</si>
  <si>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</si>
  <si>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</si>
  <si>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</si>
  <si>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</si>
  <si>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</si>
  <si>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</si>
  <si>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</si>
  <si>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</si>
  <si>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</si>
  <si>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</si>
  <si>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</si>
  <si>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</si>
  <si>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</si>
  <si>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</si>
  <si>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</si>
  <si>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</si>
  <si>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</si>
  <si>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</si>
  <si>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</si>
  <si>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</si>
  <si>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</si>
  <si>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</si>
  <si>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</si>
  <si>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</si>
  <si>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</si>
  <si>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</si>
  <si>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</si>
  <si>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</si>
  <si>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</si>
  <si>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</si>
  <si>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</si>
  <si>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</si>
  <si>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</si>
  <si>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</si>
  <si>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</si>
  <si>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</si>
  <si>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</si>
  <si>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</si>
  <si>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</si>
  <si>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</si>
  <si>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</si>
  <si>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</si>
  <si>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</si>
  <si>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</si>
  <si>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</si>
  <si>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</si>
  <si>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</si>
  <si>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</si>
  <si>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</si>
  <si>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</si>
  <si>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</si>
  <si>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</si>
  <si>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</si>
  <si>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</si>
  <si>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</si>
  <si>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</si>
  <si>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</si>
  <si>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</si>
  <si>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</si>
  <si>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</si>
  <si>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</si>
  <si>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</si>
  <si>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</si>
  <si>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</si>
  <si>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</si>
  <si>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</si>
  <si>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</si>
  <si>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</si>
  <si>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</si>
  <si>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</si>
  <si>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</si>
  <si>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</si>
  <si>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</si>
  <si>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</si>
  <si>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</si>
  <si>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</si>
  <si>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</si>
  <si>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</si>
  <si>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</si>
  <si>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</si>
  <si>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</si>
  <si>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</si>
  <si>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</si>
  <si>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</si>
  <si>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</si>
  <si>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</si>
  <si>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</si>
  <si>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</si>
  <si>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</si>
  <si>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</si>
  <si>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</si>
  <si>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</si>
  <si>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</si>
  <si>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</si>
  <si>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</si>
  <si>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</si>
  <si>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</si>
  <si>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</si>
  <si>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</si>
  <si>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</si>
  <si>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</si>
  <si>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</si>
  <si>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</si>
  <si>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</si>
  <si>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</si>
  <si>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</si>
  <si>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</si>
  <si>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</si>
  <si>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</si>
  <si>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</si>
  <si>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</si>
  <si>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</si>
  <si>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</si>
  <si>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</si>
  <si>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</si>
  <si>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</si>
  <si>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</si>
  <si>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</si>
  <si>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</si>
  <si>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</si>
  <si>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</si>
  <si>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</si>
  <si>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</si>
  <si>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</si>
  <si>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</si>
  <si>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</si>
  <si>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</si>
  <si>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</si>
  <si>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</si>
  <si>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</si>
  <si>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</si>
  <si>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</si>
  <si>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</si>
  <si>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</si>
  <si>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</si>
  <si>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</si>
  <si>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</si>
  <si>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</si>
  <si>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</si>
  <si>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</si>
  <si>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</si>
  <si>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</si>
  <si>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</si>
  <si>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</si>
  <si>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</si>
  <si>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</si>
  <si>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</si>
  <si>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</si>
  <si>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</si>
  <si>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</si>
  <si>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</si>
  <si>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</si>
  <si>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</si>
  <si>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</si>
  <si>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</si>
  <si>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</si>
  <si>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</si>
  <si>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</si>
  <si>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</si>
  <si>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</si>
  <si>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</si>
  <si>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</si>
  <si>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</si>
  <si>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</si>
  <si>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</si>
  <si>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</si>
  <si>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</si>
  <si>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</si>
  <si>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</si>
  <si>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</si>
  <si>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</si>
  <si>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</si>
  <si>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</si>
  <si>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</si>
  <si>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</si>
  <si>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</si>
  <si>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</si>
  <si>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</si>
  <si>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</si>
  <si>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</si>
  <si>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</si>
  <si>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</si>
  <si>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</si>
  <si>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</si>
  <si>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</si>
  <si>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</si>
  <si>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</si>
  <si>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</si>
  <si>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</si>
  <si>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</si>
  <si>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</si>
  <si>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</si>
  <si>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</si>
  <si>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</si>
  <si>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</si>
  <si>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</si>
  <si>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</si>
  <si>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</si>
  <si>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</si>
  <si>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</si>
  <si>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</si>
  <si>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</si>
  <si>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</si>
  <si>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</si>
  <si>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</si>
  <si>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</si>
  <si>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</si>
  <si>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</si>
  <si>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</si>
  <si>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</si>
  <si>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</si>
  <si>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</si>
  <si>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</si>
  <si>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</si>
  <si>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</si>
  <si>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</si>
  <si>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</si>
  <si>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</si>
  <si>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</si>
  <si>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</si>
  <si>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</si>
  <si>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</si>
  <si>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</si>
  <si>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</si>
  <si>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</si>
  <si>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</si>
  <si>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</si>
  <si>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</si>
  <si>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</si>
  <si>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</si>
  <si>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</si>
  <si>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</si>
  <si>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</si>
  <si>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</si>
  <si>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</si>
  <si>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</si>
  <si>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</si>
  <si>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</si>
  <si>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</si>
  <si>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</si>
  <si>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</si>
  <si>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</si>
  <si>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</si>
  <si>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</si>
  <si>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</si>
  <si>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</si>
  <si>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</si>
  <si>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</si>
  <si>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</si>
  <si>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</si>
  <si>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</si>
  <si>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</si>
  <si>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</si>
  <si>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</si>
  <si>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</si>
  <si>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</si>
  <si>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</si>
  <si>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</si>
  <si>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</si>
  <si>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</si>
  <si>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</si>
  <si>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</si>
  <si>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</si>
  <si>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</si>
  <si>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</si>
  <si>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</si>
  <si>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</si>
  <si>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</si>
  <si>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</si>
  <si>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</si>
  <si>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</si>
  <si>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</si>
  <si>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</si>
  <si>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</si>
  <si>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</si>
  <si>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</si>
  <si>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</si>
  <si>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</si>
  <si>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</si>
  <si>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</si>
  <si>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</si>
  <si>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</si>
  <si>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</si>
  <si>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</si>
  <si>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</si>
  <si>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</si>
  <si>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</si>
  <si>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</si>
  <si>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</si>
  <si>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</si>
  <si>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</si>
  <si>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</si>
  <si>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</si>
  <si>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</si>
  <si>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</si>
  <si>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</si>
  <si>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</si>
  <si>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</si>
  <si>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</si>
  <si>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</si>
  <si>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</si>
  <si>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</si>
  <si>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</si>
  <si>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</si>
  <si>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</si>
  <si>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</si>
  <si>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</si>
  <si>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</si>
  <si>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</si>
  <si>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</si>
  <si>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</si>
  <si>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</si>
  <si>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</si>
  <si>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</si>
  <si>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</si>
  <si>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</si>
  <si>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</si>
  <si>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</si>
  <si>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</si>
  <si>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</si>
  <si>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</si>
  <si>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</si>
  <si>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</si>
  <si>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</si>
  <si>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</si>
  <si>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</si>
  <si>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</si>
  <si>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</si>
  <si>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</si>
  <si>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</si>
  <si>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</si>
  <si>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</si>
  <si>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</si>
  <si>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</si>
  <si>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</si>
  <si>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</si>
  <si>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</si>
  <si>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</si>
  <si>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</si>
  <si>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</si>
  <si>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</si>
  <si>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</si>
  <si>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</si>
  <si>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</si>
  <si>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</si>
  <si>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</si>
  <si>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</si>
  <si>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</si>
  <si>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</si>
  <si>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</si>
  <si>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</si>
  <si>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</si>
  <si>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</si>
  <si>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</si>
  <si>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</si>
  <si>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</si>
  <si>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</si>
  <si>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</si>
  <si>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</si>
  <si>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</si>
  <si>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</si>
  <si>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</si>
  <si>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</si>
  <si>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</si>
  <si>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</si>
  <si>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</si>
  <si>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</si>
  <si>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</si>
  <si>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</si>
  <si>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</si>
  <si>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</si>
  <si>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</si>
  <si>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</si>
  <si>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</si>
  <si>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</si>
  <si>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</si>
  <si>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</si>
  <si>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</si>
  <si>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</si>
  <si>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</si>
  <si>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</si>
  <si>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</si>
  <si>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</si>
  <si>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</si>
  <si>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</si>
  <si>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</si>
  <si>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</si>
  <si>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</si>
  <si>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</si>
  <si>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</si>
  <si>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</si>
  <si>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</si>
  <si>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</si>
  <si>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</si>
  <si>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</si>
  <si>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</si>
  <si>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</si>
  <si>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</si>
  <si>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</si>
  <si>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</si>
  <si>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</si>
  <si>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</si>
  <si>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</si>
  <si>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</si>
  <si>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</si>
  <si>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</si>
  <si>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</si>
  <si>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</si>
  <si>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</si>
  <si>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</si>
  <si>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</si>
  <si>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</si>
  <si>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</si>
  <si>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</si>
  <si>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</si>
  <si>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</si>
  <si>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</si>
  <si>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</si>
  <si>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</si>
  <si>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</si>
  <si>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</si>
  <si>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</si>
  <si>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</si>
  <si>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</si>
  <si>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</si>
  <si>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</si>
  <si>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</si>
  <si>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</si>
  <si>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</si>
  <si>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</si>
  <si>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</si>
  <si>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</si>
  <si>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</si>
  <si>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</si>
  <si>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</si>
  <si>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</si>
  <si>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</si>
  <si>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</si>
  <si>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</si>
  <si>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</si>
  <si>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</si>
  <si>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</si>
  <si>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</si>
  <si>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</si>
  <si>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</si>
  <si>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</si>
  <si>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</si>
  <si>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</si>
  <si>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</si>
  <si>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</si>
  <si>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</si>
  <si>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</si>
  <si>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</si>
  <si>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</si>
  <si>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</si>
  <si>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</si>
  <si>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</si>
  <si>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</si>
  <si>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</si>
  <si>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</si>
  <si>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</si>
  <si>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</si>
  <si>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</si>
  <si>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</si>
  <si>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</si>
  <si>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</si>
  <si>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</si>
  <si>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</si>
  <si>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</si>
  <si>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</si>
  <si>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</si>
  <si>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</si>
  <si>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</si>
  <si>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</si>
  <si>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</si>
  <si>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</si>
  <si>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</si>
  <si>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</si>
  <si>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</si>
  <si>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</si>
  <si>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</si>
  <si>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</si>
  <si>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</si>
  <si>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</si>
  <si>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</si>
  <si>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</si>
  <si>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</si>
  <si>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</si>
  <si>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</si>
  <si>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</si>
  <si>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</si>
  <si>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</si>
  <si>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</si>
  <si>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</si>
  <si>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</si>
  <si>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</si>
  <si>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</si>
  <si>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</si>
  <si>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</si>
  <si>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</si>
  <si>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</si>
  <si>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</si>
  <si>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</si>
  <si>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</si>
  <si>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</si>
  <si>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</si>
  <si>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</si>
  <si>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</si>
  <si>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</si>
  <si>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</si>
  <si>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</si>
  <si>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</si>
  <si>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</si>
  <si>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</si>
  <si>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</si>
  <si>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</si>
  <si>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</si>
  <si>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</si>
  <si>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</si>
  <si>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</si>
  <si>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</si>
  <si>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</si>
  <si>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</si>
  <si>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</si>
  <si>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</si>
  <si>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</si>
  <si>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</si>
  <si>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</si>
  <si>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</si>
  <si>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</si>
  <si>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</si>
  <si>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</si>
  <si>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</si>
  <si>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</si>
  <si>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</si>
  <si>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</si>
  <si>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</si>
  <si>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</si>
  <si>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</si>
  <si>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</si>
  <si>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</si>
  <si>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</si>
  <si>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</si>
  <si>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</si>
  <si>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</si>
  <si>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</si>
  <si>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</si>
  <si>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</si>
  <si>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</si>
  <si>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</si>
  <si>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</si>
  <si>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</si>
  <si>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</si>
  <si>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</si>
  <si>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</si>
  <si>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</si>
  <si>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</si>
  <si>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</si>
  <si>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</si>
  <si>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</si>
  <si>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</si>
  <si>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</si>
  <si>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</si>
  <si>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</si>
  <si>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</si>
  <si>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</si>
  <si>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</si>
  <si>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</si>
  <si>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</si>
  <si>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</si>
  <si>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</si>
  <si>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</si>
  <si>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</si>
  <si>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</si>
  <si>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</si>
  <si>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</si>
  <si>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</si>
  <si>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</si>
  <si>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</si>
  <si>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</si>
  <si>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</si>
  <si>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</si>
  <si>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</si>
  <si>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</si>
  <si>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</si>
  <si>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</si>
  <si>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</si>
  <si>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</si>
  <si>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</si>
  <si>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</si>
  <si>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</si>
  <si>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</si>
  <si>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</si>
  <si>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</si>
  <si>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</si>
  <si>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</si>
  <si>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</si>
  <si>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</si>
  <si>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</si>
  <si>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</si>
  <si>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</si>
  <si>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</si>
  <si>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</si>
  <si>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</si>
  <si>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</si>
  <si>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</si>
  <si>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</si>
  <si>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</si>
  <si>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</si>
  <si>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</si>
  <si>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</si>
  <si>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</si>
  <si>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</si>
  <si>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</si>
  <si>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</si>
  <si>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</si>
  <si>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</si>
  <si>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</si>
  <si>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</si>
  <si>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</si>
  <si>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</si>
  <si>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</si>
  <si>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</si>
  <si>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</si>
  <si>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</si>
  <si>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</si>
  <si>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</si>
  <si>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</si>
  <si>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</si>
  <si>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</si>
  <si>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</si>
  <si>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</si>
  <si>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</si>
  <si>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</si>
  <si>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</si>
  <si>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</si>
  <si>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</si>
  <si>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</si>
  <si>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</si>
  <si>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</si>
  <si>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</si>
  <si>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</si>
  <si>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</si>
  <si>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</si>
  <si>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</si>
  <si>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</si>
  <si>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</si>
  <si>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</si>
  <si>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</si>
  <si>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</si>
  <si>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</si>
  <si>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</si>
  <si>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</si>
  <si>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</si>
  <si>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</si>
  <si>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</si>
  <si>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</si>
  <si>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</si>
  <si>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</si>
  <si>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</si>
  <si>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</si>
  <si>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</si>
  <si>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</si>
  <si>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</si>
  <si>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</si>
  <si>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</si>
  <si>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</si>
  <si>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</si>
  <si>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</si>
  <si>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</si>
  <si>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</si>
  <si>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</si>
  <si>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</si>
  <si>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</si>
  <si>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</si>
  <si>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</si>
  <si>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</si>
  <si>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</si>
  <si>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</si>
  <si>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</si>
  <si>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</si>
  <si>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</si>
  <si>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</si>
  <si>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</si>
  <si>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</si>
  <si>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</si>
  <si>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</si>
  <si>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</si>
  <si>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</si>
  <si>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</si>
  <si>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</si>
  <si>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</si>
  <si>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</si>
  <si>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</si>
  <si>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</si>
  <si>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</si>
  <si>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</si>
  <si>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</si>
  <si>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</si>
  <si>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</si>
  <si>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</si>
  <si>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</si>
  <si>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</si>
  <si>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</si>
  <si>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</si>
  <si>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</si>
  <si>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</si>
  <si>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</si>
  <si>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</si>
  <si>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</si>
  <si>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</si>
  <si>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</si>
  <si>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</si>
  <si>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</si>
  <si>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</si>
  <si>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</si>
  <si>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</si>
  <si>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</si>
  <si>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</si>
  <si>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</si>
  <si>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</si>
  <si>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</si>
  <si>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</si>
  <si>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</si>
  <si>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</si>
  <si>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</si>
  <si>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</si>
  <si>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</si>
  <si>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</si>
  <si>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</si>
  <si>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</si>
  <si>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</si>
  <si>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</si>
  <si>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</si>
  <si>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</si>
  <si>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</si>
  <si>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</si>
  <si>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</si>
  <si>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</si>
  <si>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</si>
  <si>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</si>
  <si>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</si>
  <si>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</si>
  <si>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</si>
  <si>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</si>
  <si>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</si>
  <si>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</si>
  <si>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</si>
  <si>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</si>
  <si>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</si>
  <si>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</si>
  <si>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</si>
  <si>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</si>
  <si>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</si>
  <si>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</si>
  <si>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</si>
  <si>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</si>
  <si>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</si>
  <si>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</si>
  <si>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</si>
  <si>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</si>
  <si>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</si>
  <si>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</si>
  <si>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</si>
  <si>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</si>
  <si>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</si>
  <si>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</si>
  <si>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</si>
  <si>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</si>
  <si>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</si>
  <si>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</si>
  <si>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</si>
  <si>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</si>
  <si>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</si>
  <si>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</si>
  <si>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</si>
  <si>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</si>
  <si>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</si>
  <si>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</si>
  <si>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</si>
  <si>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</si>
  <si>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</si>
  <si>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</si>
  <si>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</si>
  <si>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</si>
  <si>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</si>
  <si>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</si>
  <si>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</si>
  <si>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</si>
  <si>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</si>
  <si>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</si>
  <si>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</si>
  <si>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</si>
  <si>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</si>
  <si>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</si>
  <si>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</si>
  <si>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</si>
  <si>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</si>
  <si>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</si>
  <si>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</si>
  <si>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</si>
  <si>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</si>
  <si>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</si>
  <si>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</si>
  <si>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</si>
  <si>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</si>
  <si>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</si>
  <si>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</si>
  <si>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</si>
  <si>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</si>
  <si>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</si>
  <si>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</si>
  <si>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</si>
  <si>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</si>
  <si>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</si>
  <si>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</si>
  <si>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</si>
  <si>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</si>
  <si>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</si>
  <si>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</si>
  <si>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</si>
  <si>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</si>
  <si>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</si>
  <si>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</si>
  <si>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</si>
  <si>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</si>
  <si>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</si>
  <si>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</si>
  <si>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</si>
  <si>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</si>
  <si>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</si>
  <si>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</si>
  <si>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</si>
  <si>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</si>
  <si>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</si>
  <si>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</si>
  <si>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</si>
  <si>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</si>
  <si>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</si>
  <si>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</si>
  <si>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</si>
  <si>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</si>
  <si>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</si>
  <si>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</si>
  <si>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</si>
  <si>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</si>
  <si>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</si>
  <si>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</si>
  <si>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</si>
  <si>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</si>
  <si>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</si>
  <si>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</si>
  <si>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</si>
  <si>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</si>
  <si>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</si>
  <si>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</si>
  <si>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</si>
  <si>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</si>
  <si>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</si>
  <si>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</si>
  <si>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</si>
  <si>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</si>
  <si>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</si>
  <si>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</si>
  <si>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</si>
  <si>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</si>
  <si>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</si>
  <si>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</si>
  <si>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</si>
  <si>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</si>
  <si>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</si>
  <si>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</si>
  <si>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</si>
  <si>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</si>
  <si>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</si>
  <si>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</si>
  <si>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</si>
  <si>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</si>
  <si>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</si>
  <si>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</si>
  <si>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</si>
  <si>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</si>
  <si>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</si>
  <si>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</si>
  <si>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</si>
  <si>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</si>
  <si>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</si>
  <si>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</si>
  <si>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</si>
  <si>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</si>
  <si>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</si>
  <si>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</si>
  <si>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</si>
  <si>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</si>
  <si>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</si>
  <si>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</si>
  <si>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</si>
  <si>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</si>
  <si>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</si>
  <si>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</si>
  <si>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</si>
  <si>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</si>
  <si>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</si>
  <si>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</si>
  <si>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</si>
  <si>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</si>
  <si>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</si>
  <si>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</si>
  <si>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</si>
  <si>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</si>
  <si>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</si>
  <si>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</si>
  <si>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</si>
  <si>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</si>
  <si>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</si>
  <si>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</si>
  <si>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</si>
  <si>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</si>
  <si>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</si>
  <si>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</si>
  <si>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</si>
  <si>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</si>
  <si>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</si>
  <si>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</si>
  <si>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</si>
  <si>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</si>
  <si>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</si>
  <si>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</si>
  <si>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</si>
  <si>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</si>
  <si>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</si>
  <si>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</si>
  <si>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</si>
  <si>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</si>
  <si>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</si>
  <si>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</si>
  <si>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</si>
  <si>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</si>
  <si>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</si>
  <si>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</si>
  <si>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</si>
  <si>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</si>
  <si>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</si>
  <si>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</si>
  <si>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</si>
  <si>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</si>
  <si>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</si>
  <si>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</si>
  <si>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</si>
  <si>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</si>
  <si>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</si>
  <si>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</si>
  <si>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</si>
  <si>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</si>
  <si>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</si>
  <si>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</si>
  <si>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</si>
  <si>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</si>
  <si>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</si>
  <si>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</si>
  <si>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</si>
  <si>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</si>
  <si>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</si>
  <si>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</si>
  <si>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</si>
  <si>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</si>
  <si>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</si>
  <si>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</si>
  <si>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</si>
  <si>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</si>
  <si>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</si>
  <si>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</si>
  <si>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</si>
  <si>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</si>
  <si>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</si>
  <si>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</si>
  <si>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</si>
  <si>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</si>
  <si>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</si>
  <si>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</si>
  <si>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</si>
  <si>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</si>
  <si>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</si>
  <si>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</si>
  <si>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</si>
  <si>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</si>
  <si>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</si>
  <si>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</si>
  <si>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</si>
  <si>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</si>
  <si>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</si>
  <si>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</si>
  <si>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</si>
  <si>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</si>
  <si>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</si>
  <si>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</si>
  <si>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</si>
  <si>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</si>
  <si>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</si>
  <si>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</si>
  <si>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</si>
  <si>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</si>
  <si>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</si>
  <si>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</si>
  <si>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</si>
  <si>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</si>
  <si>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</si>
  <si>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</si>
  <si>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</si>
  <si>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</si>
  <si>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</si>
  <si>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</si>
  <si>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</si>
  <si>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</si>
  <si>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</si>
  <si>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</si>
  <si>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</si>
  <si>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</si>
  <si>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</si>
  <si>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</si>
  <si>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</si>
  <si>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</si>
  <si>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</si>
  <si>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</si>
  <si>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</si>
  <si>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</si>
  <si>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</si>
  <si>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</si>
  <si>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</si>
  <si>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</si>
  <si>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</si>
  <si>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</si>
  <si>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</si>
  <si>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</si>
  <si>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</si>
  <si>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</si>
  <si>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</si>
  <si>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</si>
  <si>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</si>
  <si>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</si>
  <si>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</si>
  <si>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</si>
  <si>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</si>
  <si>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</si>
  <si>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</si>
  <si>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</si>
  <si>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</si>
  <si>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</si>
  <si>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</si>
  <si>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</si>
  <si>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</si>
  <si>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</si>
  <si>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</si>
  <si>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</si>
  <si>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</si>
  <si>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</si>
  <si>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</si>
  <si>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</si>
  <si>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</si>
  <si>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</si>
  <si>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</si>
  <si>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</si>
  <si>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</si>
  <si>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</si>
  <si>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</si>
  <si>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</si>
  <si>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</si>
  <si>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</si>
  <si>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</si>
  <si>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</si>
  <si>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</si>
  <si>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</si>
  <si>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</si>
  <si>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</si>
  <si>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</si>
  <si>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</si>
  <si>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</si>
  <si>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</si>
  <si>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</si>
  <si>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</si>
  <si>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</si>
  <si>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</si>
  <si>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</si>
  <si>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</si>
  <si>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</si>
  <si>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</si>
  <si>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</si>
  <si>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</si>
  <si>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</si>
  <si>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</si>
  <si>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</si>
  <si>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</si>
  <si>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</si>
  <si>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</si>
  <si>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</si>
  <si>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</si>
  <si>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</si>
  <si>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</si>
  <si>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</si>
  <si>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</si>
  <si>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</si>
  <si>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</si>
  <si>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</si>
  <si>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</si>
  <si>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</si>
  <si>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</si>
  <si>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</si>
  <si>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</si>
  <si>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</si>
  <si>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</si>
  <si>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</si>
  <si>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</si>
  <si>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</si>
  <si>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</si>
  <si>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</si>
  <si>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</si>
  <si>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</si>
  <si>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</si>
  <si>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</si>
  <si>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</si>
  <si>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</si>
  <si>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</si>
  <si>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</si>
  <si>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</si>
  <si>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</si>
  <si>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</si>
  <si>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</si>
  <si>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</si>
  <si>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</si>
  <si>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</si>
  <si>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</si>
  <si>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</si>
  <si>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</si>
  <si>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</si>
  <si>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</si>
  <si>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</si>
  <si>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</si>
  <si>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</si>
  <si>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</si>
  <si>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</si>
  <si>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</si>
  <si>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</si>
  <si>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</si>
  <si>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</si>
  <si>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</si>
  <si>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</si>
  <si>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</si>
  <si>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</si>
  <si>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</si>
  <si>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</si>
  <si>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</si>
  <si>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</si>
  <si>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</si>
  <si>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</si>
  <si>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</si>
  <si>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</si>
  <si>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</si>
  <si>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</si>
  <si>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</si>
  <si>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</si>
  <si>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</si>
  <si>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</si>
  <si>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</si>
  <si>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</si>
  <si>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</si>
  <si>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</si>
  <si>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</si>
  <si>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</si>
  <si>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</si>
  <si>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</si>
  <si>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</si>
  <si>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</si>
  <si>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</si>
  <si>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</si>
  <si>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</si>
  <si>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</si>
  <si>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</si>
  <si>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</si>
  <si>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</si>
  <si>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</si>
  <si>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</si>
  <si>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</si>
  <si>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</si>
  <si>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</si>
  <si>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</si>
  <si>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</si>
  <si>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</si>
  <si>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</si>
  <si>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</si>
  <si>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</si>
  <si>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</si>
  <si>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</si>
  <si>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</si>
  <si>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</si>
  <si>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</si>
  <si>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</si>
  <si>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</si>
  <si>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</si>
  <si>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</si>
  <si>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</si>
  <si>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</si>
  <si>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</si>
  <si>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</si>
  <si>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</si>
  <si>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</si>
  <si>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</si>
  <si>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</si>
  <si>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</si>
  <si>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</si>
  <si>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</si>
  <si>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</si>
  <si>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</si>
  <si>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</si>
  <si>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</si>
  <si>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</si>
  <si>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</si>
  <si>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</si>
  <si>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</si>
  <si>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</si>
  <si>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</si>
  <si>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</si>
  <si>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</si>
  <si>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</si>
  <si>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</si>
  <si>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</si>
  <si>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</si>
  <si>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</si>
  <si>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</si>
  <si>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</si>
  <si>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</si>
  <si>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</si>
  <si>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</si>
  <si>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</si>
  <si>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</si>
  <si>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</si>
  <si>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</si>
  <si>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</si>
  <si>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</si>
  <si>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</si>
  <si>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</si>
  <si>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</si>
  <si>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</si>
  <si>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</si>
  <si>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</si>
  <si>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</si>
  <si>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</si>
  <si>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</si>
  <si>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</si>
  <si>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</si>
  <si>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</si>
  <si>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</si>
  <si>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</si>
  <si>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</si>
  <si>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</si>
  <si>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</si>
  <si>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</si>
  <si>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</si>
  <si>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</si>
  <si>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</si>
  <si>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</si>
  <si>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</si>
  <si>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</si>
  <si>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</si>
  <si>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</si>
  <si>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</si>
  <si>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</si>
  <si>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</si>
  <si>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</si>
  <si>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</si>
  <si>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</si>
  <si>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</si>
  <si>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</si>
  <si>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</si>
  <si>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</si>
  <si>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</si>
  <si>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</si>
  <si>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</si>
  <si>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</si>
  <si>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</si>
  <si>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</si>
  <si>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</si>
  <si>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</si>
  <si>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</si>
  <si>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</si>
  <si>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</si>
  <si>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</si>
  <si>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</si>
  <si>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</si>
  <si>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</si>
  <si>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</si>
  <si>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</si>
  <si>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</si>
  <si>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</si>
  <si>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</si>
  <si>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</si>
  <si>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</si>
  <si>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</si>
  <si>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</si>
  <si>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</si>
  <si>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</si>
  <si>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</si>
  <si>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</si>
  <si>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</si>
  <si>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</si>
  <si>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</si>
  <si>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</si>
  <si>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</si>
  <si>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</si>
  <si>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</si>
  <si>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</si>
  <si>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</si>
  <si>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</si>
  <si>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</si>
  <si>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</si>
  <si>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</si>
  <si>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</si>
  <si>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</si>
  <si>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</si>
  <si>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</si>
  <si>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</si>
  <si>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</si>
  <si>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</si>
  <si>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</si>
  <si>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</si>
  <si>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</si>
  <si>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</si>
  <si>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</si>
  <si>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</si>
  <si>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</si>
  <si>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</si>
  <si>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</si>
  <si>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</si>
  <si>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</si>
  <si>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</si>
  <si>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</si>
  <si>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</si>
  <si>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</si>
  <si>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</si>
  <si>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</si>
  <si>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</si>
  <si>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</si>
  <si>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</si>
  <si>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</si>
  <si>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</si>
  <si>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</si>
  <si>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</si>
  <si>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</si>
  <si>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</si>
  <si>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</si>
  <si>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</si>
  <si>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</si>
  <si>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</si>
  <si>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</si>
  <si>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</si>
  <si>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</si>
  <si>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</si>
  <si>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</si>
  <si>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</si>
  <si>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</si>
  <si>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</si>
  <si>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</si>
  <si>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</si>
  <si>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</si>
  <si>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</si>
  <si>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</si>
  <si>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</si>
  <si>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</si>
  <si>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</si>
  <si>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</si>
  <si>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</si>
  <si>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</si>
  <si>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</si>
  <si>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</si>
  <si>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</si>
  <si>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</si>
  <si>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</si>
  <si>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</si>
  <si>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</si>
  <si>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</si>
  <si>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</si>
  <si>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</si>
  <si>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</si>
  <si>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</si>
  <si>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</si>
  <si>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</si>
  <si>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</si>
  <si>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</si>
  <si>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</si>
  <si>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</si>
  <si>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</si>
  <si>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</si>
  <si>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</si>
  <si>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</si>
  <si>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</si>
  <si>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</si>
  <si>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</si>
  <si>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</si>
  <si>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</si>
  <si>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</si>
  <si>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</si>
  <si>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</si>
  <si>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</si>
  <si>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</si>
  <si>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</si>
  <si>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</si>
  <si>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</si>
  <si>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</si>
  <si>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</si>
  <si>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</si>
  <si>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</si>
  <si>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</si>
  <si>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</si>
  <si>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</si>
  <si>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</si>
  <si>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</si>
  <si>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</si>
  <si>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</si>
  <si>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</si>
  <si>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</si>
  <si>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</si>
  <si>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</si>
  <si>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</si>
  <si>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</si>
  <si>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</si>
  <si>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</si>
  <si>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</si>
  <si>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</si>
  <si>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</si>
  <si>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</si>
  <si>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</si>
  <si>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</si>
  <si>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</si>
  <si>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</si>
  <si>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</si>
  <si>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</si>
  <si>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</si>
  <si>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</si>
  <si>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</si>
  <si>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</si>
  <si>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</si>
  <si>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</si>
  <si>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</si>
  <si>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</si>
  <si>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</si>
  <si>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</si>
  <si>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</si>
  <si>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</si>
  <si>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</si>
  <si>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</si>
  <si>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</si>
  <si>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</si>
  <si>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</si>
  <si>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</si>
  <si>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</si>
  <si>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</si>
  <si>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</si>
  <si>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</si>
  <si>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</si>
  <si>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</si>
  <si>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</si>
  <si>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</si>
  <si>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</si>
  <si>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</si>
  <si>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</si>
  <si>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</si>
  <si>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</si>
  <si>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</si>
  <si>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</si>
  <si>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</si>
  <si>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</si>
  <si>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</si>
  <si>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</si>
  <si>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</si>
  <si>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</si>
  <si>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</si>
  <si>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</si>
  <si>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</si>
  <si>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</si>
  <si>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</si>
  <si>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</si>
  <si>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</si>
  <si>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</si>
  <si>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</si>
  <si>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</si>
  <si>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</si>
  <si>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</si>
  <si>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</si>
  <si>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</si>
  <si>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</si>
  <si>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</si>
  <si>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</si>
  <si>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</si>
  <si>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</si>
  <si>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</si>
  <si>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</si>
  <si>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</si>
  <si>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</si>
  <si>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</si>
  <si>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</si>
  <si>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</si>
  <si>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</si>
  <si>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</si>
  <si>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</si>
  <si>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</si>
  <si>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</si>
  <si>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</si>
  <si>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</si>
  <si>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</si>
  <si>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</si>
  <si>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</si>
  <si>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</si>
  <si>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</si>
  <si>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</si>
  <si>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</si>
  <si>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</si>
  <si>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</si>
  <si>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</si>
  <si>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</si>
  <si>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</si>
  <si>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</si>
  <si>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</si>
  <si>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</si>
  <si>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</si>
  <si>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</si>
  <si>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</si>
  <si>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</si>
  <si>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</si>
  <si>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</si>
  <si>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</si>
  <si>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</si>
  <si>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</si>
  <si>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</si>
  <si>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</si>
  <si>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</si>
  <si>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</si>
  <si>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</si>
  <si>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</si>
  <si>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</si>
  <si>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</si>
  <si>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</si>
  <si>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</si>
  <si>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</si>
  <si>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</si>
  <si>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</si>
  <si>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</si>
  <si>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</si>
  <si>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</si>
  <si>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</si>
  <si>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</si>
  <si>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</si>
  <si>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</si>
  <si>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</si>
  <si>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</si>
  <si>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</si>
  <si>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</si>
  <si>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</si>
  <si>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</si>
  <si>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</si>
  <si>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</si>
  <si>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</si>
  <si>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</si>
  <si>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</si>
  <si>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</si>
  <si>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</si>
  <si>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</si>
  <si>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</si>
  <si>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</si>
  <si>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</si>
  <si>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</si>
  <si>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</si>
  <si>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</si>
  <si>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</si>
  <si>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</si>
  <si>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</si>
  <si>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</si>
  <si>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</si>
  <si>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</si>
  <si>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</si>
  <si>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</si>
  <si>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</si>
  <si>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</si>
  <si>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</si>
  <si>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</si>
  <si>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</si>
  <si>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</si>
  <si>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</si>
  <si>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</si>
  <si>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</si>
  <si>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</si>
  <si>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</si>
  <si>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</si>
  <si>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</si>
  <si>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</si>
  <si>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</si>
  <si>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</si>
  <si>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</si>
  <si>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</si>
  <si>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</si>
  <si>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</si>
  <si>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</si>
  <si>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</si>
  <si>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</si>
  <si>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</si>
  <si>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</si>
  <si>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</si>
  <si>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</si>
  <si>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</si>
  <si>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</si>
  <si>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</si>
  <si>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</si>
  <si>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</si>
  <si>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</si>
  <si>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</si>
  <si>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</si>
  <si>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</si>
  <si>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</si>
  <si>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</si>
  <si>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</si>
  <si>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</si>
  <si>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</si>
  <si>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</si>
  <si>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</si>
  <si>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</si>
  <si>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</si>
  <si>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</si>
  <si>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</si>
  <si>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</si>
  <si>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</si>
  <si>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</si>
  <si>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</si>
  <si>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</si>
  <si>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</si>
  <si>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</si>
  <si>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</si>
  <si>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</si>
  <si>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</si>
  <si>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</si>
  <si>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</si>
  <si>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</si>
  <si>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</si>
  <si>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</si>
  <si>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</si>
  <si>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</si>
  <si>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</si>
  <si>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</si>
  <si>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</si>
  <si>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</si>
  <si>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</si>
  <si>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</si>
  <si>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</si>
  <si>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</si>
  <si>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</si>
  <si>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</si>
  <si>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</si>
  <si>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</si>
  <si>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</si>
  <si>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</si>
  <si>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</si>
  <si>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</si>
  <si>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</si>
  <si>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</si>
  <si>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</si>
  <si>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</si>
  <si>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</si>
  <si>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</si>
  <si>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494.</t>
  </si>
  <si>
    <t>SBA 26/494</t>
  </si>
  <si>
    <t>495.</t>
  </si>
  <si>
    <t>SBA 26/495</t>
  </si>
  <si>
    <t>496.</t>
  </si>
  <si>
    <t>SBA 26/496</t>
  </si>
  <si>
    <t>497.</t>
  </si>
  <si>
    <t>SBA 26/497</t>
  </si>
  <si>
    <t>498.</t>
  </si>
  <si>
    <t>SBA 26/498</t>
  </si>
  <si>
    <t>499.</t>
  </si>
  <si>
    <t>SBA 26/499</t>
  </si>
  <si>
    <t>500.</t>
  </si>
  <si>
    <t>SBA 26/500</t>
  </si>
  <si>
    <t>501.</t>
  </si>
  <si>
    <t>SBA 26/501</t>
  </si>
  <si>
    <t>502.</t>
  </si>
  <si>
    <t>SBA 26/502</t>
  </si>
  <si>
    <t>503.</t>
  </si>
  <si>
    <t>SBA 26/503</t>
  </si>
  <si>
    <t>504.</t>
  </si>
  <si>
    <t>SBA 26/504</t>
  </si>
  <si>
    <t>505.</t>
  </si>
  <si>
    <t>SBA 26/505</t>
  </si>
  <si>
    <t>506.</t>
  </si>
  <si>
    <t>SBA 26/506</t>
  </si>
  <si>
    <t>507.</t>
  </si>
  <si>
    <t>SBA 26/507</t>
  </si>
  <si>
    <t>508.</t>
  </si>
  <si>
    <t>SBA 26/508</t>
  </si>
  <si>
    <t>509.</t>
  </si>
  <si>
    <t>SBA 26/509</t>
  </si>
  <si>
    <t>510.</t>
  </si>
  <si>
    <t>SBA 26/510</t>
  </si>
  <si>
    <t>511.</t>
  </si>
  <si>
    <t>SBA 26/511</t>
  </si>
  <si>
    <t>512.</t>
  </si>
  <si>
    <t>SBA 26/512</t>
  </si>
  <si>
    <t>513.</t>
  </si>
  <si>
    <t>SBA 26/513</t>
  </si>
  <si>
    <t>514.</t>
  </si>
  <si>
    <t>SBA 26/514</t>
  </si>
  <si>
    <t>515.</t>
  </si>
  <si>
    <t>SBA 26/515</t>
  </si>
  <si>
    <t>516.</t>
  </si>
  <si>
    <t>SBA 26/516</t>
  </si>
  <si>
    <t>517.</t>
  </si>
  <si>
    <t>SBA 26/517</t>
  </si>
  <si>
    <t>518.</t>
  </si>
  <si>
    <t>SBA 26/518</t>
  </si>
  <si>
    <t>519.</t>
  </si>
  <si>
    <t>SBA 26/519</t>
  </si>
  <si>
    <t>520.</t>
  </si>
  <si>
    <t>SBA 26/520</t>
  </si>
  <si>
    <t>521.</t>
  </si>
  <si>
    <t>SBA 26/521</t>
  </si>
  <si>
    <t>522.</t>
  </si>
  <si>
    <t>SBA 26/522</t>
  </si>
  <si>
    <t>523.</t>
  </si>
  <si>
    <t>SBA 26/523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</si>
  <si>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</si>
  <si>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</si>
  <si>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</si>
  <si>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</si>
  <si>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</si>
  <si>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</si>
  <si>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</si>
  <si>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</si>
  <si>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</si>
  <si>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</si>
  <si>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</si>
  <si>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</si>
  <si>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</si>
  <si>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</si>
  <si>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</si>
  <si>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</si>
  <si>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</si>
  <si>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</si>
  <si>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</si>
  <si>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</si>
  <si>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</si>
  <si>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</si>
  <si>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</si>
  <si>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</si>
  <si>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</si>
  <si>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</si>
  <si>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</si>
  <si>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</si>
  <si>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</si>
  <si>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</si>
  <si>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</si>
  <si>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</si>
  <si>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</si>
  <si>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</si>
  <si>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</si>
  <si>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</si>
  <si>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</si>
  <si>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</si>
  <si>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</si>
  <si>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</si>
  <si>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</si>
  <si>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</si>
  <si>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</si>
  <si>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</si>
  <si>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</si>
  <si>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</si>
  <si>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</si>
  <si>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</si>
  <si>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</si>
  <si>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</si>
  <si>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</si>
  <si>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</si>
  <si>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</si>
  <si>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</si>
  <si>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</si>
  <si>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</si>
  <si>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</si>
  <si>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</si>
  <si>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</si>
  <si>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</si>
  <si>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</si>
  <si>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</si>
  <si>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</si>
  <si>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</si>
  <si>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</si>
  <si>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</si>
  <si>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</si>
  <si>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</si>
  <si>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</si>
  <si>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</si>
  <si>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</si>
  <si>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</si>
  <si>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</si>
  <si>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</si>
  <si>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</si>
  <si>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</si>
  <si>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</si>
  <si>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</si>
  <si>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</si>
  <si>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</si>
  <si>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</si>
  <si>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</si>
  <si>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</si>
  <si>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</si>
  <si>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</si>
  <si>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</si>
  <si>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</si>
  <si>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</si>
  <si>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</si>
  <si>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</si>
  <si>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</si>
  <si>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</si>
  <si>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</si>
  <si>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</si>
  <si>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</si>
  <si>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</si>
  <si>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</si>
  <si>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</si>
  <si>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</si>
  <si>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</si>
  <si>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</si>
  <si>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</si>
  <si>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</si>
  <si>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</si>
  <si>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</si>
  <si>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</si>
  <si>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</si>
  <si>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</si>
  <si>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</si>
  <si>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</si>
  <si>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</si>
  <si>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</si>
  <si>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</si>
  <si>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</si>
  <si>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</si>
  <si>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</si>
  <si>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</si>
  <si>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</si>
  <si>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</si>
  <si>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</si>
  <si>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</si>
  <si>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</si>
  <si>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</si>
  <si>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</si>
  <si>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</si>
  <si>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</si>
  <si>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</si>
  <si>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</si>
  <si>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</si>
  <si>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</si>
  <si>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</si>
  <si>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</si>
  <si>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</si>
  <si>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</si>
  <si>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</si>
  <si>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</si>
  <si>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</si>
  <si>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</si>
  <si>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</si>
  <si>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</si>
  <si>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</si>
  <si>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</si>
  <si>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</si>
  <si>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</si>
  <si>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</si>
  <si>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</si>
  <si>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</si>
  <si>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</si>
  <si>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</si>
  <si>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</si>
  <si>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</si>
  <si>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</si>
  <si>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</si>
  <si>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</si>
  <si>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</si>
  <si>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</si>
  <si>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</si>
  <si>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</si>
  <si>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</si>
  <si>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</si>
  <si>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</si>
  <si>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</si>
  <si>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</si>
  <si>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</si>
  <si>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</si>
  <si>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</si>
  <si>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</si>
  <si>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</si>
  <si>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</si>
  <si>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</si>
  <si>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</si>
  <si>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</si>
  <si>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</si>
  <si>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</si>
  <si>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</si>
  <si>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</si>
  <si>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</si>
  <si>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</si>
  <si>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</si>
  <si>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</si>
  <si>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</si>
  <si>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</si>
  <si>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</si>
  <si>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</si>
  <si>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</si>
  <si>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</si>
  <si>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</si>
  <si>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</si>
  <si>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</si>
  <si>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</si>
  <si>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</si>
  <si>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</si>
  <si>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</si>
  <si>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</si>
  <si>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</si>
  <si>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</si>
  <si>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</si>
  <si>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</si>
  <si>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</si>
  <si>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</si>
  <si>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</si>
  <si>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</si>
  <si>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</si>
  <si>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</si>
  <si>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</si>
  <si>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</si>
  <si>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</si>
  <si>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</si>
  <si>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</si>
  <si>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</si>
  <si>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</si>
  <si>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</si>
  <si>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</si>
  <si>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</si>
  <si>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</si>
  <si>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</si>
  <si>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</si>
  <si>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</si>
  <si>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</si>
  <si>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</si>
  <si>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</si>
  <si>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</si>
  <si>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</si>
  <si>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</si>
  <si>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</si>
  <si>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</si>
  <si>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</si>
  <si>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</si>
  <si>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</si>
  <si>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</si>
  <si>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</si>
  <si>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</si>
  <si>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</si>
  <si>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</si>
  <si>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</si>
  <si>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</si>
  <si>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</si>
  <si>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</si>
  <si>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</si>
  <si>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</si>
  <si>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</si>
  <si>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</si>
  <si>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</si>
  <si>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</si>
  <si>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</si>
  <si>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</si>
  <si>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</si>
  <si>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</si>
  <si>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</si>
  <si>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</si>
  <si>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</si>
  <si>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</si>
  <si>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</si>
  <si>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</si>
  <si>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</si>
  <si>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</si>
  <si>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</si>
  <si>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</si>
  <si>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</si>
  <si>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</si>
  <si>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</si>
  <si>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</si>
  <si>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</si>
  <si>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</si>
  <si>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</si>
  <si>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</si>
  <si>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</si>
  <si>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</si>
  <si>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</si>
  <si>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</si>
  <si>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</si>
  <si>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</si>
  <si>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</si>
  <si>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</si>
  <si>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</si>
  <si>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</si>
  <si>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</si>
  <si>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</si>
  <si>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</si>
  <si>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</si>
  <si>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</si>
  <si>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</si>
  <si>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</si>
  <si>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</si>
  <si>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</si>
  <si>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</si>
  <si>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</si>
  <si>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</si>
  <si>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</si>
  <si>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</si>
  <si>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</si>
  <si>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</si>
  <si>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</si>
  <si>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</si>
  <si>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</si>
  <si>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</si>
  <si>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</si>
  <si>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</si>
  <si>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</si>
  <si>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</si>
  <si>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</si>
  <si>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</si>
  <si>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</si>
  <si>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</si>
  <si>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</si>
  <si>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</si>
  <si>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</si>
  <si>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</si>
  <si>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</si>
  <si>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</si>
  <si>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</si>
  <si>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</si>
  <si>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</si>
  <si>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</si>
  <si>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</si>
  <si>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</si>
  <si>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</si>
  <si>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</si>
  <si>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</si>
  <si>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</si>
  <si>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</si>
  <si>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</si>
  <si>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</si>
  <si>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</si>
  <si>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</si>
  <si>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</si>
  <si>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</si>
  <si>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</si>
  <si>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</si>
  <si>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</si>
  <si>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</si>
  <si>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</si>
  <si>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</si>
  <si>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</si>
  <si>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</si>
  <si>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</si>
  <si>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</si>
  <si>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</si>
  <si>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</si>
  <si>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</si>
  <si>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</si>
  <si>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</si>
  <si>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</si>
  <si>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</si>
  <si>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</si>
  <si>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</si>
  <si>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</si>
  <si>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</si>
  <si>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</si>
  <si>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</si>
  <si>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</si>
  <si>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</si>
  <si>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</si>
  <si>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</si>
  <si>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</si>
  <si>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</si>
  <si>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</si>
  <si>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</si>
  <si>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</si>
  <si>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</si>
  <si>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</si>
  <si>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</si>
  <si>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</si>
  <si>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</si>
  <si>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</si>
  <si>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</si>
  <si>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</si>
  <si>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</si>
  <si>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</si>
  <si>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</si>
  <si>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</si>
  <si>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</si>
  <si>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</si>
  <si>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</si>
  <si>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</si>
  <si>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</si>
  <si>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</si>
  <si>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</si>
  <si>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</si>
  <si>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</si>
  <si>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</si>
  <si>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</si>
  <si>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</si>
  <si>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</si>
  <si>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</si>
  <si>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</si>
  <si>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</si>
  <si>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</si>
  <si>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</si>
  <si>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</si>
  <si>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</si>
  <si>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</si>
  <si>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</si>
  <si>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</si>
  <si>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</si>
  <si>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</si>
  <si>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</si>
  <si>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</si>
  <si>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</si>
  <si>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</si>
  <si>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</si>
  <si>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</si>
  <si>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</si>
  <si>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</si>
  <si>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</si>
  <si>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</si>
  <si>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</si>
  <si>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</si>
  <si>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</si>
  <si>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</si>
  <si>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</si>
  <si>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</si>
  <si>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</si>
  <si>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</si>
  <si>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</si>
  <si>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</si>
  <si>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</si>
  <si>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</si>
  <si>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</si>
  <si>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</si>
  <si>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</si>
  <si>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</si>
  <si>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</si>
  <si>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</si>
  <si>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</si>
  <si>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</si>
  <si>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</si>
  <si>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</si>
  <si>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</si>
  <si>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</si>
  <si>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</si>
  <si>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</si>
  <si>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</si>
  <si>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</si>
  <si>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</si>
  <si>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</si>
  <si>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</si>
  <si>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</si>
  <si>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</si>
  <si>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</si>
  <si>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</si>
  <si>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</si>
  <si>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</si>
  <si>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</si>
  <si>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</si>
  <si>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</si>
  <si>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</si>
  <si>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</si>
  <si>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</si>
  <si>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</si>
  <si>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</si>
  <si>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</si>
  <si>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</si>
  <si>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</si>
  <si>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</si>
  <si>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</si>
  <si>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</si>
  <si>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</si>
  <si>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</si>
  <si>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</si>
  <si>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</si>
  <si>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</si>
  <si>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</si>
  <si>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</si>
  <si>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</si>
  <si>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</si>
  <si>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</si>
  <si>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</si>
  <si>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</si>
  <si>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</si>
  <si>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</si>
  <si>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</si>
  <si>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</si>
  <si>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</si>
  <si>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</si>
  <si>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</si>
  <si>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</si>
  <si>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</si>
  <si>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</si>
  <si>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</si>
  <si>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</si>
  <si>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</si>
  <si>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</si>
  <si>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</si>
  <si>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</si>
  <si>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</si>
  <si>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</si>
  <si>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</si>
  <si>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</si>
  <si>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</si>
  <si>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</si>
  <si>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</si>
  <si>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</si>
  <si>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</si>
  <si>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</si>
  <si>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</si>
  <si>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</si>
  <si>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</si>
  <si>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</si>
  <si>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</si>
  <si>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</si>
  <si>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</si>
  <si>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</si>
  <si>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</si>
  <si>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</si>
  <si>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</si>
  <si>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</si>
  <si>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</si>
  <si>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</si>
  <si>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</si>
  <si>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</si>
  <si>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</si>
  <si>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</si>
  <si>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</si>
  <si>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</si>
  <si>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</si>
  <si>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</si>
  <si>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</si>
  <si>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</si>
  <si>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</si>
  <si>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</si>
  <si>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</si>
  <si>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</si>
  <si>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</si>
  <si>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</si>
  <si>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</si>
  <si>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</si>
  <si>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</si>
  <si>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</si>
  <si>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</si>
  <si>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</si>
  <si>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</si>
  <si>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</si>
  <si>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</si>
  <si>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</si>
  <si>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</si>
  <si>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</si>
  <si>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</si>
  <si>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</si>
  <si>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</si>
  <si>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</si>
  <si>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</si>
  <si>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</si>
  <si>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</si>
  <si>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</si>
  <si>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</si>
  <si>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</si>
  <si>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</si>
  <si>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</si>
  <si>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</si>
  <si>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</si>
  <si>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</si>
  <si>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</si>
  <si>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</si>
  <si>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</si>
  <si>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</si>
  <si>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</si>
  <si>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</si>
  <si>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</si>
  <si>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</si>
  <si>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</si>
  <si>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</si>
  <si>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</si>
  <si>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</si>
  <si>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</si>
  <si>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</si>
  <si>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</si>
  <si>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</si>
  <si>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</si>
  <si>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</si>
  <si>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</si>
  <si>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</si>
  <si>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</si>
  <si>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</si>
  <si>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</si>
  <si>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</si>
  <si>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</si>
  <si>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</si>
  <si>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</si>
  <si>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</si>
  <si>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</si>
  <si>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</si>
  <si>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</si>
  <si>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</si>
  <si>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</si>
  <si>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</si>
  <si>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</si>
  <si>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</si>
  <si>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</si>
  <si>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</si>
  <si>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</si>
  <si>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</si>
  <si>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</si>
  <si>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</si>
  <si>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</si>
  <si>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</si>
  <si>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</si>
  <si>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</si>
  <si>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</si>
  <si>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</si>
  <si>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</si>
  <si>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</si>
  <si>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</si>
  <si>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</si>
  <si>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</si>
  <si>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</si>
  <si>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</si>
  <si>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</si>
  <si>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</si>
  <si>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</si>
  <si>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</si>
  <si>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</si>
  <si>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</si>
  <si>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</si>
  <si>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</si>
  <si>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</si>
  <si>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</si>
  <si>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</si>
  <si>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</si>
  <si>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</si>
  <si>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</si>
  <si>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</si>
  <si>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</si>
  <si>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</si>
  <si>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</si>
  <si>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</si>
  <si>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</si>
  <si>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</si>
  <si>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</si>
  <si>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</si>
  <si>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</si>
  <si>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</si>
  <si>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</si>
  <si>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</si>
  <si>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</si>
  <si>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</si>
  <si>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</si>
  <si>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</si>
  <si>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</si>
  <si>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</si>
  <si>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</si>
  <si>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</si>
  <si>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</si>
  <si>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</si>
  <si>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</si>
  <si>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</si>
  <si>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</si>
  <si>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</si>
  <si>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</si>
  <si>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</si>
  <si>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</si>
  <si>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</si>
  <si>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</si>
  <si>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</si>
  <si>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</si>
  <si>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</si>
  <si>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</si>
  <si>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</si>
  <si>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</si>
  <si>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</si>
  <si>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</si>
  <si>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</si>
  <si>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</si>
  <si>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</si>
  <si>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</si>
  <si>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</si>
  <si>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</si>
  <si>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</si>
  <si>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</si>
  <si>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</si>
  <si>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</si>
  <si>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</si>
  <si>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</si>
  <si>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</si>
  <si>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</si>
  <si>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</si>
  <si>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</si>
  <si>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</si>
  <si>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</si>
  <si>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</si>
  <si>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</si>
  <si>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</si>
  <si>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</si>
  <si>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</si>
  <si>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</si>
  <si>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</si>
  <si>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</si>
  <si>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</si>
  <si>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</si>
  <si>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</si>
  <si>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</si>
  <si>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</si>
  <si>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</si>
  <si>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</si>
  <si>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</si>
  <si>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</si>
  <si>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</si>
  <si>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</si>
  <si>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</si>
  <si>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</si>
  <si>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</si>
  <si>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</si>
  <si>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</si>
  <si>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</si>
  <si>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</si>
  <si>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</si>
  <si>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</si>
  <si>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</si>
  <si>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</si>
  <si>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</si>
  <si>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</si>
  <si>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</si>
  <si>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</si>
  <si>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</si>
  <si>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</si>
  <si>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</si>
  <si>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</si>
  <si>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</si>
  <si>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</si>
  <si>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</si>
  <si>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</si>
  <si>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</si>
  <si>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</si>
  <si>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</si>
  <si>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</si>
  <si>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</si>
  <si>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</si>
  <si>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</si>
  <si>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</si>
  <si>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</si>
  <si>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</si>
  <si>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</si>
  <si>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</si>
  <si>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</si>
  <si>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</si>
  <si>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</si>
  <si>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</si>
  <si>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</si>
  <si>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</si>
  <si>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</si>
  <si>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</si>
  <si>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</si>
  <si>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</si>
  <si>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</si>
  <si>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</si>
  <si>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</si>
  <si>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</si>
  <si>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</si>
  <si>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</si>
  <si>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</si>
  <si>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</si>
  <si>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</si>
  <si>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</si>
  <si>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</si>
  <si>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</si>
  <si>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</si>
  <si>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</si>
  <si>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</si>
  <si>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</si>
  <si>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</si>
  <si>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</si>
  <si>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</si>
  <si>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</si>
  <si>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</si>
  <si>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</si>
  <si>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</si>
  <si>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</si>
  <si>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</si>
  <si>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</si>
  <si>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</si>
  <si>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</si>
  <si>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</si>
  <si>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</si>
  <si>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</si>
  <si>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</si>
  <si>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</si>
  <si>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</si>
  <si>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</si>
  <si>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</si>
  <si>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</si>
  <si>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</si>
  <si>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</si>
  <si>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</si>
  <si>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</si>
  <si>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</si>
  <si>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</si>
  <si>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</si>
  <si>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</si>
  <si>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</si>
  <si>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</si>
  <si>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</si>
  <si>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</si>
  <si>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</si>
  <si>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</si>
  <si>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</si>
  <si>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</si>
  <si>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</si>
  <si>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</si>
  <si>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</si>
  <si>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</si>
  <si>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</si>
  <si>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</si>
  <si>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</si>
  <si>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</si>
  <si>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</si>
  <si>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</si>
  <si>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</si>
  <si>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</si>
  <si>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</si>
  <si>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</si>
  <si>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</si>
  <si>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</si>
  <si>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</si>
  <si>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</si>
  <si>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</si>
  <si>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</si>
  <si>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</si>
  <si>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</si>
  <si>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</si>
  <si>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</si>
  <si>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</si>
  <si>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</si>
  <si>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</si>
  <si>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</si>
  <si>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</si>
  <si>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</si>
  <si>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</si>
  <si>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</si>
  <si>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</si>
  <si>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</si>
  <si>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</si>
  <si>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</si>
  <si>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</si>
  <si>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</si>
  <si>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</si>
  <si>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</si>
  <si>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</si>
  <si>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</si>
  <si>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</si>
  <si>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</si>
  <si>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</si>
  <si>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</si>
  <si>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</si>
  <si>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</si>
  <si>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</si>
  <si>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</si>
  <si>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</si>
  <si>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</si>
  <si>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</si>
  <si>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</si>
  <si>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</si>
  <si>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</si>
  <si>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</si>
  <si>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</si>
  <si>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</si>
  <si>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</si>
  <si>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</si>
  <si>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</si>
  <si>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</si>
  <si>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</si>
  <si>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</si>
  <si>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</si>
  <si>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</si>
  <si>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</si>
  <si>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</si>
  <si>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</si>
  <si>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</si>
  <si>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</si>
  <si>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</si>
  <si>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</si>
  <si>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</si>
  <si>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</si>
  <si>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</si>
  <si>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</si>
  <si>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</si>
  <si>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</si>
  <si>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</si>
  <si>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</si>
  <si>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</si>
  <si>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</si>
  <si>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</si>
  <si>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</si>
  <si>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</si>
  <si>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</si>
  <si>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</si>
  <si>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</si>
  <si>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</si>
  <si>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</si>
  <si>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</si>
  <si>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</si>
  <si>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</si>
  <si>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</si>
  <si>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</si>
  <si>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</si>
  <si>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</si>
  <si>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</si>
  <si>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</si>
  <si>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</si>
  <si>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</si>
  <si>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</si>
  <si>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</si>
  <si>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</si>
  <si>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</si>
  <si>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</si>
  <si>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</si>
  <si>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</si>
  <si>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</si>
  <si>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</si>
  <si>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</si>
  <si>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</si>
  <si>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</si>
  <si>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</si>
  <si>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</si>
  <si>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</si>
  <si>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</si>
  <si>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</si>
  <si>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</si>
  <si>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</si>
  <si>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</si>
  <si>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</si>
  <si>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</si>
  <si>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</si>
  <si>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</si>
  <si>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</si>
  <si>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</si>
  <si>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</si>
  <si>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</si>
  <si>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</si>
  <si>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</si>
  <si>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</si>
  <si>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</si>
  <si>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</si>
  <si>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</si>
  <si>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</si>
  <si>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</si>
  <si>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</si>
  <si>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</si>
  <si>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</si>
  <si>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</si>
  <si>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</si>
  <si>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</si>
  <si>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</si>
  <si>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</si>
  <si>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</si>
  <si>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</si>
  <si>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</si>
  <si>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</si>
  <si>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</si>
  <si>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</si>
  <si>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</si>
  <si>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</si>
  <si>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</si>
  <si>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</si>
  <si>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</si>
  <si>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</si>
  <si>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</si>
  <si>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</si>
  <si>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</si>
  <si>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</si>
  <si>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</si>
  <si>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</si>
  <si>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</si>
  <si>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</si>
  <si>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</si>
  <si>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</si>
  <si>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</si>
  <si>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</si>
  <si>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</si>
  <si>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</si>
  <si>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</si>
  <si>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</si>
  <si>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</si>
  <si>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</si>
  <si>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</si>
  <si>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</si>
  <si>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</si>
  <si>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</si>
  <si>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</si>
  <si>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</si>
  <si>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</si>
  <si>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</si>
  <si>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</si>
  <si>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</si>
  <si>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</si>
  <si>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</si>
  <si>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</si>
  <si>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</si>
  <si>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</si>
  <si>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</si>
  <si>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</si>
  <si>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</si>
  <si>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</si>
  <si>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</si>
  <si>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</si>
  <si>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</si>
  <si>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</si>
  <si>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</si>
  <si>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</si>
  <si>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</si>
  <si>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</si>
  <si>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</si>
  <si>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</si>
  <si>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</si>
  <si>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</si>
  <si>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</si>
  <si>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</si>
  <si>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</si>
  <si>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</si>
  <si>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</si>
  <si>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</si>
  <si>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</si>
  <si>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</si>
  <si>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</si>
  <si>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</si>
  <si>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</si>
  <si>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</si>
  <si>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</si>
  <si>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</si>
  <si>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</si>
  <si>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</si>
  <si>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</si>
  <si>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</si>
  <si>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</si>
  <si>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</si>
  <si>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</si>
  <si>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</si>
  <si>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</si>
  <si>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</si>
  <si>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</si>
  <si>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</si>
  <si>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</si>
  <si>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</si>
  <si>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</si>
  <si>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</si>
  <si>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</si>
  <si>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</si>
  <si>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</si>
  <si>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</si>
  <si>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</si>
  <si>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</si>
  <si>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</si>
  <si>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</si>
  <si>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</si>
  <si>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</si>
  <si>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</si>
  <si>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</si>
  <si>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</si>
  <si>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</si>
  <si>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</si>
  <si>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</si>
  <si>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</si>
  <si>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</si>
  <si>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</si>
  <si>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</si>
  <si>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</si>
  <si>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</si>
  <si>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</si>
  <si>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</si>
  <si>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</si>
  <si>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</si>
  <si>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</si>
  <si>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</si>
  <si>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</si>
  <si>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</si>
  <si>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</si>
  <si>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</si>
  <si>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</si>
  <si>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</si>
  <si>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</si>
  <si>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</si>
  <si>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</si>
  <si>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</si>
  <si>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</si>
  <si>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</si>
  <si>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</si>
  <si>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</si>
  <si>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</si>
  <si>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</si>
  <si>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</si>
  <si>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</si>
  <si>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</si>
  <si>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</si>
  <si>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</si>
  <si>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</si>
  <si>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</si>
  <si>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</si>
  <si>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</si>
  <si>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</si>
  <si>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</si>
  <si>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</si>
  <si>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</si>
  <si>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</si>
  <si>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</si>
  <si>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</si>
  <si>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</si>
  <si>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</si>
  <si>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</si>
  <si>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</si>
  <si>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</si>
  <si>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</si>
  <si>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</si>
  <si>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</si>
  <si>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</si>
  <si>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</si>
  <si>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</si>
  <si>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</si>
  <si>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</si>
  <si>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</si>
  <si>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</si>
  <si>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</si>
  <si>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</si>
  <si>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</si>
  <si>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</si>
  <si>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</si>
  <si>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</si>
  <si>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</si>
  <si>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</si>
  <si>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</si>
  <si>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</si>
  <si>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</si>
  <si>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</si>
  <si>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</si>
  <si>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</si>
  <si>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</si>
  <si>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</si>
  <si>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</si>
  <si>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</si>
  <si>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</si>
  <si>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</si>
  <si>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</si>
  <si>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</si>
  <si>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</si>
  <si>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</si>
  <si>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</si>
  <si>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</si>
  <si>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</si>
  <si>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</si>
  <si>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</si>
  <si>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Say BİRİMİ</t>
  </si>
  <si>
    <t>Say SORUMLUSU</t>
  </si>
  <si>
    <t>(empty)</t>
  </si>
  <si>
    <t>Total Result</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</si>
  <si>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</si>
  <si>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</si>
  <si>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</si>
  <si>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</si>
  <si>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</si>
  <si>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</si>
  <si>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</si>
  <si>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</si>
  <si>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</si>
  <si>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</si>
  <si>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</si>
  <si>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</si>
  <si>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</si>
  <si>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</si>
  <si>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</si>
  <si>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</si>
  <si>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</si>
  <si>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</si>
  <si>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</si>
  <si>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</si>
  <si>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</si>
  <si>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</si>
  <si>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</si>
  <si>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</si>
  <si>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</si>
  <si>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</si>
  <si>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</si>
  <si>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</si>
  <si>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</si>
  <si>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</si>
  <si>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</si>
  <si>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</si>
  <si>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</si>
  <si>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</si>
  <si>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</si>
  <si>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</si>
  <si>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</si>
  <si>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</si>
  <si>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</si>
  <si>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</si>
  <si>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</si>
  <si>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</si>
  <si>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</si>
  <si>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</si>
  <si>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</si>
  <si>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</si>
  <si>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</si>
  <si>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</si>
  <si>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</si>
  <si>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</si>
  <si>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</si>
  <si>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</si>
  <si>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</si>
  <si>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</si>
  <si>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</si>
  <si>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</si>
  <si>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</si>
  <si>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</si>
  <si>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</si>
  <si>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</si>
  <si>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</si>
  <si>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</si>
  <si>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</si>
  <si>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</si>
  <si>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</si>
  <si>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</si>
  <si>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</si>
  <si>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</si>
  <si>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</si>
  <si>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</si>
  <si>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</si>
  <si>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</si>
  <si>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</si>
  <si>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</si>
  <si>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</si>
  <si>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</si>
  <si>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</si>
  <si>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</si>
  <si>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</si>
  <si>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</si>
  <si>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</si>
  <si>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</si>
  <si>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</si>
  <si>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</si>
  <si>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</si>
  <si>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</si>
  <si>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</si>
  <si>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</si>
  <si>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</si>
  <si>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</si>
  <si>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</si>
  <si>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</si>
  <si>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</si>
  <si>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</si>
  <si>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</si>
  <si>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</si>
  <si>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</si>
  <si>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</si>
  <si>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</si>
  <si>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</si>
  <si>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</si>
  <si>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</si>
  <si>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</si>
  <si>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</si>
  <si>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</si>
  <si>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</si>
  <si>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</si>
  <si>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</si>
  <si>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</si>
  <si>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</si>
  <si>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</si>
  <si>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</si>
  <si>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</si>
  <si>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</si>
  <si>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</si>
  <si>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</si>
  <si>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</si>
  <si>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</si>
  <si>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</si>
  <si>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</si>
  <si>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</si>
  <si>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</si>
  <si>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</si>
  <si>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</si>
  <si>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</si>
  <si>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</si>
  <si>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</si>
  <si>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</si>
  <si>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</si>
  <si>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</si>
  <si>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</si>
  <si>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</si>
  <si>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</si>
  <si>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</si>
  <si>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</si>
  <si>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</si>
  <si>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</si>
  <si>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</si>
  <si>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</si>
  <si>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</si>
  <si>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</si>
  <si>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</si>
  <si>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</si>
  <si>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</si>
  <si>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</si>
  <si>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</si>
  <si>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</si>
  <si>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</si>
  <si>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</si>
  <si>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</si>
  <si>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</si>
  <si>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</si>
  <si>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</si>
  <si>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</si>
  <si>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</si>
  <si>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</si>
  <si>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</si>
  <si>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</si>
  <si>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</si>
  <si>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</si>
  <si>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</si>
  <si>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</si>
  <si>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</si>
  <si>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</si>
  <si>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</si>
  <si>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</si>
  <si>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</si>
  <si>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</si>
  <si>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</si>
  <si>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</si>
  <si>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</si>
  <si>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</si>
  <si>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</si>
  <si>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</si>
  <si>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</si>
  <si>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</si>
  <si>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</si>
  <si>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</si>
  <si>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</si>
  <si>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</si>
  <si>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</si>
  <si>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</si>
  <si>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</si>
  <si>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</si>
  <si>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</si>
  <si>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</si>
  <si>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</si>
  <si>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</si>
  <si>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</si>
  <si>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</si>
  <si>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</si>
  <si>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</si>
  <si>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</si>
  <si>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</si>
  <si>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</si>
  <si>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</si>
  <si>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</si>
  <si>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</si>
  <si>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</si>
  <si>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</si>
  <si>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</si>
  <si>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</si>
  <si>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</si>
  <si>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</si>
  <si>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</si>
  <si>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</si>
  <si>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</si>
  <si>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</si>
  <si>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</si>
  <si>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</si>
  <si>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</si>
  <si>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</si>
  <si>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</si>
  <si>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</si>
  <si>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</si>
  <si>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</si>
  <si>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</si>
  <si>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</si>
  <si>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</si>
  <si>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</si>
  <si>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</si>
  <si>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</si>
  <si>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</si>
  <si>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</si>
  <si>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</si>
  <si>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</si>
  <si>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</si>
  <si>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</si>
  <si>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</si>
  <si>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</si>
  <si>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</si>
  <si>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</si>
  <si>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</si>
  <si>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</si>
  <si>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</si>
  <si>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</si>
  <si>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</si>
  <si>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</si>
  <si>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</si>
  <si>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</si>
  <si>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</si>
  <si>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</si>
  <si>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</si>
  <si>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</si>
  <si>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</si>
  <si>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</si>
  <si>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</si>
  <si>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</si>
  <si>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</si>
  <si>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</si>
  <si>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</si>
  <si>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</si>
  <si>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</si>
  <si>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</si>
  <si>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</si>
  <si>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</si>
  <si>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</si>
  <si>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</si>
  <si>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</si>
  <si>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</si>
  <si>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</si>
  <si>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</si>
  <si>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</si>
  <si>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</si>
  <si>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</si>
  <si>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</si>
  <si>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</si>
  <si>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</si>
  <si>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</si>
  <si>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</si>
  <si>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</si>
  <si>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</si>
  <si>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</si>
  <si>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</si>
  <si>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</si>
  <si>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</si>
  <si>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</si>
  <si>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</si>
  <si>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</si>
  <si>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</si>
  <si>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</si>
  <si>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</si>
  <si>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</si>
  <si>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</si>
  <si>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</si>
  <si>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</si>
  <si>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</si>
  <si>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</si>
  <si>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</si>
  <si>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</si>
  <si>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</si>
  <si>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</si>
  <si>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</si>
  <si>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</si>
  <si>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</si>
  <si>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</si>
  <si>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</si>
  <si>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</si>
  <si>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</si>
  <si>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</si>
  <si>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</si>
  <si>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</si>
  <si>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</si>
  <si>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</si>
  <si>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</si>
  <si>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</si>
  <si>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</si>
  <si>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</si>
  <si>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</si>
  <si>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</si>
  <si>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</si>
  <si>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</si>
  <si>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</si>
  <si>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</si>
  <si>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</si>
  <si>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</si>
  <si>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</si>
  <si>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</si>
  <si>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</si>
  <si>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</si>
  <si>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</si>
  <si>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</si>
  <si>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</si>
  <si>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</si>
  <si>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</si>
  <si>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</si>
  <si>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</si>
  <si>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Doç. Dr. Fatima AERTS KAYA</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</si>
  <si>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</si>
  <si>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</si>
  <si>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</si>
  <si>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</si>
  <si>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</si>
  <si>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</si>
  <si>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</si>
  <si>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</si>
  <si>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</si>
  <si>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</si>
  <si>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</si>
  <si>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</si>
  <si>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</si>
  <si>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</si>
  <si>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</si>
  <si>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</si>
  <si>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</si>
  <si>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</si>
  <si>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</si>
  <si>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</si>
  <si>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</si>
  <si>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</si>
  <si>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</si>
  <si>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</si>
  <si>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</si>
  <si>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</si>
  <si>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</si>
  <si>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</si>
  <si>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</si>
  <si>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</si>
  <si>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</si>
  <si>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</si>
  <si>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</si>
  <si>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</si>
  <si>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</si>
  <si>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</si>
  <si>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</si>
  <si>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</si>
  <si>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</si>
  <si>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</si>
  <si>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</si>
  <si>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</si>
  <si>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</si>
  <si>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</si>
  <si>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</si>
  <si>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</si>
  <si>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</si>
  <si>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</si>
  <si>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</si>
  <si>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</si>
  <si>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</si>
  <si>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</si>
  <si>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</si>
  <si>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</si>
  <si>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</si>
  <si>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</si>
  <si>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</si>
  <si>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</si>
  <si>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</si>
  <si>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</si>
  <si>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</si>
  <si>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</si>
  <si>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</si>
  <si>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</si>
  <si>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</si>
  <si>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</si>
  <si>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</si>
  <si>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</si>
  <si>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</si>
  <si>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</si>
  <si>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</si>
  <si>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</si>
  <si>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</si>
  <si>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</si>
  <si>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</si>
  <si>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</si>
  <si>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</si>
  <si>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</si>
  <si>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</si>
  <si>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</si>
  <si>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</si>
  <si>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</si>
  <si>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</si>
  <si>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</si>
  <si>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</si>
  <si>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</si>
  <si>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</si>
  <si>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</si>
  <si>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</si>
  <si>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</si>
  <si>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</si>
  <si>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</si>
  <si>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</si>
  <si>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</si>
  <si>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</si>
  <si>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</si>
  <si>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</si>
  <si>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</si>
  <si>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</si>
  <si>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</si>
  <si>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</si>
  <si>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</si>
  <si>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</si>
  <si>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</si>
  <si>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</si>
  <si>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</si>
  <si>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</si>
  <si>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</si>
  <si>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</si>
  <si>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</si>
  <si>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</si>
  <si>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</si>
  <si>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</si>
  <si>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</si>
  <si>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</si>
  <si>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</si>
  <si>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</si>
  <si>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</si>
  <si>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</si>
  <si>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</si>
  <si>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</si>
  <si>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</si>
  <si>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</si>
  <si>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</si>
  <si>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</si>
  <si>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</si>
  <si>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</si>
  <si>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</si>
  <si>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</si>
  <si>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</si>
  <si>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</si>
  <si>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</si>
  <si>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</si>
  <si>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</si>
  <si>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</si>
  <si>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</si>
  <si>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</si>
  <si>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</si>
  <si>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</si>
  <si>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</si>
  <si>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</si>
  <si>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</si>
  <si>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</si>
  <si>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</si>
  <si>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</si>
  <si>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</si>
  <si>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</si>
  <si>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</si>
  <si>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</si>
  <si>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</si>
  <si>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</si>
  <si>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</si>
  <si>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</si>
  <si>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</si>
  <si>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</si>
  <si>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</si>
  <si>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</si>
  <si>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</si>
  <si>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</si>
  <si>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</si>
  <si>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</si>
  <si>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</si>
  <si>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</si>
  <si>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</si>
  <si>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</si>
  <si>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</si>
  <si>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</si>
  <si>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</si>
  <si>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</si>
  <si>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</si>
  <si>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</si>
  <si>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</si>
  <si>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</si>
  <si>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</si>
  <si>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</si>
  <si>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</si>
  <si>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</si>
  <si>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</si>
  <si>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</si>
  <si>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</si>
  <si>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</si>
  <si>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</si>
  <si>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</si>
  <si>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</si>
  <si>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</si>
  <si>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</si>
  <si>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</si>
  <si>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</si>
  <si>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</si>
  <si>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</si>
  <si>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</si>
  <si>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</si>
  <si>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</si>
  <si>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</si>
  <si>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</si>
  <si>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</si>
  <si>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</si>
  <si>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</si>
  <si>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</si>
  <si>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</si>
  <si>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</si>
  <si>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</si>
  <si>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</si>
  <si>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</si>
  <si>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</si>
  <si>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</si>
  <si>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</si>
  <si>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</si>
  <si>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</si>
  <si>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</si>
  <si>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</si>
  <si>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</si>
  <si>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</si>
  <si>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</si>
  <si>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</si>
  <si>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</si>
  <si>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</si>
  <si>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</si>
  <si>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</si>
  <si>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</si>
  <si>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</si>
  <si>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</si>
  <si>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</si>
  <si>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</si>
  <si>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</si>
  <si>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</si>
  <si>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</si>
  <si>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</si>
  <si>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</si>
  <si>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</si>
  <si>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</si>
  <si>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</si>
  <si>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</si>
  <si>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</si>
  <si>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</si>
  <si>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</si>
  <si>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</si>
  <si>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</si>
  <si>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</si>
  <si>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</si>
  <si>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</si>
  <si>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</si>
  <si>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</si>
  <si>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</si>
  <si>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</si>
  <si>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</si>
  <si>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</si>
  <si>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</si>
  <si>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</si>
  <si>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</si>
  <si>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</si>
  <si>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</si>
  <si>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</si>
  <si>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</si>
  <si>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</si>
  <si>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</si>
  <si>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</si>
  <si>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</si>
  <si>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</si>
  <si>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</si>
  <si>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</si>
  <si>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</si>
  <si>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</si>
  <si>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</si>
  <si>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</si>
  <si>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</si>
  <si>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</si>
  <si>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</si>
  <si>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</si>
  <si>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</si>
  <si>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</si>
  <si>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</si>
  <si>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</si>
  <si>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</si>
  <si>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</si>
  <si>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</si>
  <si>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</si>
  <si>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</si>
  <si>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</si>
  <si>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</si>
  <si>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</si>
  <si>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</si>
  <si>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</si>
  <si>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</si>
  <si>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</si>
  <si>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</si>
  <si>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</si>
  <si>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</si>
  <si>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</si>
  <si>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</si>
  <si>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</si>
  <si>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</si>
  <si>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</si>
  <si>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</si>
  <si>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</si>
  <si>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</si>
  <si>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</si>
  <si>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</si>
  <si>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</si>
  <si>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</si>
  <si>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</si>
  <si>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</si>
  <si>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</si>
  <si>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</si>
  <si>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</si>
  <si>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</si>
  <si>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</si>
  <si>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</si>
  <si>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</si>
  <si>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</si>
  <si>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</si>
  <si>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</si>
  <si>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</si>
  <si>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</si>
  <si>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</si>
  <si>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</si>
  <si>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</si>
  <si>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</si>
  <si>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</si>
  <si>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</si>
  <si>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</si>
  <si>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</si>
  <si>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</si>
  <si>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</si>
  <si>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</si>
  <si>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</si>
  <si>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</si>
  <si>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</si>
  <si>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</si>
  <si>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</si>
  <si>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</si>
  <si>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</si>
  <si>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</si>
  <si>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</si>
  <si>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</si>
  <si>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</si>
  <si>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</si>
  <si>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</si>
  <si>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</si>
  <si>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</si>
  <si>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</si>
  <si>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</si>
  <si>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</si>
  <si>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</si>
  <si>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</si>
  <si>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</si>
  <si>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</si>
  <si>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</si>
  <si>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</si>
  <si>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</si>
  <si>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</si>
  <si>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</si>
  <si>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</si>
  <si>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</si>
  <si>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</si>
  <si>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</si>
  <si>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</si>
  <si>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</si>
  <si>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</si>
  <si>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</si>
  <si>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</si>
  <si>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</si>
  <si>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</si>
  <si>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</si>
  <si>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Doç. Dr. Ahmet Erim PAMUK</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</si>
  <si>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</si>
  <si>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</si>
  <si>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</si>
  <si>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</si>
  <si>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</si>
  <si>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</si>
  <si>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</si>
  <si>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</si>
  <si>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</si>
  <si>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</si>
  <si>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</si>
  <si>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</si>
  <si>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</si>
  <si>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</si>
  <si>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</si>
  <si>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</si>
  <si>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</si>
  <si>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</si>
  <si>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</si>
  <si>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</si>
  <si>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</si>
  <si>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</si>
  <si>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</si>
  <si>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</si>
  <si>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</si>
  <si>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</si>
  <si>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</si>
  <si>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</si>
  <si>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</si>
  <si>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</si>
  <si>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</si>
  <si>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</si>
  <si>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</si>
  <si>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</si>
  <si>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</si>
  <si>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</si>
  <si>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</si>
  <si>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</si>
  <si>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</si>
  <si>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</si>
  <si>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</si>
  <si>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</si>
  <si>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</si>
  <si>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</si>
  <si>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</si>
  <si>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</si>
  <si>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</si>
  <si>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</si>
  <si>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</si>
  <si>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</si>
  <si>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</si>
  <si>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</si>
  <si>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</si>
  <si>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</si>
  <si>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</si>
  <si>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</si>
  <si>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</si>
  <si>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</si>
  <si>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Dr. Öğr. Üyesi Sevinç ASKERBEYLİ ÖRS</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</si>
  <si>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</si>
  <si>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</si>
  <si>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</si>
  <si>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</si>
  <si>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</si>
  <si>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</si>
  <si>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</si>
  <si>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</si>
  <si>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</si>
  <si>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</si>
  <si>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</si>
  <si>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</si>
  <si>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</si>
  <si>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</si>
  <si>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</si>
  <si>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</si>
  <si>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</si>
  <si>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</si>
  <si>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</si>
  <si>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</si>
  <si>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</si>
  <si>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</si>
  <si>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</si>
  <si>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</si>
  <si>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</si>
  <si>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</si>
  <si>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</si>
  <si>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</si>
  <si>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</si>
  <si>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</si>
  <si>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</si>
  <si>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</si>
  <si>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</si>
  <si>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</si>
  <si>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</si>
  <si>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</si>
  <si>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</si>
  <si>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</si>
  <si>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</si>
  <si>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</si>
  <si>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</si>
  <si>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</si>
  <si>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</si>
  <si>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</si>
  <si>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</si>
  <si>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</si>
  <si>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</si>
  <si>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</si>
  <si>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</si>
  <si>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</si>
  <si>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</si>
  <si>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</si>
  <si>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</si>
  <si>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</si>
  <si>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</si>
  <si>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</si>
  <si>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</si>
  <si>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</si>
  <si>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</si>
  <si>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</si>
  <si>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</si>
  <si>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</si>
  <si>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</si>
  <si>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</si>
  <si>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</si>
  <si>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</si>
  <si>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</si>
  <si>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</si>
  <si>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</si>
  <si>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</si>
  <si>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</si>
  <si>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</si>
  <si>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</si>
  <si>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</si>
  <si>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</si>
  <si>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</si>
  <si>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</si>
  <si>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</si>
  <si>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</si>
  <si>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</si>
  <si>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</si>
  <si>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</si>
  <si>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</si>
  <si>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</si>
  <si>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</si>
  <si>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</si>
  <si>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</si>
  <si>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</si>
  <si>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</si>
  <si>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</si>
  <si>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</si>
  <si>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</si>
  <si>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</si>
  <si>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</si>
  <si>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</si>
  <si>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</si>
  <si>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</si>
  <si>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</si>
  <si>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</si>
  <si>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</si>
  <si>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</si>
  <si>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</si>
  <si>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</si>
  <si>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</si>
  <si>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</si>
  <si>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</si>
  <si>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</si>
  <si>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</si>
  <si>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</si>
  <si>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</si>
  <si>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</si>
  <si>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</si>
  <si>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</si>
  <si>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</si>
  <si>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</si>
  <si>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</si>
  <si>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</si>
  <si>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</si>
  <si>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</si>
  <si>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</si>
  <si>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</si>
  <si>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</si>
  <si>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</si>
  <si>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</si>
  <si>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</si>
  <si>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</si>
  <si>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</si>
  <si>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</si>
  <si>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</si>
  <si>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</si>
  <si>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</si>
  <si>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</si>
  <si>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</si>
  <si>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</si>
  <si>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</si>
  <si>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</si>
  <si>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</si>
  <si>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</si>
  <si>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</si>
  <si>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</si>
  <si>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</si>
  <si>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</si>
  <si>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</si>
  <si>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</si>
  <si>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</si>
  <si>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</si>
  <si>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</si>
  <si>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</si>
  <si>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</si>
  <si>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</si>
  <si>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</si>
  <si>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</si>
  <si>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</si>
  <si>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</si>
  <si>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</si>
  <si>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</si>
  <si>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</si>
  <si>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</si>
  <si>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</si>
  <si>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</si>
  <si>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</si>
  <si>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</si>
  <si>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</si>
  <si>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</si>
  <si>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</si>
  <si>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</si>
  <si>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</si>
  <si>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</si>
  <si>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</si>
  <si>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</si>
  <si>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</si>
  <si>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</si>
  <si>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</si>
  <si>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</si>
  <si>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</si>
  <si>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</si>
  <si>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</si>
  <si>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</si>
  <si>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</si>
  <si>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</si>
  <si>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</si>
  <si>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</si>
  <si>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</si>
  <si>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</si>
  <si>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</si>
  <si>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</si>
  <si>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</si>
  <si>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</si>
  <si>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</si>
  <si>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</si>
  <si>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</si>
  <si>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</si>
  <si>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</si>
  <si>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</si>
  <si>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</si>
  <si>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</si>
  <si>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</si>
  <si>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</si>
  <si>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</si>
  <si>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</si>
  <si>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</si>
  <si>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</si>
  <si>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</si>
  <si>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</si>
  <si>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</si>
  <si>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</si>
  <si>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</si>
  <si>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</si>
  <si>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</si>
  <si>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</si>
  <si>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</si>
  <si>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</si>
  <si>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</si>
  <si>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</si>
  <si>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</si>
  <si>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</si>
  <si>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</si>
  <si>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</si>
  <si>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</si>
  <si>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</si>
  <si>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</si>
  <si>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</si>
  <si>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</si>
  <si>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</si>
  <si>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</si>
  <si>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</si>
  <si>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</si>
  <si>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</si>
  <si>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</si>
  <si>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</si>
  <si>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</si>
  <si>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</si>
  <si>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</si>
  <si>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</si>
  <si>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</si>
  <si>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</si>
  <si>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</si>
  <si>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</si>
  <si>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</si>
  <si>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</si>
  <si>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</si>
  <si>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</si>
  <si>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</si>
  <si>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</si>
  <si>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</si>
  <si>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</si>
  <si>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</si>
  <si>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</si>
  <si>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</si>
  <si>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</si>
  <si>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</si>
  <si>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</si>
  <si>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</si>
  <si>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</si>
  <si>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</si>
  <si>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</si>
  <si>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</si>
  <si>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</si>
  <si>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</si>
  <si>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</si>
  <si>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</si>
  <si>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</si>
  <si>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</si>
  <si>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</si>
  <si>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</si>
  <si>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</si>
  <si>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</si>
  <si>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</si>
  <si>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</si>
  <si>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</si>
  <si>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</si>
  <si>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</si>
  <si>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</si>
  <si>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</si>
  <si>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</si>
  <si>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</si>
  <si>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</si>
  <si>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</si>
  <si>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</si>
  <si>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</si>
  <si>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</si>
  <si>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</si>
  <si>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</si>
  <si>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</si>
  <si>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</si>
  <si>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</si>
  <si>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</si>
  <si>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</si>
  <si>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</si>
  <si>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</si>
  <si>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</si>
  <si>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</si>
  <si>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</si>
  <si>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</si>
  <si>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</si>
  <si>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</si>
  <si>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</si>
  <si>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</si>
  <si>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</si>
  <si>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</si>
  <si>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</si>
  <si>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</si>
  <si>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</si>
  <si>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</si>
  <si>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</si>
  <si>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</si>
  <si>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</si>
  <si>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</si>
  <si>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</si>
  <si>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</si>
  <si>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</si>
  <si>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</si>
  <si>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</si>
  <si>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</si>
  <si>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</si>
  <si>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</si>
  <si>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</si>
  <si>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</si>
  <si>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</si>
  <si>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</si>
  <si>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</si>
  <si>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</si>
  <si>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</si>
  <si>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</si>
  <si>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</si>
  <si>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</si>
  <si>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</si>
  <si>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</si>
  <si>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</si>
  <si>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</si>
  <si>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</si>
  <si>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</si>
  <si>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</si>
  <si>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</si>
  <si>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</si>
  <si>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</si>
  <si>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</si>
  <si>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</si>
  <si>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</si>
  <si>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</si>
  <si>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</si>
  <si>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</si>
  <si>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</si>
  <si>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</si>
  <si>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</si>
  <si>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</si>
  <si>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</si>
  <si>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</si>
  <si>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</si>
  <si>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</si>
  <si>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</si>
  <si>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</si>
  <si>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</si>
  <si>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</si>
  <si>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</si>
  <si>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</si>
  <si>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</si>
  <si>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</si>
  <si>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</si>
  <si>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</si>
  <si>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</si>
  <si>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</si>
  <si>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</si>
  <si>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</si>
  <si>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</si>
  <si>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</si>
  <si>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</si>
  <si>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</si>
  <si>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</si>
  <si>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</si>
  <si>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</si>
  <si>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</si>
  <si>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</si>
  <si>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</si>
  <si>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</si>
  <si>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</si>
  <si>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</si>
  <si>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</si>
  <si>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</si>
  <si>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</si>
  <si>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</si>
  <si>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</si>
  <si>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</si>
  <si>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</si>
  <si>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</si>
  <si>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</si>
  <si>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</si>
  <si>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</si>
  <si>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</si>
  <si>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</si>
  <si>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</si>
  <si>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</si>
  <si>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</si>
  <si>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</si>
  <si>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</si>
  <si>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</si>
  <si>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</si>
  <si>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</si>
  <si>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</si>
  <si>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</si>
  <si>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</si>
  <si>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</si>
  <si>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</si>
  <si>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</si>
  <si>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</si>
  <si>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</si>
  <si>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</si>
  <si>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</si>
  <si>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</si>
  <si>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</si>
  <si>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</si>
  <si>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</si>
  <si>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</si>
  <si>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</si>
  <si>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</si>
  <si>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</si>
  <si>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</si>
  <si>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</si>
  <si>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</si>
  <si>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</si>
  <si>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</si>
  <si>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</si>
  <si>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</si>
  <si>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</si>
  <si>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</si>
  <si>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</si>
  <si>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</si>
  <si>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</si>
  <si>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</si>
  <si>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</si>
  <si>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</si>
  <si>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</si>
  <si>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</si>
  <si>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</si>
  <si>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</si>
  <si>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</si>
  <si>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</si>
  <si>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</si>
  <si>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</si>
  <si>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</si>
  <si>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</si>
  <si>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</si>
  <si>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</si>
  <si>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</si>
  <si>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</si>
  <si>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</si>
  <si>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</si>
  <si>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</si>
  <si>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</si>
  <si>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</si>
  <si>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</si>
  <si>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</si>
  <si>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</si>
  <si>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</si>
  <si>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</si>
  <si>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</si>
  <si>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</si>
  <si>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</si>
  <si>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</si>
  <si>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</si>
  <si>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</si>
  <si>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</si>
  <si>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</si>
  <si>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</si>
  <si>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</si>
  <si>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</si>
  <si>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</si>
  <si>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</si>
  <si>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</si>
  <si>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</si>
  <si>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</si>
  <si>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</si>
  <si>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</si>
  <si>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</si>
  <si>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</si>
  <si>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</si>
  <si>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</si>
  <si>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</si>
  <si>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</si>
  <si>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</si>
  <si>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</si>
  <si>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</si>
  <si>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</si>
  <si>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</si>
  <si>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</si>
  <si>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</si>
  <si>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</si>
  <si>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</si>
  <si>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</si>
  <si>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</si>
  <si>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</si>
  <si>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</si>
  <si>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</si>
  <si>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</si>
  <si>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</si>
  <si>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</si>
  <si>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</si>
  <si>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</si>
  <si>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</si>
  <si>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</si>
  <si>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</si>
  <si>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</si>
  <si>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</si>
  <si>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</si>
  <si>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</si>
  <si>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</si>
  <si>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</si>
  <si>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</si>
  <si>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</si>
  <si>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</si>
  <si>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</si>
  <si>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</si>
  <si>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</si>
  <si>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</si>
  <si>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</si>
  <si>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</si>
  <si>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</si>
  <si>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</si>
  <si>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</si>
  <si>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</si>
  <si>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</si>
  <si>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</si>
  <si>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</si>
  <si>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</si>
  <si>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</si>
  <si>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</si>
  <si>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</si>
  <si>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</si>
  <si>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</si>
  <si>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</si>
  <si>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</si>
  <si>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</si>
  <si>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</si>
  <si>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</si>
  <si>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</si>
  <si>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</si>
  <si>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</si>
  <si>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</si>
  <si>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</si>
  <si>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</si>
  <si>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</si>
  <si>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</si>
  <si>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</si>
  <si>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</si>
  <si>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</si>
  <si>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</si>
  <si>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</si>
  <si>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</si>
  <si>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</si>
  <si>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</si>
  <si>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</si>
  <si>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</si>
  <si>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</si>
  <si>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</si>
  <si>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</si>
  <si>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</si>
  <si>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</si>
  <si>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</si>
  <si>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</si>
  <si>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</si>
  <si>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</si>
  <si>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</si>
  <si>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</si>
  <si>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</si>
  <si>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</si>
  <si>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</si>
  <si>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</si>
  <si>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</si>
  <si>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</si>
  <si>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</si>
  <si>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</si>
  <si>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</si>
  <si>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</si>
  <si>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</si>
  <si>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</si>
  <si>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</si>
  <si>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</si>
  <si>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</si>
  <si>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</si>
  <si>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</si>
  <si>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</si>
  <si>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</si>
  <si>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</si>
  <si>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</si>
  <si>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</si>
  <si>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</si>
  <si>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</si>
  <si>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</si>
  <si>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</si>
  <si>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</si>
  <si>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</si>
  <si>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</si>
  <si>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</si>
  <si>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</si>
  <si>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</si>
  <si>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</si>
  <si>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</si>
  <si>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</si>
  <si>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</si>
  <si>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</si>
  <si>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</si>
  <si>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</si>
  <si>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</si>
  <si>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</si>
  <si>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</si>
  <si>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</si>
  <si>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</si>
  <si>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</si>
  <si>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</si>
  <si>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</si>
  <si>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</si>
  <si>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</si>
  <si>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</si>
  <si>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</si>
  <si>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</si>
  <si>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</si>
  <si>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</si>
  <si>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</si>
  <si>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</si>
  <si>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</si>
  <si>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</si>
  <si>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</si>
  <si>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</si>
  <si>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</si>
  <si>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</si>
  <si>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</si>
  <si>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</si>
  <si>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</si>
  <si>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</si>
  <si>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</si>
  <si>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</si>
  <si>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</si>
  <si>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</si>
  <si>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</si>
  <si>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</si>
  <si>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</si>
  <si>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</si>
  <si>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</si>
  <si>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</si>
  <si>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</si>
  <si>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</si>
  <si>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</si>
  <si>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</si>
  <si>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</si>
  <si>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</si>
  <si>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</si>
  <si>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</si>
  <si>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</si>
  <si>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</si>
  <si>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</si>
  <si>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</si>
  <si>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</si>
  <si>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</si>
  <si>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</si>
  <si>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</si>
  <si>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</si>
  <si>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</si>
  <si>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</si>
  <si>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</si>
  <si>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</si>
  <si>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</si>
  <si>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</si>
  <si>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</si>
  <si>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</si>
  <si>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</si>
  <si>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</si>
  <si>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</si>
  <si>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</si>
  <si>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</si>
  <si>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</si>
  <si>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</si>
  <si>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</si>
  <si>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</si>
  <si>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</si>
  <si>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</si>
  <si>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</si>
  <si>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</si>
  <si>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</si>
  <si>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</si>
  <si>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</si>
  <si>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</si>
  <si>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</si>
  <si>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</si>
  <si>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</si>
  <si>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</si>
  <si>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</si>
  <si>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</si>
  <si>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</si>
  <si>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</si>
  <si>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</si>
  <si>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</si>
  <si>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</si>
  <si>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</si>
  <si>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</si>
  <si>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</si>
  <si>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</si>
  <si>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</si>
  <si>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</si>
  <si>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</si>
  <si>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</si>
  <si>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</si>
  <si>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</si>
  <si>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</si>
  <si>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</si>
  <si>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</si>
  <si>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</si>
  <si>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</si>
  <si>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</si>
  <si>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</si>
  <si>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</si>
  <si>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</si>
  <si>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</si>
  <si>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</si>
  <si>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</si>
  <si>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</si>
  <si>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</si>
  <si>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</si>
  <si>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</si>
  <si>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</si>
  <si>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</si>
  <si>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</si>
  <si>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</si>
  <si>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</si>
  <si>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</si>
  <si>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</si>
  <si>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</si>
  <si>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</si>
  <si>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</si>
  <si>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</si>
  <si>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</si>
  <si>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</si>
  <si>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</si>
  <si>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</si>
  <si>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</si>
  <si>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</si>
  <si>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</si>
  <si>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</si>
  <si>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</si>
  <si>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</si>
  <si>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</si>
  <si>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</si>
  <si>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</si>
  <si>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</si>
  <si>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</si>
  <si>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</si>
  <si>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</si>
  <si>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</si>
  <si>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</si>
  <si>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</si>
  <si>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</si>
  <si>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</si>
  <si>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</si>
  <si>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</si>
  <si>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</si>
  <si>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</si>
  <si>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</si>
  <si>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</si>
  <si>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</si>
  <si>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</si>
  <si>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</si>
  <si>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</si>
  <si>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</si>
  <si>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</si>
  <si>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</si>
  <si>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</si>
  <si>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</si>
  <si>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</si>
  <si>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</si>
  <si>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</si>
  <si>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</si>
  <si>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</si>
  <si>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</si>
  <si>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</si>
  <si>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</si>
  <si>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</si>
  <si>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</si>
  <si>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</si>
  <si>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</si>
  <si>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</si>
  <si>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</si>
  <si>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</si>
  <si>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</si>
  <si>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</si>
  <si>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</si>
  <si>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</si>
  <si>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</si>
  <si>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</si>
  <si>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</si>
  <si>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</si>
  <si>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</si>
  <si>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</si>
  <si>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</si>
  <si>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</si>
  <si>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</si>
  <si>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</si>
  <si>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</si>
  <si>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</si>
  <si>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</si>
  <si>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</si>
  <si>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</si>
  <si>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</si>
  <si>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</si>
  <si>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</si>
  <si>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</si>
  <si>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</si>
  <si>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</si>
  <si>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</si>
  <si>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</si>
  <si>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</si>
  <si>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</si>
  <si>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</si>
  <si>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</si>
  <si>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</si>
  <si>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</si>
  <si>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</si>
  <si>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</si>
  <si>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</si>
  <si>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</si>
  <si>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</si>
  <si>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</si>
  <si>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</si>
  <si>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</si>
  <si>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</si>
  <si>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</si>
  <si>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</si>
  <si>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</si>
  <si>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</si>
  <si>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</si>
  <si>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</si>
  <si>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</si>
  <si>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</si>
  <si>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</si>
  <si>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</si>
  <si>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</si>
  <si>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</si>
  <si>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</si>
  <si>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</si>
  <si>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</si>
  <si>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</si>
  <si>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</si>
  <si>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</si>
  <si>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</si>
  <si>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</si>
  <si>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</si>
  <si>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</si>
  <si>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</si>
  <si>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</si>
  <si>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</si>
  <si>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</si>
  <si>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</si>
  <si>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</si>
  <si>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</si>
  <si>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</si>
  <si>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</si>
  <si>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</si>
  <si>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</si>
  <si>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</si>
  <si>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</si>
  <si>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</si>
  <si>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</si>
  <si>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</si>
  <si>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</si>
  <si>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</si>
  <si>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</si>
  <si>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</si>
  <si>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</si>
  <si>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</si>
  <si>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</si>
  <si>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</si>
  <si>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</si>
  <si>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</si>
  <si>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</si>
  <si>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</si>
  <si>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</si>
  <si>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</si>
  <si>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</si>
  <si>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</si>
  <si>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</si>
  <si>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</si>
  <si>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</si>
  <si>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</si>
  <si>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</si>
  <si>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</si>
  <si>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</si>
  <si>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</si>
  <si>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</si>
  <si>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</si>
  <si>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</si>
  <si>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</si>
  <si>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</si>
  <si>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</si>
  <si>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</si>
  <si>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</si>
  <si>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</si>
  <si>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</si>
  <si>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</si>
  <si>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</si>
  <si>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</si>
  <si>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</si>
  <si>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</si>
  <si>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</si>
  <si>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</si>
  <si>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</si>
  <si>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</si>
  <si>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</si>
  <si>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</si>
  <si>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</si>
  <si>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</si>
  <si>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</si>
  <si>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</si>
  <si>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</si>
  <si>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</si>
  <si>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</si>
  <si>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</si>
  <si>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</si>
  <si>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</si>
  <si>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</si>
  <si>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</si>
  <si>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</si>
  <si>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</si>
  <si>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</si>
  <si>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</si>
  <si>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</si>
  <si>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</si>
  <si>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</si>
  <si>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</si>
  <si>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</si>
  <si>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</si>
  <si>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</si>
  <si>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</si>
  <si>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</si>
  <si>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</si>
  <si>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</si>
  <si>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</si>
  <si>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</si>
  <si>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</si>
  <si>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</si>
  <si>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</si>
  <si>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</si>
  <si>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</si>
  <si>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</si>
  <si>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</si>
  <si>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</si>
  <si>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</si>
  <si>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</si>
  <si>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</si>
  <si>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</si>
  <si>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</si>
  <si>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</si>
  <si>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</si>
  <si>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</si>
  <si>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</si>
  <si>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</si>
  <si>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</si>
  <si>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</si>
  <si>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</si>
  <si>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</si>
  <si>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</si>
  <si>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</si>
  <si>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</si>
  <si>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</si>
  <si>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</si>
  <si>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</si>
  <si>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</si>
  <si>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</si>
  <si>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</si>
  <si>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</si>
  <si>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</si>
  <si>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</si>
  <si>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</si>
  <si>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</si>
  <si>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</si>
  <si>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</si>
  <si>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</si>
  <si>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</si>
  <si>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</si>
  <si>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</si>
  <si>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</si>
  <si>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</si>
  <si>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</si>
  <si>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</si>
  <si>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</si>
  <si>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</si>
  <si>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</si>
  <si>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</si>
  <si>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</si>
  <si>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</si>
  <si>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</si>
  <si>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</si>
  <si>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</si>
  <si>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</si>
  <si>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</si>
  <si>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</si>
  <si>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</si>
  <si>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</si>
  <si>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</si>
  <si>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</si>
  <si>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</si>
  <si>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</si>
  <si>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</si>
  <si>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</si>
  <si>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</si>
  <si>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</si>
  <si>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</si>
  <si>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</si>
  <si>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</si>
  <si>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</si>
  <si>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</si>
  <si>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</si>
  <si>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</si>
  <si>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</si>
  <si>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</si>
  <si>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</si>
  <si>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</si>
  <si>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</si>
  <si>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</si>
  <si>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</si>
  <si>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</si>
  <si>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</si>
  <si>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</si>
  <si>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</si>
  <si>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</si>
  <si>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</si>
  <si>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</si>
  <si>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</si>
  <si>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</si>
  <si>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</si>
  <si>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</si>
  <si>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</si>
  <si>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</si>
  <si>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</si>
  <si>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</si>
  <si>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</si>
  <si>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</si>
  <si>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</si>
  <si>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</si>
  <si>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</si>
  <si>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</si>
  <si>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</si>
  <si>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</si>
  <si>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</si>
  <si>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</si>
  <si>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</si>
  <si>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</si>
  <si>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</si>
  <si>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</si>
  <si>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</si>
  <si>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</si>
  <si>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</si>
  <si>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</si>
  <si>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</si>
  <si>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</si>
  <si>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</si>
  <si>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</si>
  <si>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</si>
  <si>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</si>
  <si>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</si>
  <si>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</si>
  <si>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</si>
  <si>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</si>
  <si>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</si>
  <si>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</si>
  <si>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</si>
  <si>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</si>
  <si>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</si>
  <si>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</si>
  <si>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</si>
  <si>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</si>
  <si>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</si>
  <si>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</si>
  <si>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</si>
  <si>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</si>
  <si>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</si>
  <si>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</si>
  <si>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</si>
  <si>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</si>
  <si>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</si>
  <si>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</si>
  <si>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</si>
  <si>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</si>
  <si>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</si>
  <si>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</si>
  <si>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</si>
  <si>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</si>
  <si>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</si>
  <si>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</si>
  <si>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</si>
  <si>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</si>
  <si>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</si>
  <si>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</si>
  <si>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</si>
  <si>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</si>
  <si>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</si>
  <si>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</si>
  <si>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</si>
  <si>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</si>
  <si>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</si>
  <si>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</si>
  <si>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</si>
  <si>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</si>
  <si>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</si>
  <si>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</si>
  <si>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</si>
  <si>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</si>
  <si>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</si>
  <si>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</si>
  <si>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</si>
  <si>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</si>
  <si>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</si>
  <si>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</si>
  <si>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</si>
  <si>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</si>
  <si>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</si>
  <si>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</si>
  <si>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</si>
  <si>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</si>
  <si>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</si>
  <si>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</si>
  <si>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</si>
  <si>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</si>
  <si>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</si>
  <si>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</si>
  <si>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</si>
  <si>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</si>
  <si>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</si>
  <si>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</si>
  <si>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</si>
  <si>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</si>
  <si>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</si>
  <si>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</si>
  <si>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</si>
  <si>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</si>
  <si>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</si>
  <si>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</si>
  <si>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</si>
  <si>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</si>
  <si>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</si>
  <si>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</si>
  <si>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</si>
  <si>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</si>
  <si>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</si>
  <si>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</si>
  <si>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</si>
  <si>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</si>
  <si>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</si>
  <si>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</si>
  <si>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</si>
  <si>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</si>
  <si>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</si>
  <si>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</si>
  <si>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</si>
  <si>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</si>
  <si>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</si>
  <si>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</si>
  <si>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</si>
  <si>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</si>
  <si>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</si>
  <si>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</si>
  <si>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</si>
  <si>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</si>
  <si>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</si>
  <si>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</si>
  <si>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</si>
  <si>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</si>
  <si>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</si>
  <si>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</si>
  <si>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</si>
  <si>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HACETTEPE ÜNİVERSİTESİ SAĞLIK BİLİMLERİ ARAŞTIRMA ETİK KURULU - TOPLANTI BAZLI KARAR TABLOSU (2026)</t>
  </si>
  <si>
    <t>Sıra</t>
  </si>
  <si>
    <t>Toplantı Tarihi</t>
  </si>
  <si>
    <t>Toplantı No</t>
  </si>
  <si>
    <t>Bekliyor</t>
  </si>
  <si>
    <t>Onay Oranı (%)</t>
  </si>
  <si>
    <t>Notlar</t>
  </si>
  <si>
    <t>NOT: Bu tablo, Başvuru sayfasındaki verilerden COUNTIFS formülleri ile otomatik olarak hesaplanmaktadır. Yeni kararlar Başvuru sayfasına girildikçe tablo güncellenecektir.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</si>
</sst>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Son güncelleme: &quot;dd/mm/yyyy"/>
    <numFmt numFmtId="165" formatCode="[$-F800]dddd&quot;, &quot;mmmm\ dd&quot;, &quot;yyyy"/>
    <numFmt numFmtId="166" formatCode="m/d/yyyy"/>
    <numFmt numFmtId="167" formatCode="0.0%"/>
  </numFmts>
  <fonts count="89"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sz val="12"/>
      <color rgb="FFFFFF00"/>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sz val="24"/>
      <color rgb="FFFFFF00"/>
      <name val="Times New Roman"/>
      <family val="1"/>
      <charset val="162"/>
    </font>
    <font>
      <sz val="36"/>
      <color rgb="FF002060"/>
      <name val="Times New Roman"/>
      <family val="1"/>
      <charset val="162"/>
    </font>
    <font>
      <b/>
      <sz val="36"/>
      <color rgb="FF002060"/>
      <name val="Times New Roman"/>
      <family val="1"/>
      <charset val="162"/>
    </font>
    <font>
      <sz val="36"/>
      <color rgb="FFFFFF00"/>
      <name val="Times New Roman"/>
      <family val="1"/>
      <charset val="162"/>
    </font>
    <font>
      <sz val="16"/>
      <name val="Times New Roman"/>
      <family val="1"/>
      <charset val="162"/>
    </font>
    <font>
      <sz val="16"/>
      <color rgb="FFFFFF00"/>
      <name val="Times New Roman"/>
      <family val="1"/>
      <charset val="162"/>
    </font>
    <font>
      <b/>
      <sz val="13"/>
      <color rgb="FFFFFFFF"/>
      <name val="Calibri"/>
      <charset val="1"/>
    </font>
    <font>
      <b/>
      <sz val="10"/>
      <color rgb="FFFFFFFF"/>
      <name val="Calibri"/>
      <charset val="1"/>
    </font>
    <font>
      <i/>
      <sz val="8"/>
      <color rgb="FF8C8880"/>
      <name val="Calibri"/>
      <charset val="1"/>
    </font>
    <font>
      <b/>
      <sz val="8"/>
      <color rgb="FF2E7D32"/>
      <name val="Calibri"/>
      <charset val="1"/>
    </font>
    <font>
      <b/>
      <sz val="8"/>
      <color rgb="FFE65100"/>
      <name val="Calibri"/>
      <charset val="1"/>
    </font>
    <font>
      <b/>
      <sz val="8"/>
      <color rgb="FF1565C0"/>
      <name val="Calibri"/>
      <charset val="1"/>
    </font>
    <font>
      <b/>
      <sz val="8"/>
      <color rgb="FF4527A0"/>
      <name val="Calibri"/>
      <charset val="1"/>
    </font>
    <font>
      <b/>
      <sz val="8"/>
      <color rgb="FFC62828"/>
      <name val="Calibri"/>
      <charset val="1"/>
    </font>
    <font>
      <b/>
      <sz val="8"/>
      <color rgb="FF616161"/>
      <name val="Calibri"/>
      <charset val="1"/>
    </font>
    <font>
      <b/>
      <sz val="8"/>
      <color rgb="FF795548"/>
      <name val="Calibri"/>
      <charset val="1"/>
    </font>
    <font>
      <b/>
      <sz val="9"/>
      <color rgb="FFE65100"/>
      <name val="Calibri"/>
      <charset val="1"/>
    </font>
    <font>
      <b/>
      <sz val="10"/>
      <color rgb="FF2E7D32"/>
      <name val="Calibri"/>
      <charset val="1"/>
    </font>
    <font>
      <b/>
      <sz val="10"/>
      <color rgb="FFE65100"/>
      <name val="Calibri"/>
      <charset val="1"/>
    </font>
    <font>
      <b/>
      <sz val="10"/>
      <color rgb="FF1565C0"/>
      <name val="Calibri"/>
      <charset val="1"/>
    </font>
    <font>
      <sz val="9"/>
      <color rgb="FFE0DCD4"/>
      <name val="Calibri"/>
      <charset val="1"/>
    </font>
    <font>
      <b/>
      <sz val="10"/>
      <color rgb="FF795548"/>
      <name val="Calibri"/>
      <charset val="1"/>
    </font>
    <font>
      <b/>
      <sz val="9"/>
      <color rgb="FF1565C0"/>
      <name val="Calibri"/>
      <charset val="1"/>
    </font>
    <font>
      <b/>
      <sz val="9"/>
      <color rgb="FF4527A0"/>
      <name val="Calibri"/>
      <charset val="1"/>
    </font>
    <font>
      <b/>
      <sz val="9"/>
      <color rgb="FFC62828"/>
      <name val="Calibri"/>
      <charset val="1"/>
    </font>
    <font>
      <b/>
      <sz val="8"/>
      <color rgb="FFFFFFFF"/>
      <name val="Calibri"/>
      <charset val="1"/>
    </font>
    <font>
      <sz val="8"/>
      <color rgb="FF8C8880"/>
      <name val="Calibri"/>
      <charset val="1"/>
    </font>
    <font>
      <b/>
      <sz val="9"/>
      <color rgb="FF1A2A34"/>
      <name val="Calibri"/>
      <charset val="1"/>
    </font>
    <font>
      <sz val="8"/>
      <color rgb="FF5A7A8A"/>
      <name val="Calibri"/>
      <charset val="1"/>
    </font>
    <font>
      <sz val="8"/>
      <color rgb="FF1A1814"/>
      <name val="Calibri"/>
      <charset val="1"/>
    </font>
    <font>
      <sz val="10"/>
      <color rgb="FFB0BEC5"/>
      <name val="Calibri"/>
      <charset val="1"/>
    </font>
    <font>
      <sz val="9"/>
      <color rgb="FF1A1814"/>
      <name val="Calibri"/>
      <charset val="1"/>
    </font>
    <font>
      <b/>
      <sz val="8"/>
      <color rgb="FF2D4A5A"/>
      <name val="Calibri"/>
      <charset val="1"/>
    </font>
    <font>
      <b/>
      <sz val="9"/>
      <color rgb="FF2E7D32"/>
      <name val="Calibri"/>
      <charset val="1"/>
    </font>
    <font>
      <sz val="9"/>
      <color rgb="FF2E7D32"/>
      <name val="Calibri"/>
      <charset val="1"/>
    </font>
    <font>
      <sz val="9"/>
      <color rgb="FFE65100"/>
      <name val="Calibri"/>
      <charset val="1"/>
    </font>
    <font>
      <sz val="9"/>
      <color rgb="FF1565C0"/>
      <name val="Calibri"/>
      <charset val="1"/>
    </font>
    <font>
      <b/>
      <sz val="10"/>
      <color rgb="FF4527A0"/>
      <name val="Calibri"/>
      <charset val="1"/>
    </font>
    <font>
      <sz val="9"/>
      <color rgb="FF4527A0"/>
      <name val="Calibri"/>
      <charset val="1"/>
    </font>
    <font>
      <b/>
      <sz val="10"/>
      <color rgb="FFC62828"/>
      <name val="Calibri"/>
      <charset val="1"/>
    </font>
    <font>
      <sz val="9"/>
      <color rgb="FFC62828"/>
      <name val="Calibri"/>
      <charset val="1"/>
    </font>
    <font>
      <b/>
      <sz val="9"/>
      <color rgb="FF616161"/>
      <name val="Calibri"/>
      <charset val="1"/>
    </font>
    <font>
      <b/>
      <sz val="10"/>
      <color rgb="FF616161"/>
      <name val="Calibri"/>
      <charset val="1"/>
    </font>
    <font>
      <sz val="9"/>
      <color rgb="FF616161"/>
      <name val="Calibri"/>
      <charset val="1"/>
    </font>
    <font>
      <b/>
      <sz val="9"/>
      <color rgb="FF1A1814"/>
      <name val="Calibri"/>
      <charset val="1"/>
    </font>
    <font>
      <sz val="9"/>
      <color rgb="FFC8502A"/>
      <name val="Calibri"/>
      <charset val="1"/>
    </font>
    <font>
      <b/>
      <sz val="13"/>
      <color rgb="FFFFFFFF"/>
      <name val="Arial"/>
      <charset val="1"/>
    </font>
    <font>
      <b/>
      <sz val="11"/>
      <color rgb="FFFFFFFF"/>
      <name val="Arial"/>
      <charset val="1"/>
    </font>
    <font>
      <sz val="10"/>
      <name val="Arial"/>
      <charset val="1"/>
    </font>
    <font>
      <b/>
      <sz val="10"/>
      <name val="Arial"/>
      <charset val="1"/>
    </font>
    <font>
      <i/>
      <sz val="9"/>
      <color rgb="FF595959"/>
      <name val="Arial"/>
      <charset val="1"/>
    </font>
    <font>
      <sz val="11"/>
      <color theme="1"/>
      <name val="Calibri"/>
      <family val="2"/>
      <charset val="162"/>
    </font>
  </fonts>
  <fills count="42">
    <fill>
      <patternFill patternType="none"/>
    </fill>
    <fill>
      <patternFill patternType="gray125"/>
    </fill>
    <fill>
      <patternFill patternType="solid">
        <fgColor rgb="FF1B3A4B"/>
        <bgColor rgb="FF1F3864"/>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7F5F2"/>
      </patternFill>
    </fill>
    <fill>
      <patternFill patternType="solid">
        <fgColor rgb="FFE8F5E9"/>
        <bgColor rgb="FFEBF4F8"/>
      </patternFill>
    </fill>
    <fill>
      <patternFill patternType="solid">
        <fgColor rgb="FFFFFFFF"/>
        <bgColor rgb="FFFAFAFA"/>
      </patternFill>
    </fill>
    <fill>
      <patternFill patternType="solid">
        <fgColor rgb="FFFFF3E0"/>
        <bgColor rgb="FFFFF8E1"/>
      </patternFill>
    </fill>
    <fill>
      <patternFill patternType="solid">
        <fgColor rgb="FFEDE7F6"/>
        <bgColor rgb="FFDEEAF1"/>
      </patternFill>
    </fill>
    <fill>
      <patternFill patternType="solid">
        <fgColor rgb="FFFFEBEE"/>
        <bgColor rgb="FFFFF3E0"/>
      </patternFill>
    </fill>
    <fill>
      <patternFill patternType="solid">
        <fgColor theme="4" tint="-0.499984740745262"/>
        <bgColor rgb="FF1B5E7B"/>
      </patternFill>
    </fill>
    <fill>
      <patternFill patternType="solid">
        <fgColor rgb="FF002060"/>
        <bgColor rgb="FF0E2833"/>
      </patternFill>
    </fill>
    <fill>
      <patternFill patternType="solid">
        <fgColor rgb="FF00B050"/>
        <bgColor rgb="FF2E7D32"/>
      </patternFill>
    </fill>
    <fill>
      <patternFill patternType="solid">
        <fgColor theme="5" tint="0.39988402966399123"/>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62828"/>
      </patternFill>
    </fill>
    <fill>
      <patternFill patternType="solid">
        <fgColor theme="1"/>
        <bgColor rgb="FF1A1814"/>
      </patternFill>
    </fill>
    <fill>
      <patternFill patternType="solid">
        <fgColor rgb="FF1B5E7B"/>
        <bgColor rgb="FF1F4E79"/>
      </patternFill>
    </fill>
    <fill>
      <patternFill patternType="solid">
        <fgColor rgb="FFC8502A"/>
        <bgColor rgb="FFC55A11"/>
      </patternFill>
    </fill>
    <fill>
      <patternFill patternType="solid">
        <fgColor rgb="FF4527A0"/>
        <bgColor rgb="FF7030A0"/>
      </patternFill>
    </fill>
    <fill>
      <patternFill patternType="solid">
        <fgColor rgb="FFEBF4FA"/>
        <bgColor rgb="FFEBF4F8"/>
      </patternFill>
    </fill>
    <fill>
      <patternFill patternType="solid">
        <fgColor theme="4" tint="0.59987182226020086"/>
        <bgColor rgb="FFC8D8E0"/>
      </patternFill>
    </fill>
    <fill>
      <patternFill patternType="solid">
        <fgColor theme="4" tint="0.39988402966399123"/>
        <bgColor rgb="FF95B3D7"/>
      </patternFill>
    </fill>
    <fill>
      <patternFill patternType="solid">
        <fgColor rgb="FFFFFF00"/>
        <bgColor rgb="FFFFD966"/>
      </patternFill>
    </fill>
    <fill>
      <patternFill patternType="solid">
        <fgColor theme="8" tint="-0.249977111117893"/>
        <bgColor rgb="FF1F4E79"/>
      </patternFill>
    </fill>
    <fill>
      <patternFill patternType="solid">
        <fgColor rgb="FF2D4A5A"/>
        <bgColor rgb="FF1F4E79"/>
      </patternFill>
    </fill>
    <fill>
      <patternFill patternType="solid">
        <fgColor rgb="FFF7F5F2"/>
        <bgColor rgb="FFF5F5F5"/>
      </patternFill>
    </fill>
    <fill>
      <patternFill patternType="solid">
        <fgColor rgb="FFFFF8E1"/>
        <bgColor rgb="FFFFF3E0"/>
      </patternFill>
    </fill>
    <fill>
      <patternFill patternType="solid">
        <fgColor rgb="FFE3F2FD"/>
        <bgColor rgb="FFEBF4FA"/>
      </patternFill>
    </fill>
    <fill>
      <patternFill patternType="solid">
        <fgColor rgb="FFFFF9C4"/>
        <bgColor rgb="FFFFF8E1"/>
      </patternFill>
    </fill>
    <fill>
      <patternFill patternType="solid">
        <fgColor rgb="FFFAFAFA"/>
        <bgColor rgb="FFF7FAFB"/>
      </patternFill>
    </fill>
    <fill>
      <patternFill patternType="solid">
        <fgColor rgb="FFEEF3F6"/>
        <bgColor rgb="FFEBF4F8"/>
      </patternFill>
    </fill>
    <fill>
      <patternFill patternType="solid">
        <fgColor rgb="FF0E2833"/>
        <bgColor rgb="FF1A1814"/>
      </patternFill>
    </fill>
    <fill>
      <patternFill patternType="solid">
        <fgColor rgb="FFF7FAFB"/>
        <bgColor rgb="FFFAFAFA"/>
      </patternFill>
    </fill>
    <fill>
      <patternFill patternType="solid">
        <fgColor rgb="FF2E7D32"/>
        <bgColor rgb="FF2D6A8A"/>
      </patternFill>
    </fill>
    <fill>
      <patternFill patternType="solid">
        <fgColor rgb="FFE65100"/>
        <bgColor rgb="FFC55A11"/>
      </patternFill>
    </fill>
    <fill>
      <patternFill patternType="solid">
        <fgColor rgb="FF1F3864"/>
        <bgColor rgb="FF1B3A4B"/>
      </patternFill>
    </fill>
    <fill>
      <patternFill patternType="solid">
        <fgColor rgb="FF2E75B6"/>
        <bgColor rgb="FF2D6A8A"/>
      </patternFill>
    </fill>
    <fill>
      <patternFill patternType="solid">
        <fgColor rgb="FFDEEAF1"/>
        <bgColor rgb="FFD6E8F0"/>
      </patternFill>
    </fill>
  </fills>
  <borders count="36">
    <border>
      <left/>
      <right/>
      <top/>
      <bottom/>
      <diagonal/>
    </border>
    <border>
      <left style="thin">
        <color rgb="FFC8D8E0"/>
      </left>
      <right style="thin">
        <color rgb="FFC8D8E0"/>
      </right>
      <top style="thin">
        <color rgb="FFC8D8E0"/>
      </top>
      <bottom style="thin">
        <color rgb="FFC8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right style="thin">
        <color rgb="FF002060"/>
      </right>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D0CBC0"/>
      </left>
      <right style="thin">
        <color rgb="FFD0CBC0"/>
      </right>
      <top style="thin">
        <color rgb="FFD0CBC0"/>
      </top>
      <bottom style="thin">
        <color rgb="FFD0CBC0"/>
      </bottom>
      <diagonal/>
    </border>
    <border>
      <left/>
      <right/>
      <top style="thin">
        <color auto="1"/>
      </top>
      <bottom/>
      <diagonal/>
    </border>
    <border>
      <left/>
      <right/>
      <top style="thin">
        <color rgb="FF002060"/>
      </top>
      <bottom/>
      <diagonal/>
    </border>
    <border>
      <left style="thin">
        <color rgb="FFFFFF00"/>
      </left>
      <right style="thin">
        <color rgb="FF002060"/>
      </right>
      <top style="thin">
        <color rgb="FFFFFF00"/>
      </top>
      <bottom style="thin">
        <color rgb="FFFFFF00"/>
      </bottom>
      <diagonal/>
    </border>
    <border>
      <left style="thin">
        <color rgb="FFFFFF00"/>
      </left>
      <right style="thin">
        <color rgb="FF002060"/>
      </right>
      <top style="thin">
        <color rgb="FFFFFF00"/>
      </top>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thin">
        <color auto="1"/>
      </left>
      <right style="medium">
        <color auto="1"/>
      </right>
      <top/>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
      <left style="thin">
        <color rgb="FF95B3D7"/>
      </left>
      <right style="thin">
        <color rgb="FF95B3D7"/>
      </right>
      <top style="thin">
        <color rgb="FF95B3D7"/>
      </top>
      <bottom style="thin">
        <color rgb="FF95B3D7"/>
      </bottom>
      <diagonal/>
    </border>
  </borders>
  <cellStyleXfs count="8">
    <xf numFmtId="0" fontId="0" fillId="0" borderId="0"/>
    <xf numFmtId="0" fontId="1" fillId="0" borderId="0"/>
    <xf numFmtId="0" fontId="88" fillId="0" borderId="0" applyBorder="0" applyProtection="0"/>
    <xf numFmtId="0" fontId="88" fillId="0" borderId="0" applyBorder="0" applyProtection="0"/>
    <xf numFmtId="0" fontId="88" fillId="0" borderId="0" applyBorder="0" applyProtection="0"/>
    <xf numFmtId="0" fontId="88" fillId="0" borderId="0" applyBorder="0" applyProtection="0">
      <alignment horizontal="left"/>
    </xf>
    <xf numFmtId="0" fontId="2" fillId="0" borderId="0" applyBorder="0" applyProtection="0">
      <alignment horizontal="left"/>
    </xf>
    <xf numFmtId="0" fontId="2" fillId="0" borderId="0" applyBorder="0" applyProtection="0"/>
  </cellStyleXfs>
  <cellXfs count="263">
    <xf numFmtId="0" fontId="0" fillId="0" borderId="0" xfId="0"/>
    <xf numFmtId="0" fontId="24" fillId="16" borderId="6"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5" fontId="15" fillId="0" borderId="2" xfId="0" applyNumberFormat="1" applyFont="1" applyBorder="1" applyAlignment="1">
      <alignment horizontal="center" vertical="center"/>
    </xf>
    <xf numFmtId="166"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16" fillId="0" borderId="5"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19" fillId="13"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165" fontId="15" fillId="0" borderId="0" xfId="0" applyNumberFormat="1" applyFont="1" applyAlignment="1">
      <alignment horizontal="center" vertical="center"/>
    </xf>
    <xf numFmtId="166" fontId="15" fillId="0" borderId="0" xfId="0" applyNumberFormat="1" applyFont="1" applyAlignment="1">
      <alignment horizontal="center" vertical="center"/>
    </xf>
    <xf numFmtId="0" fontId="15" fillId="0" borderId="6" xfId="0" applyFont="1" applyBorder="1" applyAlignment="1">
      <alignment horizontal="justify" vertical="top"/>
    </xf>
    <xf numFmtId="0" fontId="20" fillId="14" borderId="7" xfId="0" applyFont="1" applyFill="1" applyBorder="1" applyAlignment="1">
      <alignment horizontal="right" vertical="center"/>
    </xf>
    <xf numFmtId="0" fontId="20" fillId="14" borderId="8" xfId="0" applyFont="1" applyFill="1" applyBorder="1" applyAlignment="1">
      <alignment horizontal="center" vertical="center"/>
    </xf>
    <xf numFmtId="0" fontId="20" fillId="14" borderId="7" xfId="0" applyFont="1" applyFill="1" applyBorder="1" applyAlignment="1">
      <alignment horizontal="center" vertical="center"/>
    </xf>
    <xf numFmtId="0" fontId="20" fillId="14" borderId="9" xfId="0" applyFont="1" applyFill="1" applyBorder="1" applyAlignment="1">
      <alignment horizontal="center" vertical="center"/>
    </xf>
    <xf numFmtId="0" fontId="20" fillId="15" borderId="7" xfId="0" applyFont="1" applyFill="1" applyBorder="1" applyAlignment="1">
      <alignment horizontal="right" vertical="center"/>
    </xf>
    <xf numFmtId="0" fontId="20" fillId="15" borderId="8" xfId="0" applyFont="1" applyFill="1" applyBorder="1" applyAlignment="1">
      <alignment horizontal="center" vertical="center"/>
    </xf>
    <xf numFmtId="0" fontId="20" fillId="15" borderId="7" xfId="0" applyFont="1" applyFill="1" applyBorder="1" applyAlignment="1">
      <alignment horizontal="center" vertical="center"/>
    </xf>
    <xf numFmtId="0" fontId="20" fillId="15" borderId="10" xfId="0" applyFont="1" applyFill="1" applyBorder="1" applyAlignment="1">
      <alignment horizontal="center" vertical="center"/>
    </xf>
    <xf numFmtId="0" fontId="20" fillId="13" borderId="7" xfId="0" applyFont="1" applyFill="1" applyBorder="1" applyAlignment="1">
      <alignment horizontal="right" vertical="center"/>
    </xf>
    <xf numFmtId="0" fontId="20" fillId="13" borderId="8" xfId="0" applyFont="1" applyFill="1" applyBorder="1" applyAlignment="1">
      <alignment horizontal="center" vertical="center"/>
    </xf>
    <xf numFmtId="0" fontId="20" fillId="13" borderId="7" xfId="0" applyFont="1" applyFill="1" applyBorder="1" applyAlignment="1">
      <alignment horizontal="center" vertical="center"/>
    </xf>
    <xf numFmtId="0" fontId="20" fillId="16" borderId="7" xfId="0" applyFont="1" applyFill="1" applyBorder="1" applyAlignment="1">
      <alignment horizontal="right" vertical="center"/>
    </xf>
    <xf numFmtId="0" fontId="20" fillId="16" borderId="8" xfId="0" applyFont="1" applyFill="1" applyBorder="1" applyAlignment="1">
      <alignment horizontal="center" vertical="center"/>
    </xf>
    <xf numFmtId="0" fontId="20" fillId="16" borderId="7" xfId="0" applyFont="1" applyFill="1" applyBorder="1" applyAlignment="1">
      <alignment horizontal="center" vertical="center"/>
    </xf>
    <xf numFmtId="0" fontId="20" fillId="17" borderId="7" xfId="0" applyFont="1" applyFill="1" applyBorder="1" applyAlignment="1">
      <alignment horizontal="right" vertical="center"/>
    </xf>
    <xf numFmtId="0" fontId="20" fillId="17" borderId="8" xfId="0" applyFont="1" applyFill="1" applyBorder="1" applyAlignment="1">
      <alignment horizontal="center" vertical="center"/>
    </xf>
    <xf numFmtId="0" fontId="20" fillId="17" borderId="7" xfId="0" applyFont="1" applyFill="1" applyBorder="1" applyAlignment="1">
      <alignment horizontal="center" vertical="center"/>
    </xf>
    <xf numFmtId="0" fontId="20" fillId="18" borderId="10" xfId="0" applyFont="1" applyFill="1" applyBorder="1" applyAlignment="1">
      <alignment horizontal="right" vertical="center"/>
    </xf>
    <xf numFmtId="0" fontId="20" fillId="18" borderId="11" xfId="0" applyFont="1" applyFill="1" applyBorder="1" applyAlignment="1">
      <alignment horizontal="center" vertical="center"/>
    </xf>
    <xf numFmtId="0" fontId="20" fillId="18" borderId="10" xfId="0" applyFont="1" applyFill="1" applyBorder="1" applyAlignment="1">
      <alignment horizontal="center" vertical="center"/>
    </xf>
    <xf numFmtId="0" fontId="20" fillId="19" borderId="7" xfId="0" applyFont="1" applyFill="1" applyBorder="1" applyAlignment="1">
      <alignment horizontal="right" vertical="center"/>
    </xf>
    <xf numFmtId="0" fontId="20" fillId="19" borderId="8" xfId="0" applyFont="1" applyFill="1" applyBorder="1" applyAlignment="1">
      <alignment horizontal="center" vertical="center"/>
    </xf>
    <xf numFmtId="0" fontId="20" fillId="19" borderId="7" xfId="0" applyFont="1" applyFill="1" applyBorder="1" applyAlignment="1">
      <alignment horizontal="center" vertical="center"/>
    </xf>
    <xf numFmtId="0" fontId="21" fillId="13" borderId="10" xfId="0" applyFont="1" applyFill="1" applyBorder="1" applyAlignment="1">
      <alignment horizontal="right" vertical="center"/>
    </xf>
    <xf numFmtId="0" fontId="21" fillId="13" borderId="12" xfId="0" applyFont="1" applyFill="1" applyBorder="1" applyAlignment="1">
      <alignment horizontal="center" vertical="center"/>
    </xf>
    <xf numFmtId="0" fontId="21" fillId="13" borderId="10" xfId="0" applyFont="1" applyFill="1" applyBorder="1" applyAlignment="1">
      <alignment horizontal="center" vertical="center"/>
    </xf>
    <xf numFmtId="0" fontId="22" fillId="0" borderId="0" xfId="0" applyFont="1" applyAlignment="1">
      <alignment horizontal="left" vertical="center"/>
    </xf>
    <xf numFmtId="0" fontId="23" fillId="0" borderId="0" xfId="0" applyFont="1" applyAlignment="1">
      <alignment horizontal="center" vertical="center"/>
    </xf>
    <xf numFmtId="0" fontId="23" fillId="0" borderId="0" xfId="0" applyFont="1"/>
    <xf numFmtId="0" fontId="24" fillId="20" borderId="6" xfId="0" applyFont="1" applyFill="1" applyBorder="1" applyAlignment="1">
      <alignment vertical="center"/>
    </xf>
    <xf numFmtId="0" fontId="24" fillId="20" borderId="6" xfId="0" applyFont="1" applyFill="1" applyBorder="1" applyAlignment="1">
      <alignment horizontal="center" vertical="center"/>
    </xf>
    <xf numFmtId="0" fontId="24" fillId="20" borderId="13" xfId="0" applyFont="1" applyFill="1" applyBorder="1" applyAlignment="1">
      <alignment vertical="center"/>
    </xf>
    <xf numFmtId="0" fontId="24" fillId="20" borderId="14" xfId="0" applyFont="1" applyFill="1" applyBorder="1" applyAlignment="1">
      <alignment horizontal="center" vertical="center"/>
    </xf>
    <xf numFmtId="0" fontId="24" fillId="13" borderId="15" xfId="0" applyFont="1" applyFill="1" applyBorder="1" applyAlignment="1">
      <alignment horizontal="center" vertical="center"/>
    </xf>
    <xf numFmtId="0" fontId="24" fillId="20" borderId="16" xfId="0" applyFont="1" applyFill="1" applyBorder="1" applyAlignment="1">
      <alignment horizontal="center" vertical="center"/>
    </xf>
    <xf numFmtId="0" fontId="24" fillId="13" borderId="17" xfId="0" applyFont="1" applyFill="1" applyBorder="1" applyAlignment="1">
      <alignment horizontal="center" vertical="center"/>
    </xf>
    <xf numFmtId="0" fontId="24" fillId="13" borderId="18" xfId="0" applyFont="1" applyFill="1" applyBorder="1" applyAlignment="1">
      <alignment horizontal="center" vertical="center"/>
    </xf>
    <xf numFmtId="0" fontId="24" fillId="16" borderId="2" xfId="0" applyFont="1" applyFill="1" applyBorder="1" applyAlignment="1">
      <alignment horizontal="center" vertical="center"/>
    </xf>
    <xf numFmtId="0" fontId="24" fillId="13" borderId="2" xfId="0" applyFont="1" applyFill="1" applyBorder="1" applyAlignment="1">
      <alignment vertical="center"/>
    </xf>
    <xf numFmtId="0" fontId="25" fillId="21" borderId="19" xfId="0" applyFont="1" applyFill="1" applyBorder="1" applyAlignment="1">
      <alignment horizontal="center" vertical="center" wrapText="1"/>
    </xf>
    <xf numFmtId="0" fontId="25" fillId="22" borderId="19" xfId="0" applyFont="1" applyFill="1" applyBorder="1" applyAlignment="1">
      <alignment horizontal="center" vertical="center" wrapText="1"/>
    </xf>
    <xf numFmtId="0" fontId="26" fillId="0" borderId="0" xfId="0" applyFont="1" applyAlignment="1">
      <alignment horizontal="center" vertical="center"/>
    </xf>
    <xf numFmtId="0" fontId="27" fillId="0" borderId="6" xfId="0" applyFont="1" applyBorder="1" applyAlignment="1">
      <alignment horizontal="center" vertical="center"/>
    </xf>
    <xf numFmtId="0" fontId="28" fillId="0" borderId="6" xfId="0" applyFont="1" applyBorder="1" applyAlignment="1">
      <alignment horizontal="justify" vertical="center"/>
    </xf>
    <xf numFmtId="0" fontId="29" fillId="0" borderId="2" xfId="0" applyFont="1" applyBorder="1" applyAlignment="1">
      <alignment horizontal="center" vertical="center"/>
    </xf>
    <xf numFmtId="0" fontId="29" fillId="23" borderId="2" xfId="0" applyFont="1" applyFill="1" applyBorder="1" applyAlignment="1">
      <alignment horizontal="center" vertical="center"/>
    </xf>
    <xf numFmtId="0" fontId="30" fillId="24" borderId="2" xfId="0" applyFont="1" applyFill="1" applyBorder="1" applyAlignment="1">
      <alignment horizontal="center" vertical="center"/>
    </xf>
    <xf numFmtId="0" fontId="30" fillId="24" borderId="4" xfId="0" applyFont="1" applyFill="1" applyBorder="1" applyAlignment="1">
      <alignment horizontal="center" vertical="center"/>
    </xf>
    <xf numFmtId="0" fontId="31" fillId="9" borderId="19" xfId="0" applyFont="1" applyFill="1" applyBorder="1" applyAlignment="1">
      <alignment horizontal="center" vertical="center"/>
    </xf>
    <xf numFmtId="0" fontId="32" fillId="10" borderId="19" xfId="0" applyFont="1" applyFill="1" applyBorder="1" applyAlignment="1">
      <alignment horizontal="center" vertical="center"/>
    </xf>
    <xf numFmtId="0" fontId="33" fillId="20" borderId="6" xfId="0" applyFont="1" applyFill="1" applyBorder="1" applyAlignment="1">
      <alignment horizontal="center" vertical="center"/>
    </xf>
    <xf numFmtId="0" fontId="33" fillId="13" borderId="0" xfId="0" applyFont="1" applyFill="1" applyAlignment="1">
      <alignment horizontal="center" vertical="center"/>
    </xf>
    <xf numFmtId="0" fontId="33" fillId="16" borderId="2" xfId="0" applyFont="1" applyFill="1" applyBorder="1" applyAlignment="1">
      <alignment horizontal="center" vertical="center"/>
    </xf>
    <xf numFmtId="0" fontId="33" fillId="16" borderId="4" xfId="0" applyFont="1" applyFill="1" applyBorder="1" applyAlignment="1">
      <alignment horizontal="center" vertical="center"/>
    </xf>
    <xf numFmtId="0" fontId="33" fillId="13" borderId="6" xfId="0" applyFont="1" applyFill="1" applyBorder="1" applyAlignment="1">
      <alignment horizontal="center" vertical="center"/>
    </xf>
    <xf numFmtId="0" fontId="25" fillId="21" borderId="19" xfId="0" applyFont="1" applyFill="1" applyBorder="1" applyAlignment="1">
      <alignment horizontal="center" vertical="center"/>
    </xf>
    <xf numFmtId="0" fontId="25" fillId="22" borderId="19" xfId="0" applyFont="1" applyFill="1" applyBorder="1" applyAlignment="1">
      <alignment horizontal="center" vertical="center"/>
    </xf>
    <xf numFmtId="0" fontId="34" fillId="0" borderId="0" xfId="0" applyFont="1" applyAlignment="1">
      <alignment horizontal="center" vertical="center"/>
    </xf>
    <xf numFmtId="0" fontId="35" fillId="0" borderId="0" xfId="0" applyFont="1" applyAlignment="1">
      <alignment horizontal="center" vertical="center"/>
    </xf>
    <xf numFmtId="0" fontId="33" fillId="0" borderId="0" xfId="0" applyFont="1" applyAlignment="1">
      <alignment vertical="center"/>
    </xf>
    <xf numFmtId="0" fontId="34" fillId="0" borderId="0" xfId="0" applyFont="1" applyAlignment="1">
      <alignment vertical="center"/>
    </xf>
    <xf numFmtId="0" fontId="33" fillId="0" borderId="20" xfId="0" applyFont="1" applyBorder="1" applyAlignment="1">
      <alignment horizontal="center" vertical="center"/>
    </xf>
    <xf numFmtId="0" fontId="33" fillId="0" borderId="21" xfId="0" applyFont="1" applyBorder="1" applyAlignment="1">
      <alignment horizontal="center" vertical="center"/>
    </xf>
    <xf numFmtId="0" fontId="18" fillId="20" borderId="6" xfId="0" applyFont="1" applyFill="1" applyBorder="1" applyAlignment="1">
      <alignment horizontal="center" vertical="center"/>
    </xf>
    <xf numFmtId="0" fontId="36" fillId="0" borderId="6" xfId="0" applyFont="1" applyBorder="1" applyAlignment="1">
      <alignment horizontal="center" vertical="center"/>
    </xf>
    <xf numFmtId="0" fontId="28" fillId="0" borderId="6" xfId="0" applyFont="1" applyBorder="1" applyAlignment="1">
      <alignment horizontal="center" vertical="center"/>
    </xf>
    <xf numFmtId="0" fontId="36" fillId="25" borderId="6" xfId="0" applyFont="1" applyFill="1" applyBorder="1" applyAlignment="1">
      <alignment horizontal="center" vertical="center"/>
    </xf>
    <xf numFmtId="0" fontId="28" fillId="25" borderId="6" xfId="0" applyFont="1" applyFill="1" applyBorder="1" applyAlignment="1">
      <alignment horizontal="justify" vertical="center"/>
    </xf>
    <xf numFmtId="0" fontId="28" fillId="25" borderId="6" xfId="0" applyFont="1" applyFill="1" applyBorder="1" applyAlignment="1">
      <alignment horizontal="center" vertical="center"/>
    </xf>
    <xf numFmtId="0" fontId="28" fillId="0" borderId="6" xfId="0" applyFont="1" applyBorder="1" applyAlignment="1">
      <alignment horizontal="left" vertical="center"/>
    </xf>
    <xf numFmtId="0" fontId="24" fillId="16" borderId="14" xfId="0" applyFont="1" applyFill="1" applyBorder="1" applyAlignment="1">
      <alignment horizontal="center" textRotation="90"/>
    </xf>
    <xf numFmtId="0" fontId="24" fillId="13" borderId="15" xfId="0" applyFont="1" applyFill="1" applyBorder="1" applyAlignment="1">
      <alignment horizontal="center" textRotation="90"/>
    </xf>
    <xf numFmtId="0" fontId="24" fillId="16" borderId="16" xfId="0" applyFont="1" applyFill="1" applyBorder="1" applyAlignment="1">
      <alignment horizontal="center" textRotation="90"/>
    </xf>
    <xf numFmtId="0" fontId="24" fillId="13" borderId="17" xfId="0" applyFont="1" applyFill="1" applyBorder="1" applyAlignment="1">
      <alignment horizontal="center" textRotation="90"/>
    </xf>
    <xf numFmtId="0" fontId="24" fillId="13" borderId="18" xfId="0" applyFont="1" applyFill="1" applyBorder="1" applyAlignment="1">
      <alignment horizontal="center" textRotation="90"/>
    </xf>
    <xf numFmtId="0" fontId="27" fillId="24" borderId="2" xfId="0" applyFont="1" applyFill="1" applyBorder="1" applyAlignment="1">
      <alignment horizontal="center" textRotation="90"/>
    </xf>
    <xf numFmtId="0" fontId="37" fillId="16" borderId="2" xfId="0" applyFont="1" applyFill="1" applyBorder="1" applyAlignment="1">
      <alignment horizontal="center" vertical="center"/>
    </xf>
    <xf numFmtId="0" fontId="38" fillId="26" borderId="0" xfId="0" applyFont="1" applyFill="1" applyAlignment="1">
      <alignment horizontal="center" vertical="center"/>
    </xf>
    <xf numFmtId="0" fontId="18" fillId="16" borderId="6" xfId="0" applyFont="1" applyFill="1" applyBorder="1" applyAlignment="1">
      <alignment horizontal="center" vertical="center"/>
    </xf>
    <xf numFmtId="0" fontId="41" fillId="0" borderId="0" xfId="0" applyFont="1" applyAlignment="1">
      <alignment horizontal="center" vertical="center" textRotation="90"/>
    </xf>
    <xf numFmtId="166" fontId="41" fillId="0" borderId="0" xfId="0" applyNumberFormat="1" applyFont="1" applyAlignment="1">
      <alignment horizontal="center" vertical="center"/>
    </xf>
    <xf numFmtId="0" fontId="41" fillId="0" borderId="0" xfId="0" applyFont="1" applyAlignment="1">
      <alignment horizontal="center" vertical="center"/>
    </xf>
    <xf numFmtId="0" fontId="88" fillId="0" borderId="24" xfId="4" applyBorder="1"/>
    <xf numFmtId="0" fontId="88" fillId="0" borderId="25" xfId="2" applyBorder="1"/>
    <xf numFmtId="0" fontId="88" fillId="0" borderId="26" xfId="5" applyBorder="1">
      <alignment horizontal="left"/>
    </xf>
    <xf numFmtId="0" fontId="88" fillId="0" borderId="27" xfId="3" applyBorder="1"/>
    <xf numFmtId="0" fontId="88" fillId="0" borderId="28" xfId="5" applyBorder="1">
      <alignment horizontal="left"/>
    </xf>
    <xf numFmtId="0" fontId="88" fillId="0" borderId="29" xfId="3" applyBorder="1"/>
    <xf numFmtId="0" fontId="88" fillId="0" borderId="28" xfId="5" applyBorder="1" applyAlignment="1">
      <alignment horizontal="left" wrapText="1"/>
    </xf>
    <xf numFmtId="0" fontId="88" fillId="0" borderId="30" xfId="3" applyBorder="1"/>
    <xf numFmtId="0" fontId="2" fillId="0" borderId="31" xfId="6" applyBorder="1">
      <alignment horizontal="left"/>
    </xf>
    <xf numFmtId="0" fontId="2" fillId="0" borderId="32" xfId="7" applyBorder="1"/>
    <xf numFmtId="0" fontId="19" fillId="27" borderId="2" xfId="0" applyFont="1" applyFill="1" applyBorder="1" applyAlignment="1">
      <alignment horizontal="center" vertical="center"/>
    </xf>
    <xf numFmtId="166"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0" fontId="42" fillId="13" borderId="33" xfId="0" applyFont="1" applyFill="1" applyBorder="1" applyAlignment="1">
      <alignment horizontal="center" vertical="center"/>
    </xf>
    <xf numFmtId="0" fontId="19" fillId="27" borderId="33" xfId="0" applyFont="1" applyFill="1" applyBorder="1" applyAlignment="1">
      <alignment horizontal="center" vertical="center"/>
    </xf>
    <xf numFmtId="0" fontId="19" fillId="27" borderId="10"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5" fillId="0" borderId="0" xfId="0" applyFont="1" applyAlignment="1">
      <alignment horizontal="justify" vertical="center" wrapText="1"/>
    </xf>
    <xf numFmtId="0" fontId="14" fillId="0" borderId="6" xfId="0" applyFont="1" applyBorder="1" applyAlignment="1">
      <alignment horizontal="center" vertical="center"/>
    </xf>
    <xf numFmtId="0" fontId="15" fillId="0" borderId="6" xfId="0" applyFont="1" applyBorder="1" applyAlignment="1">
      <alignment horizontal="left" vertical="center"/>
    </xf>
    <xf numFmtId="0" fontId="15" fillId="0" borderId="6" xfId="0" applyFont="1" applyBorder="1" applyAlignment="1">
      <alignment horizontal="left" vertical="center" wrapText="1"/>
    </xf>
    <xf numFmtId="0" fontId="15" fillId="0" borderId="0" xfId="0" applyFont="1" applyAlignment="1">
      <alignment horizontal="left" vertical="center" wrapText="1"/>
    </xf>
    <xf numFmtId="0" fontId="44" fillId="28" borderId="19" xfId="0" applyFont="1" applyFill="1" applyBorder="1" applyAlignment="1">
      <alignment horizontal="center" vertical="center" wrapText="1"/>
    </xf>
    <xf numFmtId="0" fontId="13" fillId="28" borderId="19" xfId="0" applyFont="1" applyFill="1" applyBorder="1" applyAlignment="1">
      <alignment horizontal="center" vertical="center" wrapText="1"/>
    </xf>
    <xf numFmtId="0" fontId="46" fillId="7" borderId="19" xfId="0" applyFont="1" applyFill="1" applyBorder="1" applyAlignment="1">
      <alignment horizontal="center" vertical="center" wrapText="1"/>
    </xf>
    <xf numFmtId="0" fontId="47" fillId="30" borderId="19" xfId="0" applyFont="1" applyFill="1" applyBorder="1" applyAlignment="1">
      <alignment horizontal="center" vertical="center" wrapText="1"/>
    </xf>
    <xf numFmtId="0" fontId="48" fillId="31" borderId="19" xfId="0" applyFont="1" applyFill="1" applyBorder="1" applyAlignment="1">
      <alignment horizontal="center" vertical="center" wrapText="1"/>
    </xf>
    <xf numFmtId="0" fontId="49" fillId="10" borderId="19" xfId="0" applyFont="1" applyFill="1" applyBorder="1" applyAlignment="1">
      <alignment horizontal="center" vertical="center" wrapText="1"/>
    </xf>
    <xf numFmtId="0" fontId="50" fillId="11" borderId="19" xfId="0" applyFont="1" applyFill="1" applyBorder="1" applyAlignment="1">
      <alignment horizontal="center" vertical="center" wrapText="1"/>
    </xf>
    <xf numFmtId="0" fontId="51" fillId="6" borderId="19" xfId="0" applyFont="1" applyFill="1" applyBorder="1" applyAlignment="1">
      <alignment horizontal="center" vertical="center" wrapText="1"/>
    </xf>
    <xf numFmtId="0" fontId="52" fillId="32" borderId="19" xfId="0" applyFont="1" applyFill="1" applyBorder="1" applyAlignment="1">
      <alignment horizontal="center" vertical="center" wrapText="1"/>
    </xf>
    <xf numFmtId="0" fontId="13" fillId="2" borderId="19" xfId="0" applyFont="1" applyFill="1" applyBorder="1" applyAlignment="1">
      <alignment horizontal="center" vertical="center" wrapText="1"/>
    </xf>
    <xf numFmtId="0" fontId="53" fillId="30" borderId="19" xfId="0" applyFont="1" applyFill="1" applyBorder="1" applyAlignment="1">
      <alignment horizontal="center" vertical="center" wrapText="1"/>
    </xf>
    <xf numFmtId="0" fontId="54" fillId="7" borderId="19" xfId="0" applyFont="1" applyFill="1" applyBorder="1" applyAlignment="1">
      <alignment horizontal="center" vertical="center" wrapText="1"/>
    </xf>
    <xf numFmtId="0" fontId="55" fillId="30" borderId="19" xfId="0" applyFont="1" applyFill="1" applyBorder="1" applyAlignment="1">
      <alignment horizontal="center" vertical="center" wrapText="1"/>
    </xf>
    <xf numFmtId="0" fontId="56" fillId="31" borderId="19" xfId="0" applyFont="1" applyFill="1" applyBorder="1" applyAlignment="1">
      <alignment horizontal="center" vertical="center" wrapText="1"/>
    </xf>
    <xf numFmtId="0" fontId="57" fillId="33" borderId="19" xfId="0" applyFont="1" applyFill="1" applyBorder="1" applyAlignment="1">
      <alignment horizontal="center" vertical="center" wrapText="1"/>
    </xf>
    <xf numFmtId="0" fontId="58" fillId="32" borderId="19" xfId="0" applyFont="1" applyFill="1" applyBorder="1" applyAlignment="1">
      <alignment horizontal="center" vertical="center" wrapText="1"/>
    </xf>
    <xf numFmtId="0" fontId="5" fillId="34" borderId="19" xfId="0" applyFont="1" applyFill="1" applyBorder="1" applyAlignment="1">
      <alignment horizontal="center" vertical="center" wrapText="1"/>
    </xf>
    <xf numFmtId="0" fontId="59" fillId="31" borderId="19" xfId="0" applyFont="1" applyFill="1" applyBorder="1" applyAlignment="1">
      <alignment horizontal="center" vertical="center" wrapText="1"/>
    </xf>
    <xf numFmtId="0" fontId="60" fillId="10" borderId="19" xfId="0" applyFont="1" applyFill="1" applyBorder="1" applyAlignment="1">
      <alignment horizontal="center" vertical="center" wrapText="1"/>
    </xf>
    <xf numFmtId="0" fontId="61" fillId="11" borderId="19" xfId="0" applyFont="1" applyFill="1" applyBorder="1" applyAlignment="1">
      <alignment horizontal="center" vertical="center" wrapText="1"/>
    </xf>
    <xf numFmtId="0" fontId="44" fillId="2" borderId="19" xfId="0" applyFont="1" applyFill="1" applyBorder="1" applyAlignment="1">
      <alignment horizontal="center" vertical="center" wrapText="1"/>
    </xf>
    <xf numFmtId="0" fontId="4" fillId="35" borderId="19" xfId="0" applyFont="1" applyFill="1" applyBorder="1" applyAlignment="1">
      <alignment horizontal="center" vertical="center" wrapText="1"/>
    </xf>
    <xf numFmtId="0" fontId="62" fillId="28" borderId="19" xfId="0" applyFont="1" applyFill="1" applyBorder="1" applyAlignment="1">
      <alignment horizontal="center" vertical="center" wrapText="1"/>
    </xf>
    <xf numFmtId="0" fontId="63" fillId="8" borderId="19" xfId="0" applyFont="1" applyFill="1" applyBorder="1" applyAlignment="1">
      <alignment horizontal="center" vertical="center" wrapText="1"/>
    </xf>
    <xf numFmtId="0" fontId="64" fillId="8" borderId="19" xfId="0" applyFont="1" applyFill="1" applyBorder="1" applyAlignment="1">
      <alignment horizontal="center" vertical="center" wrapText="1"/>
    </xf>
    <xf numFmtId="0" fontId="65" fillId="8" borderId="19" xfId="0" applyFont="1" applyFill="1" applyBorder="1" applyAlignment="1">
      <alignment horizontal="center" vertical="center" wrapText="1"/>
    </xf>
    <xf numFmtId="0" fontId="66" fillId="8" borderId="19" xfId="0" applyFont="1" applyFill="1" applyBorder="1" applyAlignment="1">
      <alignment horizontal="left" vertical="center" wrapText="1"/>
    </xf>
    <xf numFmtId="0" fontId="67" fillId="8" borderId="19" xfId="0" applyFont="1" applyFill="1" applyBorder="1" applyAlignment="1">
      <alignment horizontal="center" vertical="center" wrapText="1"/>
    </xf>
    <xf numFmtId="0" fontId="68" fillId="8" borderId="19" xfId="0" applyFont="1" applyFill="1" applyBorder="1" applyAlignment="1">
      <alignment horizontal="left" vertical="center" wrapText="1"/>
    </xf>
    <xf numFmtId="0" fontId="63" fillId="36" borderId="19" xfId="0" applyFont="1" applyFill="1" applyBorder="1" applyAlignment="1">
      <alignment horizontal="center" vertical="center" wrapText="1"/>
    </xf>
    <xf numFmtId="0" fontId="64" fillId="36" borderId="19" xfId="0" applyFont="1" applyFill="1" applyBorder="1" applyAlignment="1">
      <alignment horizontal="center" vertical="center" wrapText="1"/>
    </xf>
    <xf numFmtId="0" fontId="65" fillId="36" borderId="19" xfId="0" applyFont="1" applyFill="1" applyBorder="1" applyAlignment="1">
      <alignment horizontal="center" vertical="center" wrapText="1"/>
    </xf>
    <xf numFmtId="0" fontId="66" fillId="36" borderId="19" xfId="0" applyFont="1" applyFill="1" applyBorder="1" applyAlignment="1">
      <alignment horizontal="left" vertical="center" wrapText="1"/>
    </xf>
    <xf numFmtId="0" fontId="67" fillId="36" borderId="19" xfId="0" applyFont="1" applyFill="1" applyBorder="1" applyAlignment="1">
      <alignment horizontal="center" vertical="center" wrapText="1"/>
    </xf>
    <xf numFmtId="0" fontId="68" fillId="36" borderId="19" xfId="0" applyFont="1" applyFill="1" applyBorder="1" applyAlignment="1">
      <alignment horizontal="left" vertical="center" wrapText="1"/>
    </xf>
    <xf numFmtId="0" fontId="69" fillId="34" borderId="19" xfId="0" applyFont="1" applyFill="1" applyBorder="1" applyAlignment="1">
      <alignment horizontal="center" vertical="center" wrapText="1"/>
    </xf>
    <xf numFmtId="0" fontId="70" fillId="7" borderId="19" xfId="0" applyFont="1" applyFill="1" applyBorder="1" applyAlignment="1">
      <alignment horizontal="left" vertical="center" wrapText="1"/>
    </xf>
    <xf numFmtId="0" fontId="71" fillId="7" borderId="19" xfId="0" applyFont="1" applyFill="1" applyBorder="1" applyAlignment="1">
      <alignment horizontal="center" vertical="center" wrapText="1"/>
    </xf>
    <xf numFmtId="0" fontId="71" fillId="7" borderId="19" xfId="0" applyFont="1" applyFill="1" applyBorder="1" applyAlignment="1">
      <alignment horizontal="left" vertical="center" wrapText="1"/>
    </xf>
    <xf numFmtId="0" fontId="53" fillId="30" borderId="19" xfId="0" applyFont="1" applyFill="1" applyBorder="1" applyAlignment="1">
      <alignment horizontal="left" vertical="center" wrapText="1"/>
    </xf>
    <xf numFmtId="0" fontId="72" fillId="30" borderId="19" xfId="0" applyFont="1" applyFill="1" applyBorder="1" applyAlignment="1">
      <alignment horizontal="center" vertical="center" wrapText="1"/>
    </xf>
    <xf numFmtId="0" fontId="72" fillId="30" borderId="19" xfId="0" applyFont="1" applyFill="1" applyBorder="1" applyAlignment="1">
      <alignment horizontal="left" vertical="center" wrapText="1"/>
    </xf>
    <xf numFmtId="0" fontId="59" fillId="31" borderId="19" xfId="0" applyFont="1" applyFill="1" applyBorder="1" applyAlignment="1">
      <alignment horizontal="left" vertical="center" wrapText="1"/>
    </xf>
    <xf numFmtId="0" fontId="73" fillId="31" borderId="19" xfId="0" applyFont="1" applyFill="1" applyBorder="1" applyAlignment="1">
      <alignment horizontal="center" vertical="center" wrapText="1"/>
    </xf>
    <xf numFmtId="0" fontId="73" fillId="31" borderId="19" xfId="0" applyFont="1" applyFill="1" applyBorder="1" applyAlignment="1">
      <alignment horizontal="left" vertical="center" wrapText="1"/>
    </xf>
    <xf numFmtId="0" fontId="60" fillId="10" borderId="19" xfId="0" applyFont="1" applyFill="1" applyBorder="1" applyAlignment="1">
      <alignment horizontal="left" vertical="center" wrapText="1"/>
    </xf>
    <xf numFmtId="0" fontId="74" fillId="10" borderId="19" xfId="0" applyFont="1" applyFill="1" applyBorder="1" applyAlignment="1">
      <alignment horizontal="center" vertical="center" wrapText="1"/>
    </xf>
    <xf numFmtId="0" fontId="75" fillId="10" borderId="19" xfId="0" applyFont="1" applyFill="1" applyBorder="1" applyAlignment="1">
      <alignment horizontal="center" vertical="center" wrapText="1"/>
    </xf>
    <xf numFmtId="0" fontId="75" fillId="10" borderId="19" xfId="0" applyFont="1" applyFill="1" applyBorder="1" applyAlignment="1">
      <alignment horizontal="left" vertical="center" wrapText="1"/>
    </xf>
    <xf numFmtId="0" fontId="61" fillId="11" borderId="19" xfId="0" applyFont="1" applyFill="1" applyBorder="1" applyAlignment="1">
      <alignment horizontal="left" vertical="center" wrapText="1"/>
    </xf>
    <xf numFmtId="0" fontId="76" fillId="11" borderId="19" xfId="0" applyFont="1" applyFill="1" applyBorder="1" applyAlignment="1">
      <alignment horizontal="center" vertical="center" wrapText="1"/>
    </xf>
    <xf numFmtId="0" fontId="77" fillId="11" borderId="19" xfId="0" applyFont="1" applyFill="1" applyBorder="1" applyAlignment="1">
      <alignment horizontal="center" vertical="center" wrapText="1"/>
    </xf>
    <xf numFmtId="0" fontId="77" fillId="11" borderId="19" xfId="0" applyFont="1" applyFill="1" applyBorder="1" applyAlignment="1">
      <alignment horizontal="left" vertical="center" wrapText="1"/>
    </xf>
    <xf numFmtId="0" fontId="78" fillId="6" borderId="19" xfId="0" applyFont="1" applyFill="1" applyBorder="1" applyAlignment="1">
      <alignment horizontal="left" vertical="center" wrapText="1"/>
    </xf>
    <xf numFmtId="0" fontId="79" fillId="6" borderId="19" xfId="0" applyFont="1" applyFill="1" applyBorder="1" applyAlignment="1">
      <alignment horizontal="center" vertical="center" wrapText="1"/>
    </xf>
    <xf numFmtId="0" fontId="80" fillId="6" borderId="19" xfId="0" applyFont="1" applyFill="1" applyBorder="1" applyAlignment="1">
      <alignment horizontal="center" vertical="center" wrapText="1"/>
    </xf>
    <xf numFmtId="0" fontId="80" fillId="6" borderId="19" xfId="0" applyFont="1" applyFill="1" applyBorder="1" applyAlignment="1">
      <alignment horizontal="left" vertical="center" wrapText="1"/>
    </xf>
    <xf numFmtId="0" fontId="13" fillId="2" borderId="19" xfId="0" applyFont="1" applyFill="1" applyBorder="1" applyAlignment="1">
      <alignment horizontal="left" vertical="center" wrapText="1"/>
    </xf>
    <xf numFmtId="0" fontId="81" fillId="36" borderId="19" xfId="0" applyFont="1" applyFill="1" applyBorder="1" applyAlignment="1">
      <alignment horizontal="center" vertical="center" wrapText="1"/>
    </xf>
    <xf numFmtId="0" fontId="82" fillId="9" borderId="19" xfId="0" applyFont="1" applyFill="1" applyBorder="1" applyAlignment="1">
      <alignment horizontal="center" vertical="center" wrapText="1"/>
    </xf>
    <xf numFmtId="0" fontId="81" fillId="8" borderId="19" xfId="0" applyFont="1" applyFill="1" applyBorder="1" applyAlignment="1">
      <alignment horizontal="center" vertical="center" wrapText="1"/>
    </xf>
    <xf numFmtId="0" fontId="66" fillId="36" borderId="19" xfId="0" applyFont="1" applyFill="1" applyBorder="1" applyAlignment="1">
      <alignment horizontal="center" vertical="center" wrapText="1"/>
    </xf>
    <xf numFmtId="0" fontId="66" fillId="8" borderId="19" xfId="0" applyFont="1" applyFill="1" applyBorder="1" applyAlignment="1">
      <alignment horizontal="center" vertical="center" wrapText="1"/>
    </xf>
    <xf numFmtId="0" fontId="44" fillId="37" borderId="19" xfId="0" applyFont="1" applyFill="1" applyBorder="1" applyAlignment="1">
      <alignment horizontal="center" vertical="center" wrapText="1"/>
    </xf>
    <xf numFmtId="0" fontId="44" fillId="38" borderId="19" xfId="0" applyFont="1" applyFill="1" applyBorder="1" applyAlignment="1">
      <alignment horizontal="center" vertical="center" wrapText="1"/>
    </xf>
    <xf numFmtId="0" fontId="84" fillId="12" borderId="35" xfId="0" applyFont="1" applyFill="1" applyBorder="1" applyAlignment="1">
      <alignment horizontal="center" vertical="center" wrapText="1"/>
    </xf>
    <xf numFmtId="0" fontId="84" fillId="40" borderId="35" xfId="0" applyFont="1" applyFill="1" applyBorder="1" applyAlignment="1">
      <alignment horizontal="center" vertical="center" wrapText="1"/>
    </xf>
    <xf numFmtId="0" fontId="85" fillId="41" borderId="35" xfId="0" applyFont="1" applyFill="1" applyBorder="1" applyAlignment="1">
      <alignment horizontal="center" vertical="center" wrapText="1"/>
    </xf>
    <xf numFmtId="14" fontId="85" fillId="41" borderId="35" xfId="0" applyNumberFormat="1" applyFont="1" applyFill="1" applyBorder="1" applyAlignment="1">
      <alignment horizontal="center" vertical="center" wrapText="1"/>
    </xf>
    <xf numFmtId="0" fontId="86" fillId="41" borderId="35" xfId="0" applyFont="1" applyFill="1" applyBorder="1" applyAlignment="1">
      <alignment horizontal="center" vertical="center" wrapText="1"/>
    </xf>
    <xf numFmtId="167" fontId="85" fillId="41" borderId="35" xfId="0" applyNumberFormat="1" applyFont="1" applyFill="1" applyBorder="1" applyAlignment="1">
      <alignment horizontal="center" vertical="center" wrapText="1"/>
    </xf>
    <xf numFmtId="0" fontId="0" fillId="41" borderId="35" xfId="0" applyFill="1" applyBorder="1"/>
    <xf numFmtId="0" fontId="85" fillId="8" borderId="35" xfId="0" applyFont="1" applyFill="1" applyBorder="1" applyAlignment="1">
      <alignment horizontal="center" vertical="center" wrapText="1"/>
    </xf>
    <xf numFmtId="14" fontId="85" fillId="8" borderId="35" xfId="0" applyNumberFormat="1" applyFont="1" applyFill="1" applyBorder="1" applyAlignment="1">
      <alignment horizontal="center" vertical="center" wrapText="1"/>
    </xf>
    <xf numFmtId="0" fontId="86" fillId="8" borderId="35" xfId="0" applyFont="1" applyFill="1" applyBorder="1" applyAlignment="1">
      <alignment horizontal="center" vertical="center" wrapText="1"/>
    </xf>
    <xf numFmtId="167" fontId="85" fillId="8" borderId="35" xfId="0" applyNumberFormat="1" applyFont="1" applyFill="1" applyBorder="1" applyAlignment="1">
      <alignment horizontal="center" vertical="center" wrapText="1"/>
    </xf>
    <xf numFmtId="0" fontId="0" fillId="8" borderId="35" xfId="0" applyFill="1" applyBorder="1"/>
    <xf numFmtId="0" fontId="86" fillId="24" borderId="35" xfId="0" applyFont="1" applyFill="1" applyBorder="1" applyAlignment="1">
      <alignment horizontal="center" vertical="center" wrapText="1"/>
    </xf>
    <xf numFmtId="167" fontId="86" fillId="24" borderId="35" xfId="0" applyNumberFormat="1" applyFont="1" applyFill="1" applyBorder="1" applyAlignment="1">
      <alignment horizontal="center" vertical="center" wrapText="1"/>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2" fillId="0" borderId="0" xfId="0" applyFont="1" applyAlignment="1">
      <alignment horizontal="left" vertical="center" wrapText="1"/>
    </xf>
    <xf numFmtId="164" fontId="13" fillId="2" borderId="0" xfId="0" applyNumberFormat="1" applyFont="1" applyFill="1" applyAlignment="1">
      <alignment horizontal="left" vertical="center"/>
    </xf>
    <xf numFmtId="0" fontId="33" fillId="20" borderId="6" xfId="0" applyFont="1" applyFill="1" applyBorder="1" applyAlignment="1">
      <alignment horizontal="right" vertical="center"/>
    </xf>
    <xf numFmtId="0" fontId="18" fillId="20" borderId="6" xfId="0" applyFont="1" applyFill="1" applyBorder="1" applyAlignment="1">
      <alignment horizontal="right" vertical="center"/>
    </xf>
    <xf numFmtId="0" fontId="39" fillId="24" borderId="0" xfId="0" applyFont="1" applyFill="1" applyAlignment="1">
      <alignment horizontal="center" vertical="center"/>
    </xf>
    <xf numFmtId="0" fontId="40" fillId="13" borderId="0" xfId="0" applyFont="1" applyFill="1" applyAlignment="1">
      <alignment horizontal="center" vertical="center"/>
    </xf>
    <xf numFmtId="0" fontId="18" fillId="16" borderId="6" xfId="0" applyFont="1" applyFill="1" applyBorder="1" applyAlignment="1">
      <alignment horizontal="right" vertical="center"/>
    </xf>
    <xf numFmtId="0" fontId="24" fillId="13" borderId="22" xfId="0" applyFont="1" applyFill="1" applyBorder="1" applyAlignment="1">
      <alignment horizontal="center" vertical="center"/>
    </xf>
    <xf numFmtId="0" fontId="24" fillId="13" borderId="23" xfId="0" applyFont="1" applyFill="1" applyBorder="1" applyAlignment="1">
      <alignment horizontal="center" vertical="center"/>
    </xf>
    <xf numFmtId="0" fontId="24" fillId="16" borderId="6" xfId="0" applyFont="1" applyFill="1" applyBorder="1" applyAlignment="1">
      <alignment horizontal="right" vertical="center"/>
    </xf>
    <xf numFmtId="0" fontId="24" fillId="16" borderId="21" xfId="0" applyFont="1" applyFill="1" applyBorder="1" applyAlignment="1">
      <alignment horizontal="center" vertical="center"/>
    </xf>
    <xf numFmtId="0" fontId="24" fillId="13" borderId="0" xfId="0" applyFont="1" applyFill="1" applyAlignment="1">
      <alignment horizontal="center" vertical="center"/>
    </xf>
    <xf numFmtId="0" fontId="24" fillId="16" borderId="6" xfId="0" applyFont="1" applyFill="1" applyBorder="1" applyAlignment="1">
      <alignment horizontal="center" vertical="center"/>
    </xf>
    <xf numFmtId="0" fontId="83" fillId="39" borderId="0" xfId="0" applyFont="1" applyFill="1" applyAlignment="1">
      <alignment horizontal="center" vertical="center" wrapText="1"/>
    </xf>
    <xf numFmtId="0" fontId="86" fillId="24" borderId="35" xfId="0" applyFont="1" applyFill="1" applyBorder="1" applyAlignment="1">
      <alignment horizontal="center" vertical="center" wrapText="1"/>
    </xf>
    <xf numFmtId="0" fontId="87" fillId="0" borderId="0" xfId="0" applyFont="1" applyAlignment="1">
      <alignment horizontal="left" vertical="center" wrapText="1"/>
    </xf>
    <xf numFmtId="0" fontId="19" fillId="27" borderId="0" xfId="0" applyFont="1" applyFill="1" applyAlignment="1">
      <alignment horizontal="center" vertical="center"/>
    </xf>
    <xf numFmtId="0" fontId="19" fillId="27" borderId="20" xfId="0" applyFont="1" applyFill="1" applyBorder="1" applyAlignment="1">
      <alignment horizontal="right" vertical="center"/>
    </xf>
    <xf numFmtId="0" fontId="19" fillId="27" borderId="34" xfId="0" applyFont="1" applyFill="1" applyBorder="1" applyAlignment="1">
      <alignment horizontal="center" vertical="center"/>
    </xf>
    <xf numFmtId="0" fontId="15" fillId="0" borderId="0" xfId="0" applyFont="1" applyAlignment="1">
      <alignment horizontal="center" vertical="center"/>
    </xf>
    <xf numFmtId="0" fontId="43" fillId="2" borderId="19" xfId="0" applyFont="1" applyFill="1" applyBorder="1" applyAlignment="1">
      <alignment horizontal="center" vertical="center" wrapText="1"/>
    </xf>
    <xf numFmtId="0" fontId="44" fillId="28" borderId="19" xfId="0" applyFont="1" applyFill="1" applyBorder="1" applyAlignment="1">
      <alignment horizontal="center" vertical="center" wrapText="1"/>
    </xf>
    <xf numFmtId="0" fontId="45" fillId="29" borderId="19" xfId="0" applyFont="1" applyFill="1" applyBorder="1" applyAlignment="1">
      <alignment horizontal="left" vertical="center" wrapText="1"/>
    </xf>
  </cellXfs>
  <cellStyles count="8">
    <cellStyle name="Normal" xfId="0" builtinId="0"/>
    <cellStyle name="Normal 2" xfId="1" xr:uid="{00000000-0005-0000-0000-000006000000}"/>
    <cellStyle name="Pivot Table Category" xfId="5" xr:uid="{00000000-0005-0000-0000-00000A000000}"/>
    <cellStyle name="Pivot Table Corner" xfId="2" xr:uid="{00000000-0005-0000-0000-000007000000}"/>
    <cellStyle name="Pivot Table Field" xfId="4" xr:uid="{00000000-0005-0000-0000-000009000000}"/>
    <cellStyle name="Pivot Table Result" xfId="7" xr:uid="{00000000-0005-0000-0000-00000C000000}"/>
    <cellStyle name="Pivot Table Title" xfId="6" xr:uid="{00000000-0005-0000-0000-00000B000000}"/>
    <cellStyle name="Pivot Table Value" xfId="3" xr:uid="{00000000-0005-0000-0000-000008000000}"/>
  </cellStyles>
  <dxfs count="20">
    <dxf>
      <fill>
        <patternFill>
          <bgColor theme="4" tint="0.39988402966399123"/>
        </patternFill>
      </fill>
    </dxf>
    <dxf>
      <fill>
        <patternFill>
          <bgColor theme="4" tint="0.39988402966399123"/>
        </patternFill>
      </fill>
    </dxf>
    <dxf>
      <fill>
        <patternFill>
          <bgColor theme="4" tint="0.39988402966399123"/>
        </patternFill>
      </fill>
    </dxf>
    <dxf>
      <fill>
        <patternFill>
          <bgColor theme="4" tint="0.59987182226020086"/>
        </patternFill>
      </fill>
    </dxf>
    <dxf>
      <fill>
        <patternFill>
          <bgColor theme="4" tint="0.59987182226020086"/>
        </patternFill>
      </fill>
    </dxf>
    <dxf>
      <fill>
        <patternFill>
          <bgColor theme="4" tint="0.59987182226020086"/>
        </patternFill>
      </fill>
    </dxf>
    <dxf>
      <fill>
        <patternFill>
          <bgColor theme="4" tint="0.59987182226020086"/>
        </patternFill>
      </fill>
    </dxf>
    <dxf>
      <fill>
        <patternFill>
          <bgColor theme="4" tint="0.59987182226020086"/>
        </patternFill>
      </fill>
    </dxf>
    <dxf>
      <fill>
        <patternFill>
          <bgColor theme="4" tint="0.59987182226020086"/>
        </patternFill>
      </fill>
    </dxf>
    <dxf>
      <fill>
        <patternFill>
          <bgColor theme="4" tint="0.59987182226020086"/>
        </patternFill>
      </fill>
    </dxf>
    <dxf>
      <fill>
        <patternFill>
          <bgColor rgb="FF660033"/>
        </patternFill>
      </fill>
    </dxf>
    <dxf>
      <font>
        <color rgb="FFFFFFFF"/>
      </font>
      <fill>
        <patternFill>
          <bgColor rgb="FF00B050"/>
        </patternFill>
      </fill>
    </dxf>
    <dxf>
      <font>
        <color rgb="FFFFFFFF"/>
      </font>
      <fill>
        <patternFill>
          <bgColor theme="5" tint="0.399884029663991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7" tint="0.39988402966399123"/>
        </patternFill>
      </fill>
    </dxf>
    <dxf>
      <fill>
        <patternFill>
          <bgColor theme="4" tint="0.59987182226020086"/>
        </patternFill>
      </fill>
    </dxf>
  </dxfs>
  <tableStyles count="0" defaultTableStyle="TableStyleMedium2" defaultPivotStyle="PivotStyleLight16"/>
  <colors>
    <indexedColors>
      <rgbColor rgb="FF000000"/>
      <rgbColor rgb="FFFFFFFF"/>
      <rgbColor rgb="FFFF0000"/>
      <rgbColor rgb="FFEBF4F8"/>
      <rgbColor rgb="FF2F5597"/>
      <rgbColor rgb="FFFFFF00"/>
      <rgbColor rgb="FFEEF3F6"/>
      <rgbColor rgb="FFDEEAF1"/>
      <rgbColor rgb="FFF5F5F5"/>
      <rgbColor rgb="FF00B050"/>
      <rgbColor rgb="FF1F3864"/>
      <rgbColor rgb="FFC55A11"/>
      <rgbColor rgb="FF575757"/>
      <rgbColor rgb="FF1B5E7B"/>
      <rgbColor rgb="FFB0BEC5"/>
      <rgbColor rgb="FF888888"/>
      <rgbColor rgb="FF95B3D7"/>
      <rgbColor rgb="FF7030A0"/>
      <rgbColor rgb="FFFFF9C4"/>
      <rgbColor rgb="FFE3F2FD"/>
      <rgbColor rgb="FF660033"/>
      <rgbColor rgb="FFC8502A"/>
      <rgbColor rgb="FF0070C0"/>
      <rgbColor rgb="FFBDD7EE"/>
      <rgbColor rgb="FF1F4E79"/>
      <rgbColor rgb="FFF7F5F2"/>
      <rgbColor rgb="FFFFF3E0"/>
      <rgbColor rgb="FFEBF4FA"/>
      <rgbColor rgb="FF2D4A5A"/>
      <rgbColor rgb="FFF7FAFB"/>
      <rgbColor rgb="FF2D6A8A"/>
      <rgbColor rgb="FFFAFAFA"/>
      <rgbColor rgb="FFEDE7F6"/>
      <rgbColor rgb="FFE8F5E9"/>
      <rgbColor rgb="FFD6E8F0"/>
      <rgbColor rgb="FFFFF8E1"/>
      <rgbColor rgb="FF9DC3E6"/>
      <rgbColor rgb="FFF4B183"/>
      <rgbColor rgb="FFD0CBC0"/>
      <rgbColor rgb="FFFFD966"/>
      <rgbColor rgb="FF1565C0"/>
      <rgbColor rgb="FF2E75B6"/>
      <rgbColor rgb="FFC8D8E0"/>
      <rgbColor rgb="FFE0DCD4"/>
      <rgbColor rgb="FFFFEBEE"/>
      <rgbColor rgb="FFE65100"/>
      <rgbColor rgb="FF606669"/>
      <rgbColor rgb="FF8C8880"/>
      <rgbColor rgb="FF002060"/>
      <rgbColor rgb="FF2E7D32"/>
      <rgbColor rgb="FF0E2833"/>
      <rgbColor rgb="FF1A1814"/>
      <rgbColor rgb="FFC62828"/>
      <rgbColor rgb="FF795548"/>
      <rgbColor rgb="FF4527A0"/>
      <rgbColor rgb="FF1B3A4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3" recordCount="1608" xr:uid="{00000000-000A-0000-FFFF-FFFF01000000}">
  <cacheSource type="worksheet">
    <worksheetSource ref="A1:P1048576" sheet="Başvuru"/>
  </cacheSource>
  <cacheFields count="16">
    <cacheField name="S.NO" numFmtId="0">
      <sharedItems containsBlank="1" count="524">
        <s v="1."/>
        <s v="10."/>
        <s v="100."/>
        <s v="101."/>
        <s v="102."/>
        <s v="103."/>
        <s v="104."/>
        <s v="105."/>
        <s v="106."/>
        <s v="107."/>
        <s v="108."/>
        <s v="109."/>
        <s v="11."/>
        <s v="110."/>
        <s v="111."/>
        <s v="112."/>
        <s v="113."/>
        <s v="114."/>
        <s v="115."/>
        <s v="116."/>
        <s v="117."/>
        <s v="118."/>
        <s v="119."/>
        <s v="12."/>
        <s v="120."/>
        <s v="121."/>
        <s v="122."/>
        <s v="123."/>
        <s v="124."/>
        <s v="125."/>
        <s v="126."/>
        <s v="127."/>
        <s v="128."/>
        <s v="129."/>
        <s v="13."/>
        <s v="130."/>
        <s v="131."/>
        <s v="132."/>
        <s v="133."/>
        <s v="134."/>
        <s v="135."/>
        <s v="136."/>
        <s v="137."/>
        <s v="138."/>
        <s v="139."/>
        <s v="14."/>
        <s v="140."/>
        <s v="141."/>
        <s v="142."/>
        <s v="143."/>
        <s v="144."/>
        <s v="145."/>
        <s v="146."/>
        <s v="147."/>
        <s v="148."/>
        <s v="149."/>
        <s v="15."/>
        <s v="150."/>
        <s v="151."/>
        <s v="152."/>
        <s v="153."/>
        <s v="154."/>
        <s v="155."/>
        <s v="156."/>
        <s v="157."/>
        <s v="158."/>
        <s v="159."/>
        <s v="16."/>
        <s v="160."/>
        <s v="161."/>
        <s v="162."/>
        <s v="163."/>
        <s v="164."/>
        <s v="165."/>
        <s v="166."/>
        <s v="167."/>
        <s v="168."/>
        <s v="169."/>
        <s v="17."/>
        <s v="170."/>
        <s v="171."/>
        <s v="172."/>
        <s v="173."/>
        <s v="174."/>
        <s v="175."/>
        <s v="176."/>
        <s v="177."/>
        <s v="178."/>
        <s v="179."/>
        <s v="18."/>
        <s v="180."/>
        <s v="181."/>
        <s v="182."/>
        <s v="183."/>
        <s v="184."/>
        <s v="185."/>
        <s v="186."/>
        <s v="187."/>
        <s v="188."/>
        <s v="189."/>
        <s v="19."/>
        <s v="190."/>
        <s v="191."/>
        <s v="192."/>
        <s v="193."/>
        <s v="194."/>
        <s v="195."/>
        <s v="196."/>
        <s v="197."/>
        <s v="198."/>
        <s v="199."/>
        <s v="2."/>
        <s v="20."/>
        <s v="200."/>
        <s v="201."/>
        <s v="202."/>
        <s v="203."/>
        <s v="204."/>
        <s v="205."/>
        <s v="206."/>
        <s v="207."/>
        <s v="208."/>
        <s v="209."/>
        <s v="21."/>
        <s v="210."/>
        <s v="211."/>
        <s v="212."/>
        <s v="213."/>
        <s v="214."/>
        <s v="215."/>
        <s v="216."/>
        <s v="217."/>
        <s v="218."/>
        <s v="219."/>
        <s v="22."/>
        <s v="220."/>
        <s v="221."/>
        <s v="222."/>
        <s v="223."/>
        <s v="224."/>
        <s v="225."/>
        <s v="226."/>
        <s v="227."/>
        <s v="228."/>
        <s v="229."/>
        <s v="23."/>
        <s v="230."/>
        <s v="231."/>
        <s v="232."/>
        <s v="233."/>
        <s v="234."/>
        <s v="235."/>
        <s v="236."/>
        <s v="237."/>
        <s v="238."/>
        <s v="239."/>
        <s v="24."/>
        <s v="240."/>
        <s v="241."/>
        <s v="242."/>
        <s v="243."/>
        <s v="244."/>
        <s v="245."/>
        <s v="246."/>
        <s v="247."/>
        <s v="248."/>
        <s v="249."/>
        <s v="25."/>
        <s v="250."/>
        <s v="251."/>
        <s v="252."/>
        <s v="253."/>
        <s v="254."/>
        <s v="255."/>
        <s v="256."/>
        <s v="257."/>
        <s v="258."/>
        <s v="259."/>
        <s v="26."/>
        <s v="260."/>
        <s v="261."/>
        <s v="262."/>
        <s v="263."/>
        <s v="264."/>
        <s v="265."/>
        <s v="266."/>
        <s v="267."/>
        <s v="268."/>
        <s v="269."/>
        <s v="27."/>
        <s v="270."/>
        <s v="271."/>
        <s v="272."/>
        <s v="273."/>
        <s v="274."/>
        <s v="275."/>
        <s v="276."/>
        <s v="277."/>
        <s v="278."/>
        <s v="279."/>
        <s v="28."/>
        <s v="280."/>
        <s v="281."/>
        <s v="282."/>
        <s v="283."/>
        <s v="284."/>
        <s v="285."/>
        <s v="286."/>
        <s v="287."/>
        <s v="288."/>
        <s v="289."/>
        <s v="29."/>
        <s v="290."/>
        <s v="291."/>
        <s v="292."/>
        <s v="293."/>
        <s v="294."/>
        <s v="295."/>
        <s v="296."/>
        <s v="297."/>
        <s v="298."/>
        <s v="299."/>
        <s v="3."/>
        <s v="30."/>
        <s v="300."/>
        <s v="301."/>
        <s v="302."/>
        <s v="303."/>
        <s v="304."/>
        <s v="305."/>
        <s v="306."/>
        <s v="307."/>
        <s v="308."/>
        <s v="309."/>
        <s v="31."/>
        <s v="310."/>
        <s v="311."/>
        <s v="312."/>
        <s v="313."/>
        <s v="314."/>
        <s v="315."/>
        <s v="316."/>
        <s v="317."/>
        <s v="318."/>
        <s v="319."/>
        <s v="32."/>
        <s v="320."/>
        <s v="321."/>
        <s v="322."/>
        <s v="323."/>
        <s v="324."/>
        <s v="325."/>
        <s v="326."/>
        <s v="327."/>
        <s v="328."/>
        <s v="329."/>
        <s v="33."/>
        <s v="330."/>
        <s v="331."/>
        <s v="332."/>
        <s v="333."/>
        <s v="334."/>
        <s v="335."/>
        <s v="336."/>
        <s v="337."/>
        <s v="338."/>
        <s v="339."/>
        <s v="34."/>
        <s v="340."/>
        <s v="341."/>
        <s v="342."/>
        <s v="343."/>
        <s v="344."/>
        <s v="345."/>
        <s v="346."/>
        <s v="347."/>
        <s v="348."/>
        <s v="349."/>
        <s v="35."/>
        <s v="350."/>
        <s v="351."/>
        <s v="352."/>
        <s v="353."/>
        <s v="354."/>
        <s v="355."/>
        <s v="356."/>
        <s v="357."/>
        <s v="358."/>
        <s v="359."/>
        <s v="36."/>
        <s v="360."/>
        <s v="361."/>
        <s v="362."/>
        <s v="363."/>
        <s v="364."/>
        <s v="365."/>
        <s v="366."/>
        <s v="367."/>
        <s v="368."/>
        <s v="369."/>
        <s v="37."/>
        <s v="370."/>
        <s v="371."/>
        <s v="372."/>
        <s v="373."/>
        <s v="374."/>
        <s v="375."/>
        <s v="376."/>
        <s v="377."/>
        <s v="378."/>
        <s v="379."/>
        <s v="38."/>
        <s v="380."/>
        <s v="381."/>
        <s v="382."/>
        <s v="383."/>
        <s v="384."/>
        <s v="385."/>
        <s v="386."/>
        <s v="387."/>
        <s v="388."/>
        <s v="389."/>
        <s v="39."/>
        <s v="390."/>
        <s v="391."/>
        <s v="392."/>
        <s v="393."/>
        <s v="394."/>
        <s v="395."/>
        <s v="396."/>
        <s v="397."/>
        <s v="398."/>
        <s v="399."/>
        <s v="4."/>
        <s v="40."/>
        <s v="400."/>
        <s v="401."/>
        <s v="402."/>
        <s v="403."/>
        <s v="404."/>
        <s v="405."/>
        <s v="406."/>
        <s v="407."/>
        <s v="408."/>
        <s v="409."/>
        <s v="41."/>
        <s v="410."/>
        <s v="411."/>
        <s v="412."/>
        <s v="413."/>
        <s v="414."/>
        <s v="415."/>
        <s v="416."/>
        <s v="417."/>
        <s v="418."/>
        <s v="419."/>
        <s v="42."/>
        <s v="420."/>
        <s v="421."/>
        <s v="422."/>
        <s v="423."/>
        <s v="424."/>
        <s v="425."/>
        <s v="426."/>
        <s v="427."/>
        <s v="428."/>
        <s v="429."/>
        <s v="43."/>
        <s v="430."/>
        <s v="431."/>
        <s v="432."/>
        <s v="433."/>
        <s v="434."/>
        <s v="435."/>
        <s v="436."/>
        <s v="437."/>
        <s v="438."/>
        <s v="439."/>
        <s v="44."/>
        <s v="440."/>
        <s v="441."/>
        <s v="442."/>
        <s v="443."/>
        <s v="444."/>
        <s v="445."/>
        <s v="446."/>
        <s v="447."/>
        <s v="448."/>
        <s v="449."/>
        <s v="45."/>
        <s v="450."/>
        <s v="451."/>
        <s v="452."/>
        <s v="453."/>
        <s v="454."/>
        <s v="455."/>
        <s v="456."/>
        <s v="457."/>
        <s v="458."/>
        <s v="459."/>
        <s v="46."/>
        <s v="460."/>
        <s v="461."/>
        <s v="462."/>
        <s v="463."/>
        <s v="464."/>
        <s v="465."/>
        <s v="466."/>
        <s v="467."/>
        <s v="468."/>
        <s v="469."/>
        <s v="47."/>
        <s v="470."/>
        <s v="471."/>
        <s v="472."/>
        <s v="473."/>
        <s v="474."/>
        <s v="475."/>
        <s v="476."/>
        <s v="477."/>
        <s v="478."/>
        <s v="479."/>
        <s v="48."/>
        <s v="480."/>
        <s v="481."/>
        <s v="482."/>
        <s v="483."/>
        <s v="484."/>
        <s v="485."/>
        <s v="486."/>
        <s v="487."/>
        <s v="488."/>
        <s v="489."/>
        <s v="49."/>
        <s v="490."/>
        <s v="491."/>
        <s v="492."/>
        <s v="493."/>
        <s v="494."/>
        <s v="495."/>
        <s v="496."/>
        <s v="497."/>
        <s v="498."/>
        <s v="499."/>
        <s v="5."/>
        <s v="50."/>
        <s v="500."/>
        <s v="501."/>
        <s v="502."/>
        <s v="503."/>
        <s v="504."/>
        <s v="505."/>
        <s v="506."/>
        <s v="507."/>
        <s v="508."/>
        <s v="509."/>
        <s v="51."/>
        <s v="510."/>
        <s v="511."/>
        <s v="512."/>
        <s v="513."/>
        <s v="514."/>
        <s v="515."/>
        <s v="516."/>
        <s v="517."/>
        <s v="518."/>
        <s v="519."/>
        <s v="52."/>
        <s v="520."/>
        <s v="521."/>
        <s v="522."/>
        <s v="523."/>
        <s v="53."/>
        <s v="54."/>
        <s v="55."/>
        <s v="56."/>
        <s v="57."/>
        <s v="58."/>
        <s v="59."/>
        <s v="6."/>
        <s v="60."/>
        <s v="61."/>
        <s v="62."/>
        <s v="63."/>
        <s v="64."/>
        <s v="65."/>
        <s v="66."/>
        <s v="67."/>
        <s v="68."/>
        <s v="69."/>
        <s v="7."/>
        <s v="70."/>
        <s v="71."/>
        <s v="72."/>
        <s v="73."/>
        <s v="74."/>
        <s v="75."/>
        <s v="76."/>
        <s v="77."/>
        <s v="78."/>
        <s v="79."/>
        <s v="8."/>
        <s v="80."/>
        <s v="81."/>
        <s v="82."/>
        <s v="83."/>
        <s v="84."/>
        <s v="85."/>
        <s v="86."/>
        <s v="87."/>
        <s v="88."/>
        <s v="89."/>
        <s v="9."/>
        <s v="90."/>
        <s v="91."/>
        <s v="92."/>
        <s v="93."/>
        <s v="94."/>
        <s v="95."/>
        <s v="96."/>
        <s v="97."/>
        <s v="98."/>
        <s v="99."/>
        <m/>
      </sharedItems>
    </cacheField>
    <cacheField name="SBA NUMARASI" numFmtId="0">
      <sharedItems containsBlank="1" count="524">
        <s v="SBA 26/001"/>
        <s v="SBA 26/002"/>
        <s v="SBA 26/003"/>
        <s v="SBA 26/004"/>
        <s v="SBA 26/005"/>
        <s v="SBA 26/006"/>
        <s v="SBA 26/007"/>
        <s v="SBA 26/008"/>
        <s v="SBA 26/009"/>
        <s v="SBA 26/010"/>
        <s v="SBA 26/011"/>
        <s v="SBA 26/012"/>
        <s v="SBA 26/013"/>
        <s v="SBA 26/014"/>
        <s v="SBA 26/015"/>
        <s v="SBA 26/016"/>
        <s v="SBA 26/017"/>
        <s v="SBA 26/018"/>
        <s v="SBA 26/019"/>
        <s v="SBA 26/020"/>
        <s v="SBA 26/021"/>
        <s v="SBA 26/022"/>
        <s v="SBA 26/023"/>
        <s v="SBA 26/024"/>
        <s v="SBA 26/025"/>
        <s v="SBA 26/026"/>
        <s v="SBA 26/027"/>
        <s v="SBA 26/028"/>
        <s v="SBA 26/029"/>
        <s v="SBA 26/030"/>
        <s v="SBA 26/031"/>
        <s v="SBA 26/032"/>
        <s v="SBA 26/033"/>
        <s v="SBA 26/034"/>
        <s v="SBA 26/035"/>
        <s v="SBA 26/036"/>
        <s v="SBA 26/037"/>
        <s v="SBA 26/038"/>
        <s v="SBA 26/039"/>
        <s v="SBA 26/040"/>
        <s v="SBA 26/041"/>
        <s v="SBA 26/042"/>
        <s v="SBA 26/043"/>
        <s v="SBA 26/044"/>
        <s v="SBA 26/045"/>
        <s v="SBA 26/046"/>
        <s v="SBA 26/047"/>
        <s v="SBA 26/048"/>
        <s v="SBA 26/049"/>
        <s v="SBA 26/050"/>
        <s v="SBA 26/051"/>
        <s v="SBA 26/052"/>
        <s v="SBA 26/053"/>
        <s v="SBA 26/054"/>
        <s v="SBA 26/055"/>
        <s v="SBA 26/056"/>
        <s v="SBA 26/057"/>
        <s v="SBA 26/058"/>
        <s v="SBA 26/059"/>
        <s v="SBA 26/060"/>
        <s v="SBA 26/061"/>
        <s v="SBA 26/062"/>
        <s v="SBA 26/063"/>
        <s v="SBA 26/064"/>
        <s v="SBA 26/065"/>
        <s v="SBA 26/066"/>
        <s v="SBA 26/067"/>
        <s v="SBA 26/068"/>
        <s v="SBA 26/069"/>
        <s v="SBA 26/070"/>
        <s v="SBA 26/071"/>
        <s v="SBA 26/072"/>
        <s v="SBA 26/073"/>
        <s v="SBA 26/074"/>
        <s v="SBA 26/075"/>
        <s v="SBA 26/076"/>
        <s v="SBA 26/077"/>
        <s v="SBA 26/078"/>
        <s v="SBA 26/079"/>
        <s v="SBA 26/080"/>
        <s v="SBA 26/081"/>
        <s v="SBA 26/082"/>
        <s v="SBA 26/083"/>
        <s v="SBA 26/084"/>
        <s v="SBA 26/085"/>
        <s v="SBA 26/086"/>
        <s v="SBA 26/087"/>
        <s v="SBA 26/088"/>
        <s v="SBA 26/089"/>
        <s v="SBA 26/090"/>
        <s v="SBA 26/091"/>
        <s v="SBA 26/092"/>
        <s v="SBA 26/093"/>
        <s v="SBA 26/094"/>
        <s v="SBA 26/095"/>
        <s v="SBA 26/096"/>
        <s v="SBA 26/097"/>
        <s v="SBA 26/098"/>
        <s v="SBA 26/099"/>
        <s v="SBA 26/100"/>
        <s v="SBA 26/101"/>
        <s v="SBA 26/102"/>
        <s v="SBA 26/103"/>
        <s v="SBA 26/104"/>
        <s v="SBA 26/105"/>
        <s v="SBA 26/106"/>
        <s v="SBA 26/107"/>
        <s v="SBA 26/108"/>
        <s v="SBA 26/109"/>
        <s v="SBA 26/110"/>
        <s v="SBA 26/111"/>
        <s v="SBA 26/112"/>
        <s v="SBA 26/113"/>
        <s v="SBA 26/114"/>
        <s v="SBA 26/115"/>
        <s v="SBA 26/116"/>
        <s v="SBA 26/117"/>
        <s v="SBA 26/118"/>
        <s v="SBA 26/119"/>
        <s v="SBA 26/120"/>
        <s v="SBA 26/121"/>
        <s v="SBA 26/122"/>
        <s v="SBA 26/123"/>
        <s v="SBA 26/124"/>
        <s v="SBA 26/125"/>
        <s v="SBA 26/126"/>
        <s v="SBA 26/127"/>
        <s v="SBA 26/128"/>
        <s v="SBA 26/129"/>
        <s v="SBA 26/130"/>
        <s v="SBA 26/131"/>
        <s v="SBA 26/132"/>
        <s v="SBA 26/133"/>
        <s v="SBA 26/134"/>
        <s v="SBA 26/135"/>
        <s v="SBA 26/136"/>
        <s v="SBA 26/137"/>
        <s v="SBA 26/138"/>
        <s v="SBA 26/139"/>
        <s v="SBA 26/140"/>
        <s v="SBA 26/141"/>
        <s v="SBA 26/142"/>
        <s v="SBA 26/143"/>
        <s v="SBA 26/144"/>
        <s v="SBA 26/145"/>
        <s v="SBA 26/146"/>
        <s v="SBA 26/147"/>
        <s v="SBA 26/148"/>
        <s v="SBA 26/149"/>
        <s v="SBA 26/150"/>
        <s v="SBA 26/151"/>
        <s v="SBA 26/152"/>
        <s v="SBA 26/153"/>
        <s v="SBA 26/154"/>
        <s v="SBA 26/155"/>
        <s v="SBA 26/156"/>
        <s v="SBA 26/157"/>
        <s v="SBA 26/158"/>
        <s v="SBA 26/159"/>
        <s v="SBA 26/160"/>
        <s v="SBA 26/161"/>
        <s v="SBA 26/162"/>
        <s v="SBA 26/163"/>
        <s v="SBA 26/164"/>
        <s v="SBA 26/165"/>
        <s v="SBA 26/166"/>
        <s v="SBA 26/167"/>
        <s v="SBA 26/168"/>
        <s v="SBA 26/169"/>
        <s v="SBA 26/170"/>
        <s v="SBA 26/171"/>
        <s v="SBA 26/172"/>
        <s v="SBA 26/173"/>
        <s v="SBA 26/174"/>
        <s v="SBA 26/175"/>
        <s v="SBA 26/176"/>
        <s v="SBA 26/177"/>
        <s v="SBA 26/178"/>
        <s v="SBA 26/179"/>
        <s v="SBA 26/180"/>
        <s v="SBA 26/181"/>
        <s v="SBA 26/182"/>
        <s v="SBA 26/183"/>
        <s v="SBA 26/184"/>
        <s v="SBA 26/185"/>
        <s v="SBA 26/186"/>
        <s v="SBA 26/187"/>
        <s v="SBA 26/188"/>
        <s v="SBA 26/189"/>
        <s v="SBA 26/190"/>
        <s v="SBA 26/191"/>
        <s v="SBA 26/192"/>
        <s v="SBA 26/193"/>
        <s v="SBA 26/194"/>
        <s v="SBA 26/195"/>
        <s v="SBA 26/196"/>
        <s v="SBA 26/197"/>
        <s v="SBA 26/198"/>
        <s v="SBA 26/199"/>
        <s v="SBA 26/200"/>
        <s v="SBA 26/201"/>
        <s v="SBA 26/202"/>
        <s v="SBA 26/203"/>
        <s v="SBA 26/204"/>
        <s v="SBA 26/205"/>
        <s v="SBA 26/206"/>
        <s v="SBA 26/207"/>
        <s v="SBA 26/208"/>
        <s v="SBA 26/209"/>
        <s v="SBA 26/210"/>
        <s v="SBA 26/211"/>
        <s v="SBA 26/212"/>
        <s v="SBA 26/213"/>
        <s v="SBA 26/214"/>
        <s v="SBA 26/215"/>
        <s v="SBA 26/216"/>
        <s v="SBA 26/217"/>
        <s v="SBA 26/218"/>
        <s v="SBA 26/219"/>
        <s v="SBA 26/220"/>
        <s v="SBA 26/221"/>
        <s v="SBA 26/222"/>
        <s v="SBA 26/223"/>
        <s v="SBA 26/224"/>
        <s v="SBA 26/225"/>
        <s v="SBA 26/226"/>
        <s v="SBA 26/227"/>
        <s v="SBA 26/228"/>
        <s v="SBA 26/229"/>
        <s v="SBA 26/230"/>
        <s v="SBA 26/231"/>
        <s v="SBA 26/232"/>
        <s v="SBA 26/233"/>
        <s v="SBA 26/234"/>
        <s v="SBA 26/235"/>
        <s v="SBA 26/236"/>
        <s v="SBA 26/237"/>
        <s v="SBA 26/238"/>
        <s v="SBA 26/239"/>
        <s v="SBA 26/240"/>
        <s v="SBA 26/241"/>
        <s v="SBA 26/242"/>
        <s v="SBA 26/243"/>
        <s v="SBA 26/244"/>
        <s v="SBA 26/245"/>
        <s v="SBA 26/246"/>
        <s v="SBA 26/247"/>
        <s v="SBA 26/248"/>
        <s v="SBA 26/249"/>
        <s v="SBA 26/250"/>
        <s v="SBA 26/251"/>
        <s v="SBA 26/252"/>
        <s v="SBA 26/253"/>
        <s v="SBA 26/254"/>
        <s v="SBA 26/255"/>
        <s v="SBA 26/256"/>
        <s v="SBA 26/257"/>
        <s v="SBA 26/258"/>
        <s v="SBA 26/259"/>
        <s v="SBA 26/260"/>
        <s v="SBA 26/261"/>
        <s v="SBA 26/262"/>
        <s v="SBA 26/263"/>
        <s v="SBA 26/264"/>
        <s v="SBA 26/265"/>
        <s v="SBA 26/266"/>
        <s v="SBA 26/267"/>
        <s v="SBA 26/268"/>
        <s v="SBA 26/269"/>
        <s v="SBA 26/270"/>
        <s v="SBA 26/271"/>
        <s v="SBA 26/272"/>
        <s v="SBA 26/273"/>
        <s v="SBA 26/274"/>
        <s v="SBA 26/275"/>
        <s v="SBA 26/276"/>
        <s v="SBA 26/277"/>
        <s v="SBA 26/278"/>
        <s v="SBA 26/279"/>
        <s v="SBA 26/280"/>
        <s v="SBA 26/281"/>
        <s v="SBA 26/282"/>
        <s v="SBA 26/283"/>
        <s v="SBA 26/284"/>
        <s v="SBA 26/285"/>
        <s v="SBA 26/286"/>
        <s v="SBA 26/287"/>
        <s v="SBA 26/288"/>
        <s v="SBA 26/289"/>
        <s v="SBA 26/290"/>
        <s v="SBA 26/291"/>
        <s v="SBA 26/292"/>
        <s v="SBA 26/293"/>
        <s v="SBA 26/294"/>
        <s v="SBA 26/295"/>
        <s v="SBA 26/296"/>
        <s v="SBA 26/297"/>
        <s v="SBA 26/298"/>
        <s v="SBA 26/299"/>
        <s v="SBA 26/300"/>
        <s v="SBA 26/301"/>
        <s v="SBA 26/302"/>
        <s v="SBA 26/303"/>
        <s v="SBA 26/304"/>
        <s v="SBA 26/305"/>
        <s v="SBA 26/306"/>
        <s v="SBA 26/307"/>
        <s v="SBA 26/308"/>
        <s v="SBA 26/309"/>
        <s v="SBA 26/310"/>
        <s v="SBA 26/311"/>
        <s v="SBA 26/312"/>
        <s v="SBA 26/313"/>
        <s v="SBA 26/314"/>
        <s v="SBA 26/315"/>
        <s v="SBA 26/316"/>
        <s v="SBA 26/317"/>
        <s v="SBA 26/318"/>
        <s v="SBA 26/319"/>
        <s v="SBA 26/320"/>
        <s v="SBA 26/321"/>
        <s v="SBA 26/322"/>
        <s v="SBA 26/323"/>
        <s v="SBA 26/324"/>
        <s v="SBA 26/325"/>
        <s v="SBA 26/326"/>
        <s v="SBA 26/327"/>
        <s v="SBA 26/328"/>
        <s v="SBA 26/329"/>
        <s v="SBA 26/330"/>
        <s v="SBA 26/331"/>
        <s v="SBA 26/332"/>
        <s v="SBA 26/333"/>
        <s v="SBA 26/334"/>
        <s v="SBA 26/335"/>
        <s v="SBA 26/336"/>
        <s v="SBA 26/337"/>
        <s v="SBA 26/338"/>
        <s v="SBA 26/339"/>
        <s v="SBA 26/340"/>
        <s v="SBA 26/341"/>
        <s v="SBA 26/342"/>
        <s v="SBA 26/343"/>
        <s v="SBA 26/344"/>
        <s v="SBA 26/345"/>
        <s v="SBA 26/346"/>
        <s v="SBA 26/347"/>
        <s v="SBA 26/348"/>
        <s v="SBA 26/349"/>
        <s v="SBA 26/350"/>
        <s v="SBA 26/351"/>
        <s v="SBA 26/352"/>
        <s v="SBA 26/353"/>
        <s v="SBA 26/354"/>
        <s v="SBA 26/355"/>
        <s v="SBA 26/356"/>
        <s v="SBA 26/357"/>
        <s v="SBA 26/358"/>
        <s v="SBA 26/359"/>
        <s v="SBA 26/360"/>
        <s v="SBA 26/361"/>
        <s v="SBA 26/362"/>
        <s v="SBA 26/363"/>
        <s v="SBA 26/364"/>
        <s v="SBA 26/365"/>
        <s v="SBA 26/366"/>
        <s v="SBA 26/367"/>
        <s v="SBA 26/368"/>
        <s v="SBA 26/369"/>
        <s v="SBA 26/370"/>
        <s v="SBA 26/371"/>
        <s v="SBA 26/372"/>
        <s v="SBA 26/373"/>
        <s v="SBA 26/374"/>
        <s v="SBA 26/375"/>
        <s v="SBA 26/376"/>
        <s v="SBA 26/377"/>
        <s v="SBA 26/378"/>
        <s v="SBA 26/379"/>
        <s v="SBA 26/380"/>
        <s v="SBA 26/381"/>
        <s v="SBA 26/382"/>
        <s v="SBA 26/383"/>
        <s v="SBA 26/384"/>
        <s v="SBA 26/385"/>
        <s v="SBA 26/386"/>
        <s v="SBA 26/387"/>
        <s v="SBA 26/388"/>
        <s v="SBA 26/389"/>
        <s v="SBA 26/390"/>
        <s v="SBA 26/391"/>
        <s v="SBA 26/392"/>
        <s v="SBA 26/393"/>
        <s v="SBA 26/394"/>
        <s v="SBA 26/395"/>
        <s v="SBA 26/396"/>
        <s v="SBA 26/397"/>
        <s v="SBA 26/398"/>
        <s v="SBA 26/399"/>
        <s v="SBA 26/400"/>
        <s v="SBA 26/401"/>
        <s v="SBA 26/402"/>
        <s v="SBA 26/403"/>
        <s v="SBA 26/404"/>
        <s v="SBA 26/405"/>
        <s v="SBA 26/406"/>
        <s v="SBA 26/407"/>
        <s v="SBA 26/408"/>
        <s v="SBA 26/409"/>
        <s v="SBA 26/410"/>
        <s v="SBA 26/411"/>
        <s v="SBA 26/412"/>
        <s v="SBA 26/413"/>
        <s v="SBA 26/414"/>
        <s v="SBA 26/415"/>
        <s v="SBA 26/416"/>
        <s v="SBA 26/417"/>
        <s v="SBA 26/418"/>
        <s v="SBA 26/419"/>
        <s v="SBA 26/420"/>
        <s v="SBA 26/421"/>
        <s v="SBA 26/422"/>
        <s v="SBA 26/423"/>
        <s v="SBA 26/424"/>
        <s v="SBA 26/425"/>
        <s v="SBA 26/426"/>
        <s v="SBA 26/427"/>
        <s v="SBA 26/428"/>
        <s v="SBA 26/429"/>
        <s v="SBA 26/430"/>
        <s v="SBA 26/431"/>
        <s v="SBA 26/432"/>
        <s v="SBA 26/433"/>
        <s v="SBA 26/434"/>
        <s v="SBA 26/435"/>
        <s v="SBA 26/436"/>
        <s v="SBA 26/437"/>
        <s v="SBA 26/438"/>
        <s v="SBA 26/439"/>
        <s v="SBA 26/440"/>
        <s v="SBA 26/441"/>
        <s v="SBA 26/442"/>
        <s v="SBA 26/443"/>
        <s v="SBA 26/444"/>
        <s v="SBA 26/445"/>
        <s v="SBA 26/446"/>
        <s v="SBA 26/447"/>
        <s v="SBA 26/448"/>
        <s v="SBA 26/449"/>
        <s v="SBA 26/450"/>
        <s v="SBA 26/451"/>
        <s v="SBA 26/452"/>
        <s v="SBA 26/453"/>
        <s v="SBA 26/454"/>
        <s v="SBA 26/455"/>
        <s v="SBA 26/456"/>
        <s v="SBA 26/457"/>
        <s v="SBA 26/458"/>
        <s v="SBA 26/459"/>
        <s v="SBA 26/460"/>
        <s v="SBA 26/461"/>
        <s v="SBA 26/462"/>
        <s v="SBA 26/463"/>
        <s v="SBA 26/464"/>
        <s v="SBA 26/465"/>
        <s v="SBA 26/466"/>
        <s v="SBA 26/467"/>
        <s v="SBA 26/468"/>
        <s v="SBA 26/469"/>
        <s v="SBA 26/470"/>
        <s v="SBA 26/471"/>
        <s v="SBA 26/472"/>
        <s v="SBA 26/473"/>
        <s v="SBA 26/474"/>
        <s v="SBA 26/475"/>
        <s v="SBA 26/476"/>
        <s v="SBA 26/477"/>
        <s v="SBA 26/478"/>
        <s v="SBA 26/479"/>
        <s v="SBA 26/480"/>
        <s v="SBA 26/481"/>
        <s v="SBA 26/482"/>
        <s v="SBA 26/483"/>
        <s v="SBA 26/484"/>
        <s v="SBA 26/485"/>
        <s v="SBA 26/486"/>
        <s v="SBA 26/487"/>
        <s v="SBA 26/488"/>
        <s v="SBA 26/489"/>
        <s v="SBA 26/490"/>
        <s v="SBA 26/491"/>
        <s v="SBA 26/492"/>
        <s v="SBA 26/493"/>
        <s v="SBA 26/494"/>
        <s v="SBA 26/495"/>
        <s v="SBA 26/496"/>
        <s v="SBA 26/497"/>
        <s v="SBA 26/498"/>
        <s v="SBA 26/499"/>
        <s v="SBA 26/500"/>
        <s v="SBA 26/501"/>
        <s v="SBA 26/502"/>
        <s v="SBA 26/503"/>
        <s v="SBA 26/504"/>
        <s v="SBA 26/505"/>
        <s v="SBA 26/506"/>
        <s v="SBA 26/507"/>
        <s v="SBA 26/508"/>
        <s v="SBA 26/509"/>
        <s v="SBA 26/510"/>
        <s v="SBA 26/511"/>
        <s v="SBA 26/512"/>
        <s v="SBA 26/513"/>
        <s v="SBA 26/514"/>
        <s v="SBA 26/515"/>
        <s v="SBA 26/516"/>
        <s v="SBA 26/517"/>
        <s v="SBA 26/518"/>
        <s v="SBA 26/519"/>
        <s v="SBA 26/520"/>
        <s v="SBA 26/521"/>
        <s v="SBA 26/522"/>
        <s v="SBA 26/523"/>
        <m/>
      </sharedItems>
    </cacheField>
    <cacheField name="SORUMLUSU" numFmtId="0">
      <sharedItems containsBlank="1" count="270">
        <s v="Arş. Gör. Dr. Aycan UYSAL"/>
        <s v="Arş. Gör. Dr. Ozan KAPLAN"/>
        <s v="Arş. Gör. Dr. Sebiha Şükran GÜNDEŞLİ"/>
        <s v="Arş. Gör. Dr. Şeyma KAHRAMAN"/>
        <s v="Arş. Gör. Dr. Şükran BAYRAK"/>
        <s v="Arş. Gör. Dr. Tuğçe TAŞKINDERE ABBASOĞLU"/>
        <s v="Arş. Gör. Dt. Dilara KARA"/>
        <s v="Doç. Dr. Adalet Elçin YILDIZ"/>
        <s v="Doç. Dr. Ahmet KIVRAK"/>
        <s v="Doç. Dr. Almıla Gülsün PAMUK"/>
        <s v="Doç. Dr. Aslıhan AYKARA"/>
        <s v="Doç. Dr. Ayhan EYMİRLİ"/>
        <s v="Doç. Dr. Ayşe Bikem KARGI"/>
        <s v="Doç. Dr. Barış SEZER"/>
        <s v="Doç. Dr. Başak AKÇA"/>
        <s v="Doç. Dr. Başak YALICI ARMAĞAN"/>
        <s v="Doç. Dr. Basri GÜLBAKAN"/>
        <s v="Doç. Dr. Bengisu AKARSU GÜVEN"/>
        <s v="Doç. Dr. Burak ARDIÇLI"/>
        <s v="Doç. Dr. Burcu ERSÖZ ALAN"/>
        <s v="Doç. Dr. Burcu HATİBOĞLU"/>
        <s v="Doç. Dr. Cafer BALCI"/>
        <s v="Doç. Dr. Cansu ÖZŞİN ÖZLER"/>
        <s v="Doç. Dr. Cem ÇÖTELİ"/>
        <s v="Doç. Dr. Cem ŞİMŞEK"/>
        <s v="Doç. Dr. Ceren GÜNENÇ BEŞER"/>
        <s v="Doç. Dr. Ceren ÖZKUL KOÇAK"/>
        <s v="Doç. Dr. Derman BAŞARAN"/>
        <s v="Doç. Dr. Dilek ÜNAL"/>
        <s v="Doç. Dr. Duygu AYHAN BAŞER"/>
        <s v="Doç. Dr. Duygu GÜLSEREN"/>
        <s v="Doç. Dr. Eda Didem KURT ŞÜKÜR"/>
        <s v="Doç. Dr. Eda Ezgi ASLANTAŞ"/>
        <s v="Doç. Dr. Ekim GÜMELER"/>
        <s v="Doç. Dr. Emel ISIYEL"/>
        <s v="Doç. Dr. Emel Tuğba ATAMAN DURUEL"/>
        <s v="Doç. Dr. Erdal SAĞ"/>
        <s v="Doç. Dr. Erdem FADILOĞLU"/>
        <s v="Doç. Dr. Ezgi ATİK"/>
        <s v="Doç. Dr. Fatma Gonca ELDEM"/>
        <s v="Doç. Dr. Galip Gencay ÜSTÜN"/>
        <s v="Doç. Dr. Gamze ATAY"/>
        <s v="Doç. Dr. Gamze DURHAN"/>
        <s v="Doç. Dr. Gölşah KÖK"/>
        <s v="Doç. Dr. Gülçin TELLİ DİZMAN"/>
        <s v="Doç. Dr. Hacı Hasan YETER"/>
        <s v="Doç. Dr. Hande GÖRÜCÜ COŞKUNER"/>
        <s v="Doç. Dr. Hayriye HIZARCIOĞLU GÜLŞEN"/>
        <s v="Doç. Dr. Hilal AKSOY"/>
        <s v="Doç. Dr. Hilal KORKMAZ"/>
        <s v="Doç. Dr. İdil Rana USER KILIÇ"/>
        <s v="Doç. Dr. İlker ERTUĞRUL"/>
        <s v="Doç. Dr. İrem KOÇ"/>
        <s v="Doç. Dr. İzzet FİDANCI"/>
        <s v="Doç. Dr. Kevser NALBANT"/>
        <s v="Doç. Dr. Kısmet ÇIKI"/>
        <s v="Doç. Dr. Kübra AYKAÇ"/>
        <s v="Doç. Dr. Leman AKCAN YILDIZ"/>
        <s v="Doç. Dr. Levent KILIÇ"/>
        <s v="Doç. Dr. Mert EŞME"/>
        <s v="Doç. Dr. Mesut ALTAN"/>
        <s v="Doç. Dr. Muhammed Bahaddin DURAK"/>
        <s v="Doç. Dr. Nagihan KOÇ"/>
        <s v="Doç. Dr. Neslihan AKDOĞAN"/>
        <s v="Doç. Dr. Nezih AKKAPULU"/>
        <s v="Doç. Dr. Nursel ÇALIK BAŞARAN"/>
        <s v="Doç. Dr. Oğuz Abdullah UYAROĞLU"/>
        <s v="Doç. Dr. Oytun PORTAKAL AKÇİN"/>
        <s v="Doç. Dr. Özlem DİKMETAŞ SANDIKÇI"/>
        <s v="Doç. Dr. Rahşan GÖÇMEN"/>
        <s v="Doç. Dr. Saliha ESENBOĞA"/>
        <s v="Doç. Dr. Seda Hanife OĞUZ BAYKAL"/>
        <s v="Doç. Dr. Serra ÖRSTEN"/>
        <s v="Doç. Dr. Sevtap ARSLAN SARIKAYA"/>
        <s v="Doç. Dr. Songül ÇINAROĞLU"/>
        <s v="Doç. Dr. Şükran Gülin EVİNÇ"/>
        <s v="Doç. Dr. Süleyman Nahit ŞENDUR"/>
        <s v="Doç. Dr. Tekin AKSU"/>
        <s v="Doç. Dr. Ulaş KUMBASAR"/>
        <s v="Doç. Dr. Utku AKGÖR"/>
        <s v="Doç. Dr. Zeynep TÜZÜN GÜN"/>
        <s v="Doç.Dr. Tekin AKSU"/>
        <s v="Dr. Natalia RAKİSLOVA"/>
        <s v="Dr. Öğr. Gör. Buket KILIÇ"/>
        <s v="Dr. Öğr. Üyesi Ahmet Gürkan ERDEMİR"/>
        <s v="Dr. Öğr. Üyesi Ahmet KIVRAK"/>
        <s v="Dr. Öğr. Üyesi Arda ÇETİNKAYA"/>
        <s v="Dr. Öğr. Üyesi Aslı ALKAN"/>
        <s v="Dr. Öğr. Üyesi Aybüke USLU TEKCE"/>
        <s v="Dr. Öğr. Üyesi Aycan UYSAL"/>
        <s v="Dr. Öğr. Üyesi Ayşe METE YEŞİL"/>
        <s v="Dr. Öğr. Üyesi Barış KAFA"/>
        <s v="Dr. Öğr. Üyesi Burçe ATAÇ MOGOL"/>
        <s v="Dr. Öğr. Üyesi Burcu KELLECİ ÇAKIR"/>
        <s v="Dr. Öğr. Üyesi Burkay UTKU"/>
        <s v="Dr. Öğr. Üyesi Ece ÖZOĞUL"/>
        <s v="Dr. Öğr. Üyesi Emre KARA"/>
        <s v="Dr. Öğr. Üyesi Emre MUTLU"/>
        <s v="Dr. Öğr. Üyesi Ergin EROĞLU"/>
        <s v="Dr. Öğr. Üyesi Evrim ÜNVER"/>
        <s v="Dr. Öğr. Üyesi Ezgi DOĞAN CÖMERT"/>
        <s v="Dr. Öğr. Üyesi Figen BEZCİ AYGÜN"/>
        <s v="Dr. Öğr. Üyesi Gizem ÜREL DEMİR"/>
        <s v="Dr. Öğr. Üyesi Gökçen AKÇİÇEK"/>
        <s v="Dr. Öğr. Üyesi Gökhan AYIK"/>
        <s v="Dr. Öğr. Üyesi Gonca ÖZTEN DERE"/>
        <s v="Dr. Öğr. Üyesi Gözde ÖZER"/>
        <s v="Dr. Öğr. Üyesi Hanife Merva PARLAK"/>
        <s v="Dr. Öğr. Üyesi Hatice BOYACIOĞLU ERDEN"/>
        <s v="Dr. Öğr. Üyesi Hayri Can ÖZDEN"/>
        <s v="Dr. Öğr. Üyesi Hilal AKDEMİR AKTAŞ"/>
        <s v="Dr. Öğr. Üyesi Irmak OCAK"/>
        <s v="Dr. Öğr. Üyesi Leyla HUSEYNOVA TERZİ"/>
        <s v="Dr. Öğr. Üyesi Merva PARLAK"/>
        <s v="Dr. Öğr. Üyesi Muhammed Çağrı KÜLEKCİ"/>
        <s v="Dr. Öğr. Üyesi Murat ÇAĞAN"/>
        <s v="Dr. Öğr. Üyesi Neslihan TAŞ"/>
        <s v="Dr. Öğr. Üyesi Nur Berna ÇELİK ERTAŞ"/>
        <s v="Dr. Öğr. Üyesi Oğuzhan KATAR"/>
        <s v="Dr. Öğr. Üyesi Onur İNCE"/>
        <s v="Dr. Öğr. Üyesi Özge YAVUZ SARI"/>
        <s v="Dr. Öğr. Üyesi Salih Eren MERAL"/>
        <s v="Dr. Öğr. Üyesi Sefa Burak ÇAM"/>
        <s v="Dr. Öğr. Üyesi Sehend DEBBAĞ"/>
        <s v="Dr. Öğr. Üyesi Selen ADİLOĞLU"/>
        <s v="Dr. Öğr. Üyesi Selin ARDALI DÜZGÜN"/>
        <s v="Dr. Öğr. Üyesi Serkan UYSAL"/>
        <s v="Dr. Öğr. Üyesi Süleyman BULUT"/>
        <s v="Dr. Öğr. Üyesi Yağmur Deniz YILDIRIM"/>
        <s v="Dr. Öğr. Üyesi Yiğitcan KARANFİL"/>
        <s v="Dr. Vet. Hek. Özgür Doğuş EROL DUYAR"/>
        <s v="Öğr. Gör. Dr. Aytekin İDİKUT"/>
        <s v="Öğr. Gör. Dr. Bahattin PASLI"/>
        <s v="Öğr. Gör. Dr. Berrin BABAOĞLU"/>
        <s v="Öğr. Gör. Dr. Buket KILIÇ"/>
        <s v="Öğr. Gör. Dr. Burçay TELLİOĞLU"/>
        <s v="Öğr. Gör. Dr. Esin ALPDÜNDAR BULUT"/>
        <s v="Öğr. Gör. Dr. Helin YÜCEDAĞ GÜNDOĞDU"/>
        <s v="Öğr. Gör. Dr. Pınar ÖZDEMİR YAŞAR"/>
        <s v="Öğr. Gör. Dr. Tuğçe TAŞKINDERE ABBASOĞLU"/>
        <s v="Öğr. Gör. Dt. Diler DENİZ"/>
        <s v="Prof. Dr. Abdullah Ruhi SOYLU"/>
        <s v="Prof. Dr. Ali DURSUN"/>
        <s v="Prof. Dr. Ali DÜZOVA"/>
        <s v="Prof. Dr. Ali Fuat KALYONCU"/>
        <s v="Prof. Dr. Ali Rıza TÜMER"/>
        <s v="Prof. Dr. Alp ÇETİN"/>
        <s v="Prof. Dr. Alp USUBÜTÜN"/>
        <s v="Prof. Dr. Alper AKTAŞ"/>
        <s v="Prof. Dr. Aygin EKİNCİOĞLU"/>
        <s v="Prof. Dr. Ayşe KİN İŞLER"/>
        <s v="Prof. Dr. Ayşe Tomris ERBAŞ"/>
        <s v="Prof. Dr. Bahar GÜÇİZ DOĞAN"/>
        <s v="Prof. Dr. Banu KILIÇASLAN"/>
        <s v="Prof. Dr. Bayram ŞAHİN"/>
        <s v="Prof. Dr. Betül ÇELEBİ SALTIK"/>
        <s v="Prof. Dr. Bilge VOLKAN SALANCI"/>
        <s v="Prof. Dr. Bora GÜLHAN"/>
        <s v="Prof. Dr. Bülent ALTUN"/>
        <s v="Prof. Dr. Bülent ATİLLA"/>
        <s v="Prof. Dr. Bülent Enis ŞEKEREL"/>
        <s v="Prof. Dr. Burcu Balam DOĞU"/>
        <s v="Prof. Dr. Çağrı Mesut TEMUÇİN"/>
        <s v="Prof. Dr. Cavit Işık YAVUZ"/>
        <s v="Prof. Dr. Cengiz KILIÇ"/>
        <s v="Prof. Dr. Deniz ÇAĞDAŞ AYVAZ"/>
        <s v="Prof. Dr. Deniz DOĞRU ERSÖZ"/>
        <s v="Prof. Dr. Devrim AKDEMİR"/>
        <s v="Prof. Dr. Dilek ASLAN"/>
        <s v="Prof. Dr. Dilşad FOTO ÖZDEMİR"/>
        <s v="Prof. Dr. Ebru AYPAR"/>
        <s v="Prof. Dr. Ebru DAMADOĞLU"/>
        <s v="Prof. Dr. Egemen TURHAN"/>
        <s v="Prof. Dr. Elmas Ebru YALÇIN"/>
        <s v="Prof. Dr. Emel UZUNOĞLU ÖZYÜREK"/>
        <s v="Prof. Dr. Emre TOSUN"/>
        <s v="Prof. Dr. Erdem KARABULUT"/>
        <s v="Prof. Dr. Esra BİRBEN"/>
        <s v="Prof. Dr. Fadime İrsel TEZER FİLİK"/>
        <s v="Prof. Dr. Fatma Gökçem YILDIZ SARIKAYA"/>
        <s v="Prof. Dr. Fatma Visal OKUR"/>
        <s v="Prof. Dr. Filiz ÜZÜMCÜGİL"/>
        <s v="Prof. Dr. Filiz YALÇIN"/>
        <s v="Prof. Dr. Gökçen ÇOBAN ÇİFÇİ"/>
        <s v="Prof. Dr. Gül KARAKAYA"/>
        <s v="Prof. Dr. Gülay SAİN GÜVEN"/>
        <s v="Prof. Dr. Gülen Eda ÜTİNE"/>
        <s v="Prof. Dr. Güliz AKTAŞ"/>
        <s v="Prof. Dr. Güliz Nigar GÜNCÜ"/>
        <s v="Prof. Dr. Gülten GÜVENÇ_x000a_Doç. Dr. Gölşah KÖK"/>
        <s v="Prof. Dr. Hakan GÖKER"/>
        <s v="Prof. Dr. Hakan Hıfzı TÜZ"/>
        <s v="Prof. Dr. Hakan UZUN"/>
        <s v="Prof. Dr. Hasan Serkan DOĞAN"/>
        <s v="Prof. Dr. Hatice DOĞAN BUZOĞLU"/>
        <s v="Prof. Dr. Hatice Yasemin BALABAN"/>
        <s v="Prof. Dr. Hikmet YORGUN"/>
        <s v="Prof. Dr. Hülya DEMİR"/>
        <s v="Prof. Dr. Hüseyin Gencay KEÇELİ"/>
        <s v="Prof. Dr. İnci Nur SALTIK"/>
        <s v="Prof. Dr. İncilay LAY"/>
        <s v="Prof. Dr. Jale KARAKAYA"/>
        <s v="Prof. Dr. Kasım KARATAŞ"/>
        <s v="Prof. Dr. Kıvanç AKÇA"/>
        <s v="Prof. Dr. Kudret AYTEMİR"/>
        <s v="Prof. Dr. Lale KARAKOÇ SÖKMENSÜER"/>
        <s v="Prof. Dr. M. Özgür UYANIK"/>
        <s v="Prof. Dr. Mehmet Akif TOPÇUOĞLU"/>
        <s v="Prof. Dr. Mehmet AYVAZ"/>
        <s v="Prof. Dr. Mehmet Cemalettin AKSOY"/>
        <s v="Prof. Dr. Melek Dilek TURGUT"/>
        <s v="Prof. Dr. Melih Önder BABAOĞLU"/>
        <s v="Prof. Dr. Meltem Gülhan HALİL"/>
        <s v="Prof. Dr. Mert ÇALIŞ"/>
        <s v="Prof. Dr. Meryem Aslı TUNCER"/>
        <s v="Prof. Dr. Murat GÜLTEKİN"/>
        <s v="Prof. Dr. Murat TUNCEL"/>
        <s v="Prof. Dr. Mustafa Barış GÜNCÜ"/>
        <s v="Prof. Dr. Mustafa CANKURTARAN"/>
        <s v="Prof. Dr. Müzeyyen Pınar ÖZGEN KIRATLI"/>
        <s v="Prof. Dr. N. Dilara ZEYBEK"/>
        <s v="Prof. Dr. Nagehan EMİRALİOĞLU ORDUKAYA"/>
        <s v="Prof. Dr. Neşe DERİCİOĞLU"/>
        <s v="Prof. Dr. Oğuz IŞIK"/>
        <s v="Prof. Dr. Okan Bülent YILDIZ"/>
        <s v="Prof. Dr. Ömer KARADAĞ"/>
        <s v="Prof. Dr. Ömer UĞUR"/>
        <s v="Prof. Dr. Ömrüm UZUN"/>
        <s v="Prof. Dr. Ömür ÇAĞLAR"/>
        <s v="Prof. Dr. Ömür ÇELİKBIÇAK"/>
        <s v="Prof. Dr. Orhan ODABAŞI"/>
        <s v="Prof. Dr. Oya ÖZDEMİR"/>
        <s v="Prof. Dr. Özgür UĞURLUOĞLU"/>
        <s v="Prof. Dr. Özlem BOYBEYİ"/>
        <s v="Prof. Dr. Özlem TEKŞAM"/>
        <s v="Prof. Dr. Pelin Özlem ŞİMŞEK KİPER"/>
        <s v="Prof. Dr. Pergin ATİLLA"/>
        <s v="Prof. Dr. Petek KORKUSUZ"/>
        <s v="Prof. Dr. Rıza Köksal ÖZGÜL"/>
        <s v="Prof. Dr. Salih AKSU"/>
        <s v="Prof. Dr. Salih Kutay DEMİRKAN"/>
        <s v="Prof. Dr. Saniye EKİNCİ"/>
        <s v="Prof. Dr. Seda Banu AKINCI"/>
        <s v="Prof. Dr. Şehnaz ALP"/>
        <s v="Prof. Dr. Selçuk DAĞDELEN"/>
        <s v="Prof. Dr. Serdar ÖZER"/>
        <s v="Prof. Dr. Serdar TEKGÜL"/>
        <s v="Prof. Dr. Sevinç SARINÇ"/>
        <s v="Prof. Dr. Şevket Murat ÖZBEK"/>
        <s v="Prof. Dr. Şevkiye Selin AYTAÇ EYÜPOĞLU"/>
        <s v="Prof. Dr. Seza ÖZEN"/>
        <s v="Prof. Dr. Sibel DOĞAN GÜNAYDIN"/>
        <s v="Prof. Dr. Sibel ERSOY EVANS"/>
        <s v="Prof. Dr. Sinem AKGÜL"/>
        <s v="Prof. Dr. Sıddika Songül YALÇIN"/>
        <s v="Prof. Dr. Şule ÜNAL CANGÜL"/>
        <s v="Prof. Dr. Taner YILMAZ"/>
        <s v="Prof. Dr. Tarık TUNCAY"/>
        <s v="Prof. Dr. Taylan KAV"/>
        <s v="Prof. Dr. Tutku SOYER"/>
        <s v="Prof. Dr. Ülfet Pınar ERKEKOĞLU"/>
        <s v="Prof. Dr. Ülkü ÜNDEĞER BUCURGAT"/>
        <s v="Prof. Dr. Ümit Yavuz MALKAN"/>
        <s v="Prof. Dr. Umut KALYONCU"/>
        <s v="Prof. Dr. Yahya BÜYÜKAŞIK"/>
        <s v="Prof. Dr. Yakut AKYÖN YILMAZ"/>
        <s v="Prof. Dr. Yasemin ÖZSÜREKCİ"/>
        <s v="Prof. Dr. Yavuz AYHAN"/>
        <s v="Prof. Dr. Zafer Selçuk TUNCER"/>
        <m/>
      </sharedItems>
    </cacheField>
    <cacheField name="BİRİMİ" numFmtId="0">
      <sharedItems containsBlank="1" count="71">
        <s v="Adli Tıp Anabilim Dalı"/>
        <s v="Ağız, Diş ve Çene Cerrahisi Anabilim Dalı"/>
        <s v="Ağız, Diş ve Çene Radyolojisi Anabilim Dalı"/>
        <s v="Aile Hekimliği Anabilim Dalı"/>
        <s v="Analitik Kimya Anabilim Dalı"/>
        <s v="Anatomi Anabilim Dalı"/>
        <s v="Anesteziyoloji ve Reanimasyon Anabilim Dalı"/>
        <s v="Barcelona Institute for Global Health"/>
        <s v="Biyofizik Anabilim Dalı"/>
        <s v="Biyoinformatik Anabilim Dalı"/>
        <s v="Biyoistatistik Anabilim Dalı"/>
        <s v="Çocuk Cerrahisi Anabilim Dalı"/>
        <s v="Çocuk Sağlığı Entitüsü"/>
        <s v="Çocuk Sağlığı ve Hastalıkları Anabilim Dalı"/>
        <s v="Çocuk ve Ergen Ruh Sağlığı ve Hastalıkları Anabilim Dalı"/>
        <s v="Deri ve Zührevi Hastalıklar Anabilim Dalı"/>
        <s v="Egzersizde Beslenme ve Metabolizma Anabilim Dalı"/>
        <s v="Endodonti Anabilim Dalı"/>
        <s v="Enfeksiyon Hastalıkları ve Klinik Mikrobiyoloji Anabilim Dalı"/>
        <s v="Farmasötik Mikrobiyoloji Anabilim Dalı"/>
        <s v="Farmasötik Toksikoloji Anabilim Dalı"/>
        <s v="Fizikokimya Anabilim Dalı"/>
        <s v="Fiziksel Tıp ve Rehabilitasyon Anabilim Dalı"/>
        <s v="Fizyoloji Anabilim Dalı"/>
        <s v="Genel Cerrahi Anabilim Dalı"/>
        <s v="Gıda Bilimleri Anabilim Dalı"/>
        <s v="Gıda Mühendisliği Anabilim Dalı"/>
        <s v="Göğüs Cerrahisi Anabilim Dalı"/>
        <s v="Göğüs Hastalıkları Anabilim Dalı"/>
        <s v="Göz Hastalıkları Anabilim Dalı"/>
        <s v="Gülhane Sağlık Bilimleri Üniversitesi_x000a_Hemşirelik Fakültesi_x000a_Doğum ve Kadın Hastalıkları Hemşireliği Anabilim Dalı"/>
        <s v="Halk Sağlığı Anabilim Dalı"/>
        <s v="Hareket ve Antrenman Bilimleri Anabilim Dalı"/>
        <s v="Histoloji ve Embriyoloji Anabilim Dalı"/>
        <s v="İç Hastalıkları Anabilim Dalı"/>
        <s v="Kadın Hastalıkları ve Doğum Anabilim Dalı"/>
        <s v="Kardiyoloji Anabilim Dalı"/>
        <s v="Klinik Eczacılık Anabilim Dalı"/>
        <s v="Klinik Psikoloji Anabilim Dalı"/>
        <s v="Kök Hücre Bilimleri Anabilim Dalı"/>
        <s v="Kulak Burun Boğaz Anabilim Dalı"/>
        <s v="Lokman Hekim Üniversitesi_x000a_Sağlık Hizmetleri Meslek Yüksekokulu"/>
        <s v="Moleküler Biyoloji Anabilim Dalı"/>
        <s v="Nöroloji Anabilim Dalı"/>
        <s v="Nükleer Tıp Anabilim Dalı"/>
        <s v="Ortodonti Anabilim Dalı"/>
        <s v="Ortopedi ve Travmatoloji Anabilim Dalı"/>
        <s v="Pediatrik Temel Bilimler Anabilim Dalı"/>
        <s v="Pedodonti Anabilim Dalı"/>
        <s v="Periodontoloji Anabilim Dalı"/>
        <s v="Plastik, Rekonstrüktif ve Estetik Cerrahi Anabilim Dalı"/>
        <s v="Protetik Diş Tedavisi Anabilim Dalı"/>
        <s v="Radyoloji Anabilim Dalı"/>
        <s v="Restoratif Diş Tedavisi Anabilim Dalı"/>
        <s v="Ruh Sağlığı ve Hastalıkları Anabilim Dalı"/>
        <s v="Sağlık Araştırmaları Anabilim Dalı"/>
        <s v="Sağlık Bilimleri Enstitüsü"/>
        <s v="Sağlık Bilişimi Anabilim Dalı"/>
        <s v="Sağlık Yönetimi Anabilim Dalı"/>
        <s v="Sosyal Hizmet Anabilim Dalı"/>
        <s v="Sosyal Pediatri Anabilim Dalı"/>
        <s v="Spor Hekimliği Anabilim Dalı"/>
        <s v="Tıbbi Biyokimya Anabilim Dalı"/>
        <s v="Tıbbi Farmakoloji Anabilim Dalı"/>
        <s v="Tıbbi Genetik Anabilim Dalı"/>
        <s v="Tıbbi Laboratuvar Teknikleri Programı"/>
        <s v="Tıbbi Mikrobiyoloji Anabilim Dalı"/>
        <s v="Tıbbi Patoloji Anabilim Dalı"/>
        <s v="Tıp Eğitimi ve Bilişimi Anabilim Dalı"/>
        <s v="Üroloji Anabilim Dalı"/>
        <m/>
      </sharedItems>
    </cacheField>
    <cacheField name="YERİ" numFmtId="0">
      <sharedItems containsBlank="1" count="463" longText="1">
        <s v="Barcelona Institute for Global Health (ISGlobal) araştırmacılarından Dr. Natalia RAKİSLOVA’nın sorumlu araştırmacı olduğu, Prof. Dr. Alp USUBÜTÜN ile birlikte çalışacakları,"/>
        <s v="Gülhane Sağlık Bilimleri Üniversitesi Hemşirelik Fakültesi Doğum ve Kadın Hastalıkları Hemşireliği Anabilim Dalı öğretim üyelerinden Doç. Dr. Gölşah KÖK'ün sorumlu araştırmacı olduğu, Seda TEMEL ve Dr. Havva ÖZDEMIR ile birlikte çalışacakları,"/>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Lokman Hekim Üniversitesi Sağlık Hizmetleri Meslek Yüksek Okulu öğretim üyelerinden Prof. Dr. Bayram ŞAHİN'in sorumlu araştırmacı olduğu ve İlknur ÖZCAN’ın yüksek lisans tezi olan,"/>
        <s v="Lokman Hekim Üniversitesi Sağlık Hizmetleri Meslek Yüksekokulu öğretim üyelerinden Prof. Dr. Bayram ŞAHİN'in sorumlu araştırmacı olduğu; Prof. Dr. Müberra AKDOĞAN, Uzm. Dr. Aykut Burak BAYAV ile birlikte çalışacakları ve Gülcan AYDIN’ın doktora tezi olan,"/>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Üniversitemiz Çocuk Sağlığı Enstitüsü Sosyal Pediatri Anabilim Dalı öğretim üyelerinden Prof. Dr. Sıddika Songül YALÇIN’ın sorumlu araştırmacı olduğu, Uzm. Dr. Murat GÜLŞEN’in doktora tezi olan,"/>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Üniversitemiz Diş Hekimliği Fakültesi Ağız, Diş ve Çene Cerrahisi Anabilim Dalı öğretim üyelerinden Dr. Öğr. Üyesi Salih Eren MERAL’in sorumlu araştırmacı olduğu, Prof. Dr. Hakan Hıfzı TÜZ ve Dr. Öğr. Üye. Onur KOÇ ile birlikte çalışacakları,"/>
        <s v="Üniversitemiz Diş Hekimliği Fakültesi Ağız, Diş ve Çene Cerrahisi Anabilim Dalı öğretim üyelerinden Dr. Öğr. Üyesi Selen ADİLOĞLU’nun sorumlu araştırmacı olduğu, Arş. Gör. Dt. Sena AKSOY TAÇYILDIZ ile birlikte çalışacakları,"/>
        <s v="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Üniversitemiz Diş Hekimliği Fakültesi Ağız, Diş ve Çene Radyolojisi Anabilim Dalı öğretim üyelerinden Doç. Dr. Nagihan KOÇ’un sorumlu araştırmacı olduğu, Arş. Gör. Dt. Berke Can KILIÇ’ın uzmanlık tezi olan,"/>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Üniversitemiz Diş Hekimliği Fakültesi Ağız, Diş ve Çene Radyolojisi Anabilim Dalı öğretim üyelerinden Dr. Öğr. Üyesi Hatice BOYACIOĞLU ERDEN’in sorumlu araştırmacı olduğu,"/>
        <s v="Üniversitemiz Diş Hekimliği Fakültesi Ağız, Diş ve Çene Radyolojisi Anabilim Dalı öğretim üyelerinden Prof. Dr. Şevket Murat ÖZBEK’in sorumlu araştırmacı olduğu, Doç. Dr. Nagihan KOÇ ve Arş. Gör. Dt. Özge BEKTAŞ ile birlikte çalışacakları,"/>
        <s v="Üniversitemiz Diş Hekimliği Fakültesi Endodonti Anabilim Dalı öğretim üyelerinden Doç. Dr. Ayhan EYMİRLİ’nin sorumlu araştırmacı olduğu, Dt. Zeynep Buket DAĞ’ın uzmanlık tezi olan,"/>
        <s v="Üniversitemiz Diş Hekimliği Fakültesi Endodonti Anabilim Dalı öğretim üyelerinden Doç. Dr. Eda Ezgi ASLANTAŞ’ın sorumlu araştırmacı olduğu, Arş. Gör. Dt. Hayrunnisa BAŞARAN ile birlikte çalışacakları,"/>
        <s v="Üniversitemiz Diş Hekimliği Fakültesi Endodonti Anabilim Dalı öğretim üyelerinden Doç. Dr. Eda Ezgi ASLANTAŞ’ın sorumlu araştırmacı olduğu, Arş. Gör. Dt. İsmihan PİŞKİN ile birlikte çalışacakları,"/>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Üniversitemiz Diş Hekimliği Fakültesi Endodonti Anabilim Dalı öğretim üyelerinden Prof. Dr. M. Özgür UYANIK’ın sorumlu araştırmacı olduğu, Prof. Dr. Emel UZUNOĞLU ÖZYÜREK ve Arş. Gör. Dt. Şevval SARIOĞLU ile birlikte çalışacakları,"/>
        <s v="Üniversitemiz Diş Hekimliği Fakültesi Ortodonti Anabilim Dalı öğretim üyelerinden Doç. Dr. Bengisu AKARSU GÜVEN’in sorumlu araştırmacı olduğu, Arş. Gör. Dt. Aybüke ÖZYALIN ÖZEROL ile birlikte çalışacakları,"/>
        <s v="Üniversitemiz Diş Hekimliği Fakültesi Ortodonti Anabilim Dalı öğretim üyelerinden Doç. Dr. Dt. Ezgi ATİK’in sorumlu araştırmacı olduğu, Dr. Öğr. Üyesi Irmak OCAK ve Arş. Gör. Dt. Kübra Hilal TÜRKOĞLU BOYNUYOĞUN ile birlikte çalışacakları,"/>
        <s v="Üniversitemiz Diş Hekimliği Fakültesi Ortodonti Anabilim Dalı öğretim üyelerinden Doç. Dr. Ezgi ATİK’in sorumlu araştırmacı olduğu, Arş. Gör. Dt. Burak ŞANLI ile birlikte çalışacakları,"/>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Üniversitemiz Diş Hekimliği Fakültesi Ortodonti Anabilim Dalı öğretim üyelerinden Doç. Dr. Hande GÖRÜCÜ COŞKUNER'in sorumlu araştırmacı olduğu,"/>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Üniversitemiz Diş Hekimliği Fakültesi Ortodonti Anabilim Dalı öğretim üyelerinden Dr. Öğr. Üyesi Irmak OCAK'ın sorumlu araştırmacı olduğu, Arş. Gör. Dt. Mehmet Tolga ÇETİN ile birlikte çalışacakları,"/>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Üniversitemiz Diş Hekimliği Fakültesi Pedodonti Anabilim Dalı öğretim üyelerinden Prof. Dr. Melek Dilek TURGUT’un sorumlu araştırmacı olduğu, Prof. Dr. Meryem UZAMIŞ TEKÇİÇEK, Arş. Gör. Dt. Kardelen DEMİREL, Arş. Gör. Dt. Doğa BÖKE ile birlikte çalışacakları,"/>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Üniversitemiz Diş Hekimliği Fakültesi Periodontoloji Anabilim Dalı öğretim üyelerinden Dr. Öğr. Üyesi Hanife Merva PARLAK’ın sorumlu araştırmacı olduğu,"/>
        <s v="Üniversitemiz Diş Hekimliği Fakültesi Periodontoloji Anabilim Dalı öğretim üyelerinden Dr. Öğr. Üyesi Hanife Merva PARLAK’ın sorumlu araştırmacı olduğu, Öğr. Gör. Dt. Meltem ÖZDEMİR-KABALAK ile birlikte çalışacakları,"/>
        <s v="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Üniversitemiz Diş Hekimliği Fakültesi Periodontoloji Anabilim Dalı öğretim üyelerinden Prof. Dr. Hüseyin Gencay KEÇELİ’nin sorumlu araştırmacı olduğu, Dr. Öğr. Üyesi Hanife Merva PARLAK ile birlikte çalışacakları,"/>
        <s v="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
        <s v="Üniversitemiz Diş Hekimliği Fakültesi Protetik Diş Tedavisi Anabilim Dalı öğretim üyelerinden Prof. Dr. Güliz AKTAŞ’ın sorumlu araştırmacı olduğu, Arş. Gör. Dt. Ceren ETİK’in uzmanlık tezi olan,"/>
        <s v="Üniversitemiz Diş Hekimliği Fakültesi Protetik Diş Tedavisi Anabilim Dalı öğretim üyelerinden Prof. Dr. Güliz AKTAŞ’ın sorumlu araştırmacı olduğu, Arş. Gör. Ozan DEMİRBAŞ’ın uzmanlık tezi olan,"/>
        <s v="Üniversitemiz Diş Hekimliği Fakültesi Protetik Diş Tedavisi Anabilim Dalı öğretim üyelerinden Prof. Dr. Kıvanç AKÇA'nın sorumlu araştırmacı olduğu, Uzm. Dt. Sinem KARACA ile birlikte çalışacakları,"/>
        <s v="Üniversitemiz Diş Hekimliği Fakültesi Protetik Diş Tedavisi Anabilim Dalı öğretim üyelerinden Prof. Dr. Mustafa Barış GÜNCÜ’nün sorumlu araştırmacı olduğu, Arş. Gör. Dt. Eda Gül KAYIR'ın uzmanlık tezi olan,"/>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Üniversitemiz Diş Hekimliği Fakültesi Restoratif Diş Tedavisi Anabilim Dalı öğretim üyelerinden Prof. Dr. Filiz YALÇIN ÇAKIR’ın sorumlu araştırmacı olduğu, Prof. Dr Ayşe Rüya YAZICI, Arş. Gör. Dt. Serra AKYÜZ ile birlikte çalışacakları,"/>
        <s v="Üniversitemiz Eczacılık Fakültesi Analitik Kimya Anabilim Dalı öğretim elemanlarından Arş. Gör. Dr. Ozan KAPLAN’ın sorumlu araştırmacı olduğu, Prof. Dr. Mustafa ÇELEBİER ve Doç. Dr. Yeter EROL ÖZTÜRK ile birlikte çalışacakları,"/>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
        <s v="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Üniversitemiz Eczacılık Fakültesi Klinik Eczacılık Anabilim Dalı öğretim üyelerinden Dr. Öğr Üyesi Emre KARA'nın sorumlu araştırmacı olduğu, Prof. Dr. Gökhan METAN ve Arş. Gör. Özgenur GERİDÖNMEZ ile birlikte çalışacakları,"/>
        <s v="Üniversitemiz Eczacılık Fakültesi Klinik Eczacılık Anabilim Dalı öğretim üyelerinden Dr. Öğr. Üyesi Burcu KELLECİ ÇAKIR’ın sorumlu araştırmacı olduğu, Doç. Dr. Cafer BALCI ile birlikte çalışacakları,"/>
        <s v="Üniversitemiz Eczacılık Fakültesi Klinik Eczacılık Anabilim Dalı öğretim üyelerinden Dr. Öğr. Üyesi Burcu KELLECİ ÇAKIR'ın sorumlu araştırmacı olduğu, Doç. Dr. Cafer BALCI, Arş. Gör. Uğur BALABAN, Arş. Gör. Tubanur KOCAASLAN ile birlikte çalışacakları,"/>
        <s v="Üniversitemiz Eczacılık Fakültesi Klinik Eczacılık Anabilim Dalı öğretim üyelerinden Dr. Öğr. Üyesi Burcu KELLECİ ÇAKIR’ın sorumlu araştırmacı olduğu, Ece AYDIN ile birlikte çalışacakları,"/>
        <s v="Üniversitemiz Eczacılık Fakültesi Klinik Eczacılık Anabilim Dalı öğretim üyelerinden Dr. Öğr. Üyesi Burcu KELLECİ ÇAKIR’ın sorumlu araştırmacı olduğu,Prof. Dr. Erdinç ÇETİNKAYA ve Dr. Rana Elçin SEZER ile birlikte çalışacakları,"/>
        <s v="Üniversitemiz Eczacılık Fakültesi Klinik Eczacılık Anabilim Dalı öğretim üyelerinden Dr. Öğr. Üyesi Emre KARA’nın sorumlu araştırmacı olduğu, Prof. Dr. Murat AKOVA ve Arş. Gör. Bahar ERBAY ile birlikte çalışacakları,"/>
        <s v="Üniversitemiz Eczacılık Fakültesi Klinik Eczacılık Anabilim Dalı öğretim üyelerinden Prof. Dr. Aygin EKİNCİOĞLU’nun sorumlu araştırmacı olduğu, Prof. Dr. Ali DÜZOVA, Prof. Dr. Fatih ÖZALTIN ve Dr. Öğr. Üyesi Emine Gülşah ÖZDEMİR ile birlikte çalışacakları,"/>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Üniversitemiz Eczacılık Fakültesi Klinik Eczacılık Anabilim Dalı öğretim üyelerinden Prof. Dr. Salih Kutay DEMİRKAN’ın sorumlu araştırmacı olduğu, Prof. Dr. Selçuk DAĞDELEN ve Arş. Gör. Özgenur GERİDÖNMEZ ile birlikte çalışacakları,"/>
        <s v="Üniversitemiz Edebiyat Fakültesi Klinik Psikoloji Anabilim Dalı öğretim üyelerinden Doç. Dr. Ayşe Bikem KARGI'nın sorumlu araştırmacı olduğu, Ecem ALTOP KÖYOĞLU'nun doktora tezi olan,"/>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Üniversitemiz Fen Fakültesi Fizikokimya Anabilim Dalı öğretim üyelerinden Prof. Dr. Ömür ÇELİKBIÇAK’ın sorumlu araştırmacı olduğu, Neslihan ZENCİRCİ’nin doktora tezi olan,"/>
        <s v="Üniversitemiz Hacettepe Tıp Fakültesi Çocuk Sağlığı ve Hastalıkları Anabilim Dalı öğretim üyelerinden Prof. Dr. Yasemin ÖZSÜREKCİ’nin sorumlu araştırmacı olduğu, Arş. Gör. Dr. Osman ÇUBUK ve Arş. Gör. Dr. Osman Oğuz DEMİR ile birlikte çalışacakları,"/>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Üniversitemiz Halk Sağlığı Enstitüsü Sağlık Araştırmaları Anabilim Dalı öğretim üyelerinden Prof. Dr. Bahar GÜÇİZ DOĞAN’ın sorumlu araştırmacı olduğu, Dt. Yaprak Öyküm KESİM ile birlikte çalışacakları,"/>
        <s v="Üniversitemiz İktisadi İdari Bilimler Fakültesi Sağlık Yönetimi Anabilim Dalı öğretim üyelerinden Prof. Dr. Oğuz IŞIK’ın sorumlu araştırmacı olduğu, Kübra TEKAYAK’ın doktora tezi olan,"/>
        <s v="Üniversitemiz İktisadi ve İdari Bilimler Fakültesi Sağlık Bilişimi Anabilim Dalı öğretim üyelerinden Doç. Dr. Songül ÇINAROĞLU’nun sorumlu araştırmacı olduğu, Mihriban ARSLAN'ın doktora tezi olan,"/>
        <s v="Üniversitemiz İktisadi ve İdari Bilimler Fakültesi Sağlık Yönetimi Anabilim Dalı öğretim üyelerinden Prof. Dr. Oğuz IŞIK’ın sorumlu araştırmacı olduğu, Arş. Gör. Hamza SIĞIRCI’nın doktora tezi olan,"/>
        <s v="Üniversitemiz İktisadi ve İdari Bilimler Fakültesi Sağlık Yönetimi Anabilim Dalı öğretim üyelerinden Prof. Dr. Oğuz IŞIK’ın sorumlu araştırmacı olduğu, Öğr. Gör. Funda YILDIRIM’ın doktora tezi olan,"/>
        <s v="Üniversitemiz İktisadi ve İdari Bilimler Fakültesi Sağlık Yönetimi Anabilim Dalı öğretim üyelerinden Prof. Dr. Özgür UĞURLUOĞLU’nun sorumlu araştırmacı olduğu, Doç. Dr. Ahmet KARAYİĞİT, Hem. Gamze CEBECİ ve Arş. Gör. Kübra SÜTCÜ’nün doktora tezi olan,"/>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Üniversitemiz İktisadi ve İdari Bilimler Fakültesi Sağlık Yönetimi Anabilim Dalı öğretim üyelerinden Prof. Dr. Özgür UĞURLUOĞLU’nun sorumlu araştırmacı olduğu, Prof. Dr. Reyhan ERSOY ile birlikte çalışacakları ve Mustafa KOCAKAYA’nın doktora tezi olan,"/>
        <s v="Üniversitemiz İktisadi ve İdari Bilimler Fakültesi Sosyal Hizmet Anabilim Dalı öğretim üyelerinden Doç. Dr. Aslıhan AYKARA’nın sorumlu araştırmacı olduğu, Derya AKKURT'un doktora tezi olan,"/>
        <s v="Üniversitemiz İktisadi ve İdari Bilimler Fakültesi Sosyal Hizmet Anabilim Dalı öğretim üyelerinden Doç. Dr. Aslıhan AYKARA’nın sorumlu araştırmacı olduğu, Dilara KESER GÜNENÇ’in doktora tezi olan,"/>
        <s v="Üniversitemiz İktisadi ve İdari Bilimler Fakültesi Sosyal Hizmet Anabilim Dalı öğretim üyelerinden Doç. Dr. Burcu HATİBOĞLU’nun sorumlu araştırmacı olduğu, Semra GÜNDÜZ’ün doktora tezi olan,"/>
        <s v="Üniversitemiz İktisadi ve İdari Bilimler Fakültesi Sosyal Hizmet Anabilim Dalı öğretim üyelerinden Prof. Dr. Kasım KARATAŞ’ın sorumlu araştırmacı olduğu, Sultan TEKİNYER ÇİÇEK ile birlikte çalışacakları,"/>
        <s v="Üniversitemiz İktisadi ve İdari Bilimler Fakültesi Sosyal Hizmet Anabilim Dalı öğretim üyelerinden Prof. Dr. Tarık TUNCAY'ın sorumlu araştırmacı olduğu, Dr. Özlem GÖZEN ve Dr. Günseli Ayça ŞALDIRDAK ve Uzm. SHU Ayben BURAN ile birlikte çalışacakları,"/>
        <s v="Üniversitemiz Mühendislik Fakültesi Gıda Bilimleri Anabilim Dalı öğretim üyelerinden Dr. Öğr. Üyesi Burçe ATAÇ MOGOL’un sorumlu araştırmacı olduğu, Arş. Gör. Selin ÇAKMAK’ın yüksek lisans tezi olan,"/>
        <s v="Üniversitemiz Mühendislik Fakültesi Gıda Bilimleri Anabilim Dalı öğretim üyelerinden Dr. Öğr. Üyesi Ezgi DOĞAN CÖMERT’in sorumlu araştırmacı olduğu, Prof. Dr. Vural GÖKMEN ile birlikte çalışacakları,"/>
        <s v="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
        <s v="Üniversitemiz Sağlık Bilimleri Enstitüsü Biyoinformatik Anabilim Dalı öğretim üyelerinden Dr. Öğr. Üyesi Arda ÇETİNKAYA’nın sorumlu araştırmacı olduğu, Dilay Deniz AYDOĞDU’nun yüksek lisans tezi olan,"/>
        <s v="Üniversitemiz Sağlık Bilimleri Enstitüsü doktora sonrası araştırmacısı olan Dr. Özgür Doğuş EROL DUYAR’ın sorumlu araştırmacı olduğu, Doç. Dr. Fatima S. F. AERTS KAYA ve Prof. Dr. Y. Çetin KOCAEFE ile birlikte çalışacakları,"/>
        <s v="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
        <s v="Üniversitemiz Spor Bilimleri Fakültesi Hareket ve Antrenman Bilimleri Anabilim Dalı öğretim üyelerinden Dr. Öğr. Üyesi Evrim ÜNVER’in sorumlu araştırmacı olduğu, Doğa KAMUTAY ile birlikte çalışacakları,"/>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Üniversitemiz Spor Bilimleri Fakültesi Hareket ve Antrenman Bilimleri Anabilim Dalı öğretim üyelerinden Prof. Dr. Ayşe KİN İŞLER'in sorumlu araştırmacı olduğu, Nazlı ÖZGÖR, Taylan AYTAÇ ve Arş. Gör. Dr. Mehmet Gören KÖSE ile birlikte çalışacakları,"/>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Üniversitemiz Tıp Fakültesi Aile Hekimliği Anabilim Dalı öğretim üyelerinden Doç. Dr .İzzet FİDANCI’nın sorumlu araştırmacı olduğu, Doç. Dr. Hilal AKSOY ve Doç. Dr. Duygu AYHAN BAŞER ile birlikte çalışacakları,"/>
        <s v="Üniversitemiz Tıp Fakültesi Aile Hekimliği Anabilim Dalı öğretim üyelerinden Doç. Dr. Duygu AYHAN BAŞER’in sorumlu araştırmacı olduğu, Arş. Gör. Dr. Aygül TAŞDEMİR'in uzmanlık tezi olan,"/>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Üniversitemiz Tıp Fakültesi Aile Hekimliği Anabilim Dalı öğretim üyelerinden Doç. Dr. Duygu AYHAN BAŞER’in sorumlu araştırmacı olduğu, Prof. Dr. Mine DURUSU TANRIÖVER ile birlikte çalışacakları,"/>
        <s v="Üniversitemiz Tıp Fakültesi Aile Hekimliği Anabilim Dalı öğretim üyelerinden Doç. Dr. Hilal AKSOY’un sorumlu araştırmacı olduğu, Arş. Gör. Dr. Ayşenur VURUCU BAYRAM'ın uzmanlık tezi olan,"/>
        <s v="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
        <s v="Üniversitemiz Tıp Fakültesi Aile Hekimliği Anabilim Dalı öğretim üyelerinden Doç. Dr. Hilal AKSOY’un sorumlu araştırmacı olduğu, Arş. Gör. Dr. Murat Can ÖNDER’in  uzmanlık tezi olan,"/>
        <s v="Üniversitemiz Tıp Fakültesi Anatomi Anabilim Dalı öğretim elemanlarından Arş. Gör. Dr. Tuğçe TAŞKINDERE ABBASOĞLU’nun sorumlu araştırmacı olduğu, Prof. Dr. Muşturay KARÇAALTINCABA ile birlikte çalışacakları,"/>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Üniversitemiz Tıp Fakültesi Anatomi Anabilim Dalı öğretim elemanlarından Öğr. Gör. Dr. Tuğçe TAŞKINDERE ABBASOĞLU’nun sorumlu araştırmacı olduğu,"/>
        <s v="Üniversitemiz Tıp Fakültesi Anatomi Anabilim Dalı öğretim görevlilerinden Öğr. Gör. Dr. Bahattin PASLI'nın sorumlu araştırmacı olduğu, Öğr. Gör. Dr. Helin YÜCEDAĞ GÜNDOĞDU ve Uzm. Dr. Mehmet ÜLKİR ile birlikte çalışacakları,"/>
        <s v="Üniversitemiz Tıp Fakültesi Anatomi Anabilim Dalı öğretim görevlilerinden Öğr. Gör. Dr. Bahattin PASLI'nın sorumlu araştırmacı olduğu, Uzm. Dr. Mehmet ÜLKİR ile birlikte çalışacakları,"/>
        <s v="Üniversitemiz Tıp Fakültesi Anatomi Anabilim Dalı öğretim üyelerinden Doç. Dr. Ceren GÜNENÇ BEŞER’in sorumlu araştırmacı olduğu, Doç. Dr. Damla HANALİOĞLU'nun yüksek lisans tezi olan,"/>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Üniversitemiz Tıp Fakültesi Anatomi Anabilim Dalı öğretim üyelerinden Dr. Öğr. Üyesi Hilal AKDEMİR AKTAŞ’ın sorumlu araştırmacı olduğu, Dr. Öğr. Üyesi Hasan Barış ILGAZ ile birlikte çalışacakları,"/>
        <s v="Üniversitemiz Tıp Fakültesi Anesteziyoloji ve Reanimasyon Anabilim Dalı öğretim üyelerinden Doç. Dr. Almıla Gülsün PAMUK’un sorumlu araştırmacı olduğu, Arş. Gör. Dr. Muhammed Raşit HIZ'ın uzmanlık tezi olan,"/>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Üniversitemiz Tıp Fakültesi Anesteziyoloji ve Reanimasyon Anabilim Dalı öğretim üyelerinden Prof. Dr. Banu KILIÇASLAN’ın sorumlu araştırmacı olduğu, Arş. Gör. Dr. Celal AVAN’ın uzmanlık tezi olan,"/>
        <s v="Üniversitemiz Tıp Fakültesi Anesteziyoloji ve Reanimasyon Anabilim Dalı öğretim üyelerinden Prof. Dr. Filiz ÜZÜMCÜGİL’in sorumlu araştırmacı olduğu, Arş. Gör. Dr. Alper KILINÇ'ın uzmanlık tezi olan,"/>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Üniversitemiz Tıp Fakültesi Biyofizik Anabilim Dalı öğretim üyelerinden Prof. Dr. Abdullah Ruhi SOYLU’nun sorumlu araştırmacı olduğu, Prof. Dr. Ahmet İlkay IŞIKAY, Doç. Dr. Şafak PARLAK SAĞOL ile birlikte çalışacakları ve Dr. Mustafa SAKCI'nın doktora tezi olan,"/>
        <s v="Üniversitemiz Tıp Fakültesi Biyoistatistik Anabilim Dalı öğretim üyelerinden Prof. Dr. Erdem KARABULUT'un sorumlu araştırmacı olduğu, Hüseyin Erkin SÜLEKLİ’nin doktora tezi olan,"/>
        <s v="Üniversitemiz Tıp Fakültesi Biyoistatistik Anabilim Dalı öğretim üyelerinden Prof. Dr. Jale KARAKAYA’nın sorumlu araştırmacı olduğu, Doç. Dr. Gamze DURHAN ve Arş. Gör. Hanife AVCI ile birlikte çalışacakları,"/>
        <s v="Üniversitemiz Tıp Fakültesi Çocuk Cerrahisi Anabilim Dalı öğretim üyelerinden Doç. Dr. Burak ARDIÇLI’nın sorumlu araştırmacı olduğu, Prof. Dr. Saniye EKİNCİ, Doç. Dr. İdil Rana USER KILIÇ ve Arş. Gör. Dr. Kübra ÖZTÜRK YÜZDEMİR ile birlikte çalışacakları,"/>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Üniversitemiz Tıp Fakültesi Çocuk Cerrahisi Anabilim Dalı öğretim üyelerinden Doç. Dr. İdil Rana USER KILIÇ’ın sorumlu araştırmacı olduğu, Prof. Dr. Saniye EKİNCİ, Doç. Dr. Burak ARDIÇLI, Arş. Gör. Dr. Tunç TIĞLI ile birlikte çalışacakları,"/>
        <s v="Üniversitemiz Tıp Fakültesi Çocuk Cerrahisi Anabilim Dalı öğretim üyelerinden Prof. Dr. Özlem BOYBEYİ’nin sorumlu araştırmacı olduğu, Prof. Dr. Tutku SOYER ve Arş. Gör. Dr. Mustafa Ünal SAYILIR ile birlikte çalışacakları,"/>
        <s v="Üniversitemiz Tıp Fakültesi Çocuk Cerrahisi Anabilim Dalı öğretim üyelerinden Prof. Dr. Saniye EKİNCİ’nin sorumlu araştırmacı olduğu, Prof. Dr. Diclehan ORHAN ve Arş. Gör. Dr. Kübra ÖZTÜRK YÜZDEMİR ile birlikte çalışacakları,"/>
        <s v="Üniversitemiz Tıp Fakültesi Çocuk Cerrahisi Anabilim Dalı öğretim üyelerinden Prof. Dr. Tutku SOYER ’in sorumlu araştırmacı olduğu, Prof. Dr. Özlem BOYBEYİ, Arş. Gör. Dr. Mustafa Ünal SAYILIR ile birlikte çalışacakları,"/>
        <s v="Üniversitemiz Tıp Fakültesi Çocuk Cerrahisi Anabilim Dalı öğretim üyelerinden Prof. Dr. Tutku SOYER'in sorumlu araştırmacı olduğu, Doç. Dr. Numan DEMİR, Prof. Dr. Ali Şefik HOŞAL ile birlikte çalışacakları,"/>
        <s v="Üniversitemiz Tıp Fakültesi Çocuk Cerrahisi Anabilim Dalı öğretim üyelerinden Prof. Dr. Tutku SOYER'in sorumlu araştırmacı olduğu, Prof. Dr. Özlem BOYBEYİ ve Arş. Gör. Dr. Gizem KORKMAZ ile birlikte çalışacakları,"/>
        <s v="Üniversitemiz Tıp Fakültesi Çocuk Cerrahisi Anabilim Dalı öğretim üyelerinden Prof. Dr. Tutku SOYER’in sorumlu araştırmacı olduğu, Prof. Dr. Özlem BOYBEYİ, Arş. Gör. Tunç TIĞLI ile birlikte çalışacakları,"/>
        <s v="Üniversitemiz Tıp Fakültesi Çocuk Sağlığı ve Hastalıkları Anabilim Dalı Çocuk öğretim üyelerinden Prof. Dr. Yasemin ÖZSÜREKCİ’nin sorumlu araştırmacı olduğu, Arş. Gör. Dr. Aylin Irmak KURUÇ ve Arş. Gör. Dr. İrem Nur İNGENÇ ile birlikte çalışacakları,"/>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Üniversitemiz Tıp Fakültesi Çocuk Sağlığı ve Hastalıkları Anabilim Dalı öğretim elemanlarından Arş. Gör. Dr. Şeyma KAHRAMAN'ın sorumlu araştırmacı olduğu, Dr. Öğr. Üyesi Ayşe METE YEŞİL, Prof. Dr. Elif Nursel ÖZMERT ile birlikte çalışacakları,"/>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Üniversitemiz Tıp Fakültesi Çocuk Sağlığı ve Hastalıkları Anabilim Dalı öğretim üyelerinden Doç. Dr. Eda Didem KURT ŞÜKÜR'ün sorumlu araştırmacı olduğu, Arş. Gör. Dr. Hüseyin Galen İNCEL’in uzmanlık tezi olan,"/>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Üniversitemiz Tıp Fakültesi Çocuk Sağlığı ve Hastalıkları Anabilim Dalı öğretim üyelerinden Doç. Dr. İlker ERTUĞRUL'un sorumlu araştırmacı olduğu, Arş. Gör. Dr. Betül Seda GÜZELHAN ile birlikte çalışacakları,"/>
        <s v="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
        <s v="Üniversitemiz Tıp Fakültesi Çocuk Sağlığı ve Hastalıkları Anabilim Dalı öğretim üyelerinden Doç. Dr. Kübra AYKAÇ’ın sorumlu araştırmacı olduğu ve Arş. Gör. Dr. Günel YUSIFOVA’nın uzmanlık tezi olan,"/>
        <s v="Üniversitemiz Tıp Fakültesi Çocuk Sağlığı ve Hastalıkları Anabilim Dalı öğretim üyelerinden Doç. Dr. Kübra AYKAÇ’ın sorumlu araştırmacı olduğu, Arş. Gör. Dr. İrem Nur İNGENÇ ile birlikte çalışacakları,"/>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Üniversitemiz Tıp Fakültesi Çocuk Sağlığı ve Hastalıkları Anabilim Dalı öğretim üyelerinden Dr. Öğr. Üyesi Ayşe METE YEŞİL'in sorumlu araştırmacı olduğu, Prof. Dr. Elif Nursel ÖZMERT, Arş. Gör. Dr. Gözde ULUŞIK GÜNGÖR ile birlikte çalışacakları,"/>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Üniversitemiz Tıp Fakültesi Çocuk Sağlığı ve Hastalıkları Anabilim Dalı öğretim üyelerinden Dr. Öğr. Üyesi Nur Berna ÇELİK ERTAŞ’ın sorumlu araştırmacı olduğu, Prof. Dr. Zeynep Alev ÖZÖN ile birlikte çalışacakları,"/>
        <s v="Üniversitemiz Tıp Fakültesi Çocuk Sağlığı ve Hastalıkları Anabilim Dalı öğretim üyelerinden Prof Dr. Şule ÜNAL CANGÜL'ün sorumlu araştırmacı olduğu, Arş. Gör. Dr. Gamze GÜRSOY ve Prof Dr. Uğur ÜNLÜTÜRK ile birlikte çalışacakları,"/>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Üniversitemiz Tıp Fakültesi Çocuk Sağlığı ve Hastalıkları Anabilim Dalı öğretim üyelerinden Prof. Dr. Ali DÜZOVA’nın sorumlu araştırmacı olduğu, Hem. Vahide GERÇEKEROL ile birlikte çalışacakları,"/>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Üniversitemiz Tıp Fakültesi Çocuk Sağlığı ve Hastalıkları Anabilim Dalı öğretim üyelerinden Prof. Dr. Deniz ÇAĞDAŞ AYVAZ’ın sorumlu araştırmacı olduğu, Arş. Gör. Dr. Büşra HOTAMAN, Arş. Gör. Dr. İsmail YAZ ile birlikte çalışacakları,"/>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Üniversitemiz Tıp Fakültesi Çocuk Sağlığı ve Hastalıkları Anabilim Dalı öğretim üyelerinden Prof. Dr. Ebru AYPAR'ın sorumlu araştırmacı olduğu, Prof. Dr. Tevfik KARAGÖZ ile birlikte çalışacakları ve Arş. Gör. Dr. Osman BAHADIR’ın uzmanlık tezi olan,"/>
        <s v="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Üniversitemiz Tıp Fakültesi Çocuk Sağlığı ve Hastalıkları Anabilim Dalı öğretim üyelerinden Prof. Dr. Özlem TEKŞAM’ın sorumlu araştırmacı olduğu, Arş. Gör. Dr. Ecem ATABEY DEMİRCAN’ın uzmanlık tezi olan,"/>
        <s v="Üniversitemiz Tıp Fakültesi Çocuk Sağlığı ve Hastalıkları Anabilim Dalı öğretim üyelerinden Prof. Dr. Özlem TEKŞAM’ın sorumlu araştırmacı olduğu, Arş. Gör. Dr. Eylül Nazlı SUNGUR ile birlikte çalışacakları,"/>
        <s v="Üniversitemiz Tıp Fakültesi Çocuk Sağlığı ve Hastalıkları Anabilim Dalı öğretim üyelerinden Prof. Dr. Özlem TEKŞAM'ın sorumlu araştırmacı olduğu, Doç. Dr. Leman AKCAN YILDIZ ile birlikte çalışacakları,"/>
        <s v="Üniversitemiz Tıp Fakültesi Çocuk Sağlığı ve Hastalıkları Anabilim Dalı öğretim üyelerinden Prof. Dr. Özlem TEKŞAM’ın sorumlu araştırmacı olduğu, Doç. Dr. Leman AKCAN YILDIZ ve Araştırma Görevlisi Dr. Selin ARIKANOĞLU ile birlikte çalışacakları,"/>
        <s v="Üniversitemiz Tıp Fakültesi Çocuk Sağlığı ve Hastalıkları Anabilim Dalı öğretim üyelerinden Prof. Dr. Şevkiye Selin AYTAÇ EYÜPOĞLU’nun sorumlu araştırmacı olduğu, Arş. Gör. Dr. Fatih Enes BOZKURT’un uzmanlık tezi olan,"/>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
        <s v="Üniversitemiz Tıp Fakültesi Çocuk Sağlığı ve Hastalıkları Anabilim Dalı öğretim üyelerinden Prof. Dr. Şule ÜNAL CANGÜL’ün sorumlu araştırmacı olduğu, Arş. Gör. Dr. Nihan ORAL, Dr. Öğr. Üyesi Cihan ASLAN, Dr. Öğr. Üyesi Arda BAĞCAZ ile birlikte çalışacakları,"/>
        <s v="Üniversitemiz Tıp Fakültesi Çocuk Sağlığı ve Hastalıkları Anabilim Dalı öğretim üyelerinden Prof. Dr. Yasemin ÖZSÜREKCİ’nin sorumlu araştırmacı olduğu, Arş. Gör. Dr. Aylin Irmak KURUÇ ve Arş. Gör. Dr. İrem Nur İNGENÇ ile birlikte çalışacakları,"/>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Üniversitemiz Tıp Fakültesi Çocuk Sağlığı ve Hastalıkları Anabilim Dalı öğretim üyelerinden Prof. Dr. Yasemin ÖZSÜREKCİ’nin sorumlu araştırmacı olduğu, Doç. Dr. Kübra AYKAÇ ve Arş. Gör. Dr. Aylin Irmak KURUÇ ile birlikte çalışacakları,"/>
        <s v="Üniversitemiz Tıp Fakültesi Çocuk Sağlığı ve Hastalıkları Anabilim Dalı öğretim üyelerinden Prof. Dr. Yasemin ÖZSÜREKCİ’nin sorumlu araştırmacı olduğu, Enes Muzaffer KANDUR ve Gülsena KANDUR ile birlikte çalışacakları"/>
        <s v="Üniversitemiz Tıp Fakültesi Çocuk Sağlığı ve Hastalıkları Anabilim Dalı öğretim üyelerinden Prof. Dr. Yasemin ÖZSÜREKCİ’nin sorumlu araştırmacı olduğu; Arş. Gör. Dr. Aylin Irmak KURUÇ ve Arş. Gör. Dr. İrem Nur İNGENÇ ile birlikte çalışacakları,"/>
        <s v="Üniversitemiz Tıp Fakültesi Çocuk Sağlığı ve Hastalıkları Anabilim Dalı öğretim üyelerinden Prof. Dr. Yasemin ÖZSÜREKCİ’nin sorumlu araştırmacı olduğu; Arş. Gör. Dr. Aylin Irmak KURUÇ ve Arş. Gör. Dr. Osman Oğuz DEMİR ile birlikte çalışacakları"/>
        <s v="Üniversitemiz Tıp Fakültesi Çocuk Sağlığı ve Hastalıkları Anabilim Dalı öğretim üyelerinden Prof. Dr. Yasemin ÖZSÜREKCİ’nin sorumlu araştırmacı olduğu; Arş. Gör. Dr. Aylin Irmak KURUÇ ve Arş. Gör. Dr. Osman Oğuz DEMİR ile birlikte çalışacakları,"/>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Üniversitemiz Tıp Fakültesi Çocuk Sağlığı ve Hastalıkları Anabilim öğretim üyelerinden Doç. Dr. Erdal SAĞ'ın sorumlu araştırmacı olduğu, Arş. Gör. Dr. Elif CİNGÖZ ile birlikte çalışacakları,"/>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Üniversitemiz Tıp Fakültesi Çocuk ve Ergen Ruh Sağlığı ve Hastalıkları Anabilim Dalı öğretim üyelerinden Doç. Dr. Burcu ERSÖZ ALAN’ın sorumlu araştırmacı olduğu, Arş. Gör. Dr. Ozan Botan KARABULUT’un uzmanlık tezi olan,"/>
        <s v="Üniversitemiz Tıp Fakültesi Çocuk ve Ergen Ruh Sağlığı ve Hastalıkları Anabilim Dalı öğretim üyelerinden Doç. Dr. Burcu ERSÖZ ALAN’ın sorumlu araştırmacı olduğu, Arş. Gör. Dr. Sema ERASLAN’ın uzmanlık tezi olan,"/>
        <s v="Üniversitemiz Tıp Fakültesi Çocuk ve Ergen Ruh Sağlığı ve Hastalıkları Anabilim Dalı öğretim üyelerinden Doç. Dr. Dilek ÜNAL’ın sorumlu araştırmacı olduğu, Arş. Gör. Dr. Ayşegül SARIKÖSE’nin uzmanlık tezi olan,"/>
        <s v="Üniversitemiz Tıp Fakültesi Çocuk ve Ergen Ruh Sağlığı ve Hastalıkları Anabilim Dalı öğretim üyelerinden Doç. Dr. Dilek ÜNAL’ın sorumlu araştırmacı olduğu, Arş. Gör. Dr. Beray BAHAR'ın uzmanlık tezi olan,"/>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Üniversitemiz Tıp Fakültesi Çocuk ve Ergen Ruh Sağlığı ve Hastalıkları Anabilim Dalı öğretim üyelerinden Doç. Dr. Şükran Gülin EVİNÇ’in sorumlu araştırmacı olduğu; Prof. Dr. Dilşad FOTO ÖZDEMİR ve Öğr. Gör. Buket KILIÇ ile birlikte çalışacakları,"/>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Üniversitemiz Tıp Fakültesi Çocuk ve Ergen Ruh Sağlığı ve Hastalıkları Anabilim Dalı öğretim üyelerinden Prof. Dr. Devrim AKDEMİR’in sorumlu araştırmacı olduğu, Arş. Gör. Dr. Şahabettin KALI’ın uzmanlık tezi olan,"/>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Üniversitemiz Tıp Fakültesi Deri ve Zührevi Hastalıklar Anabilim Dalı öğretim üyelerinden Doç. Dr. Başak YALICI ARMAĞAN'ın sorumlu araştırmacı olduğu, Arş. Gör. Dr. Kübra Çiçek ile birlikte çalışacakları,"/>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Üniversitemiz Tıp Fakültesi Deri ve Zührevi Hastalıklar Anabilim Dalı öğretim üyelerinden Doç. Dr. Duygu GÜLSEREN'in sorumlu araştırmacı olduğu, Arş. Gör. Dr. Metin ZEYREK ile birlikte çalışacakları,"/>
        <s v="Üniversitemiz Tıp Fakültesi Deri ve Zührevi Hastalıklar Anabilim Dalı öğretim üyelerinden Dr. Öğr. Üyesi Leyla HUSEYNOVA TERZİ'nin sorumlu araştırmacı olduğu, Doç. Dr. Başak YALICI ARMAĞAN ve Arş. Gör. Dr. Kübra ÇİÇEK ile birlikte çalışacakları,"/>
        <s v="Üniversitemiz Tıp Fakültesi Deri ve Zührevi Hastalıklar Anabilim Dalı öğretim üyelerinden Prof. Dr. Sibel DOĞAN GÜNAYDIN’ın sorumlu araştırmacı olduğu, Arş. Gör. Dr. Mehmet Alperen LÖKOĞLU ve Prof. Dr. Gülşen AKOĞLU ile birlikte çalışacakları,"/>
        <s v="Üniversitemiz Tıp Fakültesi Deri ve Zührevi Hastalıklar Anabilim Dalı öğretim üyelerinden Prof. Dr. Sibel ERSOY EVANS’ın sorumlu araştırmacı olduğu, Arş. Gör. Dr. Lütfi Can ŞEN ile birlikte çalışacakları,"/>
        <s v="Üniversitemiz Tıp Fakültesi Deri ve Zührevi Hastalıkları Anabilim Dalı öğretim üyelerinden Doç. Dr. Duygu GÜLSEREN’in sorumlu araştırmacı olduğu, Dr. Öğr. Üyesi Özay GÖKÖZ, Arş. Gör. Dr. Deniz TATAR ile birlikte çalışacakları,"/>
        <s v="Üniversitemiz Tıp Fakültesi Deri ve Zührevi Hastalıkları Anabilim Dalı öğretim üyelerinden Prof. Dr. Sibel DOĞAN GÜNAYDIN’ın sorumlu araştırmacı olduğu, Arş. Gör. Dr. Işılay NERGİZ TOPSAKAL ve Arş. Gör. Dr. Batuhan Kerem BALAN ile birlikte çalışacakları,"/>
        <s v="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Üniversitemiz Tıp Fakültesi Fiziksel Tıp ve Rehabilitasyon Anabilim Dalı öğretim üyelerinden Prof. Dr. Alp ÇETİN’in sorumlu araştırmacı olduğu, Arş. Gör. Dr. Beytullah YAZAR ile birlikte çalışacakları,"/>
        <s v="Üniversitemiz Tıp Fakültesi Fiziksel Tıp ve Rehabilitasyon Anabilim Dalı öğretim üyelerinden Prof. Dr. Alp ÇETİN&quot;in sorumlu araştırmacı olduğu, Arş. Gör. Dr. Hazal SEVİNÇ’in uzmanlık tezi olan,"/>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Üniversitemiz Tıp Fakültesi Fizyoloji Anabilim Dalı öğretim üyelerinden Doç. Dr. Hilal KORKMAZ'ın sorumlu araştırmacı olduğu, Aslı DEMİR, Miyase Nur ÖZTÜRK, Saliha Sena YILDIZ, Sena AYDIN ile birlikte çalışacakları,"/>
        <s v="Üniversitemiz Tıp Fakültesi Genel Cerrahi Anabilim Dalı öğretim üyelerinden Doç. Dr. Nezih AKKAPULU’nun sorumlu araştırmacı olduğu, Arş. Gör. Dr. Doğukan DOĞU ile birlikte çalışacakları,"/>
        <s v="Üniversitemiz Tıp Fakültesi Göğüs Cerrahisi Anabilim Dalı öğretim üyelerinden Doç. Dr. Ulaş KUMBASAR’ın sorumlu araştırmacı olduğu, Dr. Öğr. Gör. Yiğit YILMAZ, Arş. Gör. Dr. Zeynep TOKMAK ile birlikte çalışacakları,"/>
        <s v="Üniversitemiz Tıp Fakültesi Göğüs Cerrahisi Anabilim Dalı öğretim üyelerinden Dr. Öğr. Üyesi Serkan UYSAL’ın sorumlu araştırmacı olduğu, Arş. Gör. Dr. Ayşe ALİ HASAN birlikte çalışacakları,"/>
        <s v="Üniversitemiz Tıp Fakültesi Göğüs Cerrahisi Anabilim Dalı öğretim üyelerinden Dr. Öğr. Üyesi Serkan UYSAL’ın sorumlu araştırmacı olduğu, Arş. Gör. Dr. Ayşe ALİ HASAN, Prof. Dr. Mustafa YILMAZ, Doç. Dr.  İlker ERTUĞRUL ile birlikte çalışacakları,"/>
        <s v="Üniversitemiz Tıp Fakültesi Göğüs Hastalıkları Anabilim Dalı öğretim elemanlarından Öğr. Gör. Dr. Aytekin İDİKUT'un sorumlu araştırmacı olduğu, Arş. Gör. Dr. Yusuf YALÇIN, Öğr. Gör. Dr. Aslı ALKAN ve Doç. Dr. Oğuz KARCIOĞLU ile birlikte çalışacakları,"/>
        <s v="Üniversitemiz Tıp Fakültesi Göğüs Hastalıkları Anabilim Dalı öğretim elemanlarından Öğr. Gör. Dr. Aytekin İDİKUT’un sorumlu araştırmacı olduğu, Dr. Öğr. Üyesi Aslı ALKAN ve Doç. Dr. Oğuz KARCIOĞLU ile birlikte çalışacakları,"/>
        <s v="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Üniversitemiz Tıp Fakültesi Göğüs Hastalıkları Anabilim Dalı öğretim üyelerinden Prof. Dr. Ebru DAMADOĞLU sorumlu araştırmacı olduğu ve Prof. Dr. Gül KARAKAYA, Arş. Gör. Dr. Özlem ŞAHAN GÜVEN ile birlikte çalışacakları,"/>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Üniversitemiz Tıp Fakültesi Göz Hastalıkları Anabilim Dalı öğretim üyelerinden Doç. Dr. İrem KOÇ'un sorumlu araştırmacı olduğu, Prof. Dr. Hayyam KIRATLI ve Arş. Gör. Dr. Kezban Azra KARGALI ile birlikte çalışacakları,"/>
        <s v="Üniversitemiz Tıp Fakültesi Göz Hastalıkları Anabilim Dalı öğretim üyelerinden Doç. Dr. İrem KOÇ'un sorumlu araştırmacı olduğu, Prof. Dr. Hayyam KIRATLI ve Arş. Gör. Dr. Onur BATMAZ ile birlikte çalışacakları,"/>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niversitemiz Tıp Fakültesi Göz Hastalıkları Anabilim Dalı öğretim üyelerinden Doç. Dr. Özlem DİKMETAŞ SANDIKÇI’nın sorumlu araştırmacı olduğu, Prof. Dr. Sibel KOCABEYOĞLU ve Dr. Hümeyra DENER ile birlikte çalışacakları,"/>
        <s v="Üniversitemiz Tıp Fakültesi Göz Hastalıkları Anabilim Dalı öğretim üyelerinden Dr. Öğr. Üyesi Figen BEZCİ AYGÜN'ün sorumlu araştırmacı olduğu, Prof. Dr. Sibel KADAYIFÇILAR ve Araş. Gör. Dr. Kezban Azra KARGALI KATI ile birlikte çalışacakları,"/>
        <s v="Üniversitemiz Tıp Fakültesi Göz Hastalıkları Anabilim Dalı öğretim üyelerinden Dr. Öğr. Üyesi Figen BEZCİ AYGÜN'ün sorumlu araştırmacı olduğu, Prof. Dr. Sibel KADAYIFÇILAR ve Arş. Gör. Dr. Ayşe Pelin İNCİ ile birlikte çalışacakları,"/>
        <s v="Üniversitemiz Tıp Fakültesi Göz Hastalıkları Anabilim Dalı öğretim üyelerinden Dr. Öğr. Üyesi Figen BEZCİ AYGÜN'ün sorumlu araştırmacı olduğu, Prof. Dr. Sibel KADAYIFÇILAR ve Arş. Gör. Dr. Günsu ER SEVİNÇ ile birlikte çalışacakları,"/>
        <s v="Üniversitemiz Tıp Fakültesi Göz Hastalıkları Anabilim Dalı öğretim üyelerinden Dr. Öğr. Üyesi Figen BEZCİ AYGÜN'ün sorumlu araştırmacı olduğu, Prof. Dr. Sibel KADAYIFÇILAR ve Arş. Gör. Dr. Kezban Azra KARGALI ile birlikte çalışacakları,"/>
        <s v="Üniversitemiz Tıp Fakültesi Göz Hastalıkları Anabilim Dalı öğretim üyelerinden Dr. Öğr. Üyesi Figen BEZCİ AYGÜN'ün sorumlu araştırmacı olduğu, Prof. Dr. Sibel KADAYIFÇILAR ve Arş. Gör. Dr. Kezban Azra KARGALI KATI ile birlikte çalışacakları,"/>
        <s v="Üniversitemiz Tıp Fakültesi Göz Hastalıkları Anabilim Dalı öğretim üyelerinden Dr. Öğr. Üyesi Figen BEZCİ AYGÜN'ün sorumlu araştırmacı olduğu, Prof. Dr. Sibel KADAYIFÇILAR ve Arş. Gör. Dr. Nargız RUSTAMOVA ile birlikte çalışacakları,"/>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Üniversitemiz Tıp Fakültesi Halk Sağlığı Anabilim Dalı öğretim üyelerinden Dr. Öğr. Üyesi Özge YAVUZ SARI’nın sorumlu araştırmacı olduğu, Prof. Dr. Cavit Işık YAVUZ ve Prof. Dr. Hakan YARDIMCI ile birlikte çalışacakları,"/>
        <s v="Üniversitemiz Tıp Fakültesi Halk Sağlığı Anabilim Dalı öğretim üyelerinden Prof. Dr. Cavit Işık YAVUZ’un sorumlu araştırmacı olduğu, Arş. Gör. Dr. Sevgi KARLI’nın uzmanlık tezi olan,"/>
        <s v="Üniversitemiz Tıp Fakültesi Halk Sağlığı Anabilim Dalı öğretim üyelerinden Prof. Dr. Dilek ASLAN'ın sorumlu araştırmacı olduğu, Arş. Gör. Dr. Gül Usar YILDIZ’ın uzmanlık tezi olan,"/>
        <s v="Üniversitemiz Tıp Fakültesi Halk Sağlığı Anabilim Dalı öğretim üyelerinden Prof. Dr. Dilek ASLAN'ın sorumlu araştırmacı olduğu, Arş. Gör. Dr. Sibel Armağan KARADENİZ’in uzmanlık tezi olan,"/>
        <s v="Üniversitemiz Tıp Fakültesi Halk Sağlığı Anabilim öğretim üyelerinden Prof. Dr. Dilek ASLAN’ın sorumlu araştırmacı olduğu, Dr. Nur Sima SEKBAN’ın doktora tezi olan,"/>
        <s v="Üniversitemiz Tıp Fakültesi Histoloji ve Embriyoloji Anabilim Dalı öğretim üyelerinden Dr. Öğr. Üyesi Sefa Burak ÇAM’ın sorumlu araştırmacı olduğu, Arş. Gör. Dr. Fatma Ayça ÖYKEN’in uzmanlık tezi olan,"/>
        <s v="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Üniversitemiz Tıp Fakültesi İç Hastalıkları Anabilim Dalı öğretim üyelerinde Prof. Dr. Meltem Gülhan HALİL’in sorumlu araştırmacı olduğu, Arş. Gör. Dr. Elif GECEGELEN, Arş Gör. Dr. Meryem ASLAN ile birlikte çalışacakları,"/>
        <s v="Üniversitemiz Tıp Fakültesi İç Hastalıkları Anabilim Dalı öğretim üyelerinden Doç. Dr. Cafer BALCI’nın sorumlu araştırmacı olduğu, Arş. Gör. Dr. Aybüke UYAR ile birlikte çalışacakları,"/>
        <s v="Üniversitemiz Tıp Fakültesi İç Hastalıkları Anabilim Dalı öğretim üyelerinden Doç. Dr. Cafer BALCI’nın sorumlu araştırmacı olduğu, Arş. Gör. Dr. Deniz CENGİZ ile birlikte çalışacakları,"/>
        <s v="Üniversitemiz Tıp Fakültesi İç Hastalıkları Anabilim Dalı öğretim üyelerinden Doç. Dr. Cafer BALCI’nın sorumlu araştırmacı olduğu, Arş. Gör. Dr. Özge ÖZGÜN ile birlikte çalışacakları,"/>
        <s v="Üniversitemiz Tıp Fakültesi İç Hastalıkları Anabilim Dalı öğretim üyelerinden Doç. Dr. Cem ŞİMŞEK'in sorumlu araştırmacı olduğu, Prof. Dr. Güneş ESENDAĞLI, Arş. Gör. Dr. Muhammet Furkan ÇAKMAK ve Binura MAKASHEVA ile birlikte çalışacakları,"/>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Üniversitemiz Tıp Fakültesi İç Hastalıkları Anabilim Dalı öğretim üyelerinden Doç. Dr. Hacı Hasan YETER’in sorumlu araştırmacı olduğu, Arş. Gör. Dr. Yağmur KINACI GÜMÜŞÇUBUK ile birlikte çalışacakları,"/>
        <s v="Üniversitemiz Tıp Fakültesi İç Hastalıkları Anabilim Dalı öğretim üyelerinden Doç. Dr. Levent KILIÇ’ın sorumlu araştırmacı olduğu, Arş. Gör. Dr. Buğu BULAT ile birlikte çalışacakları,"/>
        <s v="Üniversitemiz Tıp Fakültesi İç Hastalıkları Anabilim Dalı öğretim üyelerinden Doç. Dr. Levent KILIÇ’ın sorumlu araştırmacı olduğu, Arş. Gör. Dr. Deniz DÖNMEZ ile birlikte çalışacakları ve Arş. Gör. Dr. Selin ÇETİN’in uzmanlık tezi olan,"/>
        <s v="Üniversitemiz Tıp Fakültesi İç Hastalıkları Anabilim Dalı öğretim üyelerinden Doç. Dr. Levent KILIÇ’ın sorumlu araştırmacı olduğu, Arş. Gör. Dr. Gözde Sevgi KART BAYRAM ile birlikte çalışacakları,"/>
        <s v="Üniversitemiz Tıp Fakültesi İç Hastalıkları Anabilim Dalı öğretim üyelerinden Doç. Dr. Mert EŞME’nin sorumlu araştırmacı olduğu, Arş. Gör. Dr. Ayşegül ERDOĞDU BAKIR ile birlikte çalışacakları,"/>
        <s v="Üniversitemiz Tıp Fakültesi İç Hastalıkları Anabilim Dalı öğretim üyelerinden Doç. Dr. Mert EŞME’nin sorumlu araştırmacı olduğu, Arş. Gör. Dr. Cansu ÇIKIN ile birlikte çalışacakları ve Arş. Gör. Dr. Mustafa Utku UĞUR’un uzmanlık tezi olan,"/>
        <s v="Üniversitemiz Tıp Fakültesi İç Hastalıkları Anabilim Dalı öğretim üyelerinden Doç. Dr. Mert EŞME’nin sorumlu araştırmacı olduğu, Arş. Gör. Dr. Elif GECEGELEN ile birlikte çalışacakları,"/>
        <s v="Üniversitemiz Tıp Fakültesi İç Hastalıkları Anabilim Dalı öğretim üyelerinden Doç. Dr. Mert EŞME’nin sorumlu araştırmacı olduğu, Arş. Gör. Dr. Meryem ASLAN, Arş. Gör. Dr. Elif GECEGELEN ile birlikte çalışacakları,"/>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
        <s v="Üniversitemiz Tıp Fakültesi İç Hastalıkları Anabilim Dalı öğretim üyelerinden Doç. Dr. Nursel Çalık BAŞARAN’ın sorumlu araştırmacı olduğu,  Arş. Gör. Dr. Ahmet Burak ARSLAN’ın uzmanlık tezi olan,"/>
        <s v="Üniversitemiz Tıp Fakültesi İç Hastalıkları Anabilim Dalı öğretim üyelerinden Doç. Dr. Oğuz Abdullah UYAROĞLU’nun sorumlu araştırmacı olduğu, Prof. Dr. Gülay Sain GÜVEN, Uzm. Dr. Mert TOKATLI ve Uzm. Dr. Yunus KAYGUSUZ ile birlikte çalışacakları,"/>
        <s v="Üniversitemiz Tıp Fakültesi İç Hastalıkları Anabilim Dalı öğretim üyelerinden Doç. Dr. Seda Hanife OĞUZ BAYKAL'ın sorumlu araştırmacı olduğu, Prof. Dr. Uğur ÜNLÜTÜRK ve Uzm. Dr. Alperen Onur İŞLER ile birlikte çalışacakları,"/>
        <s v="Üniversitemiz Tıp Fakültesi İç Hastalıkları Anabilim Dalı öğretim üyelerinden Doç. Dr. Süleyman Nahit ŞENDUR’un sorumlu araştırmacı olduğu, Doç. Dr. Seda Hanife OĞUZ BAYKAL, Uzm. Dr. Nergis BASMACI, Uzm. Dr. Alperen Onur İŞLER ile birlikte çalışacakları,"/>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Üniversitemiz Tıp Fakültesi İç Hastalıkları Anabilim Dalı öğretim üyelerinden Doç. Dr. Süleyman Nahit ŞENDUR’un sorumlu araştırmacı olduğu, Prof. Dr. Tomris ERBAŞ, Prof. Dr. Selçuk DAĞDELEN, Uzm. Dr. Selvi Selin TEKİN ile birlikte çalışacakları,"/>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Üniversitemiz Tıp Fakültesi İç Hastalıkları Anabilim Dalı öğretim üyelerinden Prof. Dr. Burcu Balam DOĞU’nun sorumlu araştırmacı olduğu, Arş. Gör. Dr. Aybüke UYAR ile birlikte çalışacakları,"/>
        <s v="Üniversitemiz Tıp Fakültesi İç Hastalıkları Anabilim Dalı öğretim üyelerinden Prof. Dr. Burcu Balam DOĞU'nun sorumlu araştırmacı olduğu, Arş. Gör. Dr. Murat PEHLİVAN ile birlikte çalışacakları,"/>
        <s v="Üniversitemiz Tıp Fakültesi İç Hastalıkları Anabilim Dalı öğretim üyelerinden Prof. Dr. Burcu Balam DOĞU’nun sorumlu araştırmacı olduğu, Arş. Gör. Dr. Murat PEHLİVAN ile birlikte çalışacakları,"/>
        <s v="Üniversitemiz Tıp Fakültesi İç Hastalıkları Anabilim Dalı öğretim üyelerinden Prof. Dr. Burcu Balam DOĞU’nun sorumlu araştırmacı olduğu, Arş. Gör. Dr. Okan TURHAN ile birlikte çalışacakları,"/>
        <s v="Üniversitemiz Tıp Fakültesi İç Hastalıkları Anabilim Dalı öğretim üyelerinden Prof. Dr. Burcu Balam DOĞU’nun sorumlu araştırmacı olduğu, Arş. Gör. Dr. Özge ÖZGÜN ile birlikte çalışacakları,"/>
        <s v="Üniversitemiz Tıp Fakültesi İç Hastalıkları Anabilim Dalı öğretim üyelerinden Prof. Dr. Burcu Balam DOĞU’nun sorumlu araştırmacı olduğu, Arş. Gör. Dr. Yasemin POLAT ÖZER ile birlikte çalışacakları,"/>
        <s v="Üniversitemiz Tıp Fakültesi İç Hastalıkları Anabilim Dalı öğretim üyelerinden Prof. Dr. Gülay SAİN GÜVEN’in sorumlu araştırmacı olduğu, Arş. Gör. Dr. Hüseyin Ozan SEVİNÇER ve Doç. Dr. Duygu AYHAN BAŞER ile birlikte çalışacakları,"/>
        <s v="Üniversitemiz Tıp Fakültesi İç Hastalıkları Anabilim Dalı öğretim üyelerinden Prof. Dr. Hakan GÖKER’in sorumlu araştırmacı olduğu, Doç. Dr. Elifcan ALADAĞ KARAKULAK ile birlikte çalışacakları,"/>
        <s v="Üniversitemiz Tıp Fakültesi İç Hastalıkları Anabilim Dalı öğretim üyelerinden Prof. Dr. Hatice Yasemin BALABAN’ın sorumlu araştırmacı olduğu, Arş. Gör. Dr. Burcu GÜRBÜZ ve Arş. Gör. Dr. Deniz ŞİMŞEK ile birlikte çalışacakları,"/>
        <s v="Üniversitemiz Tıp Fakültesi İç Hastalıkları Anabilim Dalı öğretim üyelerinden Prof. Dr. Meltem Gülhan HALİL’in sorumlu araştırmacı olduğu, Arş. Gör. Dr. Aybüke UYAR ile birlikte çalışacakları,"/>
        <s v="Üniversitemiz Tıp Fakültesi İç Hastalıkları Anabilim Dalı öğretim üyelerinden Prof. Dr. Meltem Gülhan HALİL’in sorumlu araştırmacı olduğu, Arş. Gör. Dr. Ceyda KAYABAŞI ile birlikte çalışacakları,"/>
        <s v="Üniversitemiz Tıp Fakültesi İç Hastalıkları Anabilim Dalı öğretim üyelerinden Prof. Dr. Meltem Gülhan HALİL’in sorumlu araştırmacı olduğu, Arş. Gör. Dr. Deniz CENGİZ ile birlikte çalışacakları,"/>
        <s v="Üniversitemiz Tıp Fakültesi İç Hastalıkları Anabilim Dalı öğretim üyelerinden Prof. Dr. Meltem Gülhan HALİL’in sorumlu araştırmacı olduğu, Arş. Gör. Dr. Elif GECEGELEN ile birlikte çalışacakları,"/>
        <s v="Üniversitemiz Tıp Fakültesi İç Hastalıkları Anabilim Dalı öğretim üyelerinden Prof. Dr. Meltem Gülhan HALİL’in sorumlu araştırmacı olduğu, Arş. Gör. Dr. Okan TURHAN ile birlikte çalışacakları,"/>
        <s v="Üniversitemiz Tıp Fakültesi İç Hastalıkları Anabilim Dalı öğretim üyelerinden Prof. Dr. Meltem Gülhan HALİL’in sorumlu araştırmacı olduğu, Doç. Dr. Cafer BALCI, Dr. Öğr. Üyesi Burcu KELLECİ ÇAKIR, Dr. Öğr. Üyesi Rana Elçin SEZER ile birlikte çalışacakları,"/>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Üniversitemiz Tıp Fakültesi İç Hastalıkları Anabilim Dalı öğretim üyelerinden Prof. Dr. Meltem Gülhan HALİL’in sorumlu araştırmacı olduğu, Prof. Dr. Salih Kutay DEMİRKAN, Arş. Gör. Dr. Mihriban GÜNGÖR ile birlikte çalışacakları,"/>
        <s v="Üniversitemiz Tıp Fakültesi İç Hastalıkları Anabilim Dalı öğretim üyelerinden Prof. Dr. Meltem Gülhan HALİL’in sorumlu araştırmacı olduğu, Uzm. Hem. Pınar GÜRÜN, Arş. Gör. Dr. İbrahim KURAN ile birlikte çalışacakları,"/>
        <s v="Üniversitemiz Tıp Fakültesi İç Hastalıkları Anabilim Dalı öğretim üyelerinden Prof. Dr. Mustafa CANKURTARAN’ın sorumlu araştırmacı olduğu, Arş. Gör. Dr. Murat PEHLİVAN ile birlikte çalışacakları,"/>
        <s v="Üniversitemiz Tıp Fakültesi İç Hastalıkları Anabilim Dalı öğretim üyelerinden Prof. Dr. Mustafa CANKURTARAN’ın sorumlu araştırmacı olduğu, Arş. Gör. Dr. Özge ÖZGÜN ile birlikte çalışacakları,"/>
        <s v="Üniversitemiz Tıp Fakültesi İç Hastalıkları Anabilim Dalı öğretim üyelerinden Prof. Dr. Okan Bülent YILDIZ’ın sorumlu araştırmacı olduğu, Prof. Dr. Bekir SALİH, Prof. Dr. Onur ŞENOL, Doç. Dr. Hacı Mehmet KAYILI, Uzm. Dr. Seren AKSUN ŞAHİN ile birlikte çalışacakları,"/>
        <s v="Üniversitemiz Tıp Fakültesi İç Hastalıkları Anabilim Dalı öğretim üyelerinden Prof. Dr. Ömer KARADAĞ’ın sorumlu araştırmacı olduğu, Arş. Gör. Dr. Büşra FIRLATAN YAZGAN ile birlikte çalışacakları,"/>
        <s v="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
        <s v="Üniversitemiz Tıp Fakültesi İç Hastalıkları Anabilim Dalı öğretim üyelerinden Prof. Dr. Ömer KARADAĞ’ın sorumlu araştırmacı olduğu, Prof. Dr. Uğur Nadir KARAKULAK, Arş. Gör. Dr. Gözde Sevgi KART BAYRAM, Arş. Gör. Dr. Naciye ŞİRVAN ile birlikte çalışacakları,"/>
        <s v="Üniversitemiz Tıp Fakültesi İç Hastalıkları Anabilim Dalı öğretim üyelerinden Prof. Dr. Salih AKSU’nun sorumlu araştırmacı olduğu, Arş. Gör. Dr. Fatma Tuğba ÇATAN ERDEKLİ ile birlikte çalışacakları,"/>
        <s v="Üniversitemiz Tıp Fakültesi İç Hastalıkları Anabilim Dalı öğretim üyelerinden Prof. Dr. Salih AKSU’nun sorumlu araştırmacı olduğu, Arş. Gör. Dr. Hakan ORAL ile birlikte çalışacakları,"/>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Üniversitemiz Tıp Fakültesi İç Hastalıkları Anabilim Dalı öğretim üyelerinden Prof. Dr. Taylan KAV’ın sorumlu araştırmacı olduğu, Arş. Gör. Dr. Kübra GÜNGÖR'ün  uzmanlık tezi olan,"/>
        <s v="Üniversitemiz Tıp Fakültesi İç Hastalıkları Anabilim Dalı öğretim üyelerinden Prof. Dr. Taylan KAV’ın sorumlu araştırmacı olduğu, Dr. Öğr. Üyesi Bengi ÖZTÜRK ve Arş. Gör. Dr. Muhammet Furkan ÇAKMAK ile birlikte çalışacakları,"/>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Üniversitemiz Tıp Fakültesi İç Hastalıkları Anabilim Dalı öğretim üyelerinden Prof. Dr. Taylan KAV’ın sorumlu araştırmacı olduğu, Dr. Öğr. Üyesi Bengi ÖZTÜRK, Uzm. Dr. Muhammet Furkan ÇAKMAK ve Arş. Gör. Dr. İbrahim Nahit ŞENDUR ile birlikte çalışacakları,"/>
        <s v="Üniversitemiz Tıp Fakültesi İç Hastalıkları Anabilim Dalı öğretim üyelerinden Prof. Dr. Ümit Yavuz MALKAN’ın sorumlu araştırmacı olduğu, Arş. Gör. Dr. Mustafa Berkay TAŞTEKİN ile birlikte çalışacakları,"/>
        <s v="Üniversitemiz Tıp Fakültesi İç Hastalıkları Anabilim Dalı öğretim üyelerinden Prof. Dr. Umut KALYONCU'nun sorumlu araştırmacı olduğu,"/>
        <s v="Üniversitemiz Tıp Fakültesi İç Hastalıkları Anabilim Dalı öğretim üyelerinden Prof. Dr. Umut KALYONCU’nun sorumlu araştırmacı olduğu, Doç. Dr. Adalet Elçin YILDIZ, Dr. Öğr. Üyesi Sevtap ARSLAN SARIKAYA ve Uzm. Dr. Büşra FIRLATAN YAZGAN ile birlikte çalışacakları,"/>
        <s v="Üniversitemiz Tıp Fakültesi İç Hastalıkları Anabilim Dalı öğretim üyelerinden Prof. Dr. Yahya BÜYÜKAŞIK’ın sorumlu araştırmacı olduğu, Arş. Gör. Dr. Dilan KAYAALP'in uzmanlık tezi olan,"/>
        <s v="Üniversitemiz Tıp Fakültesi İç Hastalıkları Anabilim Dalı öğretim üyelerinden Prof. Dr. Yahya BÜYÜKAŞIK’ın sorumlu araştırmacı olduğu, Arş. Gör. Dr. Hakan ORAL ile birlikte çalışacakları,"/>
        <s v="Üniversitemiz Tıp Fakültesi İç Hastalıklrı Anabilim Dalı öğretim üyelerinden Prof. Dr. Meltem Gülhan HALİL'in sorumlu araştırmacı olduğu, Arş. Gör. Dr. Özge ÖZGÜN ile birlikte çalışacakları ve Arş. Gör. Dr. Emrach CHOUSEIN'in uzmanlık tezi olan,"/>
        <s v="Üniversitemiz Tıp Fakültesi İç Hastalıları Anabilim Dalı öğretim üyelerinden Prof. Dr. Meltem Gülhan HALİL’in sorumlu araştırmacı olduğu,"/>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Üniversitemiz Tıp Fakültesi Kadın Hastalıkları ve Doğum Anabilim Dalı öğretim üyelerinden Doç. Dr. Derman BAŞARAN’ın sorumlu araştırmacı olduğu, Arş. Gör. Dr. Murat CENGİZ ve Arş. Gör. Dr. Fatma CANER ÇABUKOĞLU ile birlikte çalışacakları,"/>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Üniversitemiz Tıp Fakültesi Kadın Hastalıkları ve Doğum Anabilim Dalı öğretim üyelerinden Doç. Dr. Utku AKGÖR’ ün sorumlu araştırmacı olduğu, Arş. Gör. Dr. Murat CENGİZ ve Arş. Gör. Dr. Fatma CANER ÇABUKOĞLU ile birlikte çalışacakları,"/>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Üniversitemiz Tıp Fakültesi Kadın Hastalıkları ve Doğum Anabilim Dalı öğretim üyelerinden Doç. Dr. Utku AKGÖR'ün sorumlu araştırmacı olduğu, Arş. Gör. Dr. Betül GÜNGÖR ve Arş. Gör. Dr. Bilal Esat TEMİZ ile birlikte çalışacakları,"/>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Üniversitemiz Tıp Fakültesi Kadın Hastalıkları ve Doğum Anabilim Dalı öğretim üyelerinden Doç. Dr. Utku AKGÖR'ün sorumlu araştırmacı olduğu, Arş. Gör. Dr. Ömer Alp YAVUZ ile birlikte çalışacakları, uzmanlık tezi olan,"/>
        <s v="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Üniversitemiz Tıp Fakültesi Kadın Hastalıkları ve Doğum Anabilim Dalı öğretim üyelerinden Dr. Öğr. Üyesi Gonca ÖZTEN DERE’nin sorumlu araştırmacı olduğu, Dr. Haticegül TUNCER ile birlikte çalışacakları,"/>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Üniversitemiz Tıp Fakültesi Kadın Hastalıkları ve Doğum Anabilim Dalı öğretim üyelerinden Dr. Öğr. Üyesi Murat ÇAĞAN'ın sorumlu araştırmacı olduğu, Arş. Gör. Dr. Edip Alptuğ KIR ile birlikte çalışacakları,"/>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Üniversitemiz Tıp Fakültesi Kadın Hastalıkları ve Doğum Anabilim Dalı öğretim üyelerinden Dr. Öğr. Üyesi Murat ÇAĞAN’ın sorumlu araştırmacı olduğu, Arş. Gör. Dr. Shahla GASIMOVA’nın uzmanlık tezi olan,"/>
        <s v="Üniversitemiz Tıp Fakültesi Kadın Hastalıkları ve Doğum Anabilim Dalı öğretim üyelerinden Dr. Öğr. Üyesi Onur İNCE’nin sorumlu araştırmacı olduğu, Arş. Gör. Dr. Beste Özge ÖZGEN’nin uzmanlık tezi olan,"/>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Üniversitemiz Tıp Fakültesi Kadın Hastalıkları ve Doğum Anabilim Dalı öğretim üyelerinden Prof. Dr. Murat GÜLTEKİN’in sorumlu araştırmacı olduğu, Arş. Gör. Dr. Bilal Esat TEMİZ ile birlikte çalışacakları,"/>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Üniversitemiz Tıp Fakültesi Kadın Hastalıkları ve Doğum Anabilim Dalı öğretim üyelerinden Prof. Dr. Zafer Selçuk TUNCER’in sorumlu araştırmacı olduğu, Dr. Burcu SOYAK ÜNAL ile birlikte çalışacakları,"/>
        <s v="Üniversitemiz Tıp Fakültesi Kardiyoljoi Anabilim Dalı öğretim üyelerinden Doç. Dr. Cem ÇÖTELİ’nin sorumlu araştırmacı olduğu, Prof. Dr. Kudret AYTEMİR ve Prof. Dr. Hikmet YORGUN ile birlikte çalışacakları,"/>
        <s v="Üniversitemiz Tıp Fakültesi Kardiyoloji Anabilim Dalı öğretim üyelerinden Doç. Dr. Ahmet KIVRAK'ın sorumlu araştırmacı olduğu, Arş. Gör. Dr. Can SEZER ile birlikte çalışacakları,"/>
        <s v="Üniversitemiz Tıp Fakültesi Kardiyoloji Anabilim Dalı öğretim üyelerinden Doç. Dr. Cem ÇÖTELİ’nin sorumlu araştırmacı olduğu, Prof. Dr. Kudret AYTEMİR, Prof. Dr. Hikmet YORGUN, Arş. Gör. Dr. Can SEZER ile birlikte çalışacakları,"/>
        <s v="Üniversitemiz Tıp Fakültesi Kardiyoloji Anabilim Dalı öğretim üyelerinden Dr. Öğr. Üyesi Ahmet KIVRAK’ın sorumlu araştırmacı olduğu, Doç. Dr. Ahmet Hakan ATEŞ ile birlikte çalışacakları ve Arş. Gör. Dr. Begüm TUNÇ ATEŞSAÇAN’ın uzmanlık tezi olan,"/>
        <s v="Üniversitemiz Tıp Fakültesi Kardiyoloji Anabilim Dalı öğretim üyelerinden Dr. Öğr. Üyesi Ahmet KIVRAK’ın sorumlu araştırmacı olduğu, Doç. Dr. Ahmet Hakan ATEŞ ve Arş. Gör. Dr. Can SEZER ile birlikte çalışacakları,"/>
        <s v="Üniversitemiz Tıp Fakültesi Kardiyoloji Anabilim Dalı öğretim üyelerinden Prof. Dr. Hikmet YORGUN’un sorumlu araştırmacı olduğu, Prof. Dr. Kudret AYTEMİR, Doç. Dr. Cem ÇÖTELİ ve Arş. Gör. Dr. Hüseyin Alper BULUT ile birlikte çalışacakları,"/>
        <s v="Üniversitemiz Tıp Fakültesi Kardiyoloji Anabilim Dalı öğretim üyelerinden Prof. Dr. Kudret AYTEMİR’in sorumlu araştırmacı olduğu, Prof. Dr. Hikmet YORGUN, Doç. Dr. Cem ÇÖTELİ ve Arş. Gör. Dr. Selahattin ÇÖP ile birlikte çalışacakları,"/>
        <s v="Üniversitemiz Tıp Fakültesi Kardiyoloji Anabilim Dalı öğretim üyelerinden Prof. Dr. Kudret AYTEMİR’in sorumlu araştırmacı olduğu, Prof. Dr. Uğur CANPOLAT, Arş. Gör. Dr. Alper TAŞ ile birlikte çalışacakları ve Arş. Gör. Dr. Murat DANIŞTI'nın uzmanlık tezi olan,"/>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Üniversitemiz Tıp Fakültesi Kulak Burun Boğaz Anabilim Dalı öğretim üyelerinden Öğr. Gör. Dr. Burçay TELLİOĞLU’nun sorumlu araştırmacı olduğu, Prof. Dr. Serdar ÖZER ve Arş. Gör. Dr. Cem Mustafa Kemal HATAY ile birlikte çalışacakları,"/>
        <s v="Üniversitemiz Tıp Fakültesi Kulak Burun Boğaz Anabilim Dalı öğretim üyelerinden Prof. Dr. Serdar ÖZER’in sorumlu araştırmacı olduğu, Öğr. Gör. Dr. Burçay TELLİOĞLU ile birlikte çalışacakları ve Arş. Gör. Dr. Yaşar ATAY’ın uzmanlık tezi olan,"/>
        <s v="Üniversitemiz Tıp Fakültesi Kulak Burun Boğaz Anabilim Dalı öğretim üyelerinden Prof. Dr. Serdar ÖZER’in sorumlu araştırmacı olduğu, Prof. Dr. Murat Fani BOZKURT, Arş. Gör. Dr. Enes Ahmet SUBAY, Arş. Gör. Dr. Yahya ERYILMAZ ile birlikte çalışacakları,"/>
        <s v="Üniversitemiz Tıp Fakültesi Kulak Burun Boğaz Anabilim Dalı öğretim üyelerinden Prof. Dr. Taner YILMAZ’ın sorumlu araştırmacı olduğu, Dr. Öğr. Üyesi Oğuzhan KATAR ile birlikte çalışacakları,"/>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Üniversitemiz Tıp Fakültesi Kulak Burun Boğaz Hastalıkları Anabilim Dalı öğretim üyelerinden Dr. Öğr. Üyesi Muhammed Çağrı KÜLEKCİ’nın sorumlu araştırmacı olduğu, Arş. Gör. Dr. Erdem Ersan AKYÜREK ile birlikte çalışacakları,"/>
        <s v="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
        <s v="Üniversitemiz Tıp Fakültesi Kulak Burun Boğaz Hastalıkları Anabilim Dalı öğretim üyelerinden Prof. Dr. Taner YILMAZ’ın sorumlu araştırmacı olduğu, Dr. Öğr. Üyesi Oğuzhan KATAR ile birlikte çalışacakları,"/>
        <s v="Üniversitemiz Tıp Fakültesi Nöroloji Anabilim Dalı öğretim üyelerinden Prof. Dr. Çağrı Mesut TEMUÇİN’in sorumlu araştırmacı olduğu, Prof. Dr. Fatma Gökçem YILDIZ SARIKAYA ve Uzm. Dr. Handan UZUNÇAKMAK UYANIK ile birlikte çalışacakları,"/>
        <s v="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Üniversitemiz Tıp Fakültesi Nöroloji Anabilim Dalı öğretim üyelerinden Prof. Dr. Fadime İrsel TEZER FİLİK'in sorumlu araştırmacı olduğu, Doç.Dr. Rahşan GÖÇMEN ile birlikte çalışacakları ve Arş. Gör. Dr. İsa Furkan SARIER’in uzmanlık tezi olan,"/>
        <s v="Üniversitemiz Tıp Fakültesi Nöroloji Anabilim Dalı öğretim üyelerinden Prof. Dr. Fadime İrsel TEZER FİLİK’in sorumlu araştırmacı olduğu, Dr. Öğr. Üyesi Berrin BABAOĞLU ile birlikte çalışacakları ve Arş. Gör. Dr. Yusuf Arif TURUNÇ’un uzmanlık tezi olan,"/>
        <s v="Üniversitemiz Tıp Fakültesi Nöroloji Anabilim Dalı öğretim üyelerinden Prof. Dr. Fadime İrsel TEZER FİLİK'in sorumlu araştırmacı olduğu, Öğr. Gör. Dr. Ece GÖK DURSUN ile birlikte çalışacakları,"/>
        <s v="Üniversitemiz Tıp Fakültesi Nöroloji Anabilim Dalı öğretim üyelerinden Prof. Dr. Fatma Gökçem YILDIZ SARIKAYA’nın sorumlu araştırmacı olduğu, Prof. Dr. Çağrı Mesut TEMUÇİN ve Arş. Gör. Dr. Cansu AYVACIOĞLU ÇAĞAN ile birlikte çalışacakları,"/>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Üniversitemiz Tıp Fakültesi Nöroloji Anabilim Dalı öğretim üyelerinden Prof. Dr. Mehmet Akif TOPÇUOĞLU’nun sorumlu araştırmacı olduğu, Öğr. Gör. Dr. Ezgi YILMAZ, ile birlikte çalışacakları,"/>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Üniversitemiz Tıp Fakültesi Nöroloji Anabilim Dalı öğretim üyelerinden Prof. Dr. Neşe DERİCİOĞLU’nun sorumlu araştırmacı olduğu,"/>
        <s v="Üniversitemiz Tıp Fakültesi Nöroloji Anabilim Dalı öğretim üyelerinden Prof. Dr. Neşe DERİCİOĞLU'nun sorumlu araştırmacı olduğu, Arş. Gör. Dr. İlker ARSLAN ile birlikte çalışacakları,"/>
        <s v="Üniversitemiz Tıp Fakültesi Nöroloji Anabilim Dalı öğretim üyelerinden Prof. Dr. Neşe DERİCİOĞLU’nun sorumlu araştırmacı olduğu, Arş. Gör. Dr. Pelin KOMBAL ile birlikte çalışacakları,"/>
        <s v="Üniversitemiz Tıp Fakültesi Nöroloji Anabilim Dalı öğretim üyelerinden Prof. Dr. Neşe DERİCİOĞLU’nun sorumlu araştırmacı olduğu, Doç. Dr. Rahşan GÖÇMEN, Dr. Öğr. Üyesi Ezgi Yetim ARSAVA ve Arş. Gör. Dr. Zhala NAZARLI ile birlikte çalışacakları,"/>
        <s v="Üniversitemiz Tıp Fakültesi Nöroloji Anabilim Dalı öğretim üyelerinden Prof. Dr. Neşe DERİCİOĞLU’nun sorumlu araştırmacı olduğu, Öğr. Gör. Dr. Ece GÖK DURSUN ile birlikte çalışacakları,"/>
        <s v="Üniversitemiz Tıp Fakültesi Nükleer Tıp Anabilim Dalı öğretim üyelerinden Prof. Dr. Bilge VOLKAN SALANCI’nın sorumlu araştırmacı olduğu, Dr. Öğr. Üyesi Ezgi YETİM ARSAVA, Doç. Dr. Gül YALÇIN ÇAKMAKLI ve Prof. Dr. Eser LAY ERGÜN ile birlikte çalışacakları,"/>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Üniversitemiz Tıp Fakültesi Nükleer Tıp Anabilim Dalı öğretim üyelerinden Prof. Dr. Murat TUNCEL’in sorumlu araştırmacı olduğu, Prof. Dr. Meltem ÇAĞLAR TUNCALI ile birlikte çalışacakları,"/>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Üniversitemiz Tıp Fakültesi Nükleer Tıp Anabilim Dalı öğretim üyelerinden Prof. Dr. Ömer UĞUR'un sorumlu araştırmacı olduğu, Prof. Dr. Murat TUNCEL ve Prof. Dr. Eser ERGÜN ile birlikte çalışacakları,"/>
        <s v="Üniversitemiz Tıp Fakültesi Ortopedi ve Travmatoloji Anabilim Dalı öğretim üyelerinden Dr. Öğr. Üyesi Barış KAFA’nın sorumlu araştırmacı olduğu, Arş. Gör. Dr. Berat YÜKSEL ile birlikte çalışacakları,"/>
        <s v="Üniversitemiz Tıp Fakültesi Ortopedi ve Travmatoloji Anabilim Dalı öğretim üyelerinden Dr. Öğr. Üyesi Barış KAFA’nın sorumlu araştırmacı olduğu, Arş. Gör. Dr. Hüseyin Esat BULDUK ile birlikte çalışacakları,"/>
        <s v="Üniversitemiz Tıp Fakültesi Ortopedi ve Travmatoloji Anabilim Dalı öğretim üyelerinden Dr. Öğr. Üyesi Gökhan AYIK’ın sorumlu araştırmacı olduğu, Arş. Gör. Dr. Serkan İBİK ile birlikte çalışacakları,"/>
        <s v="Üniversitemiz Tıp Fakültesi Ortopedi ve Travmatoloji Anabilim Dalı öğretim üyelerinden Dr. Öğr. Üyesi Gökhan AYIK’ın sorumlu araştırmacı olduğu, Arş. Gör. Dr. Ulaş Can KOLAÇ ile birlikte çalışacakları,"/>
        <s v="Üniversitemiz Tıp Fakültesi Ortopedi ve Travmatoloji Anabilim Dalı öğretim üyelerinden Prof. Dr. Bülent ATİLLA’nın sorumlu araştırmacı olduğu, Dr. Saliha Bengisu UÇAR ile birlikte çalışacakları,"/>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Üniversitemiz Tıp Fakültesi Ortopedi ve Travmatoloji Anabilim Dalı öğretim üyelerinden Prof. Dr. Mehmet AYVAZ ’ın sorumlu araştırmacı olduğu, Arş. Gör. Dr. İpek IŞIK ile birlikte çalışacakları,"/>
        <s v="Üniversitemiz Tıp Fakültesi Ortopedi ve Travmatoloji Anabilim Dalı öğretim üyelerinden Prof. Dr. Mehmet AYVAZ’ın sorumlu araştırmacı olduğu, Arş. Gör. Dr. Hüseyin Esat BULDUK ile birlikte çalışacakları,"/>
        <s v="Üniversitemiz Tıp Fakültesi Ortopedi ve Travmatoloji Anabilim Dalı öğretim üyelerinden Prof. Dr. Mehmet AYVAZ’ın sorumlu araştırmacı olduğu, Arş. Gör. Dr. İpek IŞIK ile birlikte çalışacakları,"/>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Üniversitemiz Tıp Fakültesi Ortopedi ve Travmatoloji Anabilim Dalı öğretim üyelerinden Prof. Dr. Ömür ÇAĞLAR’ın sorumlu araştırmacı olduğu, Arş. Gör. Dr. Berat YÜKSEL ile birlikte çalışacakları,"/>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Üniversitemiz Tıp Fakültesi Radyoloji Anabilim Dalı öğretim elemanlarından Arş. Gör. Dr. Aycan UYSAL'ın sorumlu araştırmacı olduğu, Arş. Gör. Dr. Mert GÖL, Doç. Dr. Emre ÜNAL ve Prof. Dr. Türkmen Turan ÇİFTÇİ ile birlikte çalışacakları,"/>
        <s v="Üniversitemiz Tıp Fakültesi Radyoloji Anabilim Dalı öğretim üyelerinden Doç. Dr. Adalet Elçin YILDIZ’ın sorumlu araştırmacı olduğu, Öğr. Üyesi Ahmet Gürkan ERDEMİR ile birlikte çalışacakları,"/>
        <s v="Üniversitemiz Tıp Fakültesi Radyoloji Anabilim Dalı öğretim üyelerinden Doç. Dr. Adalet Elçin YILDIZ'ın sorumlu araştırmacı olduğu, Prof. Dr. Egemen TURHAN, Arş. Gör. Dr. Serkan İBİK ile birlikte çalışacakları ve Arş. Gör. Dr. İrem TOĞRUL'un uzmanlık tezi olan,"/>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Üniversitemiz Tıp Fakültesi Radyoloji Anabilim Dalı öğretim üyelerinden Doç. Dr. Fatma Gonca ELDEM’in sorumlu araştırmacı olduğu, Doç. Dr. Ferdi ÇAY, Arş. Gör. Dr. Onur Ege TARI, Prof. Dr. Ömer DİZDAR ve Prof. Dr. Şuayib YALÇIN ile birlikte çalışacakları,"/>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Üniversitemiz Tıp Fakültesi Radyoloji Anabilim Dalı öğretim üyelerinden Doç. Dr. Gamze DURHAN’ın sorumlu araştırmacı olduğu, Prof. Dr. Sercan AKSOY ile birlikte çalışacakları ve Arş. Gör. Dr. İsmail Cihat CANKURTARAN’ın uzmanlık tezi olan,"/>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Üniversitemiz Tıp Fakültesi Radyoloji Anabilim Dalı öğretim üyelerinden Doç. Dr. Rahşan GÖÇMEN’in sorumlu araştırmacı olduğu, Dr. Öğr. Üyesi Gözde ÖZER ve Arş. Gör. Dr. Aslı Ceren AKBIYIK ile birlikte çalışacakları,"/>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Üniversitemiz Tıp Fakültesi Radyoloji Anabilim Dalı öğretim üyelerinden Dr. Öğr. Üyesi Aycan UYSAL'ın sorumlu araştırmacı olduğu, Arş. Gör. Dr. Mert GÖL ile birlikte çalışacakları,"/>
        <s v="Üniversitemiz Tıp Fakültesi Radyoloji Anabilim Dalı öğretim üyelerinden Dr. Öğr. Üyesi Aycan UYSAL’ın sorumlu araştırmacı olduğu, Arş. Gör. Dr. Mert GÖL, Doç. Dr. Emre ÜNAL ve Prof. Dr. Türkmen Turan ÇİFTÇİ ile birlikte çalışacakları,"/>
        <s v="Üniversitemiz Tıp Fakültesi Radyoloji Anabilim Dalı öğretim üyelerinden Dr. Öğr. Üyesi Aycan UYSAL’ın sorumlu araştırmacı olduğu, Prof. Dr. Emre ÜNAL ile birlikte çalışacakları,"/>
        <s v="Üniversitemiz Tıp Fakültesi Radyoloji Anabilim Dalı öğretim üyelerinden Dr. Öğr. Üyesi Gözde ÖZER’in sorumlu araştırmacı olduğu, Doç. Dr. Ekim GÜMELER ile birlikte çalışacakları,"/>
        <s v="Üniversitemiz Tıp Fakültesi Radyoloji Anabilim Dalı öğretim üyelerinden Dr. Öğr. Üyesi Selin ARDALI DÜZGÜN’ün sorumlu araştırmacı olduğu, Doç. Dr. Oğuz KARCIOĞLU ve Doç. Dr. Gamze DURHAN ile birlikte çalışacakları,"/>
        <s v="Üniversitemiz Tıp Fakültesi Radyoloji Anabilim Dalı öğretim üyelerinden Prof. Dr. Gökçen ÇOBAN ÇİFÇİ’nin sorumlu araştırmacı olduğu, Doç. Dr. Gül YALÇIN ÇAKMAKLI ile birlikte çalışacakları ve Arş. Gör. Dr. Aslı Ceren AKBIYIK’ın uzmanlık tezi olan,"/>
        <s v="Üniversitemiz Tıp Fakültesi Radyoloji Anabilim Dalı öğretim üyesi Dr. Öğr. Üyesi Ahmet Gürkan ERDEMİR’in sorumlu araştırmacı olduğu,"/>
        <s v="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
        <s v="Üniversitemiz Tıp Fakültesi Ruh Sağlığı ve Hastalıkları Anabilim Dalı öğretim üyelerinden Dr. Öğr. Üyesi Hayri Can ÖZDEN’in sorumlu araştırmacı olduğu, Arş. Gör. Dr. Dicle ECEMİŞ ile birlikte çalışacakları,"/>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Üniversitemiz Tıp Fakültesi Ruh Sağlığı ve Hastalıkları Anabilim Dalı öğretim üyelerinden Prof. Dr. Cengiz KILIÇ’ın sorumlu araştırmacı olduğu, Arş. Gör. Dr. Esra BALİ MUTLU'nun uzmanlık tezi olan,"/>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Üniversitemiz Tıp Fakültesi Spor Hekimliği Anabilim Dalı öğretim üyelerinden Dr. Öğr. Üyesi Yiğitcan KARANFİL'in sorumlu araştırmacı olduğu, Arş. Gör. Dr. Batuhan Erhan AKTAŞ ile birlikte çalışacakları,"/>
        <s v="Üniversitemiz Tıp Fakültesi Spor Hekimliği Anabilim Dalı öğretim üyelerinden Dr. Öğr. Üyesi Yiğitcan KARANFİL'in sorumlu araştırmacı olduğu, Dr. Öğr. Üyesi Burkay UTKU, Arş. Gör. Batuhan Erhan AKTAS, Uzm. Dr. Yiğitcan MENDERES ile birlikte çalışacakları"/>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Üniversitemiz Tıp Fakültesi Tıbbi Biyokimya Anabilim Dalı öğretim üyelerinden Doç. Dr. Oytun PORTAKAL AKÇİN'in sorumlu araştırmacı olduğu, Prof. Dr. Mustafa ARICI, Doç. Dr. Hacı Hasan Yeter, Arş. Gör. Dr. Görkem ÇELEBİ birlikte çalışacakları,"/>
        <s v="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
        <s v="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
        <s v="Üniversitemiz Tıp Fakültesi Tıbbi Genetik Anabilim Dalı öğretim üyelerinden Dr. Öğr. Üyesi Arda ÇETİNKAYA’nın sorumlu araştırmacı olduğu, Prof. Dr. Neşe DERİCİOĞLU ile birlikte çalışacakları ve Arş. Gör. Dr. Hatice GÜNDOĞAN’ın uzmanlık tezi olan,"/>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Üniversitemiz Tıp Fakültesi Tıbbi Patoloji Anabilim Dalı öğretim üyelerinden Dr. Öğr. Üyesi Ece ÖZOĞUL'un sorumlu araştırmacı olduğu, Doç. Dr. Serkan AKIN, Prof. Dr. Arzu AYHAN, Prof. Dr. Ayşegül ÜNER ile birlikte çalışacakları,"/>
        <s v="Üniversitemiz Tıp Fakültesi Tıbbi Patoloji Anabilim Dalı öğretim üyelerinden Dr. Öğr. Üyesi Ece ÖZOĞUL’un sorumlu araştırmacı olduğu, Prof. Dr. Emine Arzu AYHAN, Prof. Dr. Ayşegül ÜNER ve Arş. Gör. Dr. Aslı NOYAN ile birlikte çalışacakları,"/>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Üniversitemiz Tıp Fakültesi Tıbbi Patoloji Anabilim Dalı öğretim üyelerinden Prof. Dr. Alp USUBÜTÜN’nün sorumlu araştırmacı olduğu, Arş. Gör. Dr. Aleyna ORUÇ ile birlikte çalışacakları,"/>
        <s v="Üniversitemiz Tıp Fakültesi Tıp Eğitimi ve Bilişimi Anabilim Dalı öğretim üyelerinden Doç. Dr. Barış SEZER’in sorumlu araştırmacı olduğu, Bensu KARACAN ile birlikte çalışacakları,"/>
        <s v="Üniversitemiz Tıp Fakültesi Tıp Eğitimi ve Bilişimi Anabilim Dalı öğretim üyelerinden Prof. Dr. Orhan ODABAŞI’nın sorumlu araştırmacı olduğu, Uzm. Dr. Emel ALTINTAŞ’ın yüksek lisans tezi olan,"/>
        <s v="Üniversitemiz Tıp Fakültesi Üroloji Anabilim Dalı öğretim üyelerinden Doç. Dr. Mesut ALTAN’ın sorumlu araştırmacı olduğu, Arş. Gör. Dr. Rabia HİZARCİ BAL ile birlikte çalışacakları,"/>
        <s v="Üniversitemiz Tıp Fakültesi Üroloji Anabilim Dalı öğretim üyelerinden Prof. Dr. Hasan Serkan DOĞAN’ın sorumlu araştırmacı olduğu, Arş. Gör. Dr. Hayrunnisa HOROZCU ile birlikte çalışacakları,"/>
        <s v="Üniversitemiz Tıp Fakültesi Üroloji Anabilim Dalı öğretim üyelerinden Prof. Dr. Hasan Serkan DOĞAN’ın sorumlu araştırmacı olduğu, Arş. Gör. Dr. Hayrunnisa HOROZCU, Arş. Gör. Dr. Rabiz HİZARCİ BAL, Arş. Gör. Dr. Tayyip KILIÇSOKAN ile birlikte çalışacakları,"/>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
        <s v="Üniversitemiz Tıp Fakültesi, İç Hastalıkları Anabilim Dalı öğretim üyelerinden Prof. Dr. Ayşe Tomris ERBAŞ’ın sorumlu araştırmacı olduğu, Prof. Dr. Selçuk DAĞDELEN, Doç. Dr. Süleyman Nahit ŞENDUR, Uzm. Dr. Nergis BASMACI ile birlikte çalışacakları,"/>
        <s v="Üniversitemiz Tıp FakültesiRuh Sağlığı ve Hastalıkları Anabilim Dalı öğretim üyelerinden Prof. Dr. Cengiz KILIÇ’ın sorumlu araştırmacı olduğu, Arş. Gör. Dr. Dicle DERİNSU’nun uzmanlık tezi olan,"/>
        <s v="Üniversitemiz Üroloji Anabilim Dalı öğretim üyelerinden Doç. Dr. Mesut ALTAN'ın sorumlu araştırmacı olduğu, Doç. Dr. Oytun PORTAKAL, Arş. Gör. Dr. İhsan Batuhan DEMİR ve Arş. Gör. Dr. Fagan MAMMADKARİMOV ile birlikte çalışacakları,"/>
        <m/>
      </sharedItems>
    </cacheField>
    <cacheField name="ADI" numFmtId="0">
      <sharedItems containsBlank="1" count="1573" longText="1">
        <s v=", “Eczacılık Öğrencileri ve Eczacıların Mesleki İlaç Erişimine Bağlı Madde Kullanımı Niyet ve Davranışlarının İncelenmesi: Bir Anket Çalışması”"/>
        <s v="''Besin Alerjili Çocuklarda Kazara Alerjen Maruziyeti: Sıklığı, Risk Faktörleri ve Yaşam Kalitesi Üzerindeki Etkileri''"/>
        <s v="''Buğday Alerjisi Olan Çocuklarda Oral İmmünoterapi ve Besinden Kaçınma Yaklaşımlarının Beslenme Durumu ve Yaşam Kalitesi Üzerine Etkilerinin Karşılaştırılması''"/>
        <s v="''Çocuk Böbrek Nakli Alıcılarının Ailelerinin Bakım Yükünün Belirlenmesi: Tek Merkez Örneği''"/>
        <s v="''Çocukluk Çağı Sistemik Lupus Eritematozus Tanısı Koymaya Yardımcı Yapay Zeka Modeli 'Morgaf''ın Tanı Koyma Başarısının Retrospektif Değerlendirilmesi''"/>
        <s v="''Kalp Nakli Bekleyen Çocukların Ailelerinin Bilgi Düzeyi ve Eğitim İhtiyaçlarının Belirlenmesi: Tek Merkez Örneği''"/>
        <s v="''Kawasaki Hastalığı Tanısı Koymaya Yardımcı Yapay Zeka Modeli 'Galadriel'in Tanı Koyma Başarısının Retrospektif Değerlendirilmesi''"/>
        <s v="''Lizinürik Protein İntöleransı Hastalarında Klinik Spektrum ve Komplikasyonların Değerlendirlmesi: Tek Merkez Deneyimi''"/>
        <s v="''Mononöritis Multipleks Değerlendirmesinde Elektrofizyolojik Özelliklerin Yeri''"/>
        <s v="''Oral Bakteri Kaynaklı Ekstraselüler Veziküllerin İnsan Mikroçevre Hücreleri Üzerindeki Etkilerinin Araştırılması''"/>
        <s v="''Pulmoner Kapak Replasmanı Yapılan Hastaların Uzun Dönem Sonuçlarının İzlenmesi ve Bunların Maliyet Analizi Sonuçlarının Araştırılması''"/>
        <s v="''Tam Çift Sistemler İçin Yapılan Üst Kutuplu Heminefrektomi Sonrası Hasta Takiplerinde Alt Üriner Sistem Cerrahisi Gerekliliğinin Değerlendirilmesi”"/>
        <s v="'İlaç Provokasyon Testi Pozitif Olan Hastaların Klinik Özellikleri ve Müdahale Gereksinimleri'"/>
        <s v="'Mitral Kapak Replasmanı Sonrası Postoperatif Mitral Gradient ile Kapak Boyutu, Vücut Kitle İndeksi ve Sol Atrium Çapı Arasındakı İlişkinin Retrospektif Analizi''"/>
        <s v="'Nonsteroid Antiinflamatuar İlaç Aşırı Duyarlılık Reaksiyonlarının ve Fenotiplerinin Değerlendirilmesi '"/>
        <s v="&quot; 0-48 ay Arasındaki Çocuklarının Aşılanma Durumları ile Ebeveynlerin E-sağlık Okuryazarlığı Düzeyi Arasındaki İlişkinin İncelenmesi”"/>
        <s v="“ Santral Sinir Sistemi Atipik Demiyelinizan Olgularında Klinik, Radyolojik ve Patolojik Değerlendirme ”"/>
        <s v="“.Epstein-Barr Virüs DNA Pozitifliği Saptanan Primer İmmün Yetmezlik Tanılı Hastaların İmmunofenotipik ve Genetik Özelliklerinin Araştırılması”"/>
        <s v="“.Hacettepe Üniversitesi Erişkin ve Onkoloji Hastanelerinde 2017-2025 Yılları Arasında Karbapenem Dirençli Enterobacteriacea Kolonizasyonu ve Takiben İnfeksiyonu Gelişen Hastaların Analizi”"/>
        <s v="“.Huzurevinde Yaşayan Yaşlı Bireylerin Ağız Sağlığı Durumu ile Bakımevi Personelinin Ağız Sağlığına Yönelik Bilgi Düzeyi Arasındaki İlişkinin Değerlendirilmesi.”"/>
        <s v="“.Yüksek Dereceli Majör Tükürük Bezleri Malignitelerinin Sonuçlarının Retrospektif İncelenmesi: Uluslararası Çok Merkezli Bir Çalışma”"/>
        <s v="“01/01/2013-01/01/2026 Tarihleri Arasında Hacettepe Üniversitesi Hastanesi'nde Pelvik Schwannom Nedeniyle Takip Edilen Hastaların Klinik Özellikleri, Cerrahi Yönetimi ve Uzun Dönem Prognozunun Değerlendirilmesi”"/>
        <s v="“01/01/2013-01/01/2026 Tarihleri Arasında İmmatür Teratom Tanısı Alan Hastaların Klinik, Tanı ve Tedavi Protokollerinin Etkinliği, Rekürrens, Tedavi Direnci ve Fertilite Üzerindeki Etkilerinin Çok Yönlü Değerlendirilmesi”"/>
        <s v="“01/01/2013-01/03/2026 Tarihleri Arasında Over Kanseri Tanısı Alan Hastalarda Klinik Özellikler, Tedavi Stratejileri ve Onkolojik Sonuçların Değerlendirilmesi: Çok Merkezli Retrospektif Kohort Çalışma”"/>
        <s v="“01/01/2013–01/01/2026 Tarihleri Arasında Servikal Adenokarsinoma İn Situ Tanılı Hastalarda Eksizyonel Tedavi Sonrası Rezidü Hastalık Sıklığı ve İlişkili Faktörler: Çok Merkezli Retrospektif Kohort Çalışma”"/>
        <s v="“01/01/2015-30/09/2025 Yılları Arasında Koryokarsinom Olgularının Klinik, Patolojik ve Epidemiyolojik Verilerinin Değerlendirilmesi”"/>
        <s v="“01/01/2015-31/12/2025 Tarihleri Arasındaki Gestasyonel Trofoblastik Hastalık Olgularının Klinik, Tanı ve Tedavi Protokollerinin Etkinliği, Rekürrens, Tedavi Direnci, Fertilite Üzerindeki Etkilerinin Çok Yönlü Değerlendirilmesi”"/>
        <s v="“1 Ocak 2016 - 31 Temmuz 2024 Yılları Arasında Doğum Yapmış Çoğul Gebeliği Olan Hastalarda; Gebeliklerinin Spontan ve Yardımcı Üreme Teknikleri Sonrası Gelişmesi Durumuna Göre Prenatal ve Postnatal Sonuçlarının Değerlendirilmesi”"/>
        <s v="“18-49 Yaş Arası Kadınların Birinci Basamakta Yapılan Jinekolojik Muayene Hakkındaki Görüş ve Deneyimleri”"/>
        <s v="“1p36 Delesyon Sendromu Tanısı ile İzlenen Hastalarda Klinik, Nörogelişimsel ve Genetik Özelliklerin Değerlendirilmesi”"/>
        <s v="“2012 Revize Atlanta Sınıflamasına Göre Şiddetli Akut Pankreatitin Öngörülmesinde Ranson, BISAP ve APACHE-II Skorlarının Karşılaştırmalı Prognostik Doğruluğu: Sistematik Derleme ve Meta-Analiz”"/>
        <s v="“2015–2026 Yılları Arasında Tüm Ekzom Dizileme Uygulanan Hastaların Klinik ve Genetik Özelliklerinin Retrospektif Analizi: Tek Merkez Çalışması”"/>
        <s v="“2023 Kahramanmaraş (Turkey–Syria) Depremlerinde Emzirme ve Beslenme Desteğinin Değerlendirilmesi ve Uygulanması&quot;"/>
        <s v="“2500 Hastalık Vaka Serisiyle Primer Dudak ve Damak Yarıkları: Epidemiyolojik, Cerrahi ve Postoperatif Komplikasyonların Erken ve Geç Dönem İlişkisinin Analizi”"/>
        <s v="“3D Modelleme ile Cerrahi Planlama'nın Sakral Nöromodülasyon Cerrahisine ve Başarıya Olan Katkısının Değerlendirilmesi”"/>
        <s v="“40 Yaş ve Üstü HIV Pozitif Bireylerde Kırılganlık Riskinin Tahmini ve Dijital Risk Değerlendirmede Web R Shiny Uygulaması”"/>
        <s v="“46,XY Cinsiyet Gelişim Bozukluğu Tanılı Hastalarda Moleküler Etiyolojinin Araştırılması”"/>
        <s v="“5 Yaş Altı Hastalarda İstismar ve İhmal Değerlendirilmesi, Sandığımız Kadar Nadir Mi?”"/>
        <s v="“6 Şubat 2023 Depremi Erişkin Depremzedelerinde Yakin Kaybı Sonucu Uzamış Yas; Koruyucu Faktörler ve Risk Faktörleri”"/>
        <s v="“6 Şubat 2023 Depremzedelerinde Uzun Dönemdeki Ruhsal Sorunları Belirleyen Faktörler: Bölge Dışına Göçün Etkileri”"/>
        <s v="“6 Şubat 2023 Kahramanmaraş Depremini Yaşamış Kişilerde Travma Sonrası Stres Bozukluğu ve Depresyonun Bir arada Görülmesini Yordayan Faktörler”"/>
        <s v="“6-18 Yaş Arası Besin İlişkili IgE Aracılı Reaksiyonu Olan Hastaların Değerlendirilmesi”"/>
        <s v="“65 Yaş Üstü Hastalarda Yaşlı Ayrımcılığına Maruziyet Sıklığı, Yaşlı Ayrımcılığının İlişkili Olduğu Faktörler ve Bakım Verenlerinde Yaşlanma Anksiyetesi”"/>
        <s v="“65 Yaş Üzeri Hastalarda Gereksiz Betahistin Kullanımının Araştırılması”"/>
        <s v="“65 Yaş ve Hastalarda Antitrombotik Tedaviler ve Tedavi Yaklaşımlarının Geriatrik Sendromlarla İlişkisinin Retrospektif Analizi”"/>
        <s v="“65 Yaş ve Üstündeki Hastalarda Kalp Yetmezliği Semptomları ile Oral Beslenme Desteği İlişkisinin Değerlendirilmesi”"/>
        <s v="“65 Yaş ve Üzeri Bireylerde İnsan Herpes Virüsleri Seropozitifliği ile Alzheimer Hastalığı Kan Biyobelirteçleri ve Epigenetik Belirteçler Arasındaki İlişkinin Değerlendirilmesi”"/>
        <s v="“65 Yaş ve Üzeri Hastalarda İntravenöz Ferrik Karboksimaltoz Tedavisine Hematolojik Yanıtı Öngören Geriatrik Faktörlerin Değerlendirilmesi”"/>
        <s v="“65 Yaş ve Üzeri Hastalarda Kısa Nütrisyonel İndekslerinin Tüm Nedenlere Bağlı Mortalite ile İlişkisi”"/>
        <s v="“65 Yaş ve Üzeri Tip 2 Diabetes Mellituslu Bireylerde İlaç Kullanım Uygunluğunun Retrospektif Değerlendirilmesi”"/>
        <s v="“80 Yaş Üzeri Hastalarda Osteoporoz Bulguları ve Tedavi Yaklaşımlarının Retrospektif Analizi”"/>
        <s v="“Abdominal Nöroblastom Cerrahisinin Böbrek Hacmi Üzerine Etkisi”"/>
        <s v="“Abdominal Patolojilerin Radyolojik Tanısına Yönelik Derin Öğrenme Modeli Geliştirilmesi.”"/>
        <s v="“Abdominal Tüberküloz Tanısı ile İzlenen Çocukların Klinik ve Laboratuar Özelliklerinin Değerlendirilmesi”"/>
        <s v="“Abdominal ve Torasik Aort Anevrizma Olgularında Endovasküler Onarım Sırasındaki Anestezi Yaklaşımının Klinik Sonuçlar Üzerine Etkilerinin Retrospektif Olarak İncelenmesi”"/>
        <s v="“Acil İstenen EEG’lerin Tanısal Değeri ve Tedaviye Katkısı”"/>
        <s v="“Acil Servise Akut Ataksi Nedeniyle Başvuran Hastaların Klinik Özellikleri ve Yaklaşım Algoritması”"/>
        <s v="“Acil Servise Başvuran Febril Nötropeni Hastalarında MASCC Skorlaması ile Yapılan Hasta Yönetiminin FRAİL Kırılganlık İndeksi Skorları ile Karşılaştırılması ve Değerlendirilmesi: Gözlemsel Çalışma”"/>
        <s v="“Acil Servislerin Uygunsuz Kullanımının İncelenmesi: Bir Üniversite Hastanesi Örneği”"/>
        <s v="“Acil Serviste Çocukluk Çağı Ekzantemlerinin Haritalanması: Bir Kesitsel Gözlemsel Çalışma”"/>
        <s v="“Acil Serviste Fraktür Şüphesi Taşıyan Hastalara Çekilen Pelvis Bilgisayarlı              Tomografi Görüntülerinin Yapay Zeka ile Değerlendirilmesi”"/>
        <s v="“Acil Serviste İntrakraniyal Merkezi Sinir Sistemi Enfeksiyonu Tanısı Konulan Hastalarda Hipokampüs Hacimlerinin Klinik Seyir Tahminindeki Rolü”"/>
        <s v="“Acil Tıp Uzmanlık Eğitiminde Ölümcül Göğüs Ağrısı Tanılarında Seprit Konkordans Test Oluşturmak için Büyük Dil Modellerinden ChatGPT ve Claude'nin Kullanılması”"/>
        <s v="“Acinetobacter Baumannii Kaynaklı Enfeksiyonların Tedavisinde Sulbaktam ve Kombinasyonlarının Kullanımının Retrospektif Olarak İncelenmesi”"/>
        <s v="“Açık Apeksli Devital Dişlerde Vaka Seçimi ve Klinik Protokol Açısından Pratisyen Diş Hekimleri, Endodonti Uzmanları ve Pedodonti Uzmanlarının Tedavi Yaklaşımları”"/>
        <s v="&quot;Adipozite İlişkili Ateroskleroz Patogenezinde Rol Oynayan Periferik Mononükleer Hücrelerdeki İnflamasyon Yolaklarının Belirlenmesi&quot;"/>
        <s v="“Adipozite İndeksleri İle Geriatrik Sendromlar Arasındaki İlişki”"/>
        <s v="“Adli Tıp Araştırma Görevlilerinin İstifalarına Yönelik Değerlendirme: Bir Anket Çalışması”"/>
        <s v="“Adli Vakalarda Postmortem Aralık (PMI) Tahmini için Kan ve Vitreus Temelli Metabolomik Biyobelirteçlerin Belirlenmesi”"/>
        <s v="“Adneksiyel Torsiyon Tanısında Manyetik Rezonans Görüntülemenin Yeri”"/>
        <s v="“Adölesan Dönemdeki Çocuklarda Kaygı Düzeyi ve Okul Başarasının Temporomandibular Eklem Bozuklukları ile İlişkisi”"/>
        <s v="“Adölesan Nöromüsküler Kalça Displazisi için Asetabuloplasti ile Kombine Üçlü Pelvik Osteotominin Güvenliği ve Uygulanabilirliği&quot;"/>
        <s v="“Ağır Akciğer Hastalığı Olan Kistik Fibrozis Hastalarında Modulatör Tedavinin Akciğer Nakil Gereksinimine Etkisi: Ulusal Kistik Fibrozis Kayıt Sistemi Verilerinin İncelenmesi”"/>
        <s v="&quot;Ağır Astımda Hedefe Yönelik Biyolojik Tedaviler: Benralizumabın Değerlendirilmesi &quot;"/>
        <s v="“Ağız Diş Ve Çene Cerrahisi Kliniğine Başvuran Hastaların Yapay Zeka Farkındalik Düzeyi İle Ağız Sağlığı ile İliskili Yaşam Kalitesi Arasındaki Korelasyonun Değerlendirilmesi”"/>
        <s v="“Ağız, Diş ve Çene Cerrahisi Alanında Yapay Zekâ Destekli Teknolojilere Yönelik Hasta İlgi ve Bilgi Seviyesi: Anket Çalışması”"/>
        <s v="“Agresif Başlangıçlı Tip 1 Diabetes Mellitus ile Tanınan CD70 Eksikliği Tanısı Alan Olgunun Klinik ve Laboratuvar Özelliklerinin İncelenmesi"/>
        <s v="“Agresif ve Metastatik Pituiter Nöroendokrin Tümör Tanısı Alan Olguların Retrospektif İncelenmesi”"/>
        <s v="“Aile Hekimliği Polikliniklerine Başvuran 18 Yaş ve Üzeri Hipertansiyon Hastalarının Hastalık Yönetim Süreçlerine Uyumları ve İlişkili Faktörler”"/>
        <s v="“Aile Hekimliği Uzmanlık Öğrencileri İçin EASM Rotasyonu Öncesi Çevrimiçi Bir Oryantasyon Eğitimi Programının Geliştirilmesi ve Etkinliğinin Değerlendirilmesi”"/>
        <s v="“Aile Sağlığı Merkezlerinde Aile Hekimleri Tarafından Yapılacak Bakım Noktası Ultrasonografisi: Erişkin Bireylerin Tutum ve Güveni”"/>
        <s v="“Ailede Ruhsal Hastalık, Damgalanma ve Sosyal İzolasyon: Başa Çıkma ve Umut Üzerine Karma Yöntem Bir Çalışma”"/>
        <s v="&quot;Ailesel Akdeniz Ateşi’nde MEFV Genotipine Göre Klinik Özelliklerin Karşılaştırılması: Homozigot, Heterozigot ve Klinik Önemi Bilinmeyen Varyant Taşıyıcıları&quot;"/>
        <s v="“Ailesel Epilepsilerde Genetik Nedenlerin Araştırılması”"/>
        <s v="“Ailevi Akdeniz Ateşi (FMF) Hastalarında Kolşisin Kullanımına Uyum Sürecinin Anketle Değerlendirilmesi”"/>
        <s v="“Ailevi Akdeniz Ateşi Tanılı Çocukların Karın Ağrısı ile Acil Servise Başvurularında Saptanan Cerrahi Nedenlerin İncelenmesi&quot;"/>
        <s v="“Akademik Tıpta Yapay Zekâ: Benimseme, Tutum ve Niyetler”"/>
        <s v="“Akçaağaç Şurubu İdrar Hastalığında MikroRNA İfade değişikliklerinin Araştırılması”"/>
        <s v="“Akçaağaç Şurubu İdrar Hastalığında Nöropsikiyatrik Özellikler”"/>
        <s v="“Akciğer Grafisinde Kardiyomegali Değerlendirmesinde Yapay Zeka: Bulguların Toraks BT Bulgulan ile Karşılaştırılması”"/>
        <s v="“Akciğer Kanserinde Lipid Metabolizması ile İmmün Sistem İlişkisi”"/>
        <s v="“Akondroplazili Çocuk Hastalarda Uyku ile İlişkili Solunum Bozukluklarının ve Polisomnografi Bulgularının Değerlendirilmesi”"/>
        <s v="“Akromegali Hastalarında Serebral Küçük Damar Hastalığı ve Vasküler Kognitif Bozuklukların Değerlendirilmesi”"/>
        <s v="“Akromegali ve Prolaktinoma Hastalarında Hepsidin, Eritroferron, Eritropoietin, Soluble Transferrin Reseptör ve Fibroblast Growth Faktör-23 Düzeyleri İle Hematolojik Parametrelerin İlişkisi”"/>
        <s v="“Aksiyel Spondiloartrit ve Psöriatik Artrit Hastalarında JAK İnhibitörlerinin Etkinlik ve Güvenlik Profili: Tek Merkezli Retrospektif Gerçek Yaşam Verisi”"/>
        <s v="“Aksiyel Spondiloartritli Hastalarda Fiziksel Aktiviteyi Değerlendirmek İçin Türkçeleştirilen mSQUASH Anketinin Validasyonu”"/>
        <s v="“Aktive Fosfoinositid 3-Kinaz Delta| Sendromu Tanısında Laboratuvar Testlerinin Karşılaştırılması”"/>
        <s v="“Akut Gastrointestinal Kanamalı Geriatrik Hastalarda İnflamatuvar, Nütrisyonel İndekslerin ve Demans Durumunun Analizi”"/>
        <s v="“AKUT Gönüllülerinde Psikolojik Sağlamlığın İş Yaşam Kalitesi ile İlişkisinin İncelenmesi”"/>
        <s v="“Akut İskemik İnme Hastalarında “Genel Obezite”, “Santral Obezite” ve “Adipozite” İndekslerinin İnme Fenotipi, Aterosklerotik Arter Hastalıkları ve Prognoza Etkisi: Prospektif Çalışma”"/>
        <s v="“Akut Lösemi Hastalarında Tanı Öncesi Kan Değerlerinin Etkinliği”"/>
        <s v="“Akut Myeloid Lösemi Hastalarında Konsolidasyon Tedavisinde Kullanılan Sitarabin Doz Yoğunluğunun Hastalığın Prognozu ve Sağkalımı Üzerine Etkisi”"/>
        <s v="&quot;Akut Poststreptokoksik Glomerulonefrit Tanılı Hastaların Retrospektif Olarak İncelenmesi&quot;"/>
        <s v="“Alerji Tanılı Çocuk Hastaların Ağız Bulgularının Değerlendirilmesi”"/>
        <s v="“Alerjik Çocuklarda Bileşene Dayalı Moleküler Test ile Alerjene Özgü IgE Duyarlılık Profilinin İncelenmesi”"/>
        <s v="“Alerjik ve Alerjik Olmayan Astımlı Çocuklardan İzole Edilen Eozinofillerde Oksidatif Stres Cevap Mekanizmalarının Araştırılması”"/>
        <s v="“Aletli Periton Diyalizi Yapan Hastalarda Uzaktan Erişim Modüllerinin Hastanın Tedavi Uyumuna ve Diyaliz Yeterliliğine Olan Etkisinin İncelenmesi”"/>
        <s v="“ALL BFM IC 2009 Protokolü ile Tedavi Edilen Akut Lenfoblastik Lösemili Çocuk Hastalarda Yaşam Süresi Analizi&quot;"/>
        <s v="“Allojenik Hematopoetik Kök Hücre Nakli Yapılan Hastaların Uzun Dönem Takip Sonuçlarının Değerlendirilmesi”"/>
        <s v="“Allojenik Kemik İliği Nakli Sonrası Nüks Hastalıkta Yapılan Tedavilerin Klinik, Laboratuvar, Prognostik, Sağ Kalım ve Yan Etkiler Açısından Değerlendirilmesi”"/>
        <s v="“Allojenik Kök Hücre Nakli Yapılan Hastalarda Sitomegalovirüs Reaktivasyonu Sıklığının Risk Faktörlerinin ve Sağ Kalıma Etkisinin Retrospektif Değerlendirilmesi”"/>
        <s v="“ALPACA Tanısı İle İzlenen Hastaların Değerlendirilmesi”"/>
        <s v="“Alstrom Sendromu ile Takip Edilen Bireylerin Klinik ve Moleküler Bulgularının Değerlendirilmesi”"/>
        <s v="“Alt Ekstremitede Pliometrik Egzersiz Şiddetinin Belirlenmesi”"/>
        <s v="“Alt Gastrointestinal Sistem Kanamasında Tanı Yöntemi, Kanama Kaynağı ve Klinik Sonuçların Retrospektif Değerlendirilmesi”"/>
        <s v="&quot;Alt Premolar Dişlere Ait Gubernakular Kanalın Konik Işınlı Bilgisayarlı Tomografi Görüntülerinde İncelenmesi&quot;"/>
        <s v="“Alzheimer Hastalığında Disfaji ile Manyetik Rezonans Görüntülemesiyle Beyindeki Atrofi Alanları Arasındaki İlişkinin İncelenmesi”"/>
        <s v="“Ambulans Çağrısı Sonrası Hastaneye Nakledilmeyen Hasta Özelliklerinin İncelenmesi ve Alternatif Bakım Önerilerinin Değerlendirilmesi”"/>
        <s v="“Ameliyathane Dışı İrreversible Elektroporasyon Uygulanan Onkolojik Hastalarda Anestezi Yönetimi ve Komplikasyonların İncelenmesi: Retrospektif Gözlemsel Çalışma”"/>
        <s v="“Amelogenezis İmperfectalı Hastaların Mandibula Kemik Yapısının Fraktal Analizi”"/>
        <s v="“Amiyotrofik Lateral Skleroz Hastalarında İpsilateral Transkraniyal Manyetik Uyarım Ölçütleri”"/>
        <s v="“Amyotrofik Lateral Skleroz Hastalarında Bulber Etkilenimin Ardışık Sinir Uyarımı ile Değerlendirilmesi”"/>
        <s v="“Amyotrofik Lateral Skleroz Hastalarında Split Hand Fenomeni: Median-Ulnar Motor ve Duyusal Oranlarının Karşılaştırılması”"/>
        <s v="“Amyotrofik Lateral Skleroz Hastalarında trapez Kasına Uygulanan Repetetif Sinir Stimülasyonunun Tanısal Değerlendirilmesi: Kontrollü Prospektif Bir Çalışma”"/>
        <s v="“Amyotrofik Lateral Skleroz Hastalarının MRG ile Degerlendirilmesi”"/>
        <s v="“Anaplastik Tiroid Kanserli Olguların Tanı, Tedavi ve Takip Açısından Retrospektif Değerlendirilmesi”"/>
        <s v="“Anatomi Eğitiminde Büyük Dil Modelleri: Farklı Sağlık Disiplinlerindeki Öğrencilerin Tutum ve Görüşleri”"/>
        <s v="“Androgenetik Alopesi Hastalarında Topikal Minoksidil Kullanımının Göz Bulguları ile Plazma VEGF ve Plazma Minoksidil Düzeyleri Üzerine Etkisinin Vaka-Kontrol Analizi”"/>
        <s v="“Ani İdiyopatik İşitme Kaybı ile Koklear Ossifikasyonun İlişkisinin İncelenmesi”"/>
        <s v="“Anjioid Strialı Hastaların Demografik, Klinik Özelliklerinin Prognozla İlişkisinin Değerlendirilmesi ve Uzun Dönem Sonuçları”"/>
        <s v="“Ankara Bölgesinde 2014-2023 Yılları Arasında Otopsisi Yapılmış Elektrik Akımına Bağlı Ölüm Olgularının Değerlendirilmesi”"/>
        <s v="“Ankara Bölgesinde Otopsisi Yapılmış İkili Ölüm Olgularının Değerlendirilmesi”"/>
        <s v="“Ankara Grup Başkanlığında Doğal Olmayan Yabancı Uyruklu Ölümlerin Değerlendirilmesi”"/>
        <s v="“Ankara İli Çankaya İlçesi Aile Sağlığı Merkezlerinde Görev Yapan Sağlık Çalışanlarının İşitme Kaybı Olan ve/veya Sağır Bireylere Yönelik Sağlık Hizmeti Sunumunda Deneyimleri ve Yaklaşımları”"/>
        <s v="“Ankara, Türkiye'deki Sahra Altı Afrikalı Üniversite Öğrencileri Arasında Sağlık Durumu, Sağlık Hizmetlerine Erişim, Sağlık Okuryazarlığı Düzeyi ve İlişkili Faktörlerin Belirlenmesi Araştırması”"/>
        <s v="“Ankara’da Bir İlçe Belediyesi Ana Hizmet Binasında Görev Yapan Belediye Çalışanlarının İklim Değişikliği Risk Algısının Değerlendirilmesi”"/>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s v="“Ankara’da Çalışan Aile Hekimlerinin Çalıştıkları İlçenin Sosyo-Ekonomik Gelişmişlik Düzeyi ile Tükenmişlik Durumları Arasındaki İlişkinin Değerlendirilmesi”"/>
        <s v="“Ankara'da Seçilmiş Aile Sağlığı Merkezleri'nden Hizmet Alanların Ağız ve Diş Sağlığı ile İlgili Farkındalıklarının ve Bu Merkezlerdeki Sağlık Çalışanlarının Konuya İlişkin Görüşleri”"/>
        <s v="“Ankara’daki Bir Mühendislik Fakültesinde Öğrenim Gören 1. Sınıf Öğrencilerinin Ruh Sağlığı Durumunun ve Ruh Sağlığı Okuryazarlığının Değerlendirilmesi&quot;"/>
        <s v="&quot;Ankilozan Spondiliti Olan ve Olmayan Bireylerde Asil ve Supraspinatus Entez Bölgelerinin Karşılaştırılması ve Ankilozan Spondilit Hastalik Aktivitesi ve Fonksiyonel Durumu ile İlişkilendirilmesi&quot;"/>
        <s v="“Ankilozan Spondiliti Olan ve Olmayan Bireylerde Aşil, Plantar Fasya, Supraspinatus Entez Bölgelerinin Shear Wave Elastografi ile Değerlendirilmesi”"/>
        <s v="“Anne Adaylarının İşitme Kaybı Risk Faktörleri ve Erken Korunma Hakkındaki Farkındalıklarının Belirlenmesi ve Eğitimi”"/>
        <s v="&quot;Anne ve Babaların Olumsuz Çocukluk Çağı Deneyimlerinin Erken Doğum Öyküsü Olan Çocukların Gelişimlerine Etkileri&quot;"/>
        <s v="“Anoreksiya Nervoza Hastalarında Solunum Fonksiyonları ile Kas Kalınlığı ve Kuvveti Arasındaki İlişkinin Araştırılması: Vaka-Kontrol ve İzlem Çalışması”"/>
        <s v="“Anoreksiya Nervoza ve Atipik Anoreksiya Nervoza Tanılı Ergenlerin Remisyon ve Relaps Süreçlerinin ve Yordayıcılarının Değerlendirilmesi”"/>
        <s v="“Antenatal Kortikosteroid Uygulanan Fetüslerde Fetal Pulmoner Ven Dopplerinin Longitudinal İzlemi ve Perinatal Sonuçlarla İlişkisi: Prospektif Kohort Çalışması”"/>
        <s v="“Antenatal Kortikosteroid Uygulanan Gebeliklerde Fetal Dolaşım Dinamiklerinin Longitudinal İzlemi ve Perinatal Sonuçlarla İlişkisi: Prospektif Gözlemsel Çalışma”"/>
        <s v="“Anterior Bölge İmplant Üstü Köprülerde Farklı Protez Tasarımlarının ve Arayüz Temizlik Araçlarının Biyofilm Temizlenebilirliği Üzerine Etkisinin Değerlendirilmesi: Bir İn Vitro Çalışma”"/>
        <s v="“Anti-TNF Tedavi Sürecinde Çekilen Akciğer Grafilerinin Yapay Zeka Destekli Değerlendirmesinin, Klinisyen Değerlendirmesi ile Karşılaştırması ve Klinik Uygulamalara Entegrasyonunun İncelenmesi”"/>
        <s v="“Antiepileptik İlaç Aşırı Duyarlılık Reaksiyonlarının Klinik ve Laboratuvar Özelliklerinin Risk Analizi ile Değerlendirilmesi”"/>
        <s v="“Antikoagulan Kullanan Yetişkin Hematoloji Hastalarında Yaşam Kalitesinin Değerlendirilmesi”"/>
        <s v="“Antikolinerjik Yük Bardağı Doldururken: Hiperpolifarmasisi Olan Yaşlılarda Oral Nütrisyon Desteğinin Disfaji ve Nütrisyonel Durum ile İlişkisi”"/>
        <s v="“Antimikrobiyal Dirençle Mücadeleye Yönelik Nanopartiküler Aşı Formülasyonlarının Geliştirilmesi”"/>
        <s v="“Antimikrobiyal Dirençteki Değişimler: Bir Üçüncü Basamak Hastanesindeki 11 Yıllık Deneyim”"/>
        <s v="“Antrakoanal Polip Cerrahisinde Orta Mea Antrostomisi ve Caldwell-Luc Yaklaşımlarının Cerrahi Sonuçlar Açısından Karşılaştırılması”"/>
        <s v="“Antrenman Maskesi ile Uygulanan Dar Alan Oyunlarına Verilen İç ve Dış Yük Yanıtlar&quot;"/>
        <s v="“Aort Diseksiyonu ve Anevrizma Rüptürüne Bağlı Ölümler: Otopsi Çalışması”"/>
        <s v="“Aort Kapak Protezi olan Hastalarda Transtorasik Ekokardiyografik ve İnvaziv Ölçümlerle Transvalvüler Aort Gradientlerinin Karşılaştırılması”"/>
        <s v="“Apikal Periyodontitis Etiyopatogenezinde İnflamatuar Sitokin Polimorfizmleri -Mikrobiyom İlişkisinin Araştırılması”"/>
        <s v="“Ara Değer Ter Testi Olan Kistik Fibrozisli Çocukların Klinik Özellikleri”"/>
        <s v="“Arboleda-Tham Sendromu ile Takip Edilen Bireylerin Klinik ve Moleküler Bulgularının Değerlendirilmesi”"/>
        <s v="“Aril Hidrokarbon Reseptör (AhR) Yolağının Mezenkimal Kök Hücreden İn Vitro Adiposit Farklılaşmasındaki ve Olgun Adipositlerdeki Rolünün İncelenmesi”"/>
        <s v="“Aril Hidrokarbon Reseptörü İnhibisyonunun Kemik İliği Yağ Mezenkimal Kök Hücreleri Kaynaklı Ekstraselüler Veziküller Aracılığıyla Kemik İliği Nişine Olan Etkilerinin Araştırılması”"/>
        <s v="“Artan Renal Klirensi Olan Hastalarda Meropenem Kan Düzeylerinin Retrospektif Olarak Değerlendirilmesi”"/>
        <s v="“Artan Trichophyton İndotineae Vakalarının Retrospektif Değerlendirilmesi”"/>
        <s v="“Arteria Hepatica Sınıflamasının Radyolojik Olarak İncelenmesi”"/>
        <s v="“Arteria Mesenterica Superior ve Vena Mesenterica Superior'un Anatomik İlişkisi: Radyolojik Ölçümlerle Cerrahi Risk Açısından Değerlendirme”"/>
        <s v="“Arteria Phrenica Inferior Anatomisisn Radyolojik Olarak İncelenmesi”"/>
        <s v="“Arteria Transversa Faciei’nin BT Anjiyografi ile Görüntülenmesi: Cerrahi Planlamaya Katkılar”"/>
        <s v="“Artistik Buz Pateninde Başarılı ve Başarısız Salchow Sıçrayışlarının Kinematik Analizi”"/>
        <s v="“Arttırılmış Eksantrik Yük Uygulamasının Derinlik Sıçraması Üzerine Akut Etkisinin İncelenmesi”"/>
        <s v="“Asemptomatik Tansiyon Düşüklüğü Olan Hastalarda Endotel Disfonksiyonu ve Renin-Anjiyotensin-Aldosteron Sistem Fonksiyonlarının Değerlendirilmesi”"/>
        <s v="“Asiklovir ve Valasiklovir İlişkili Sitopeni: Retrospektif Bir Kohort Çalışması”"/>
        <s v="“Asitretin Tedavisi Almış Psoriazis Vulgaris Tanılı Hastalarda FIB-4 Skorunun Retrospektif Değerlendirilmesi”"/>
        <s v="“Asıya Bağlı Ölüm Olgularında Retina Kanamalarının İndirekt Fundoskopi ile Değerlendirilmesi”"/>
        <s v="&quot;Astım Hastalarında Çocukluktan Erişkine Geçişin Tedavi Uyumu ve Takip Üzerine Etkisi&quot;"/>
        <s v="“Astım Hastalarında Yorgunluk Düzeyinin Astım Kontrol Durumu ile İlişkisinin Değerlendirilmesi”"/>
        <s v="“Astım Tanılı Çocuklarda Çekirdek Aile ve Çekirdek Aile Dışı Akrabalarda Alerjik Hastalık Sıklığının Belirlenmesi&quot;"/>
        <s v="“Astım Tanılı Çocuklarda Tedavi Edilebilir Özelliklerin İncelenmesi”"/>
        <s v="“Astım Tanılı Ergenlerde Menstruasyonun Astım Kontrolü Üzerindeki Etkisi”"/>
        <s v="&quot;Astımlı Hastalarda Otonom Disfonksiyon ve Termoregülasyon Bozukluklarının Klinik ve Proteomik Etkileri”"/>
        <s v="“Ataksi Telanjiektazi Hastalarının Klinik Değerlendirmeleri ile Kraniyal Manyetik Rezonans Görüntüleme Bulgularının İlişkisinin Araştırılması”"/>
        <s v="“Ataksi-Telanjiektazi Hastalığının Patogenezinin Moleküler Boyutta Sistemik Analizi”"/>
        <s v="“Ateşi Olan Üç Aylıktan Küçük Bebeklerde Presepsin ve İnterlökin-6 Düzeyleri ile Ağır Bakteriyel Enfeksiyon Riskinin Değerlendirilmesi”"/>
        <s v="“Atipik Alzheimer Varyantlarında Glimfatik Sistem, Serebral Perfüzyon ve APOE Genotipinin Bütüncül Değerlendirmesi: Pilot Nörogörüntüleme ve Genetik Çalışma”"/>
        <s v="“Atopik Dermatit Tanılı 1-3 Yaş Arası Çocuklarda Besin Alerjisi Varlığının Lezyonel ve Non-lezyonel Deri Bölgelerindeki Sitokin ve Mikrobiyom Özelliklerine Etkisi”"/>
        <s v="“Atopik Dermatit Tanılı Adölesan Hastalarda Menstrüasyon Siklusun Hastalık Aktivitesi Üzerine Etkisi”"/>
        <s v="“AtopikDermatit Tanılı Adölesan Hastalarda Uyku ve Yasam Kalitesinin Değerlendirilmesi”"/>
        <s v="“Atrial Fibrilasyon Ablasyonu Uygulanan Hastalarda Yüzey EKG P Dalga Parametreleri ile Sol Atrial Skar Arasındaki İlişkinin Değerlendirilmesi”"/>
        <s v="“Atrial Fibrilasyon Ablasyonunda Atriyal Epikardiyal Yağ Dokunun Sağkalım ve Aritmi Nüksüne Etkisinin Araştırılması”"/>
        <s v="“Atriyal Fibrilasyon Ablasyonu Planlanan Hastalarda Sol Atriyal Apendikste Trombüs Oluşumunun Öngorülmesi”"/>
        <s v="“Atriyal Septal Defekt Tanısı Olan Pediatrik Hastalarda Demografik, Klinik ve Ekokardiyografik Bulguların Değerlendirilmesi ile İzlem Sürecinde Bu Parametrelerdeki Değişikliklerin Araştırılması”"/>
        <s v="“AVNRT Tanısı ile Ablasyon Uygulanan Çocuklarda Transozefagial Elektrofizyolojik Çalışmanin Nüksü Belirlemedeki Rolü''"/>
        <s v="“Avrupa Uyuşturucu Madde Acilleri İletişim Ağı Projesi - ‘European Drug Emergencies Network Plus (Euro-DEN Plus) Proiect’”"/>
        <s v="“Avrupa'da Geriatri Tıbbı Eğitim Programının Tamamlanması: Milenyum Kuşağı ve Z Kuşağı Geriatristlerinin Mesleki Beklentileri- Kesitsel, Avrupa Tabanlı Bir Çalışma”"/>
        <s v="“Avrupa’daki Göçmen ve Mülteci Popülasyonlarında Sağlık Hizmetlerine Erişim ve Antibiyotik Kullanımını Değerlendirmeye Yönelik Dünya Sağlık Örgütü ile Uyumlu Bir Ölçüm Aracının Geliştirilmesi ve Doğrulanması (AdMiRE Çalışması)”"/>
        <s v="“Axial ve Koronal Düzlemde Koklear Apertür Ölçümlerinin İnternal Akustik Kanal ve Koklear Sinir ile İlişkisi”"/>
        <s v="“B12 Vitamini Eksikliği Tedavisinin Kılavuza Uygunluğunun Değerlendirilmes”"/>
        <s v="“Babalarda Doğum Korkusu ile Fetal Bağlanma, Depresyon, Anksiyete ve Stres Arasındaki İlişkinin Belirlenmesi”"/>
        <s v="“Bakteriyel Enfeksiyon Tanısı Alan ve Tedavi Edilen Çocuk Hastaların Retrospektif olarak İncelenmesi”"/>
        <s v="“Bakteriyel Enfeksiyon Tanısı ile Hastane Yatışı Olan ve Tedavi Edilen Çocuk Hastaların Retrospektif olarak İncelenmesi, Risk Faktörlerinin Belirlenmesi”"/>
        <s v="&quot;Bakteriyel Enfeksiyon Tanısı ile Yatarak Tedavi Olan Çocuk Hastaların Verilerinin Retrospektif Olarak İncelenmesi&quot;"/>
        <s v="“Bale Dansçıları ve Modern Dansçılarda Kas-İskelet Sistemi Yaralanma Deneyimleri ve Risk Faktörlerinin Niteliksel Olarak Değerlendirilmesi”"/>
        <s v="“Balık İlişkili Besin Proteininin İndüklediği Enterokolit Sendromunda İlk Provakasyon Zamanının Belirlenmesi”"/>
        <s v="“Balonla Genişletilebilir Transkateter Aort Kapak İmplantasyonu Sonrası Kalıcı Kalp Pili İhtiyacını Öngördürücülerinin Araştırılması”"/>
        <s v="“Baş Boyun Bölgesine Radyoterapi Planlanan Hastalarda Tükürük Parametreleri, Ağız Kuruluğu ve Ağız Sağlığına Bağlı Yaşam Kalitesinin Değerlendirilmesi”"/>
        <s v="“Baş Boyun Kanserli Olgularda European Organisation for Research and Treatment of Cancer (EORTC) H&amp;N43 Modülünün Türkçe Validasyonu, Kronoradyoterapinin Hayat Kalitesi ve Akut Toksisiteler Üzerine Etkisi”"/>
        <s v="“Baş Boyun Tümörlerinde Kullanılan Anatomik ve Moleküler Görüntülemeye Ait Tanı Kriterlerinin Performanslarının Karşılaştırılması”"/>
        <s v="“Baş Boyun Yassı Hücreli Kanserlerinde DNA Metilasyonunun Gen Ekspresyonu Üzerinden Prognoza Etkisi”"/>
        <s v="“Baş-boyun, Beyin ve Spinal Tümörlerin CEST Görüntüleme Yöntemi ile Değerlendirilmesi”"/>
        <s v="“Başlangıç Yaşına Göre Atopik Dermatit Olgularının Klinik ve Laboratuvar Parametrelerinin Karşılaştırılması”"/>
        <s v="“Bebeklik Çağı Kolestatik Karaciğer Hastalığı Tanılı Çocuk Hastaların Uzun Dönem Klinik İzlemleri”"/>
        <s v="“Beden Bağışı Başvurularında Sosyodemografik ve Zamansal Eğilimler: Hacettepe Üniversitesi Deneyimi”"/>
        <s v="“Bedensel Belirti Bozukluğu Tanılı Ergenlerdeki Narsisistik Özellikler ve Baş Etme Becerileri ile Ebeveynlerindeki Narsisistik Özelliklerin İlişkisi”"/>
        <s v="“Behçet Hastalarının Serum Nörofilaman Seviyelerinin Belirlenmesi”"/>
        <s v="“Behçet Hastalığında Retinal Vasküler ve Görsel Fonksiyon Parametrelerinin Pediatrik ve Erişkin Gruplarda Değerlendirilmesi”"/>
        <s v="“Belirsiz Gastrointestinal Kanaması Olan Hastalarda Kapsül Endoskopisinin Tanısal Sensitivitesi-Kapsamlı Tek Merkez Veri Analizi”"/>
        <s v="“Benign Histerektomi Öncesi Video Bilgilendirmesinin Anksiyete Düzeyine Etkisi”"/>
        <s v="“Benign Paroksizimal Pozisyonel Vertigo Hastalarında Klinik Tecrübemiz”"/>
        <s v="“Benzotiyofen Oksabütanoik Asit'in Endometriyum Kanserinde Karboplatin Direncine Etkilerinin İn Vitro Araştırılması”"/>
        <s v="“Besin Protein İlişkili Enterokolit Sendromu Tanılı Hastalarda Endotiplere Göre Prognozun Değerlendirilmesi”"/>
        <s v="“Beyin Omurilik Sıvısı Örneklerinde Alkol ve Psikoaktif Madde Düzeylerinin Değerlendirilmesi”"/>
        <s v="“Beyin Tümörünün Postoperatif Tedavisinde Antikanser/Antianjiogenik İlaç ve Kök Hücre İçeren, 3B Yazıcı ile Kişiselleştirilebilir İmplantların Geliştirilmesi ve İnvitro/İnvivo Değerlendirilmesi”"/>
        <s v="“Bifosfonat Kullanan Hastalarda İlaca Bağlı Olarak Çenelerde Görülen Osteonekrozun Etyopatogenezinde Otofaji, Apoptoz ve Nekrozun Rolü”"/>
        <s v="“Bilateral Primer Vezikoüreteral Reflü (VUR) Tanısı Olan Çocuklarda Yapılan Mathisen Modifikasyonu ile Cohen Cross-Trigonal Reimplantasyon Cerrahi Tekniğinin Sonuçları”"/>
        <s v="“Bilateral Sagital Split Ramus Osteotomisi ve Genioplasti ile Mandibulaya Yaptırılan Çeşitli Hareketlerin Dudak, Çene Ucu ve Angulus Estetik Bölgelerindeki Etkilerinin İncelenmesi”"/>
        <s v="“Bilateral Testis Germ Hücreli Tümörler: Hacettepe Üniversitesi Üroloji Anabilim Dalı'nın 40 Yıllık Deneyimi”"/>
        <s v="“Bilateral ve Unilateral Ön-Kondisyonlanma Protokollerinin Cimnastikçilerde Performans Asimetrileri Üzerine Etkisi”"/>
        <s v="“Bilateral Vokal Kord Paralizisi Nedeniyle Parsiyel veya Total Aritenoidektomi Yapılan Hastalarda Vücut Kitle Endeksinin Dispne Üzerine Etkisi”"/>
        <s v="“Bilgisayarlı Tomografi Anjiyografide Hepatik Arter Aterosklerozu Prevalansının Araştırılması”"/>
        <s v="“Bilgisayarlı Tomografi Eşliğinde Transtorasik Akciğer Biyopsilerinin Teknik ve Tanısal Başarı Oranları ile Komplikasyon Oranlarının Değerlendirilmesi”"/>
        <s v="“Bir Aile Sağlığı Merkezi’ne Başvuran Erişkin Bireylerin Hipnoterapi Konusundaki Bilgi ve Tutumlarının İncelenmesi”"/>
        <s v="“Bir Kamu Hastanesinin Acil Servisinde Yalın Yönetim Uygulaması”"/>
        <s v="“Bir Üniversite Hastanesindeki Diş Hekimlerinin Dental Anksiyete Konusundaki Bilgi, Farkındalık ve Yönetim Stratejilerinin Değerlendirilmesi”"/>
        <s v="&quot;Bir Üniversite Hastanesinin Kardiyoloji Polikliniğine Başvuran Hastalar Arasında Reçetesiz İlaç Kullanım Sıklığı, Suistimali, Yanlış Kullanımı ve Bağımlılık Düzeyi ile İlişkili Faktörlerin İncelenmesi&quot;"/>
        <s v="“Bireysel Sodyum Sitrat Tüketiminin Kadın Futbolcularda Tekrarlı Sprint Performansına Etkisi”"/>
        <s v="“Biyolojik Tedavi Kullanan Psoriazli Hastalarda Tedavi Optimizasyonuna Uygunluk Kriterlerinin Değerlendirilmesi”"/>
        <s v="&quot;Biyolojik Tedavilerin Otoenjektor ve Kullanıma Hazır Enjektörler Formlarının Evde Kullanımının Degerlendirilmesi&quot;"/>
        <s v="“Biyoprostetik Kalp Kapağı İmplantasyonu Geçiren Hastalarda Trombo-profilaksi İçin Warfarin ile Non–Vitamin K Oral Antikoagülanların Karşılaştırılması”"/>
        <s v="“Biyopsi ile Tanımlanmış Lakrimal Bez Patolojilerine Sahip Hastaların Demografik ve Klinik Özelliklerinin Belirlenmesi”"/>
        <s v="“Bloom Sendromu Tanısı Alan Hastaların Klinik, Demografik ve İmmünolojik Özelliklerinin Değerlendirilmesi”"/>
        <s v="“Böbrek Biyopsilerinde Lupus Nefriti NIH Skorlamasının Dil Modeli ile Otomatikleştirilmesi ve Patolog Değerlendirmesi ile Karşılaştırılması”"/>
        <s v="“Böbrek Nakli Alıcılarında İşe Dönüş Durumu ile Yaşam Kalitesi ve Komorbidite İlişkisi”"/>
        <s v="“Body Roundness Index ve Body Shape Index'in Sarkopenik Obezite ile Yaşayanlarda Geriatrik Sendromlar ve Kognitif Fonksiyonlarla İlişkisi"/>
        <s v="“BONEZ – Bone ONcological Evaluation Via Zero/Ultrashort Echo Time MRI”"/>
        <s v="“Borderline Kişilik Özellikleri ve Çocuklukta Onaylamayan Çevre Arasındaki İlişki: Bir Model Testi”"/>
        <s v="“Borderline Over Tümörlerinde Fertilite Koruyucu Cerrahi Yaklaşımlar, İntraoperatif Frozen İncelemenin Nihai Patoloji ile Uyumluluğu ve Sağ Kalım Verilerinin Tek Merkez Çok Yönlü Retrospektif İncelenmesi”"/>
        <s v="“Borderline Over Tümörlerinde Histerektominin Prognoza Etkisi”"/>
        <s v="“Boyun Diseksiyonu Yapılan Hastalarda En-Bloc Rezeksiyon Yöntemi ile Juguler Ven Split Rezeksiyon Yönteminin Karşılaştırılması”"/>
        <s v="“Brakial Pleksus Doğum Paralizisi Olan Hastalarda Gövde ve Alt Ekstremite Dengesinin Değerlendirilmesi”"/>
        <s v="“Brakial Pleksusun Terminal Dallarının Aksiller Düzeyde Tanımlanmasında Kesitsel Görüntüleme Yönteminin Güvenilirliğinin Değerlendirilmesi”"/>
        <s v="&quot;BRCA Mutant Meme ve Over Kanseri Hastaların Birinci Derece Erkek ve Kadın Yakınlarında Genetik Test Oranlarının ve Sonuçlarının Değerlendirilmesi&quot;"/>
        <s v="“BRCA Mutasyon Pozitif Hastalarda Risk Azaltıcı Jinekolojik Cerrahi Uygulamalarının Klinik ve Histopatolojik Sonuçları: Retrospektif Bir Analiz”"/>
        <s v="“Bronkopulmoner Displazi Tanılı Hastaların İzleminde Akciğer Ultrasonografisinin Yeri”"/>
        <s v="“Bronkopulmoner Displazili Çocuklarda Solunum Fonksiyonlarının Değerlendirilmesinde İmpuls Osilometri ve Spirometrinin Karşılaştırılması”"/>
        <s v="“Bronkopulmoner Displazinin Erken Tanı ve Tedavi Sürecinin İzleminde Yapay Zeka Destekli Metabolomik Yaklaşımlar”"/>
        <s v="“Brucella Tanısı ile İzlenen Çocuk Hastaların Klinik, Laboratuvar ve Tedavi Yanıtlarının Değerlendirmesi, Çok Merkezli Çalışma”"/>
        <s v="“Bruselloz Tanılı Çocukların Sitokin ve Kemokin Yanıtlarının Değerlendirilmesi”"/>
        <s v="“Büllöz Pemfigoid Tanılı Hastalarda Omalizumab Tedavisinin Yanıtlarının Değerlendirilmesi&quot;"/>
        <s v="“Büyük Adrenal Lezyonların Klinik, Endokrinolojik, Cerrahi ve Patolojik Özelliklerinin İncelenmesi”"/>
        <s v="“Büyüme Hormonu Salgılama Hormonu ve Analoglarının İdrarda Nano Sıvı Kromatografisi Kuadrupol/Orbitrap Kütle Spektrometrisi Kullanılarak Analizi”"/>
        <s v="“Çalışan Kadın Sağlığı: Genel Sağlık, Koruyucu Sağlık Hizmetlerinden Faydalanma ve İş-Yaşam Dengesi Durumları”"/>
        <s v="“CDK 4/6 İnhibitörü Kullanan Metastik Meme Kanseri Hastalarında Sağkalıma Etki Eden Faktörlerin Yapay Zeka Aracılığıy Belirlenmesi”"/>
        <s v="“Çene Bölgesi Patolojik Lezyonların CBCT Görüntülerinde Yapay Zeka Tabanlı Otomatik Tanısı: Derin Öğrenme Yaklaşımı”"/>
        <s v="“Çene Kemiklerinde Multipl Miyeloma Bağlı Mikroyapısal Bozulmaların Kantitatif Analizi: Fraktal, Lakünerite ve Entropi Parametrelerinin Karşılaştırmalı İncelemesi”"/>
        <s v="“Cerrahi Olarak Tedavi Edilen Pelvik Fragilite Kırığı Olan Hastaların Retrospektif Olarak Değerlendirilmesi: Fonksiyonel ve Radyolojik Bulgular”"/>
        <s v="“Cerrahi ve Dahili Hastaların Taburculuk Sonrası Oral Nütrisyonel Destek Ürün Kullanımına Yönelik Bakım Paketinin Geliştirilmesi”"/>
        <s v="“Cerrahi veya Perkütan Yolla Atriyal Septal Defekt Kapatılan Hastalarda Atriyal Taşikardinin Kateter Ablasyonunun Sonlanım Noktalarının İncelenmesi”"/>
        <s v="“Cerrahi Zorluğu Ölçmenin Yeni Yolu: VESPA skoru ile DIEP Fleplerde Anatomik Karmaşıklığın Sayısallaştırılması”"/>
        <s v="“Çevresel Sensör Reseptör Uyarımı ile Koşullandırılmış İnflamasyon Baskılayıcı”"/>
        <s v="“CHARGE Sendromlu Hastalarda Kokleanın Yerleşiminin Değerlendirilmesi”"/>
        <s v="“Ciddi Pnömokokkal Enfeksiyon Geçiren Hastaların Retrospektif Olarak İmmün Yetmezlik Açısından Değerlendirilmesi”"/>
        <s v="“Cinsel Yolla Bulaşan Enfeksiyonlarda Risk Paternlerinin Veri Odaklı Keşfi: Makine Öğrenimi Yaklaşımı”"/>
        <s v="“Cinsiyet Olumlayıcı Hormon Tedavisi Alan Transgender Erkekler ve Endojen Hiperandrojenizmi Olan Polikistik Over Sendromlu Kadınlarda İnsülin Direnci ile İlişkili Laboratuvar ve Vücut Kompozisyon Parametrelerinin Karşılaştırılması”"/>
        <s v="“Cinsiyet Uyuşmazlığı Nedeniyle Başvuran Kişilerin Sosyodemografik ve Klinik Özelliklerinin Zaman İçerisindeki Değişiminin İncelenmesi”"/>
        <s v="&quot;Cinsiyet Uyuşmazlığı Tanısı ile İzlenen Ergen ve Genç Erişkinlerin Tıbbi Tedavilere Erişim Durumlarının Sağlık ve İyilik Halleri Üzerine Etkisi&quot;"/>
        <s v="“Cinsiyet Uyuşmazlığı Tanısı Konulan Kişilerde Otizm Spektrumu Özelliklerinin Klinik Gereksinimler ve Psikososyal İyilik Hali ile İlişkisi”"/>
        <s v="“Clavicula'nin Morfometrik Analizi ve Ortopedik İmplant Planlamasina Yönelik Katkıları”"/>
        <s v="“Clostridium Difficile Enfeksiyonu Olan Hastanede Yatan 50 Yaş ve Üstü Hastaların Kapsamlı Geriatrik Değerlendirme ile Değerlendirilmesi”"/>
        <s v="“Çocuk Acil Polikliniği’ne Başvuran Basit ve Komplike Febril Nöbet Hastalarının Klinik Özellikleri, Yönetimleri ve Sonuçlarının Karşılaştırılması”"/>
        <s v="“Çocuk Acil Polikliniğine Başvuran Skuter Kazalarının Retrospektif Değerlendirilmesi”"/>
        <s v="“Çocuk Acil Servise İlaç İntoksikasyonu ile Başvuran ve Çocuk ve Ergen Ruh Sağlığı Tarafından Takip Edilen Bireylerin Geriye Dönük Değerlendirilmesi”"/>
        <s v="“Çocuk Acil Servisinde Çalışan Hemşirelerin Klinik Uygulamalar Sırasında Yaşadığı Kesintilerin Değerlendirilmesi”"/>
        <s v="“Çocuk Acil Serviste Akut Karın Ağrısı ile Değerlendirilen Hastalarda İleri Görüntüleme Seçimini Etkileyen Faktörlerin Değerlendirilmesi&quot;"/>
        <s v="“Çocuk Acilde Derin Boyun Enfeksiyonlarının Retrospektif Değerlendirilmesi&quot;"/>
        <s v="“Çocuk Acile Başvuran Anafilaksi Vakalarının Retrospektif İncelenmesi”"/>
        <s v="“Çocuk Acile Başvuran İdrar Toksikolojisi Gönderilen Ergenlerin Ergen Sağlığı İzlemi”"/>
        <s v="“Çocuk Acile Başvuran Kritik HastalardaHiperglisemi Sıklığı, Hastalıklara Göre Dağılımı ve Hasta Sonuçlarına Etkisi”"/>
        <s v="“Çocuk Acile Göğüs Ağrısı Yakınması ile Başvuran Hastaların Yönetiminin Kanıta Dayalı Rehberlere Göre Yeniden Değerlendirilmesi”"/>
        <s v="“Çocuk Cerrahisi Hastalarında Perioperatif Nutrisyonel Durumun ve Postoperatif Sonuçlara Etkisinin Değerlendirilmesi: Ulusal, Çok Merkezli Prospektif Çalışma”"/>
        <s v="“Çocuk Hastalarda Ekstragonadal Germ Hücreli Tümörlerin Klinik, Patolojik Özellikleri ve LIN28 ile İmmunohistokimyasal Analizi”"/>
        <s v="“Çocuk Hastalarda Kombine Antibiyotik Tedavilerinin Yan Etkilerinin Retrospektif Olarak İncelenmesi”"/>
        <s v="“Çocuk Kalp Cerrahisi Uygulanan Hastalarda Postoperatif İntraabdominal Hipertansiyonun Cerrahi Sonuçlara Etkisinin İncelenmesi”"/>
        <s v="“Çocuk Kardiyoloji Ünitesinde Uygulanan Farmakolojik Provakasyon Testlerinin Tanı Sürecindeki Rolü&quot;"/>
        <s v="“Çocuk Kardiyoloji ÜnitesiTransvenöz Lead Çıkarılması Deneyimlerinin Retrospektif Değerlendirilmesi”"/>
        <s v="“Çocuk Romatoloji Hastalarında Tümör Nekroz Faktör Alfa Blokör Tedavisinin Tiroid Fonksiyonu Üzerine Etkisinin Değerlendirilmesi”"/>
        <s v="“Çocuk ve Adolesan Tüberküloz Vakalarında Göçün Etkisi”"/>
        <s v="“Çocuk Yoğun Bakım Hastalarında Ferritin Yüksekliği Tespit Edilen Olguların İncelenmesi”"/>
        <s v="“Çocuk Yoğun Bakım Servisinde Sürekli Elektroensefalografi ile Değerlendirilmiş Olan Kritik Hastaların Sonuçlarının İncelenmesi”"/>
        <s v="“Çocuk Yoğun Bakımda Basınç Yaralanması Prevalansı ve Etkileyen Faktörlerin Analizi: Retrospektif Bir Çalışma”"/>
        <s v="“Çocuklarda Antimikrobiyal İlaç Desensitizasyonlarının Etkinliği ve Güvenilirliği”"/>
        <s v="“Çocuklarda Bileşene Dayalı Moleküler Tanı Testi ile Alerjene Özgü IgE Duyarlılık Sıklığının Değerlendirilmesi”"/>
        <s v="“Çocuklarda Budd-Chiari Sendromu: Tek Merkez Deneyimi”"/>
        <s v="“Çocuklarda Cerrahi Sonrası Geliştirilmiş İyileştirme (Enhanced Recovery After Surgery: ERAS) Programı Uygulamaları”"/>
        <s v="“Çocuklarda Doğal İmmünite Kaynaklı Santral Sinir Sistemi İnflamasyonunda Beyin Büyümesini ve Sağlığını Haritalama”"/>
        <s v="“Çocuklarda Duodenogastrik Reflü Hastalığı: Bu Bir Fonksiyonel Gastrointestinal Hastalık mıdır?”"/>
        <s v="“Çocuklarda Fasiküler Ventriküler Aritmi ve Transkateter Ablasyon Uygulaması Deneyimlerimiz”"/>
        <s v="“Çocuklarda Hemoptizinin Etiyolojik Spektrumu ve Klinik Sonuçları: Üçüncü Basamak Bir Merkezden On Yıllık Retrospektif Analiz”"/>
        <s v="“Çocuklarda Kedi, Köpek ve At Alerjisinde Moleküler Duyarlılık Özellikleri ve Klinik ile İlişkisi”"/>
        <s v="“Çocuklarda Kemoterapötik İlaç Desensitizasyonlarının Etkinliği ve Güvenliği”"/>
        <s v="“Çocuklarda Klonidin ve Levodopa ile Yapılan Büyüme Hormonu Uyarı Testlerinin Tanı Gücü Açısından Karşılaştırılması”"/>
        <s v="“Çocuklarda Laparoskopik Kolesistektomilerde İndosiyaninyeşil (ICG) destekli Floresan Görüntülemenin Cerrahi Sonuçlara Etkisinin Belirlenmesi”"/>
        <s v="“Çocuklarda Malnütrisyon Tahmin Etmede Perioperatif Beslenme Taramasının Kullanılabilirliği”"/>
        <s v="“Çocuklarda Mantar Duyarlılık Profili ve Klinik ile İlişkisi”"/>
        <s v="“Çocuklarda Pnömokok Taşıyıcılığı: Kültürün Ötesinde Moleküler Doğruluk”"/>
        <s v="“Çocuklarda Post Enfeksiyöz Bronşiolitis Obliterans Gelişmesinin Genetik Temellerinin Belirlenmesi”"/>
        <s v="“Çocuklarda Respiratuvar Sinsityal Virüs Enfeksiyonunun Akciğer Dışı Bulguları”"/>
        <s v="“Çocuklarda Yabancı Cisim Yutmalarına Klinik Yaklaşım”"/>
        <s v="“Çocukların Gelişimsel ve Davranış Özelliklerine Yönelik Sosyal Medyada İçerik Üreten Kişilerin Uzmanlık Alanlarının İncelenmesi&quot;"/>
        <s v="“Çocukluk Başlangıçlı Monogenik Sendromik Obezitenin Erişkin Dönem Klinik Seyri”"/>
        <s v="“Çocukluk Çağı Akut Arteriyel İskemik İnme Tanısı Alan Hastalarda Etiyoloji, Tedavi Yaklaşımı ve Nörolojik Sonuçlarının Değerlendirilmesi”"/>
        <s v="“Çocukluk Çağı Akut Myeloid Lösemisinde Prognoz ve Sağkalım”"/>
        <s v="&quot;Çocukluk Çağı Aşılarına Karşı Antikor Düzeylerinin Değerlendirilmesi&quot;"/>
        <s v="“Çocukluk Çağı Astımında Uzun Süreli İzlem ve Remisyon”"/>
        <s v="“Çocukluk Çağı Başlangıçlı Takayasu Arteritlerinin Romatolojik ve Kardiyolojik Değerlendirilmesi”"/>
        <s v="“Çocukluk Çağı Eksojen Obezite Tedavisinde Yaşam Tarzı Değişikliği Önerilerinin Etkinliğinin İncelenmesi”"/>
        <s v="“Çocukluk Çağı IgG4 İlişkili Hastalık: Çok Merkezli Uluslararası Çalışma”"/>
        <s v="“Çocukluk Çağı İnflamatuvar Doku Hastalıkları Tanılı Çocuk ve Ergenlerde Yaşam Kalitesi ve İlişkili Faktörlerin Değerlendirilmesi”"/>
        <s v="“Çocukluk Çağı İnterstisyel Akciğer Hastalıklarında Beslenme Durumunun Solunum Fonksiyonları ve Yaşam Kalitesi Skorları ile İlişkisinin İncelenmesi”"/>
        <s v="“Çocukluk Çağı Kalp Hastalıklarında Uyku Sorunları ve Gelişimsel Endişeler&quot;"/>
        <s v="“Çocukluk Çağı Kolelitiazis Vakalarının Klinik ve Genetik Özelliklerinin Değerlendirilmesi”"/>
        <s v="&quot;Çocukluk Çağı Kronik Non-Bakteriyel Osteomiyelit Hastalarında Tedaviye Yanıtlar ve Relapsı Öngören Faktörler&quot;"/>
        <s v="“Çocukluk Çağı Malign Karaciğer Tümörlü Hastalarının Retrospektif Analizi”"/>
        <s v="“Çocukluk Çağı Olumsuz Yaşantılar Ölçeği-Ergen Formu’nun 12-18 Yaş Türk Ergen Örnekleminde Geçerlik ve Güvenirlik Çalışması”"/>
        <s v="“Çocukluk Çağı Otoimmün Romatolojik Hastalıklar Tanılı Çocuk ve Ergenlerde Yaşam Kalitesi ve İlişkili Faktörlerin Değerlendirilmesi”"/>
        <s v="“Çocukluk Çağı Over Kistadenomları: Hacettepe Deneyimi”"/>
        <s v="“Çocukluk Çağı Poliarteritis Nodosa Hastalarının Değerlendirilmesi”"/>
        <s v="“Çocukluk Çağı Romatolojik Hastalıkları Nedeniyle Biyolojik Ajan Kullanan Hastalarda Pnömokok ve Meningokok Taşıyıcılığı”"/>
        <s v="“Çocukluk Çağı Sinoviyal Sarkom Olgularının Retrospektif Değerlendrilmesi”"/>
        <s v="“Çocukluk Çağı Tümörleri İlişkili Trombüslerde Cerrahi Tedavi Yöntemleri”"/>
        <s v="“Çocukluk Çağı Vaskülitlerinde Serum/Plazma Metabolomik Profilinin İncelenmesi: Tanısal ve Klinik İlişkilerin Değerlendirilmesi”"/>
        <s v="“Çocukluk Çağında Dirençli Epilepside Uyku Bozuklukları ve Diğer Komorbid Durumların Değerlendirilmesi”"/>
        <s v="&quot;Çocukluk Çağında Matür T/NK Hücreli Lenfomalar : Hacettepe Deneyimi&quot;"/>
        <s v="“Çocukluk Çağında Nintedanib Kullanımı: Tek Merkez Deneyimi”"/>
        <s v="“Çocukluk Çağında Pankreatit”"/>
        <s v="“Çocukluk Çağında Tanı Alan Adrenokortikal Tümörlerde Mitotan Kullanımının Endokrin Yan Etkilerinin İncelenmesi”"/>
        <s v="“Çocukluk ve Ergenlik Döneminde Gerçekleşen Doğal Olmayan Ölüm Olgularının Değerlendirilmesi”"/>
        <s v="“Coğrafik Atrofi Tanılı Hastalarda Derin Öğrenme Tabanlı Bilgisayarlı Görü Yöntemleriyle Bölütlenmesi ve 5 Yıllık Progresyonun Kestiriminin Değerlendirilmesi”"/>
        <s v="“Colli Tali Geometrik Anatomisinin Osteolojik Değerlendirilmesi”"/>
        <s v="“Çölyak Hastalığında İşe Devam ve İşe Devamsızlık – Çok Merkezli Bir Çalışma”"/>
        <s v="“Çölyak Hastalığında Otoimmün Komorbidite Riskinin Öngörülmesi – Seroloji Temelli Stratifikasyon Modeli: İki Uluslu Çalışma”"/>
        <s v="“Covid-19 Pandemisinin Toplumdan Kazanılmış Pnömoni Etkenlerinin Epidemiyolojisine Etkisi: Retrospektif Bir Gözlemsel Çalışma”"/>
        <s v="“Crohn Hastalarında Cerrahi Gereksinimini Öngören Klinik Faktörlerin Değerlendirilmesi: Retrospektif Analiz”"/>
        <s v="“Crohn Hastalarında Sigara Kullanımının Hastalık Aktivitesi ve Klinik Sonuçlar Üzerine Etkisi: Retrospektif Analiz”"/>
        <s v="“Cushing Hastalarında Tedavi Geçmişi ve Sonlanımlar: Tek Merkez Deneyimi&quot;"/>
        <s v="“D110H Mutasyonu Varhginda; Klinik Seyir Nasil Sekilleniyor?”"/>
        <s v="“Dahiliye Servislerinde İlaç Uygulama Zamanlarının Değerlendirilmesi ve Klinik Eczacının Rolü”"/>
        <s v="“DEHB Tanılı Çocuklarda KOKGB Eşlik Etme Durumuna Göre İrritabilite ve Ödül Sisteminin Fonksiyonel MRG ile İncelenmesi”"/>
        <s v="“Dehidratasyonun Geritritk Klinik Göstergelerle İlişkisi:65 Yaş Üzeri Bireylerde Retrospektif Kesitsel Analiz”"/>
        <s v="“Demans Bilgilendirme Eğitimi Verilen Bakım Verenlerde Anksiyete, Depresyon ve Stres Düzeylerinin Değerlendirilmesi”"/>
        <s v="“Demans Bilgilendirme Eğitiminin Klinik Bakım Süreçleriyle İlişkisi”"/>
        <s v="“Demiryolu ile İlişkili Ölümlerin Değerlendirilmesi: Bölgesel Bir Otopsi Çalışması”"/>
        <s v="“Denosumab Alan Geriatrik Hastaların İlaç Uyumunun Değerlendirilmesi ve ilaç Uyum Sonuçlarının Osteoporoz Üzerine Olan Etkisi”"/>
        <s v="“Denosumab Tedavisinde İnterlökin-6 Düzeyi ve DEXA Yanıtı İlişkisi: Retrospektif Bir Analiz”"/>
        <s v="“Dental Tedavi Sırasında veya Reçetelendirmede Gelişebilecek İlaç Etkileşimleri Hakkında Farkındalık Düzeyinin Ölçülmesi”"/>
        <s v="“Deoksiriboz Nükleik Asit Yanlış Eşleşme Tamir Proteinlerinde İmmunohistokimyasal Olarak Kayıp Gözlenen Endometrium Kanserlerinde, Lynch Sendromu İçin Uygulanan Algoritmanın ve Çalışma Kohortunda Lynch Sendromu Saptanan Olguların Değerlendirilmesi”"/>
        <s v="&quot;Depresyon ve Parkinson Hastalığında beyinden Gelen Nöronal Ekstraselüler Veziküllerin Tespiti ve Karakterizasyonu&quot;"/>
        <s v="“Derin Kapanışlı ve Normal Kapanışlı Hastalarda Dijital Mandibular Hareket Kayıt Yöntemlerinin Oklüzal Morfolojinin Doğruluğu Üzerindeki Etkisi”"/>
        <s v="“Dermatoloji Ayaktan ve Yatan Hasta Başvurularında Yama Testi Endikasyonlarının Belirlenmesi ve Klinik ile Test Sonuçlarının Korelasyonunun İncelenmesi”"/>
        <s v="“Dermatoloji Polikliniğine Başvuran Hastalarının Dermatolojik Sağlık Sorunlarının Tanısı ve Yönetiminde Yapay Zeka Kullanımına Bakış Açısı, Alışkanlığı ve Sağlık Alanında Yapay Zekaya Olan Güvenini Değerlendiren Anket Çalışması”"/>
        <s v="“Diabetes Mellitus Tanısı Olmayan Yaşlı Bireylerde Düşük Hba1c Düzeylerinin Mortalite ile İlişkisi”"/>
        <s v="&quot;Diferansiye Tiroid Kanserlerinde Tedavi Öncesi Kan Sonuçlarının Prognostik Değerlendirmesi&quot;"/>
        <s v="“DiGeorge Sendromu Tanısı Almış Çocuk Hastaların Mandibula Kemik Yapısının Fraktal Analizi”"/>
        <s v="“Dijital Cerrahi Planlama Temelli Genioplasti Uygulamalarında Konvansiyonel Miniplak ve Kişiye Özel İmplant Fiksasyonlarının Doğruluğunun Retrospektif Olarak Değerlendirilmesi”"/>
        <s v="“Dijital Fotoğraf Tabanlı Renk Analizi ile Gingival İndeksin Belirlenmesi: Klinik Sağlık, Gingivitis ve Periodontitis Vakalarının Karşılaştırılması”"/>
        <s v="“Dijital Mamografi Görüntülerinde Evrişimsel Sinir Ağları ile Meme Kitlelerinin Otomatik Tespiti, Lokalizasyonu ve Histopatolojiye Dayalı Alt Tip Sınıflandırılması”"/>
        <s v="“Dijital Replantasyon Başarısının Preoperatif Belirleyicileri: İskemi Süresi ve Amputat Yönetiminin Kritik Rolü”"/>
        <s v="“Dijital Tam Protezlerde Yüzey Taraması ve Çene Hareket Takibi ile Tam Dijital İş Akışı: Yeni Bir Teknik&quot;"/>
        <s v="“Dijital Tarama Tekniklerinin Tam Ark İmplant Ölçü Doğruluğuna Etkisi”"/>
        <s v="“Dikkat Eksikliği Hiperaktivite Bozukluğu Olan Ergenlerde Duyusal İşlemleme Özellikleri, Zihin Kuramı Becerileri ve Bilinçli Farkındalık Düzeylerinin Akran Zorbalığı İle İlişkisi”"/>
        <s v="“Dikkat Eksikliği Hiperaktivite Bozukluğu olan Ergenlerde Nikotin Tüketimi, Zihin Gezinmesi, Duygu Düzenleme, Zihinselleştirme ve Yürütücü İşlevlerin İncelenmesi”"/>
        <s v="“Dikkat Eksikliği Hiperaktivite Bozukluğu Tanılı Çocuklarda İrritabilite ve Saldırganlık Tiplerinin Yürütücü İşlevlerle İlişkisinin İncelenmesi”"/>
        <s v="“Dikkat Eksikliği ve Hiperaktivite Bozukluğu Tanılı Ergenlerde Çocukluk Çağı Olumsuz Yaşantılarının Klinik Görünüm ve İnflamatuar Biyobelirteçlerle İlişkisi”"/>
        <s v="“Dirsek Lateral Epikondilit Tanılı Hastalarda Uyku Kalitesinin Değerlendirilmesi”"/>
        <s v="“Diş Hekimlerinin Ultrasonografi Kullanımına Yönelik Bilgi, Tutum, Farkındalık ve Klinik Uygulama Algısının Değerlendirilmesi: Kesitsel Bir Anket Çalışması”"/>
        <s v="“Diş Hekimliği Branşlarında Konik Işınlı Bilgisayarlı Tomografi İstem Eğilimleri ve Etkileyen Faktörler: Retrospektif Kesitsel Bir Çalışma”"/>
        <s v="“Diş Hekimliği Fakültesine Başvuran Çocukların Ebeveynlerinin Ağız Sağlığı Okuryazarlık Durumlarının Değerlendirilmesi”"/>
        <s v="&quot;Diş Hekimliği Fakültesine Konsülte Edilen Hastalarda Konik Işınlı Bilgisayarlı Tomografi Endikasyonları ve Saptanan Bulgular&quot;"/>
        <s v="&quot;Diş Hekimliği Lisans Eğitiminde Total Protez Konulu Açık Uçlu Sınav Sorularının Büyük Dil Modelleri ve Uzman Puanlamaları ile Karşılaştırılması.”"/>
        <s v="“Diş Hekimliği Son Sınıf Öğrencilerinin Acil Tıbbi Durumlar Bağlamında Algılanan Güven ve Bilgi Düzeylerinin Değerlendirilmesi”"/>
        <s v="“Diş Hekimliği Uzmanlık Öğrencileri Tarafından Hazırlanan Bilimsel Özetlerde Yapay Zekâ Destekli Yazımın Kaliteye Etkisi ve Yapay Zekâ Temelli Değerlendirmelerin Uzman Görüşleriyle Uyumu”"/>
        <s v="&quot;Diş Hekimliğinde Yapay Zeka Destekli Teşhis ve Tedavilere Güven: Hasta Perspektifinden Bir Analiz&quot;"/>
        <s v="“Diş Pulpası Kök Hücrelerinde Proton Işını Uygulamasıyla Simüle Edilen Uzay Radyasyonuna Hücresel Yanıtların İncelenmesi”"/>
        <s v="“Dişeti Çekilmesi Olan Hastalarda Dişeti Kalınlığının Farklı Yöntemler Kullanılarak Karşılaştırmalı Değerlendirilmesi”"/>
        <s v="“Disfonili Hastalarda Multidisipliner Ses Konseyi Kararları ile ChatGPT Yanıtlarının Karşılaştırılması”"/>
        <s v="“Disleksi Tanısı Alan Üniversite Öğrencilerinin Yükseköğrenim Serüveni: Nitel Bir Çalışma”"/>
        <s v="“Distal-Orta Yerleşimli Lokal İleri Evre Rektum Adenokanser Tanılı Hastalarda Radyoterapi Müdahalelerinin Patolojik ve Klinik Tümör Yanıt Oranlarına Etkisinin Araştırılması”"/>
        <s v="“Diyabet Dışı Kronik Böbrek Hastalığında Sodyum-Glukoz Kotransporter 2 İnhibitörünün Proteinüri Üzerine Etkisi”"/>
        <s v="“Diyabet Hastalarında Ayak Öz Bakımı, Diyabetik Ayak Sıklığı ve Ülser Şiddeti Arasındaki İlişki: Kesitsel Gözlemsel Çalışma”"/>
        <s v="“Diyabet Hastalarında Plansız Yeniden Yatış ve Acil Servis Başvuru Riskinin Makine Öğrenmesi ile Tahmini”"/>
        <s v="“Diyabet İlaçlarının Kilo Kaybı Amaçlı Kullanımına İlişkin Eczane Eczacılarının Bilgi, Tutum ve Davranışlarının Değerlendirilmesi&quot;"/>
        <s v="“Diyabet Tarama Test İstemlerinin Kanıta Dayalı Eğitim Müdahaleleri ile Rasyonel Kullanımının Arttırılması: Kalite Geliştirme Çalışması”"/>
        <s v="“Diyabetik Böbrek Hastalığında Albuminürik ve Non-Albuminürik Fenotiplerin Karşılaştırmalı Üriner Metabolomik Analizi”"/>
        <s v="“Diyabetik Gastroparezi Hastalarında Klinik Özellikler, Tanı Süreçleri ve Klinik Sonuçların Retrospektif Değerlendirilmesi: Tek Merkez Deneyimi”"/>
        <s v="“Diyabetik Ketoasidoz ile Başvuran Hastaların Klinik, Tedavi ve Sonlanımlarının Retrospektif Değerlendirilmesi”"/>
        <s v="“Diyabetik Yaşlı Hastalarda Sarkopeni ile Kullandıkları İlaçlar Arasındaki İlişkinin Değerlendirilmesi”"/>
        <s v="“Diz Osteoartritli Hastalarda Floroskopi ve Ultrasonografi Kılavuzluğunda İntraartiküler Diz Enjeksiyonlarının Etkinliklerinin Karşılaştırılması&quot;"/>
        <s v="“DJ-1 Mutasyonuna Bağlı Mitokondriyal Hasarın ve Organeller Arası Etkileşimlerin Hasta Hücrelerinde İncelenmesi”"/>
        <s v="“Doğal İmmünite Defektleri, Kombine İmmün Yetmezlikler ve İmmün Disregülasyonla Giden Primer İmmün Yetmezliklerin Genetik ve İleri İmmünolojik Yöntemlerle Araştırılması”"/>
        <s v="“Doğumsal Brakiyal Pleksus Yaralanmalarında Önkol Cerrahi Sonrası Fonksiyonel Başarıyı Etkileyen Radyolojik Parametreler: Radius Anatomisinin Rolü”"/>
        <s v="“Doğuştan Bağışıklık Hataları ve Kanser İmmünoterapisinde Karsinojenez Mekanizmaları”"/>
        <s v="“Doksan Yaş ve Üzeri Bireylerde Elektrokardiyografik Bulgular ve Aritmi Gelişiminde Rol Oynayan Faktörlerin Değerlendirilmesi”"/>
        <s v="“Doku Mühendisliği Ürünü Vaskülarize Kas Greftlerinin Sıçan Mikrosirküler AV Loop Modelinde Yaşamsallığının ve Fonksiyonelliğinin Değerlendirilmesi”"/>
        <s v="“Down Sendromu Tanısı Almış Çocuk Hastaların Mandibula Kemik Yapısının Fraktal Analizi”"/>
        <s v="“Duchenne Musküler Distrofi Tanısı ile Pediatrik Yaş Grubunda İzlenen Hastaların Solunum Bulgularının Retrospektif Olarak Değerlendirilmesi”"/>
        <s v="“Dudak Damak Yarığı Hastalarında Temporomandibuler Eklem Patolojilerinin Konik Işınlı Bilgisayarlı Tomografi (KIBT) Görüntüleri Üzerinden Araştırılması”"/>
        <s v="“Düşük Antimüllerian Hormon Düzeyine Sahip Kadınlarda Gerçekleşen Gebelik Kayıplarının Retrospektif Olarak Araştırılması”"/>
        <s v="“Düşük İmmün Reaktif Tripsinojen (IRT) Değerleri Nedeniyle Yenidoğan Taramasından Kaçan Kistik Fibrozisli Çocukların Özellikleri ve Taramada Yakalanan Hasta Grubu ile Karşılaştırılması”"/>
        <s v="“Duygusal Zekâ Temelli Etkinliklerin Konuşma Akıcılığına, Duygusal Zekâya ve Beyin Bağlantısallık Ağlarına Etkisi”"/>
        <s v="“Ebeveyn-Çocuk Üçlüsü Tüm Genom Dizileme Verilerinde De Novo Varyantların Güvenilir Tespitinin Araştırılması”"/>
        <s v="“Ebeveynlerin Aşı Tereddüdü Konusundaki Tutumları ve Çocukluk Çağı Bağışıklamasının Artırılması Konusundaki Düşüncelerinin Değerlendirilmesi”"/>
        <s v="“ECMO Uygulanan Hastalarda Akut Böbrek Hasarı Açısından Risk Faktörlerinin Değerlendirilmesi”"/>
        <s v="“Eczacıların Farmakogenetik Testlere Yaklaşımı: Bilgi, Farkındalık ve Tutum Analizi”"/>
        <s v="“Eczacılıkta Uzmanlık Sınavı Başarısı Açısından Yapay Zeka Tabanlı Büyük Dil Modellerinin Karşılaştırması”"/>
        <s v="“Eklem İçi Ortobiyolojik Uygulanmış Diz Osteoartritli Hastaların Hareket Analizi”"/>
        <s v="“Ekran Bağımlılığı ile İnflamasyon İlişkisi”"/>
        <s v="“Ekran Maruziyetinin Çocukların İşitme, Konuşma ve Dil Becerilerine Etkisi Konusunda Ebeveyn Farkındalığının İncelenmesi ve Bilgilendirilmesi”"/>
        <s v="“Ekstraovaryan Seks Kord Stromal Hücre Odakları: Nadir Görülen Bir Lezyonun Klinikopatolojik Değerlendirmesi”"/>
        <s v="“Ektopik Gebelik Tanısı Alan Hastalarda Metotreksat Tedavisinin mg/m2 veya mg/kg Dozuna Göre Uygulanıp Etkinliğin Değerlendirilmesi ve Cerrahi Müdahale Gerektiren Vakaları Retrospektif Olarak Belirlenmesi”"/>
        <s v="“El Kavrama Kuvvetinin Ölçümünde Squegg'in Geriatrik Popülasyondaki Tanısal Geçerliliği”"/>
        <s v="“El Osteoartriti ve İnflamatuar Artritlerde Transarteriyel Periartiküler Embolizasyon: Teknik Uygulanabilirlik ve Klinik Sonuçları”"/>
        <s v="“Elde Tendon Kılıfı Dev Hücreli Tümörlerinde Cerrahi Tedavi Sonrası Fonksiyonel ve Klinik Sonuçların Değerlendirilmesi”"/>
        <s v="“Elektrofizyoloji Laboratuvannda Pleksus Hasarı Tanısı”"/>
        <s v="“Elektrofizyoloji Laboratuvarında Miyotonik Boşalımlar: Tanı, Klinik ve Elektrofizyoloji”"/>
        <s v="“Elektrokonvülsif Tedavinin Etkinlik ve Güvenliğinin ve Tedavide Flumazenil Kullanımının Nöbet Parametreleri ile Klinik Değişkenler Üzerindeki Etkilerinin Retrospektif Olarak İncelenmesi”"/>
        <s v="“Eltrombopag Tedavisi Başlanan Kronik İmmün Trombositopeni Tanılı Çocuk Hastaların İzleminde Lenfosit Yüzey Belirteçleri ve Sitokinlerdeki Değişimlerin İncelenmesi”"/>
        <s v="“Eltrombopag Tedavisi ile Kemik İliği Değişikliklerinin Retrospektif İncelenmesi”"/>
        <s v="“Emilebilir İp Uygulamaları ile Biyostimülan Ajanların Yüz Anatomisi Şekillendirme Kapasitesinin Değerlendirmesi: Retrospektif Gözlem Çalışması”"/>
        <s v="“Emzirme Danışmanlığı Merkezi’ne Başvuran Ebeveynlerde Postpartum Depresyon Saptanma Durumunun ve İlişkili Faktörlerin Değerlendirilmesi: Retrospektif Kohort Çalışması”"/>
        <s v="“Emzirme Döneminde Beslenme: Annelerin İnanç ve Deneyimlerine Yönelik Kalitatif İnceleme”"/>
        <s v="“Endodontik-Periodontal Lezyonlarda Etyoloji, Prognoz ve Tedavi Yaklaşımlarının Endodontist ve Periodontist Perspektifinden Değerlendirilmesi: Gözlemsel Bir Çalışma”"/>
        <s v="“Endometrioma Nedeniyle Skleroterapi Uygulanan Hastalarda Over Rezervi, Fertilite, Gebelik Sonuçları ve Endometrioma Prognozu Üzerine Etkisinin Retrospektif Analizi”"/>
        <s v="“Endometrium Adenokarsinom Hastalarında Retrospektif Yetersiz ve Negatif Biyopsilerinin Klinikopatolojik Açıdan Değerlendirilmesi”"/>
        <s v="“Endometrium Kanserinde Sentinel Lenf Nodu Metastazı ile Moleküler Subtipler Arasındaki İlişkinin Değerlendirilmesi”"/>
        <s v="“Endoskopik Endonazal ya da Transkonjonktival Yaklaşımla Optik Sinir Dekompresyonu ve/veya Optik Sinir Kılıf Fenestrasyonu Yapılan Olgularda Sonuçların Karşılaştırılması”"/>
        <s v="“Ensefalopatide Siklik Alternan Patern (CAPE): EEG Özellikleri ve Klinik Seyir”"/>
        <s v="“Enteral Tüp ile Beslenme ve/veya Total Parenteral Nütrisyon Uygulanan Hastanede Yatan Yaşlı Erişkinlerde Antikolinerjik İlaç Yükünün Aspirasyon Pnömonisi ve Mortalite Üzerine Etkisinin Retrospektif Olarak Değerlendirilmesi”"/>
        <s v="“Enükleasyon Uygulanmış Uveal Melanomlarda Sitogenetik, İmmunohistokimyasal ve Dijital Patoloji Bulgularının Klinikopatolojik Parametreler ve Metastaz Riski ile İlişkisinin Değerlendirilmesi”"/>
        <s v="“Eozinofilik Gastrointestinal Hastalık Tanısı Alan Primer İmmün Yetmezlikli Hastaların Klinik ve Laboratuvar Özelliklerinin Değerlendirilmesi”"/>
        <s v="“Eozinofilik Granülomatoz Polianjitis Hastalarında Görülen Cilt Bulgularının Klinik, Dermatoskopik ve Fotograf Temelli Atlas Aracılığı ile Değerlendirilmesi”"/>
        <s v="“Eozinofilik Özofajit Gelişen Özofagus Atrezili Olgularda Oral Mikrobiyom ve Metabolomik Profillerinin İncelenmesi”"/>
        <s v="“Epilepsi Cerrahisi Geçiren ve Patolojisinde Düşük Dereceli Tümör, Kavernom ve Fokal Kortikal Displazi Saptanan Hastaların Klinik Özellikleri, EEG Bulguları ve Prognozlarının Retrospektif Olarak Değerlendirilmesi”"/>
        <s v="“Epiretinal Membran ve Maküler Hole Tanılı Hastaların Preoperatif ve Postoperatif Maküler Görme Alanlarının Değerlendirilmesi”"/>
        <s v="“Epstein–Barr Virüs (EBV) Enfeksiyonu Tanısı Alan Çocuk Hastaların Retrospektif Olarak Klinik ve Laboratuvar Verilerinin Değerlendirilmesi”"/>
        <s v="“Ergen Meme Kitlelerinde İzlem Protokolü ve Risk Sınıflandırma Skoru Geliştirilmesi”"/>
        <s v="“Ergen ve Genç Yetişkinlerde Menstrüasyon Farkındalığı”"/>
        <s v="“Ergenlerde Akran Zorbalığının Özerklik, Kimlik Özellikleri ve Bağlanma ile İlişkisi”"/>
        <s v="“Ergenlerde Dayanıklılık ile İlişkili Etkenlerin İncelenmesi”"/>
        <s v="“Ergenlerde Dijital Bağımlılık Düzeyleri ile Yaşam Tarzı İnancı Arasındaki İlişkinin İncelenmesi: Bir Aile Sağlığı Merkezi Örneği”"/>
        <s v="“Ergenlerde Mizaç ve Ebeveyn Tutumları ile Sosyal Kaygı Arasındaki İlişkide Erken Dönem Uyumsuz Şemaların Aracı Rolünün İncelenmesi”"/>
        <s v="“Ergenlerde Sağlık Alanında Yapay Zekâ Kullanım Ölçeği’ ve ‘Ebeveynin Çocuğunun Sağlığı ile İlgili Yapay Zekâ Kullanım Ölçeği’nin Geliştirilmesi ve Değerlendirilmesi”"/>
        <s v="“Ergenlik Döneminde Yeme Bozukluğu Tanısı Almış Yetişkinlerde Ruhsal Hastalık Kimliği ve İyileşme: Nitel Bir Çalışma”"/>
        <s v="“Erişkin Hastalarda Glenoid Versiyonlarının ve Morfolojilerinin Bilgisayarlı Tomografi (BT) ile Değerlendirilmesi”"/>
        <s v="“Erişkin Kistik Fibrozis Hastalarında Genetik Mutasyon Kombinasyonları ile Organ Sistem Tutulumu İlişkisinin İncelenmesi ”"/>
        <s v="“Erişkin Kistik Fibrozis Hastalarında Genotiplere Göre Modülatör Tedavi Etkinliğinin Değerlendirilmesi”"/>
        <s v="“Erişkin Kistik Fibrozis Hastalarında Modülatör Tedaviye Erişim Sürecinin Psikososyal ve Ekonomik Etkilerinin Değerlendirilmesi”"/>
        <s v="“Erişkin Kistik Fibrozis ve Primer Siliyer Diskinezi Olgularında Solunum Yolu Örneklerinden Nadir Küf Türlerinin İzolasyon Sıklığının ve Klinik Yansımalarının Değerlendirilmesi ”"/>
        <s v="“Erişkin Özofagus Atrezilere Özgü Hayat Kalitesi Anketi”"/>
        <s v="“Erişkin Popülasyonda Ayak Bileği Kırıklarının Deplasman ve Yumuşak Doku Hasarlarının ZTE sekanslı MRG ile Değerlendirilmesi ve BT ile Karşılaştırılması”"/>
        <s v="“Erişkin Popülasyonda Nazal Semptomları Olan ve Olmayan Hasta Gruplarının Bilgisayarlı Tomografi ile Nazal Kavite Kesitleri ve Orta Yüz Kemik Ölçümlerinin Karşılaştırılması”"/>
        <s v="“Erişkin Primer İmmün Yetmezlik Hastalarında Otoimmün Hemolitik Anemi Olgularının İncelenmesi”"/>
        <s v="“Erişkin Primer Siliyer Diskinezi Hastalarının Klinik Verilerinin Uluslararası European Reference Network Lung Veri Tabanına Kayıt Edilmesi”"/>
        <s v="“Erişkin Subklinik Hipotiroidili Hastalarda Kardiyak Fonksiyonların İncelenmesi”"/>
        <s v="&quot;Erişkin Yaygın Değişken İmmün Yetmezlik Hastalarında Klinik Bulgular ve İmmünfenotipik Özelliklerin Analizi&quot;"/>
        <s v="“Erişkinlerde HPV Aşısına Yönelik Tutum, Okuryazarlık ve Ulusal Programa Dahil Edilmesine İlişkin Görüşler”"/>
        <s v="“Erişkinlerde Timus Boyutlarının BT ile Değerlendirilmesi, Farklı Yaş Gruplan, Cinsiyet ve Sigara Kullanımıyla İlişkisi”"/>
        <s v="&quot;Erişkinlerde Yaş Tayini İçin Pulpanın Radyolojik Değişikliklerinin İncelendiği Yeni Bir Yöntemin Değerlendirilmesi&quot;"/>
        <s v="“Erişkinlerin Aromaterapi Hakkında Bilgi, Tutum ve Davranışlarının Araştırılması: Kesitsel Çalışma”"/>
        <s v="&quot;Erken Başlangıçlı Kronik Non-Bakteriyel Osteomiyelit Hastalarında Genetik Değerlendirme&quot;"/>
        <s v="“Erken Başlangıçlı Skolyozda Tweener Grubunun Cerrahi Tedavisinde Büyüyen Rod Uygulamaları ile Posterior Spinal Füzyonun Orta-Uzun Dönem Sonuçlarının Karşılaştırılması”"/>
        <s v="“Erken Dönem Yaşa Bağlı Makula Dejenerasyonunda Perimetri ile Makuler Parametrelerin İncelenmesi”"/>
        <s v="“Erken Evre Glottik Kanserlerde Radyoterapi Sonuçları ve Ön Komissür Tutulumunun Radyoterapi Tekniği ile İlişkisi”"/>
        <s v="“Eskrim Sporcularında Diz ve Omuz Eklemi Ultrasonografik Parametrelerinin Değerlendirilmesi&quot;"/>
        <s v="“Ev Hanımlarında Sosyal Medya Kullanımının Okupasyonel Denge ve Zaman Yönetimi ile İlişkisinin İncelenmesi”"/>
        <s v="“Ev Tipi İnvaziv Mekanik Ventilatör ile İzlenen Hastaların Değerlendirilmesi”"/>
        <s v="“Evans Sendromu Tanılı Hastaların Klinik Özelliklerinin Retrospektif Özelliklerinin Retrospektif İncelenmesi”"/>
        <s v="“Evre 3 ve 4 Kronik Böbrek Hastalarında Hastalık Farkındalık Ölçeği Geliştirilmesi: Ekolojik Model Temelli Bir Yaklaşım”"/>
        <s v="&quot;Evre 3-5 Kronik Böbrek Hastalığı Olan Çocuklarda Mineral ve Kemik Bozuklukları ve Tedaviye Yanıtın Değerlendirilmesi&quot;"/>
        <s v="“Fabrikasyon ve Kişiye Özel Plak Fiksasyonlarının Ortognatik Cerrahi Sonrası Yumuşak Doku Değişikliklerine Etkisinin Üç Boyutlu Karşılaştırması”"/>
        <s v="“Fallot Tetralojisi Hastalarında Kardiyolojik Özellikler ve Uzun Dönem Sonuçlarının Retrospektif Değerlendirilmesi”"/>
        <s v="“Fankoni Anemisinde Büyüme Hormonu Eksikliği Olan Olguların Özelliklerinin İncelenmesi”"/>
        <s v="“Farklı Aerobik Fitness Düzeyine Sahip Bireylerde Açlık ve Tokluk Durumunda Yapılan Akut Egzersizin Periferik Kan Mononükleer Hücreleri ve Metabolik Yakıt Kullanımına Etkisi”"/>
        <s v="“Farklı Ajanların İmmün Hücre Metabolizması ve Proliferasyonuna Etkileri”"/>
        <s v="“Farklı Anatomik Bölgelerde Yerleşen Skuamöz Hücreli Karsinomların Dermoskopik Varyasyonları ve Tanısal İpuçlarının Değerlendirilmesi”"/>
        <s v="“Farklı Branşlardaki Erkek Sporcularda DXA ile Değerlendirilen Vücut Kompozisyonu İndekslerinin Karşılaştırılması”"/>
        <s v="“Farklı Büyük Dil Modellerinin Benign Larinks Patolojileri Hakkındaki Sorulara Verdiği Cevapların Doğruluklarının Araştırılması”"/>
        <s v="“Farklı Cinsteki Üriner Sistem Taşlarının Evriminin Cerrahi Bulgular ve Laboratuar Tetkikleri ile Araştırılması”"/>
        <s v="“Farklı Diş Macunları ve Er,Cr:YSGG Lazerin Süt Dişi Remineralizasyonuna Etkisi”"/>
        <s v="“Farklı Elektrikli Testere Sistemlerinin Cerrahi Verimlilik, Termal Etki ve Kullanıcı Deneyimi Açısından Kemik Modelinde Karşılaştırılması”"/>
        <s v="“Farklı Kök Kanal Doldurma Teknikleri ile Doldurulmuş Dişlerde Kanal Dolgusu Sökümü Sonrası Apikalden Taşmanın Değerlendirilmesi”"/>
        <s v="“Farklı Kök Kanal Dolgu Materyallerinin Devital Beyazlatma Sonrası Renk Stabilitesi ve Fraktür Direnci Üzerine Etkileri: Laboratuvar Çalışması”"/>
        <s v="“Farklı Kök Yüzeyi Kapatma Teknikleri Uygulanan Hasta Verilerinin Kök Kapanmasını Etkileyen Faktörler Açısından Değerlendirilmesi”"/>
        <s v="“Farklı Konsantrasyonlarda ve Taşıyıcılarla Hazırlanan Kalsiyum Hidroksitin Apikalden Taşma Miktarının İn Vitro Değerlendirilmesi”"/>
        <s v="“Farklı Materyaller ve Kalınlıklar ile Taklit Edilen Periodontal Ligamentin Kök Kanal Tedavili Dişlerde Kırılma Dayanımı Üzerindeki Etkisi: İn Vitro Çalışma”"/>
        <s v="“Farklı Miyeloid Neoplazilerde Tanı ve İzlemde İnflamasyon Parametreleri”"/>
        <s v="“Farklı Pektin-Protein Komplekslerinin in vitro Kolonik Fermentasyon Davranışlarının İncelenmesi: Distal Kolona Yönelik İngrediyen Tasarımı”"/>
        <s v="“Farklı Remineralize Edici Ajanların Diyot Lazer ile Beyazlatma Uygulama Sırasına Bağlı Yüzey Özelliklerine Etkisi”"/>
        <s v="“Fasiyal Reanimasyonda Yeni Bir Donör Sinir: Servikal Sinirin Topografik ve Mikroanatomik Özelliklerinin İncelenmesi, Kadavra Çalışması”"/>
        <s v="“Feminist Sosyal Hizmet Perspektifinden Engelli Kadınların Yaşantıları ve Aktivizm Deneyimleri”"/>
        <s v="“Femoral ve Karotis Plak Yükünün Uzun Dönem Takipte Aterosklerotik Vasküler Olaylar ile İlişkisinin Değerlendirilmesi”"/>
        <s v="“Femur Başı Avasküler Nekrozu Olan Hastalarda Tedavi Modalitelerinin ve Sağkalımın Retrospektif Olarak Değerlendirilmesi”"/>
        <s v="“Femur Başı Avasküler Nekrozunda Manyetik Rezonans Görüntüleme Temelli Edema Zone Sınıflamasının Klinik Sonuçlarla İlişkisinin Retrospektif Değerlendirilmesi”"/>
        <s v="“Fertil Yaş Grubunda Myomektomi Sonrası Gerçekleşen Gebeliklerin Myomektomi Zamanı ile Gebelik Zamanı Arasında Geçen Sürelerin ve Gebelik Sonuçlarının Retrospektif Olarak Araştırılması”"/>
        <s v="“Fertilite Koruyucu Tedavi Sonrası In Vitro Fertilizasyon Başarısını Etkileyen Faktörler: Endometrium Kanseri ve Endometrial Intraepitelyal Neoplazi Hastalarına Ait Retrospektif Veri Analizi”"/>
        <s v="&quot;Fertilite Koruyucu Tedavi Uygulanan Endometrium Kanseri ve Endometrial İntraepitelyal Neoplazi Tanılı Hastalarda Moleküler Sınıflandırmanın Prognoza Etkisi”"/>
        <s v="“Fertilite Koruyucu Tedavi Uygulanan Endometrium Kanseri ve Endometrial İntraepitelyal Neoplazi Tanılı Hastalarda Moleküler Sınıflandırmanın Prognoza Etkisi”"/>
        <s v="“Fetal Anemi Nedeniyle İntrauterin Kan Transfüzyonu Yapılan Bebeklerin Kısa ve Uzun Dönem Nörolojik Sonuçlarının Değerlendirmesi”"/>
        <s v="“Fetal Kardiyak Girişim Sonrası Fetal Hemodinamik Değişimler ve Perinatal Sonuçlar”"/>
        <s v="“Fetal Kardiyak Girişim Yapılan Fetuslarda Prenatal Dönemde Yapılan Ekstremite Dopplerlerinin Longitudinal İzlemi ve Perinatal Sonuçlarla İlişkisi”"/>
        <s v="“Fetal Üriner Sistem Anomalilerinin Prenatal Tanısı, Olguların Gebelik ve Neonatal Sonuçlarının Retrospektif Olarak İncelenmesi”"/>
        <s v="“Fibrodisplazi Ossifikans Progressiva Tanılı Hastaların Klinik ve Moleküler Özelliklerinin Gözden Geçirilmesi”"/>
        <s v="“Fibromiyalji Sendromu Olan ve Olmayan Bireylerde Trapezius ve Rektus Femoris Kaslarının Elastisitesinin Ultrasonografi ile Karşılaştırılması”"/>
        <s v="“Fibromiyalji Tanılı Hastalarda İstenilen Görüntüleme Yöntemleri ile Geçirilmiş Cerrahi Operasyonların Sıklığı&quot;"/>
        <s v="“Folikülitis Dekalvans Hastalarında Histopatolojik Bulgular ve Sistemik İnflamatuvar İndekslerin Refrakter Hastalık ile İlişkisinin Değerlendirilmesi”"/>
        <s v="“Fonksiyonel Nöbet ve Epilepsi Hastalarında Faillik ve Sahiplik Hissi Parametrelerinin Değerlendirilmesi, Epilepsi Hastalarında Fonksiyonel Nöbet Gelişimini Yordayan Etmenlerin İncelenmesi”"/>
        <s v="“Fonksiyonel Nöroendokrin Tümör Olgularının Retrospektif Değerlendirilmesi: Tek Merkez Deneyim”"/>
        <s v="“Fossa Vermiana’nın Morfolojik ve Morfometrik Olarak İncelenmesi”"/>
        <s v="“Futbolcularda Cinsiyete Göre Dengeyi Oluşturan Sensör Sistemlerin Karşılaştırması”"/>
        <s v="“Gastrektomi Cerrahisinde ERAS Protokolüne Uyumun Postoperatif Sonuçlara Etkisi”"/>
        <s v="“Gastrointestinal Sistem Cerrahisinde Eczacı İş Birliği ile İlaç Kullanımı Modeli Geliştirilmesi”"/>
        <s v="“Gastrointestinal Sistem İlişkili Ani Beklenmedik Ölümler: Retrospektif Otopsi Çalışması”"/>
        <s v="“Gaucher Disease Tanısında Tanı Yolculuğu: İlk Belirti ile Kesin Tanı Arasındaki Sürenin Retrospektif Değerlendirilmesi”"/>
        <s v="“Gebelerin ve Postpartum ilk 6 Aydaki Annelerin Topuk Kanı Taraması Hakkındaki Düşünceleri: Kalitatif Çalışma”"/>
        <s v="“Gebelikte Boğmaca Aşısının Uygulanma Haftası ile Doğumda Kord Kanında Anti-PT ve Anti-FHA IgG Düzeylerinin Karşılaştırılması: Prospektif Gözlemsel Çalışma”"/>
        <s v="“Gebelikte Uterin Myomların Maternal ve Perinatal Sonuçlara Etkisi: Tek Merkezli Retrospektif Analiz”"/>
        <s v="“Geç Preterm Gebeliklerde Antenatal Kortikosteroid Uygulamasının Neonatal Hipoglisemi ve Klinik Sonuçlara Etkisi”"/>
        <s v="“Gecikmiş Kord Klemplenmesinin Erken Dönem Yenidoğan Komplikasyonları Üzerine Etkisinin Değerlendirilmesi”"/>
        <s v="“Geçirilmiş Oral Cerrahi İşlemlerin Hastaların Dental Anksiyete ve Ağrı Üzerine Etkisinin Değerlendirilmesi”"/>
        <s v="“Geçişin Anatomisi: Pediyatrik Başlangıçlı Epilepsi Hastalarının Yetişkin Döneminde Bilmemiz Gerekenler”"/>
        <s v="“Gelişimsel Açıdan Riskli Çocuklarda 4–6 Yaş Arasında Öğrenme Güçlüğü Belirtilerinin Taranması ve Risk Etkenleriyle İlişkisinin Belirlenmesi”"/>
        <s v="“Genç Cimnastikçilerde Bilateral ve Unilateral Ön-Kondisyonlanma Uygulamalarının Ekstremiteler Arası Asimetriye Etkisi ve Olgunlaşma Düzeyine Göre Değişimi&quot;"/>
        <s v="“Genç Yetişkin Erkeklerde Cinsiyet Rolü Gerilimi ve Problemli Kumar Oynama”"/>
        <s v="“Genel Pediatri Servislerine Yatan Hastalarda Malnütrisyonun Sıklığının Belirlenmesi ve Malnütrisyonu Olan Hastalarda Kas Kütlesi ile Cilt Altı Yağ Dokusu Kalınlığının Ultrasonografik Olarak Değerlendirilmesi”"/>
        <s v="“Gerçek Yaşam Verileriyle Romatoid Artritli Hastalarda Hedefe Yönelik Tedavi Zamanlaması ve Diz-Kalça Protez Cerrahisi İlişkisi”"/>
        <s v="“Geri Dönüşümsüz Pulpitislerde Makrofaj Polarizasyonunun İncelenmesi”"/>
        <s v="“Geriatri Eğitimi, Uzmanlık Alanı ve Sosyo-Demografik Faktörlerin Geriatrik Hasta Yaklaşımına Etkisi:Türkiye'deki Uzman Doktorlar Arasında Çok Yönlü Bir Analiz”"/>
        <s v="“Geriatri Hastalarında Oral Frailitenin Değerlendirilmesi, Oral Frailitenin Diğer Geriatrik Sendromlarla İlişkisinin Gösterilmesi”"/>
        <s v="“Geriatri Hekimlerinin Reçeteleme Kaskadı Hakkında Farkındalığı ve Yönetim Yaklaşımlarının Değerlendirilmesi: Ulusal Düzeyde Bir Çalışma”"/>
        <s v="“Geriatri Polikliniği Hastalarında Farklı Kırılganlık İndekslerinin Tüm Nedenlere Bağlı Mortaliteyi Öngörme Etkilerinin Karşılaştırılması”"/>
        <s v="“Geriatri Polikliniğine Başvuran Hastalarda Dil Kas Kuvveti Ölçümleri ile Disfaji Öyküsü ve Kapsamlı Geriatrik Değerlendirme Parametreleri Arasındaki İlişkinin İncelenmesi”"/>
        <s v="“Geriatri Polikliniğine Başvuran Hastalarda Malnütrisyon ve Kırılganlığın Tüm Nedenlere Bağlı Mortalite ile İlişkisi”"/>
        <s v="“Geriatri Polikliniğine Başvuran Yaşlı Hastalarda C-Reaktif Protein Düzeyinin Tüm Nedenlere Bağlı Mortalite Üzerine Prognostik Etkisi: Tek Merkezli Retrospektif Kohort Çalışması”"/>
        <s v="“Geriatri Polikliniğine Başvuran Yaşlı Hastalarda C-Reaktif Protein Düzeyinin Uzun Dönem Mortalite ile İlişkisinin Değerlendirilmesi : Tek Merkezli Retrospektif Kohort Çalışması”"/>
        <s v="“Geriatri Popülasyonda eGFR Tahmin Denklemleri Arasındaki Uyumun ve Tahmin Hatalarına Etki Eden Faktörlerin Değerlendirilmesi”"/>
        <s v="“Geriatrik Gastrostomi Olgularında Mortalite ve Gastroskopi Komplikasyonlarını Öngeren Faktörlerin Retrospektif Analizi”"/>
        <s v="“Geriatrik Hastalarda Olası Sarkopeni Tespitinde Farklı Baldır Çevresi Ölçüm Yöntemlerinin Tanısal Doğruluk ve Üstünlük Karşılaştırması: Tek Merkezli Retrospektif Kesitsel Çalışma”"/>
        <s v="“Geriatrik Hastalarda Optik Sinir Kılıf Çapı Ölçümünün Kognitif Bozukluk Durumuna Göre Kapsamlı Geriatrik Değerlendirme Parametreleri ile İlişkisinin Değerlendirilmesi”"/>
        <s v="“Geriatrik Hastalarda Tam Kan Sayımı Bazlı İnflamatuar İndekslerin Kırılganlık ve Olası Sarkopeniyi Öngörmedeki Değeri: Klasik İnflamasyon Belirteçleriyle Karşılaştırmalı Bir Analiz”"/>
        <s v="“Geriatrik Hastalarda Telefon Bağımlılığının Geriatrik Sendromlarla İlişkisi”"/>
        <s v="“Geriatrik Hastalarda Yutma Yaşam Kalitesi Anketi ile Sarkopeni Arasındaki İlişki”"/>
        <s v="“Geriatrik Hastalardaki Kronik Pruritus ile Sarkopeni ve Frailty Arasındaki İlişkinin Değerlendirilmesi”"/>
        <s v="“Geriatrik Jinekolojik Hastalarda Cerrahi Morbiditenin İncelenmesi”"/>
        <s v="“Geriatrik Polikliniğe Başvuran Hastalarda İdrar Strip Testinin (Dipstick) Bakteriüri Tanısındaki Tanısal Doğruluğu ile Geriatrik Sendromlar İlişkisi: Kesitsel Bir Analiz”"/>
        <s v="“Geriatrik Popülasyonda Prurigo Nodülaris Hastalarında Etyolojik Faktörlerin Araştırılması”"/>
        <s v="“Geriatrik Popülasyonda Uykusuzluğu Ölçmeye Yönelik Bergen Uykusuzluk Ölçeğinin Türkçe Geçerlik ve Güvenirlik Çalışması”"/>
        <s v="“Geriatrik Sendromlar ile Aterojenik İndeks ve Trigliserit Glukoz İndeks İlişkisinin Değerlendirilmesi”"/>
        <s v="“Geriatrik Sendromlar ile Hareket Analizi Ölçümlerinin İlişkisinin İncelenmesi”"/>
        <s v="“Geriatrik Sendromlarla C Reaktif-Albumin-Lenfosit İndeksinin İlişkisinin İncelenmesi”"/>
        <s v="“Geriatrik Serviste Yatan Hastalarda Glisemik Değişkenlik ile Beslenme Yaklaşımları, Geriatrik Sendromlar ve Basınç Yaralanmaları Arasındaki İlişkinin Prospektif Gözlemsel İncelenmesi”"/>
        <s v="“Geriatrik Yaş Grubunda Quick Mild Cognitive İmpairment (QMCI) Test Bileşenlerinin Makine Öğrenmesi Modellerinde Kullanımı”"/>
        <s v="“Geriatrik Yaş Grubunda Quick Mild Cognitive Impairment (Qmci) Test Skorlarındaki İzlemdeki Değişimler ve Bilişsel Gerileme Hızının Belirleyicileri”"/>
        <s v="“Gıda Sağlığı ile İlgili Olan Profesyonellerin Gıda İnfodemisi Hakkındaki Görüş ve Deneyimleri: Niteliksel Bir Çalışma”"/>
        <s v="“Gıdalarda Doymuş Yağ İkamesi Olarak Kullanılmak Üzere Fiziksel ve Kimyasal Stabilitesi Yüksek Ayçiçek Yağı Bazlı Oleojel Üretimi”"/>
        <s v="“Glenohumeral Osteoartriti Olan Hastalarda 88 mg Orta Derecede Çapraz Bağlı Viskoelastik Sodyum Hyaluronik Asit Enjeksiyonunun Ağrı ve Fonksiyonel Sonuçlar Üzerine Etkisi: Retrospektif Bir Analiz”"/>
        <s v="“Glioblastoma Multiforme Hastalarında Venöz Tromboembolizm ve Hidrosefali Risk Faktörlerinin Anlaşılması ve Rekürren Cerrahi Sonrası Komplikasyonların Belirlenmesi”"/>
        <s v="“Glomerulonefritlerin Gebelik Süreci, Maternal ve Fetal Sonlanıma Etkisi”"/>
        <s v="“GLP-1 Reseptörü Genetik Polimorfizmleri ile Sigara Bağımlılığı ve Sigara Bırakma Tedavilerinin Başarısı Arasındaki İlişkisinin İncelenmesi”"/>
        <s v="“Glutatyon S Transferaz P1 Enziminin Triple-Negatif Meme Kanser Hücrelerinde Ferroptoz Üzerindeki Rolünün İncelenmesi”"/>
        <s v="“Glutensiz Beslenme Nedenleri ve Glutensiz Beslenmeye Dair Bilgi Düzeyi İlişkisi: Kesitsel Çalışma”"/>
        <s v="“Göğüs Hastalıkları Hekimlerinin Kistik Fibrozis Transmembran Düzenleyici (KFTR) Modülatör Tedaviler-İlaç Etkileşimleri Hakkında Bilgi ve Tutumlarının Değerlendirilmesi&quot;"/>
        <s v="“Gonadotropin Salgılatıcı Hormon (GnRH) Agonist Tetiklemesi Uygulanan In-Vitro Fertilizasyon (IVF) Sikluslarında Oosit Verimi ve Oosit Maturasyonunu Belirleyen Faktörler”"/>
        <s v="“Gonadotropin Salgılatıcı Hormon Analoglarının Endometriyal İntraepitelyal Neoplazi ve Erken Evre Endometrium Kanserinde Fertilite Koruyucu Tedaviye Etkisi”"/>
        <s v="“Gordon Sendromu Tanılı Bir Çocukta Saptanan Yeni WNK1 Varyantının Aile İçi Hastalıkla Segregasyonunun Araştırılması”"/>
        <s v="“Gözyaşında Alkol ve Metabolitlerinin Diğer Vücut Sıvıları ile Karşılaştırmalı Analizi ve Adli Tıbbi Değerlendirilmesi”"/>
        <s v="“GPT-4 ile Patoloji Raporlarında Veri Analizi”"/>
        <s v="“Graves Hastalarında Beslenme Alışkanlıkları ve Vücut Kompozisyonunun İncelenmesi”"/>
        <s v="“Griscelli Sendromu Tanısı Alan Hastaların Klinik ve Laboratuvar Özelliklerinin Değerelnedirilmesi”"/>
        <s v="“Griscelli Sendromu Tip 2 Gen Tedavisinin İn Vivo Fonksiyonel Değerlendirilmesi”"/>
        <s v="“Guillain Barre Sendromu ile Uyumlu Elektrofizyolojik Bulguları Olan Pediatrik Hastalarda Kompleman CD59 Eksikliği”"/>
        <s v="“Gümüş Nanopartikül İçeren İrrigasyon ve Aktivasyon Tekniklerinin Dentin Mikrosertliği ve Tübül Penetrasyonu Üzerine Etkisi”"/>
        <s v="“Güncel Üniversal Kompozit Rezinlerin Polimerizasyon Büzülmesi ve Mikrosızıntı Açısından Karşılaştırılması”"/>
        <s v="“Güncel Vestibüler Hastalıkların Tanısında Vestibüler Test Bataryaları ve Vestibüler Rehabilitasyon Yaklaşımlarının Belirlenmesi”"/>
        <s v="“Hacettepe Gebe Okulu’nda Eğitim Alan Gebelerin Maternal, Fetal ve Obstetrik Sonuçlarının Prospektif Olarak Değerlendirilmesi”"/>
        <s v="“Hacettepe Tıp Fakültesi Genel Dahiliye Bilim Dalı ve Aile Hekimliği Anabilim Dalı Polikliniklerine Başvuran Hastalarda Periyodik Sağlık Kontrolüne İlişkin Bilgi, Tutum ve Davranışların Değerlendirilmesi”"/>
        <s v="“Hacettepe Üniversitesi Diş Hekimliği Dönem 3, 4 ve 5 Öğrencilerinde Odontojenik ve Non-Odontojenik Orofasiyal Ağrının Ayırıcı Tanısına Yönelik Klinik Akıl Yürütme ve Farkındalık Düzeyinin Değerlendirilmesi”"/>
        <s v="“Hacettepe Üniversitesi Diş Hekimliği Fakültesi Dönem 3 Diş Hekimliği Öğrencilerinde Lokal Anesteziye İlişkin Bilgi, Kaygı ve Hazır Oluşun Değerlendirilmesi”"/>
        <s v="“Hacettepe Üniversitesi Diş Hekimliği Fakültesinde Ultrasonografi Tetkiki Yapılan Bireylerde Bulguların Retrospektif Olarak İncelenmesi”"/>
        <s v="“Hacettepe Üniversitesi Erişkin Hastanesi İç Hastalıkları Servislerinde İstem Dışı Kilo Kaybı Nedeni ile Yatırılmış Hastalarda Tetkik Süreçlerinin ve Etiyoloji Dağılımlarının Retrospektif İncelenmesi”"/>
        <s v="“Hacettepe Üniversitesi Genel Dahiliye Polikliniğine Başvuran 40-65 Yaş Arası Bireylerde Kardiyovasküler Riskin Değerlendirilmesi ve Risk Farkındalığının İncelenmesi”"/>
        <s v="“Hacettepe Üniversitesi Hastanesi Ameliyathanesinde Çalışan Cerrahlarda Kas İskelet Sistemi Problemlerinin Tespiti&quot;"/>
        <s v="“Hacettepe Üniversitesi Hastanesinde Solid Tümörlü Kanser Hastalarının Tedaviye Ulaşmak İçin Geçirdikleri Sürenin ve Zaman Toksisitesinin Değerlendirilmesi”"/>
        <s v="“Hacettepe Üniversitesi Tıp Fakültesi Dudak Damak Yarığı ve Kraniyomaksiller Şekil Bozukluğu Tedavi Uygulama ve Araştırma Merkezi’ne Başvuran Hastaların Demografik ve Klinik Özelliklerinin Deskriptif Değerlendirilmesi&quot;"/>
        <s v="“Hacettepe Üniversitesi Tıp Fakültesi Genel Dahiliye Bilim Dalı Polikliniklerine Başvuran Diyabet, Hipertansiyon ve Hiperlipidemi Hastalarında İlaç Uyumunun Değerlendirilmesi”"/>
        <s v="“Hacettepe Üniversitesi Tıp Fakültesi Hastanesinde Görev Yapan Asistan Hekimlerin Doğal Afet Farkındalığı ve Afetlere Hazırlık Düzeylerinin Değerlendirilmesi ”"/>
        <s v="“Hacettepe Üniversitesi Tıp Fakültesi Öğrencilerinin Geriatri Eğitim ve İlgi Düzeylerinin Değerlendirilmesi”"/>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s v="“Hacettepe Ünı̇versı̇tesı̇ Çocuk Kardı̇yolojı̇ Bı̇lı̇m Dalı'nda 2005-2026 Yılları Arasında Hipertrofik Kardiyomiyopati Tanısı ile İzlenilen Hastaların Değerlendı̇rı̇lmesı̇”"/>
        <s v="“Hastalarda Var Olan Uyku Bozukluklarının Diş Çekimi Sonrası Rahatsızlıklara Olan Etkisinin İncelenmesi”"/>
        <s v="“Hastane Yatışının Adolesanlarda Ekran Kullanımı Üzerine Etkisi”"/>
        <s v="“Hastanede Oral ve Enteral Nütrisyon Ürünlerinin Erişilebilirliği ve Reçeleme Pratikleri: Retrospektif Gözlemsel Çalışma”"/>
        <s v="“Hastanede Yatan 65 Yaş ve Üstü Bireylerde Sosyal Kırılganlığın Değerlendirilmesi ve Geriatrik Sendromlarla İlişkisi”"/>
        <s v="“Hastanede Yatan Basınç Yaralanması Olan Hastaların Antimikrobiyal Tedavilerinin İncelenmesi”"/>
        <s v="“Hastanede Yatan Geriatrik Hastalarda Kısaltılmış Bilişsel Test (AMT-10 ve AMT-7) Versiyonlarının Türkçe Geçerlik ve Güvenirlik Çalışması”"/>
        <s v="“Hastanede Yatan ve Nütrisyon Tedavisi alan Hastalarda Aspirasyon Pnömonisi ile İlişkili Faktörler: Retrospektif Kohort Çalışması”"/>
        <s v="“Hastaneye Yatan Ergenlerde Hastalıkların Siberkondri Üzerindeki Etkisi”"/>
        <s v="“Hava Kirliliğine Mesleki Maruziyetin Oküler Yüzey Sağlığına Etkisi: Ankara'da Partikül Madde Düzeyleri ile İlişkilendirilmiş Açık Alan ve Ofis Çalışanlarında Gözyaşı İnflamatuar Sitokinlerinin Karşılaştırılması”"/>
        <s v="“Hemodiyaliz Sırasında Gelişen İntradialitik Hipotansiyonun Klinik ve Hemodinamik Belirteçlerle İlişkisinin Retrospektif İncelenmesi”"/>
        <s v="“Hemodiyaliz Sürecinde Mikroplastik Varlığının ve Maruziyet Düzeyinin Değerlendirilmesi”"/>
        <s v="“Hemofili A ve B Hastalarında Tek Merkez Cerrahi Deneyimi”"/>
        <s v="“Hemoptizi Sebebiyle Fleksible Fiberoptik Bronkoskopi Yaptiğimiz Çocuk Hastalarımızın Retrospektif Değerlendirilmesi”"/>
        <s v="“Hemoroidektomi Sonrası Kanama ve Belirleyici Faktorlerin Degerlendirilmesi: Tek Merkezli Retrospektif Analiz”"/>
        <s v="“Hemşirelerin Bütünsel Sağlık, Duygusal Emek, Şefkat Yorgunluğu ve İş Doyumu Arasındaki İlişkiler: Yol Analizi”"/>
        <s v="“Hepatik Arterden İnfüzyon Kemoterapisinin Merkezimizdeki Teknik Başarı, Yaşam Süresine Etkisi, Komplikasyonları ve Mortalite ile Morbiditesi”"/>
        <s v="“Hepatik Steatozun ve Fibrozisin Derecesi ile İşitsel ve Denge Fonksiyonları Arasındaki İlişkinin İncelenmesi”"/>
        <s v="“Hepatosellüler Karsinom Tanılı Hastalarda Küratif Tedavi Al(a)mamasına Rağmen Uzun Süre Sağkalım Sağlanabilmiş Hastaların Klinik Özellikleri”"/>
        <s v="“Herediter Anjioödem Hastalarının Hastalık Farkındalığı ve Karşılanmamış İhtiyaçların Değerlendirilmesi ”"/>
        <s v="&quot;Herediter Anjioödem Tanılı Hastalarda Dental İşlemlerin Klinik Sonuçları&quot;"/>
        <s v="“Herediter Anjioödemde Cascade Aile Taraması: Türkiye'den Tek Merkez Deneyimi”"/>
        <s v="“Herediter Miyelin Hastalıklarında Periferik Sinir Sistemi Tutulumunun Elektrofizyolojik Özellikleri”"/>
        <s v="“Heterozigot FMF Hastalarının Tedavi Kesildikten Sonraki İzleminin Değerlendirilmesi”"/>
        <s v="“Hiperinflamatuvar Hastalıklarda Prognozun Öngörülmesinde Endotel Fonksiyon Belirteçlerinin Rolü”"/>
        <s v="“Hipertansif Hasta Popülasyonunda Lokal Anestezi Altında Diş Çekiminin Hemodinamik Değerler Üzerine Etkisinin Değerlendirilmesi”"/>
        <s v="“Hipertansiyon Tedavisine İlişkin YouTube Videolarının DISCERN Kriterleriyle Değerlendirilmesinde Manuel ve Yapay Zekâ Değerlendiricileri Arasındaki Uyum”"/>
        <s v="“Hipertrofik Kardiyomiyopati Hastalarında Ventriküler Taşikardi Ablasyonunun Etkinliği ve Sonuçları”"/>
        <s v="“Hipertrofik Kardiyomiyopati Tanılı Hastalarda Atriyal Fibrilasyon Ablasyonu Sonrası Klinik Sonlanımlar”"/>
        <s v="“Hipokampal Sklerozlu Mezial Temporal Lob Epilepsisinde Skalp EEG’de İktal Yayılım Özelliklerinin Cerrahi Sonrası Prognozu Öngörmede Rolü: Retrospektif Bir Analiz”"/>
        <s v="“Hipopitüitarizmli Erişkin Hastalarda Morbidite ve Mortaliteyi Etkileyen Faktörler: Retrospektif Değerlendirme”"/>
        <s v="“Hipospadias Onarımında Ekzantrik Sirkummeatal Bazlı Flep Tekniği ve Sonuçları”"/>
        <s v="“Histereskopik İşlemlerde Prosedürel Sedasyon Uygulanmasında Hedef Kontrollü İnfüzyon ile Eleveld ve Schnıder Modelin Etkinlik Karşılaştırılması”"/>
        <s v="“Histerosalpingografide Uterin Kavite Ölçümlerine Dayalı Uterus Morfometrisinin IVF/Embriyo Transfer Başarısı ile İlişkisinin Değerlendirilmesi”"/>
        <s v="“HIV ile Yaşayan Bireylerde Periferik Sinir Sistemi Tutulumu”"/>
        <s v="“HIV ile Yaşayan Kişilerde HIV Viral Yükün ve İmmünolojik Parametrelerin Quantiferon-TB Gold Plus Testi Sonucuna Etkisi”"/>
        <s v="“Hizmet Alanların Gözünden Boşluk Modeline Dayalı Olarak Hemşirelik Mesleğinin İmajının İncelenmesi: Nöropazarlama Analizi”"/>
        <s v="“Hız Temelli Antrenmanın Aktivasyon Sonrası Performans Artışına Etkisinin Sirkadiyen Ritme göre İncelenmesi”"/>
        <s v="“Hormon Replasman Tedavisi ile Hazırlanan Donmuş Embriyo Transferi Sikluslarında Progesteron Uygulaması Öncesi Serum Östradiol Düzeylerinin Üreme Sonuçlarına Etkisi”"/>
        <s v="&quot;Hospitalize Edilen Kanser Hastalarında Mortaliteye ve Hastanede Yeniden Yatışa Etki Eden Klinik Faktörlerin İncelenmesi&quot;"/>
        <s v="“HPV Aşısının Sosyal Medyadaki İnfodemisi: Nitel Çalışma”"/>
        <s v="“HPV Pozitif Kadınlarda Medikal Tedavinin HPV DNA Klirensi Üzerine Etkisi”"/>
        <s v="“Hücresizleştirilmiş İnsan Amniyotik Membran Temelli Küçük Çaplı Vasküler Greft Geliştirilmesi ve Cerrahi Anastomoz Uygulamalarında Değerlendirilmesi”"/>
        <s v="“Human Papilloma Virus Aşısı Uygulanan Kadınlarda Serum Anti-Müllerian Hormon Düzeylerindeki Değişimin Değerlendirilmesi”"/>
        <s v="“Humerus Şaft Kırıklarının Retrospektif Analizi ve Tedavi Sonuçları”"/>
        <s v="“Humerus Suprakondiler Proses ve Struthers Ligaman Varlığının Klinik ve Radyolojik Karakteristikleri: Retrospektif Bir Arşiv Taraması”"/>
        <s v="“Humerus'un Proksimal Kısmının Morfometrik Özelliklerinin Değerlendirilmesi ve Klinik Önemi&quot;"/>
        <s v="“Hyalüronik Asit, ß-Glukan, Centella Asiatica, Coriolus Versicolor, Neem, BioEcolia®, Aloe Vera İçeren Doğal İçerikli Vajinal Jel Papilocare® Kullanımının HPV Pozitif Kadınlarda Viral Klirense Etkisinin Retrospektif Olarak Araştırılması”"/>
        <s v="“İç Hastalıkları Servislerinde İntravenöz Diüretik Tedavisi Amacıyla Yatan Hipervolemik Hastaların Diüretik Doz Etkinliğinin İdrar Sodyumu İle Değerlendirilmesi”"/>
        <s v="“İç Hastalıkları Servislerinde Yatan 65 Yaş ve Üstü Hastaların Yatış anında Kullandığı İlaçlar ve Taburculuk Reçetelerinin Beers (2023), Stopp/Start V3, TIME (2020) Kriterlerine Göre İncelenmesi”"/>
        <s v="“İç Hastalıkları Servislerinde Yatan ve Eksizyonel Lenf Nodu Biyopsisi Yapılan Hastaların Klinik, Laboratuvar ve Radyolojik Görüntülemelerinin Tanı Süreci ile İlişkili Analizi ve Prediktörlerin Belirlenmesi”"/>
        <s v="“İç Hastalıkları Uzmanları ve Araştırma Görevlilerinde Obezite Farkındalığı ve Bilgi Düzeyi ile Eğitim İhtiyacının Belirlenmesi”"/>
        <s v="“İç Hastalıkları Yoğun Bakım Ünitesinde İzlenen Hastaların Retrospektif Değerlendirilmesi”"/>
        <s v="“ICIQ-FLUTS ve ICIQ-MLUTS Skorlarının Ürodinamik Tanılarla İlişkisi: Retrospektif Bir Analiz”"/>
        <s v="“IDH Mutant Düşük Gradeli Gliomların Cerrahi Tedavisi Sonrasıda Kullanılan Adjuvan Tedavi Modalitelirinin Karşılaştırılması”"/>
        <s v="“İdiopatik İzole Ekstrakraniyal İnternal Karotis Arter Vazospazmında Tedavi Seçenekleri ve Prognoza Etkileri”"/>
        <s v="“İdiopatik Pulmoner Fibrozisin Akut Alevlenmeleri için Hidrojen Sülfür Tedavisinin Etkilerinin Değerlendirilmesi&quot;"/>
        <s v="“İdiyopatik Jeneralize Epilepsi Hastalarında Beyin Atrofisi: Zamanla Artar Mı ve Nöro-Psikiyatrik Testlerle İlişkili mi?”"/>
        <s v="“İdiyopatik Jeneralize Epilepside Klinik ve Tanısal Özelliklerin Saptanması ve Tedavi Sonuçlarıyla İlişkisinin Retrospektif Olarak Değerlendirilmesi”"/>
        <s v="“İdrar Kaçıran Kadınlarda Yapay Zeka Yardımlı Görüntüleme Analizi ile Tanı Süreçlerinin Geliştirilmesi”"/>
        <s v="“IgA Nefropatisi Oxford (MEST-C) Skorlamasında Dil Modeli Çıktılarının Patolog Değerlendirmeleriyle Karşılaştırılması ve Standardizasyona Yönelik Potansiyelinin Araştırılması”"/>
        <s v="“IgE Aracılı Kabak Çekirdeği Alerjisinin Moleküler Karakterizasyonu”"/>
        <s v="“IgE Aracılı ve IgE Aracılı Olmayan Besin Alerjilerinde Kodlamayan RNAların Rolünün ve Bağırsak Mikrobiyatası ile İlişkisinin Belirlenmesi”"/>
        <s v="“İkili Seçim Deneyi Yöntemi Kullanılarak 60 yaş üstü Bireylerin RSV Aşısı ile Aşılanma Davranışına Etki Edebilecek Faktörlerin Değerlendirilmesi”"/>
        <s v="&quot;IKZF1 Gen Varyantı Saptanan Primer İmmün Yetmezlik Hastalarının Demografik, Klinik ve Laboratuvar Özelliklerinin Değerlendirilmesi&quot;"/>
        <s v="“IL-1 İnhibitörü Tedavisi ve Kolşisin Tedavisi Alan Ailevi Akdeniz Ateşi Hastalarında Kemik Dönüşüm Belirteçlerinin Karşılaştırılması”"/>
        <s v="“IL-23 İnhibitörü Kullanan Hastalarda Üçüncü Ay Yanıtlarının Birinci Yıl Yanıtlarıyla Korelasyonu”"/>
        <s v="“İlaca Dirençli Ekstratemporal Lob Epilepsisi Cerrahisi Geçiren Hastalarda Cerrahi Sonuçlar ve Prognozu Etkileyen Faktörlerin Retrospektif Analizi”"/>
        <s v="“İlaca Dirençli Epilepside MikroRNA İfade Değişikliklerinin Değerlendirilmesi”"/>
        <s v="“İlaca Dirençli Epilepsisi Olan Erişkin Hastalarda Korpus Kallozotominin Uzun Dönem Sonuçları”"/>
        <s v="“İlaca Dirençli Fokal Epilepsili Çocuklarda İktal Otonomik Bulguların Değerlendirilmesi”"/>
        <s v="“İleri Blefaropitoz Olgularında Yeni Bir Cerrahi Yaklaşım: Kontralateral Corrugatör Supercilii Kas Transpozisyonu ve Topografik-Mikroskopik Analizi”"/>
        <s v="“İleri Derecede Kemik Kaybı Olan Lezyonlarda Oral Protozoa Varlığının Değerlendirilmesi”"/>
        <s v="“İleri Evre Over Kanserinde Pelvik Sitoredüksiyon için Pelvik Peritonektomi Yapılan Hastalar ile Rektosigmoid Rezeksiyon Yapılan Hastalar Arasındaki Pelvik Nüks ve Sağ Kalım Oranlarının Karşılaştırılması”"/>
        <s v="&quot;İleri Yaşlı Bireylerde Trombosit Lenfosit Oranı ile Disfaji Arasındaki İlişki”"/>
        <s v="“İmmün Kontrol Noktası İnhibitörü Alan Kanser Hastalarında Vücut Kompozisyonu, Psikososyal Faktörler ve İlaç İlişkili Sorunların Klinik Seyirle İlişkisinin Değerlendirilmesi”"/>
        <s v="“İmmün Trombositopeni Hastalarında Splenektomi Başarısızlığı Olan Olguların Klinik Özellikleri”"/>
        <s v="“İmmün Trombositopeni Hastalarında Splenektomi ile Alternatif Tedaviler Arasında Tedavi Etkinliği ve Trombositk Olay Sıklığının Karşılaştırılması”"/>
        <s v="“İmmün Trombositopenili Hastalarda Birinci Basamak Tedavilerin Retrospektif Kıyaslanması”"/>
        <s v="“İmmunoglobulin-E Aracılı Besin Alerjisi Tanılı Hastalarda Besin Yükleme Testinde Pozitif Reaksiyon Gelişen Eşik Değeri Öngörmek Amacıyla Kullanılabilecek Faktörlerin Belirlenmesi”"/>
        <s v="“İmmünoterapi Alan Hastalarda İmmün Yan Etki Gelişimini Predikte Eden Klinik ve Genetik Belirteçler”"/>
        <s v="&quot;İmmünoterapi Alan Hastalarda Serum Vitamin D Düzeylerinin Prognostik Önemi &quot;"/>
        <s v="&quot;İmmünoterapi ile Tedavi Edilen Kanser Hastalarında Tedavi Öncesi Serbest T3/T4 Oranı ile Sağkalım İlişkisi”"/>
        <s v="“İmmünoterapilere Bağlı Endokrin Yan Etkiler ve Endokrinolojiye Yönlendirme Pratiklerinin Değerlendirilmesi”"/>
        <s v="“İmmünoterapiye Bağlı Tiroidit Gelişiminde KIR ve HLA Genetik Profillerinin Rolü”"/>
        <s v="“İmmünsüpresif Tedavi Öncesi HBV Serolojik Durumuna Göre Alınan Klinik Kararların ve Antiviral Kullanımının Uluslararası ve Ulusal Rehberlerle Uyumu: Tek Merkez Gerçek Yaşam Verilerinin Analizi”"/>
        <s v="“İn Vitro Fertilizasyon Tedavisi Öncesi Elastoscan (Shear Wave Elastografi) ile Uterusun Prospektif Olarak Değerlendirmesi ve Gebelik Sonuçları ile İlişkisinin İncelenmesi”"/>
        <s v="“İndüklenmiş Pluripotent Kök Hücrelerden Astrosit Farklılaştırılması ve Stres Uyaranları ile ECM Değişimlerinin İncelenerek Patolojilerin Modellenmesi”"/>
        <s v="“İnek Sütü Alerjisi Olan Çocuklarda Serum Albümin Duyarlılığı ve Sığır Eti Alerjisi Birlikteliğinin Değerlendirilmesi”"/>
        <s v="“İnen Aortanın Anatomik Pozisyonunun Diffüz İdiyopatik Skeletal Hiperostoza (DISH) Bağlı Osteoproliferatif Değişikliklerin Lokalizasyonu Üzerine Etkisi”"/>
        <s v="“İnfertil Göçmen Kadınların Aile Yaşantılarının Sosyal Hizmet Perspektifiyle İncelenmesi”"/>
        <s v="“İnfertilite Nedeniyle Yapılan İn Vitro Fertilizasyon (IVF) Tedavisinin İdrar Steroid Profiline Etkisi”"/>
        <s v="“İnfertilitenin Psikolojik Yükü: İnfertilite Tedavisi Gören Kadınlarda Beck Umutsuzluk Ölçeği ile Umutsuzluk Düzeyinin Değerlendirilmesi”"/>
        <s v="“İnflamatuar Bağırsak Hastalığında Sarkopeni Değerlendirmesinde Optimal Yönteminin Belirlenmesi ve Nütrisyonel Değerlendirme”"/>
        <s v="“İnflamatuar Bağırsak Hastalıklarında Kullanılan Biyolojik Ajanlarda Tedavi Persistensinin Değerlendirilmesi ”"/>
        <s v="“İnflamatuar Barsak Hastalıklarında Komplikasyon ve Tedavi Direncinin Retrospektif Veriler Üzerinden Büyük Dil Modeli (LLM) ile Değerlendirilmesi”"/>
        <s v="“İnme Hastalarında Kardiyak Risk Faktörleri: Sol Atriyum Morfolojisi, Koroner Kalsifikasyon Skoru ve Mitral Kazeöz Kalsifikasyonun Kardiyak Bilgisayarlı Tomografi ile Değerlendirilmesi”"/>
        <s v="“İnsan Göbek Kordonu Temelli Yapay Timüs Organoidlerinin Geliştirilmesi ve Karakterize Edilmesi”"/>
        <s v="“İnsan Hareketinin Biyomekanik Analizi İçin Bilgisayar Benzeşim Modeli Geliştirilmesi”"/>
        <s v="“İnsan İmmün Yetmezlik Virüsü (HIV) ile Yaşayan 40 Yaş Üstü Bireylerde 7 Yıllık İzlemde Kırılganlık ve Sarkopeni Değişimi: 2018 Hacettepe Kohortunun Prospektif Yeniden Değerlendirilmesi”"/>
        <s v="“İnsan İntestinal Adenokanser Hücrelerinde Transforming Growth Faktör Beta ile İndüklenen Epitel Mezenkim Geçişinin Reseptör Endositozu ile İlişkisinin Değerlendirilmesi”"/>
        <s v="“İnsanlarda Oküler Glenfatik Sistemin ve Optik Sinirin Manyetik Rezonans Görüntüleme ile Değerlendirilmesi”"/>
        <s v="“İnterstisyel Akciğer Hastalığı Tanılı Hastalarda Uyku Solunum Bozukluklarının Kapsamlı Analizi”"/>
        <s v="“İntihar Davranışı Ayrımı: Ası Vakalarında Proteomik Analiz ve İmmünflöresan İnceleme ile Nörobiyolojik Belirteç Belirlenmesi”"/>
        <s v="“İntra Uterin İnseminasyon Tedavisi Öncesi Elastoscan (Shear Wave Elastografi) ile Uterusun Prospektif Olarak Değerlendirmesi ve Gebelik Sonuçları ile İlişkisinin İncelenmesi”"/>
        <s v="“İntrakardiyak Ekokardiyografi Eşliğinde Aynı Seansta Atriyal Fibrilasyon Ablasyonu ve Sol Atriyal Apendiks Kapama Uygulanan Hastaların Klinik ve Prosedürel Sonuçlarının Değerlendirilmesi”"/>
        <s v="“İntrakraniyal Kitle Tanılı Erişkin Hastalarda Preoperatif ve Postoperatif Dönemde Disfaji Varlığının Gugging Swallowing Screen (GUSS) ve Functional Oral Intake Scale (FOIS) Ölçekleri ile Değerlendirilmesi: Prospektif Gözlemsel Çalışma”"/>
        <s v="&quot;İntraoküler Retinoblastomun Geç Nükslerinin Retrospektif Olarak Değerlendirilmesi&quot;"/>
        <s v="“İntrauterin Over Torsiyonunda Cerrahi Yaklaşımın Over Dokusu Üzerine Etkisi: Detorsiyon Sonrası Over Kanlanması ve Ooferektomi Materyallerinin Patolojik Değerlendirilmesi”"/>
        <s v="“İntravitreal Deksametazon İmplantasyonu Sonrası Gelişen Oküler Komplikasyonların Değerlendirilmesi”"/>
        <s v="“İntravitreal Enjeksiyon Yapılan Yaşa Bağlı Makula Dejenerasyonuna Sahip Olan Hastalarda Non Kontakt Speküler Konfokal Mikroskopi İle Korneal Parametrelerin Değerlendirilmesi”"/>
        <s v="“İnvajinasyon ve Bağırsak Obstrüksiyonu Tanısı Alan Primer İmmün Yetmezlikli Hastaların Klinik ve Laboratuvar Özelliklerinin Değerlendirilmesi”"/>
        <s v="“İnvaziv Lobüler Meme Kanserinde Pozitron Emisyon Tomografisi / Bilgisayarlı Tomografi Görüntüleme Yöntemi ile Hastalık Heterojenitesinin Değerlendirmesi”"/>
        <s v="“İnvaziv ve Skalp EEG'de Temporal Lob Epilepsilerinde REM ve NREM Desarjlarının Lateralizan Değeri”"/>
        <s v="“IRF4 Düzenlenmesi Gösteren Büyük B Hücreli Lenfoma: Yedi Olgunun Klinik, Morfolojik ve Moleküler Özellikleri”"/>
        <s v="“İşitme Kaybı Olan Hastalarda Hipopigmentasyon Bozukluklarının İncelenmesi”"/>
        <s v="“İşitme Kayıplı Hastalarda Multidisipliner İmplant Konseyi Kararları ile ChatGPT Yanıtlarının Karşılaştırılması”"/>
        <s v="“İşitsel Beyinsapı İmplantasyonu Sonrası Revizyon Cerrahisi Geçirmiş Olgularda Revizyon Nedenlerinin İncelenmesi”"/>
        <s v="&quot;İşitsel Üçlü Sessiz Harf Sıralaması Testi’nin Hafif Bilişsel Bozukluk ve Alzheimer Hastalarında Psikometrik Özelliklerinin Belirlenmesi: Ayırtedicilik, Geçerlik ve Güvenirlik Çalışması”"/>
        <s v="“İskelet Displazili Çocuklarda Geçici Hemiepifizyodez Cerrahisi Sonrası Radyolojik Sonuçlar ve Rekürrens Eğilimleri”"/>
        <s v="“İskelet Siliyopatisi Hastalarında Ağız Sağlığı Durumu Değerlendirilmesi”"/>
        <s v="“İskemik Ventriküler Taşikardi Ablasyon Tedavisinde Kritik Koridorların Değerlendirilmesi: Üç Boyutlu Elektroanatomik Haritalama ve Kardiyak Manyetik Rezonans Görüntüleme Bulgularının Karşılaştırılması ve Sonlanımlar Üzerine Etkisi”"/>
        <s v="“IVF Gebeliklerinde İlk Trimester Baş Popo Mesafesi Uyumsuzluğu: Gebelik Sonuçlarının Retrospektif Değerlendirilmesi”"/>
        <s v="“İyon Salan Restoratif Dental Malzemelerin Bazı Mekanik Özellikler ve Mikrosızıntı Açısından İn-Vitro Olarak Değerlendirilmesi”"/>
        <s v="“İzole Humerus Kırığı İle Prezente Olan Endometrium Kanseri Vaka Raporu”"/>
        <s v="&quot;Jak İnhibitörlerinin Labaratuvar Parametreleri Üzerindeki Etkilerinin Zaman İçindeki Değişimi: 0., 3. ve 6. Ay Değerlendirmeleri&quot;"/>
        <s v="“JİA Tanılı Olgularda Ebeveynlerin Bildirdiği Ağrıyı Felaketleştirme Durumuna Göre Biyopsikososyal Özelliklerin İncelenmesi”"/>
        <s v="“Jinekolojik Kanser Cerrahisi Sonrası Low Anterior Rezeksiyon Sendromu: Tek Merkezli Retrospektif Kesitsel Çalışma”"/>
        <s v="“Jinekolojik Onkoloji Konsey Kararlarının Yapay Zekâ Destekli Kararlarla Karşılaştırılması: Over, Endometrium ve Serviks Kanseri Üzerine Retrospektif Bir Analiz”"/>
        <s v="“Juvenil İdiopatik Artritte Erken Dönem Sitokin ve Kemokin Profillerinin Klinik Seyir ile Uzun Dönem İlişkisi”"/>
        <s v="“Juvenil İdiyopatik Artritte Hastalık Gidişatının Değerlendirilmesinde Kalprotektinin Yeri”"/>
        <s v="“Jüvenil Sistemik Skleroz için Uluslararası Başlangıç Kohortu”"/>
        <s v="“Juvenil Skleroderma Tanılı Hastaların Özelliklerinin Belirlenmesi”"/>
        <s v="&quot;Kadın Hastalarda Herediter Anjioödemin Seyri ve Klinik Özellikleri&quot;"/>
        <s v="“Kadın Hentbolcularda Ultrasonografik Ölçümler ile Omuz Hareket Açıklığı ve Omuz Kuvvetinin Değerlendirilmesi”"/>
        <s v="&quot;Kadınlarda Spor Türü ve Yaşın Alt Ekstremite de Mekanik Sertlik Üzerine Etkisi: İki Farklı Sıçrama Türü için Karşılaştırmalı Bir Analiz&quot;"/>
        <s v="“Kadınların Gebelikte Uygulanan Dental ve Radyolojik İşlemler ile Ağız Sağlığına Dair Farkındalık ve Algısı: Anket Temelli Kesitsel Bir Çalışma”"/>
        <s v="“Kafa Tabanı Osteomyeliti Hastalığının Tedavisinin Finansal Analizi”"/>
        <s v="“Kafein ve L-Karnitin Takviyesinin Koşucularda Substrat Oksidasyonu ve Solunumsal Eşik Şiddeti Üzerindeki Koşu Performansýna Etkisi”"/>
        <s v="“Kalça Artroplastisinde Constrained Asetabular İnsertlerin Uzun Dönem Sonuçları”"/>
        <s v="“Kalça Osteoartriti Tedavisinde 88 mg Orta Derecede Çapraz Bağlı Viskoelastik Sodyum Hyaluronik Asit Enjeksiyonunun Ağrı ve Fonksiyonel Sonuçlar Üzerine Etkisi: Retrospektif Bir Analiz”"/>
        <s v="“Kalça Osteoartritli Hastalarda Floroskopi ve Ultrasonografi Kılavuzluğunda İntraartiküler Kalça Enjeksiyonlarının Etkinliklerinin Karşılaştırılması”"/>
        <s v="“Kalıcı Kalp Pili İmplantasyonunda Venöz Oklüzyon İzlenen Hastalarda Venoplasti Sonuçlarının Değerlendirilmesi”"/>
        <s v="“Kalıtsal Aritmi sendromlu Çocuk Hastalarda Bilateral Kardiyak Sempatik Denervasyon: Tek Merkez Deneyimi''"/>
        <s v="“Kalıtsal Kanser Sendromlarında Gelişmiş Genomik Yaklaşımlarla Yeni Genetik Faktörlerin Tanımlanması”"/>
        <s v="“Kalıtsal Metabolik Hastalıklar ile ROS-Aracılı Hücresel Stres Arasındaki İlişkinin Metabolizma Açısından Değerlendirilmesi”"/>
        <s v="“Kalıtsal Metabolik Hastalıklarda 1,5 Anhidroglusitol (1,5-AG) ve 1,5-Anhidroglusitol-fosfat (1,5-AG6P) Düzeylerinin Araştırılması''"/>
        <s v="“Kalıtsal Metabolik Hastalıklarda İtakonatın İnflamasyondaki Rolünün Araştırılması”"/>
        <s v="“Kalkaneus Kırıklarının Retrospektif Analizi ve Tedavi Sonuçları”"/>
        <s v="“Kalp Hastalığı Olan Çocukların Sağlık Durumları ile Ebeveynlerinin Yaşantılarının Uyum ve Mücadele Dinamiklerinin Nitel Analizi”"/>
        <s v="“Kalp ve Beyin MRG Görüntülerinde Hareket Kaynaklı Aretfaktların Tespiti ve Düzeltilmesine Yönelik Yapay Zeka Yaklaşımı”"/>
        <s v="“Kalsiyum (Ca2+) ve Magnezyum (Mg2+) İlişkili İmmün Yetmezliklerde Fonksiyonel ve Klinik Özellikler”"/>
        <s v="“Kalsiyum Silikat Esaslı Kök Kanal Dolgu Maddelerinin Kanal Tedavili Dişlerin Kırılma Dayanımına Etkisinde Kalsiyum Hidroksitin Rolü”"/>
        <s v="“Kalsiyum Silikat ve Kalsiyum Hidroksit Kontaminasyonunun Universal Adezivlerin Dentin Yüzeylerine Bağlanma Dayanımı Üzerindeki Etkisi”"/>
        <s v="“Kan Akımı Kısıtlanmasına Bağlı Aerobik Egzersizin Metabolik Değişiklikler Üzerindeki Etkisinin Çoklu Omiks Teknikler ile Belirlenmesi”"/>
        <s v="“Kanal Tedavili Dişlerin Fraktür Direncinde Servikal Bariyer ve Kroniçi Ağartma Materyallerinin Rolü: Laboratuvar Çalışması”"/>
        <s v="“Kanal Tedavisi Yenileme İşlemine Maruz Kalan Dişlerin Kırılma Dayanımında Ağartmanın Etkisi”"/>
        <s v="“Kanıta Dayalı Eğitim Müdahaleleri ile Lipid Profili Test İstemlerinin Optimizasyonu: Kalite Geliştirme Çalışması”"/>
        <s v="“Kanser Hastalarının Cepten Sağlık Harcamalarının Finansal Yükü ve Sağlık Hizmeti Kullanımı ve Sağlık Sonuçlarıyla İlişkisi”"/>
        <s v="“Kanserli Hastalarda Serum Albumin-Kreatin Oranının Sağkalım ve Progresyonsu Sağkalım ile İlişkisinin Araştırılması”"/>
        <s v="“Karaciğer Hastalıkları ile İlgili Stigmatizasyon Ölçeği Geliştirme Çalışması: Metodolojik Araştırma”"/>
        <s v="“Karaciğer Nakli Yapılan Çocukların Değerlendirilmesi, Alıcı ve Vericinin Nakil Komplikasyonlarına Etkisi Olan Parametrelerinin Araştırılması”"/>
        <s v="“Karaciğer Transplantasyonu Geçirmiş Bireylerde Kardiyovasküler ve Kassal Parametrelerin, Motor Kognitif Performansın, Bilişsel Fonksiyonun, Kinezyofobinin ve Yaşam Kalitesinin İncelenmesi”"/>
        <s v="“Karbapeneme Dirençli Klebsilla pneumoniae ile Gelişen Kan Dolaşımı Enfeksiyonlarında Risk Faktörleri, Mortalite ve Moleküler Epidemiyolojik Verilerin Araştırılması: Karşılaştırmalı Retrospektif Analiz”"/>
        <s v="“Kardiyak Aritmiler İçin Kateter Ablasyon Tedavisi Uygulanan Hastalarda Ultrasonografi Kılavuzluğunda Femoral Arter ve Ven Ponksiyonu ile Konvansiyonel Femoral Arter ve Ven Ponksiyonu Yöntemlerinin Vasküler Komplikasyon Gelişimi Yönünden Karşılaştırılması”"/>
        <s v="“Kardiyak Bilgisayarlı Tomografi Anjiyografi Bulguları ile Koroner Arter Hastalığının Seyri ve Stent İçi Restenoz Arasındaki İlişkinin Degerlendirilmesi”"/>
        <s v="“Kardiyopulmoner Bypass Sırasında Hemadsorbsiyon Uygulamasının Pediyatrik Hastaların Mortalite ve Morbiditesi Üzerine Etkileri”"/>
        <s v="“Kardiyovasküler-Renal-Metabolik Sendromda Malnütrisyon ve Sarkopeni”"/>
        <s v="“Kartilaj Slop ve Ön Çapraz Bağı Rüptürü Risk Faktörlerinin Merge MRG ile Değerlendirilmesi”"/>
        <s v="“Kas Kuvveti ve Fiziksel Performans Ölçümlerinin Yaşlılarda Düşme Riskiyle İlişkisi”"/>
        <s v="“Kas Ultrasonografisi ile Yapılan Kas Kütlesi Ölçümleri ile Geriatri Populasyonda Referans Kas Kütlesi Değerlerinin Belirlenmesi”"/>
        <s v="“Katarakt Cerrahisinde Preoperatif Chord mu ve Chord alpha Referansı ile Yerleştirilen İntraoküler Göz İçi Mercek Santralizasyonunun Postoperatif Mikroperimetrik İki Değişkenli Eliptik Kontur Alan Sapma Açısı ile Değerlendirilmesi”"/>
        <s v="“Katarakt Cerrahisinin Uygunluğunun Değerlendirilmesi”"/>
        <s v="“Kawasaki Hastalığının Viral Enfeksiyonlar ve Hava Kirliliği ile İlişkisi”"/>
        <s v="“Kawasaki Tanısı ile Takip Edilmiş Hastaların Erişkin Dönemde Kardiyak ve Romatolojik Açıdan Değerlendirilmesi”"/>
        <s v="“Kaynakçılarda Demir Metabolizmasının Gözden Geçirilmesi ve Sistemik Aşırı Demir Fazlalığı Olan ve Olmayan Aktif Kaynakçılarda Genotoksisitenin Comet Yöntemi ile Değerlendirilmesi”"/>
        <s v="“KBB Hastalarında Farklı Yapay Zekâ Modellerinin Tanı ve Tedavi Önerilerinin Değerlendirip Karşılaştırılması”"/>
        <s v="“KBB Hava Yolu Cerrahilerinde ChatGPT’nin Preoperatif Anestezi Risk Değerlendirme Performansının İncelenmesi”"/>
        <s v="“Keloid ve Hipertrofik Skar Patogenezinde Cold Shock Domain Containing C2 ve Roundabout Guidance Receptor 1-2'nin Rolünün Araştırılması”"/>
        <s v="“Kemik İliği Metastazı ile Solid Tümör Tanısı Alan Hastaların Klinik ve Laboratuvar Özelliklerinin Retrospektif Analizi”"/>
        <s v="“Kemik Tümörleri Nedeniyle Yapılan Segmental Kemik Rezeksiyonları Sonrası Oluşan Defektlerin Otogreft ve Tümör Protezi Yöntemleriyle Rekonstrüksiyonlarının Karşılaştırılması”"/>
        <s v="“Kemoterapötik İlaç Hazırlayan ve Uygulayan Hemşirelerde Olası Toksik Etkilerin Değerlendirilmesi”"/>
        <s v="“Kentsel Erişilebilirliğin Deneyimsel İnşası: Engelli Çocuklar Bağlamında Bir İnceleme”"/>
        <s v="“Keratokonus Evresi ile Retina Sinir Lifi Tabakası, Makula Kalınlığı, Ganglion Hücre Tabakası Parametrelerindeki Değişikliklerin İlişkisinin Optik Koherens Tomografi Kullanarak İncelenmesi”"/>
        <s v="“Kişiye Özel İmplantlar İle Yapılan Le Fort 1 Cerrahisinde Maksilla Pozisyonunun Doğruluğunun İncelenmesi”"/>
        <s v="“Kistik Ekinokokkoz Tanısında miRNA Biyobelirteçleri: Körleme Örnekleme ve Radyolojik Bulgularla Uyum Üzerinden Klinik Entegrasyon Değerlendirilmesi”"/>
        <s v="“Kistik Fibrozis Hastalarında Balgam Kültüründe Kronik Candida Kolonizasyonunun Solunum Fonksiyonları, Klinik ve Laboratuar Parametreleri Üzerine Olan Etkilerinin Değerlendirilmesi”"/>
        <s v="“Kistik Fibrozis Hastalarında CFTR Modülatör Tedavilerine Bağlı Yan Etkilerin Değerlendirilmesi: Üçüncü Basamak Bir Merkezden Deneyimler”"/>
        <s v="“Kistik Fibrozis Hastalarında CFTR Modülatör Tedavisi Öncesi ve Sonrasında Diyabet ve Hepatobiliyer Tutulumun Değerlendirilmesi”"/>
        <s v="“Kistik Fibrozis Hastalarında Solunum Fonksiyonlarını Düzeltmeye Yönelik Kalite İyileştirme Programının Geliştirilmesi”"/>
        <s v="“Kistik Fibrozis Hastalarından İzole Edilen Pseudomonas aeruginosa İzolatlarında Kolistin ve Tobramisinin Sub-inhibitör Düzeydeki Etkilerinin Karşılaştırmalı Transkriptomik ve Metabolomik Analizi”"/>
        <s v="“Kistik Fibrozis Transmembran Regülatör Protein-İlişkili Hastalık Tanılı Çocuk Hastalarımızın Klinik ve Radyolojik Özellikleri”"/>
        <s v="“Kistik Fibrozis ve Kistik Fibrozis Dışı Bronşektazi Hastalarında Toraks BT ile Sarkopeni Değerlendirmesi”"/>
        <s v="“Kistik Fibrozis Yenidoğan Tarama Programı: 10 Yıllık Retrospektif Analiz ve Tanısal Değerlendirme”"/>
        <s v="“Kistik Fibrozis, Primer Siliyer Diskinezi ve Astım Tanılı Çocukların Solunum Fonksiyon Testlerinin; Spirometri, Akciğer Temizleme İndeksi ve İmpuls Osilometri ile Değerlendirilmesi ve Parametreler Arasındaki İlişkilerin İncelenmesi”"/>
        <s v="“Kistik Fibrozisli Cocuklarda Balgam Kolonizasyonu ile Ailelerin Enfeksiyon Kontrol Bilgi Düzeyi ve Sosyoekonomik Durumu Arasindaki İlişki”"/>
        <s v="“Kistik Fibrozisli Çocuklarda İlk Asemptomatik Metisilin Dirençli Staphylococcus aureus Üremesine Yönelik Antibiyotik Tedavisi Verilmesinin Klinik Duruma Etkisi”"/>
        <s v="“Kistik Fibrozisli Çocuklarda İlk Pseudomonas aeruginosa Eradikasyonu Sonrası Uzun Dönem Sonuçların Klinik Belirteçleri: 10 Yıllık Retrospektif Bir Çalışma”"/>
        <s v="“Kistik Fibrozisli Çocuklarda Kistik Fibrozis Transmembran Kondüktans Regülatör Modülatör Tedavisinin Beslenme Durumu ve Hepatobiliyer Sistem Üzerine Etkisi”"/>
        <s v="“Kistik Fibroziste Kistik Fibrozis Transmembran Regülator Modülatör Tedavinin Etkili Olmama Nedenlerinin İncelenmesi”"/>
        <s v="“Kistik Fibroziste Modülatör Tedavi Cevabının Miyeloid-Kökenli Baskılayıcı Hücre ve İmmünoregülatuvar Parametrelere Etkisi”"/>
        <s v="“Kistik Hava Boşlukları ile İlişkili Akciğer Kanseri: Klinik, RadyolojikVe Patolojik Özellikler”"/>
        <s v="“Kistik Nötrofilik Granülomatöz Mastit ve İdiopatik Granülomatöz Mastitin Radyolojik Görüntüleme Bulgularının Klinik ve Patolojik Veriler Eşliğinde Karşılaştırılması”"/>
        <s v="“Kırık Nikel Titanyum Kanal Eğelerinin Ultrasonik Yöntemle Uzaklaştırılmasının Değerlendirilmesi&quot;"/>
        <s v="“Kırım- Kongo Kanamalı Ateşi Olan Çocuk Hastaların Klinik Verilerinin Retrospektif Değerlendirilmesi”"/>
        <s v="“Kırım- Kongo Kanamalı Ateşi Tanılı Çocuk ve Erişkin Hastaların Sitokin ve Kemokin Yanıtlarının Değerlendirilmesi”"/>
        <s v="“Kırım-Kongo Kanamalı Ateşi Tanılı Çocuk ve Erişkin Hastaların Proinflamatuvar Ekstraselüler Veziküllerinin Değerlendirilmesi”"/>
        <s v="“Kırım-Kongo Kanamalı Ateşinin Moleküler İmzalarının Ortaya Konması: mRNA, lncRNA, sRNA ve circRNA Profilleri Üzerine Transkriptomik ve Biyoinformatik Yaklaşım”"/>
        <s v="“Klasik Hodgkin Lenfoma Hastalarında İlk Basamak ve Kurtarma Tedavilerinin Karşılaştırılması”"/>
        <s v="“Klinefelter Sendromlu Hastalarda Klinik, Gelişimsel, Genetik ve Reprodüktif Özelliklerin Değerlendirilmesi”"/>
        <s v="“Klinik Eczacıların Geriatrik Sendromlar Konusundaki Yaklaşımlarının Değerlendirilmesi”"/>
        <s v="“Klinik Nütrisyon Öğrenci Kongresine Katılan Öğrencilerin Beklentileri ve Kazanımları”"/>
        <s v="“Klinik Nütrisyon Tedavisinde Hedefe Ulaşmada Önemli Bir Bariyer: Refeedin Sendromu”"/>
        <s v="“Klozapine Yanıt ile Yan Etkiler Arasındaki İlişkinin İncelenmesi: Geriye Dönük Bir Çalışma”"/>
        <s v="“Klozapinle İlişkili Nötropeni İçin Aday İmmun Biyobelirteçlerin Araştırılması”"/>
        <s v="“Kök Kanal Dolgu Materyalleri ve İntraorifis Bariyer Materyali Etkileşiminin İntrakoronal Beyazlatma ve Kırılma Dayanımı Üzerindeki Etkisi: İn Vitro Çalışma”"/>
        <s v="“Kök Kanal Tedavili Dişlerin Kırılma Dayanımında Gütaperkanın Tavsiye Edilen Tüketim Tarihinin Rolü”"/>
        <s v="“Kök Kanalında Farklı Uzunluklarda Kırılan Nikel-Titanyum Eğelerin Farklı Yöntemler ile Uzaklaştırılmasının Apikalden Taşan Debrise Etkisi”"/>
        <s v="“Kök Kanalında Kırılan Farklı Döner Eğelerin Kanaldan Uzaklaştırılması Sırasındaki Dentin Kalınlığındaki Değişimin ve Apikalden Taşan Debrisin Değerlendirilmesi”"/>
        <s v="“Kök Kanalında Mevcut Olan Farklı Fazdaki Gütaperkanın ve Farklı Termal Özelliklerdeki Nikel Titanyum Eğelerin Kimlik Tespitindeki Rolü”"/>
        <s v="“Kök Rezorpsiyonlarının Tip, Dağılım ve Şiddet Özelliklerinin Konik Işınlı Bilgisayarlı Tomografi (CBCT) Görüntüleri Üzerinden Belirlenmesi: Tek Merkezli Retrospektif Analiz”"/>
        <s v="“Koklear Hipoplazili Hastalarda Fasiyal Sinir Seyrinin Değerlendirilmesi”"/>
        <s v="“Koklear İmplant Cerrahisi Sonrası Revizyon Geçirmiş Olgularda Revizyon Nedenlerinin İncelenmesi”"/>
        <s v="“Koklear İmplant ile İlgili Tüm Soruların ChatGPT Yanıtlarının Kulak Burun Boğaz Uzmanları Tarafından Değerlendirilmesi”"/>
        <s v="“Koklear Ossifikasyonu Olan ve Hacettepe Üniversitesi Hastaneleri'nde Cerrahi İşitme Rehabilitasyonu Sağlanan Hastaların İncelenmesi”"/>
        <s v="“Kol Salınımının Derinlik Sıçraması Optimal Düşüş Yüksekliğine Etkisinin İncelenmesi”"/>
        <s v="“Koledok Kisti Nedeniyle Ameliyat Edilen Hastaların Uzun Dönemde Gastrointestinal Sistem ilişkili Hayat Kalitelerinin Değerlendirilmesi”"/>
        <s v="“Kolon Obstrüksiyonu, Postoperatif Fistül ve Anastomoz Kaçaklarında Cerrahiye Köprü veya Alternatif Olarak Kolorektal Stentleme İşlemi”"/>
        <s v="“Kolorektal Kanserli Hastaların Klinopatolojik Özellikleri”"/>
        <s v="“Kolorektal Karsinogenezde THY1 İfadesinin Patoloji Arşiv Materyallerinde Değerlendirilmesi”"/>
        <s v="“Kolorektal Karsinomlarda Pulmoner Metastaz Paterninin Retrospektif Analizi: Primer Tümör Lokalizasyonunun Rolü”"/>
        <s v="“Kolorektal Poliplerden Kolorektal Kansere: Erken Evre İmmün İmzaların Translasyonel Analizi”"/>
        <s v="“Kolşisin Dirençli Ailevi Akdeniz Ateşinin Yönetiminde Klinisyen Yaklaşımlarının Anket ile Araştırılması”"/>
        <s v="“Kompleks Obstrüktif Üropatili Çocuklarda Geçici Üriner Diversiyon Yöntemi Olarak Üreterokütaneostominin Klinik Değerlendirmesi”"/>
        <s v="“Komplikasyonların Azaltılmasında Distraksiyon Tabanlı Büyüme Dostu Teknikler İçin Uygun Cerrahi Yaş”"/>
        <s v="“Konik Işınlı Bilgisayarlı Tomografi Kullanılarak Maksiller İkinci Premoların Sagittal Kesitinde Pulpa/Diş Alan Oranının Yetişkinlerde Yaş Tahmini İçin Değerlendirilmesi”"/>
        <s v="“Konjenital Clubfoot Tanısıyla Tedavi Gören Çocuklarda Yaşam Kalitesi, Güçler ve Güçlükler ve Aile İşlevselliğinin Değerlendirilmesi”"/>
        <s v="“Konjenital Diseritropoietik Anemi ve Pirüvat Kinaz Eksikliği Hastalarında Endokrin Komplikasyonların Değerlendirilmesi”"/>
        <s v="“Konjenital Hipotiroidi İçin Ulusal Ölçekli Yenidoğan Tarama Testi Sonucuyla Çocuk Endokrinoloji Bölümüne Yönlendirilen Olguların Klinik, Laboratuvar, Radyolojik Özelliklerinin İncelenmesi”"/>
        <s v="“Konjenital Kalp Hastalığı Nedeniyle Opere Edilen Yenidoğanlarda Mortaliteyi Etkileyen Klinik Faktörler”"/>
        <s v="“Konjenital Kalp Hastalıkları Ameliyatlarından Sonra Gelişen Akut Böbrek Hasarına Etki Eden Faktörlerin İncelenmesi”"/>
        <s v="“Konjenital Tibia Psödoartrozunda Ilizarov Tekniği ile Vaskülarize Fibula Grefti Kombinasyonunun Cerrahi Sonuçlarının Değerlendirilmesi”"/>
        <s v="“Konjonktival Melanomlarda ATRX, PDL-1 ve p16 İmmünohistokimyasal Ekspresyonlarının Klinikopatolojik Parametrelerle Korelasyonu”"/>
        <s v="“Konservatif Tedaviye Dirençli Periartiküler Kas İskelet Sistemi Hastalıklarında Fonksiyon Kısıtlayıcı Semptomların Transarteriyel Periartiküler Embolizasyon (TAPE) Tedavisi Sonrası Yanıt Değerlendirilemesi ”"/>
        <s v="“Konservatif Tedaviye Dirençli Periartiküler Kas İskelet Sistemi Hastalıklarında Fonksiyon Kısıtlayıcı Semptomların Transarteryal Periartiküler Embolizasyonu (TAPE) Tedavisi Sonrası Yanıt Değerlendirilmesi”"/>
        <s v="“Kontakt Lens Kullanımına Bağlı Gelişen Keratitlerde Hasta Eğitiminin Önemi ve Bu Eğitimin Morbiditeye Etkisi”"/>
        <s v="“Kornea Endotelini Etkileyen Hastalıklarda İnvivo Konfokal Mikroskopi Görüntülerinin Derin Öğrenme Tabanlı Bilgisayarlı Görü Yöntemleriyle Sınıflandırılması”"/>
        <s v="“Kornea Rejenerasyonuna Yönelik Enjekte Edilebilir Gözenekli İpek Mikrotaşıyıcıların In Vivo Çalışmalarda Kullanım Etkinliğinin Belirlenmesi”"/>
        <s v="“Koroner Arter Bypass Greft Cerrahisinde Hastanede Yatış Süresini Etkileyen Faktörlerin Makine Öğrenmesi Modelleri ile Analizi”"/>
        <s v="“Koroner Arter Hastalığı Tanılı Geriatrik Hastalarda Elektif Perkütan Koroner Girişiminin Geriatrik Sendromlarla İlişkisi”"/>
        <s v="“Koroner Arteriovenöz Fistül Hastalarının Tanı, Tedavi ve Takip Süreçlerinin Retrospektif Değerlendirilmesi”"/>
        <s v="“Koroner MRA Görüntülerinde Görüntü Kalitesinin Artırılmasına ve Otomatik Değerlendirilmesine Yönelik Yapay Zeka Uygulaması”"/>
        <s v="&quot;Kristal Artropatilerde Klinik ve Radyolojik Değerlendirmenin İncelenmesi&quot;"/>
        <s v="“Kritik Hastalarda Enteral Beslenme Hedeflerine Ulaşma Durumu ve Klinik Sonuçlarla İlişkisi”"/>
        <s v="“Kritik Hastalarda Rutin Mikrodolaşım Değerlendirmesinin Şok Erken Tanısına Etkisi”"/>
        <s v="“Kritik Hastalarda Yatak Başında Nabız Basıncı Değerlendirmesi Strok Volümdeki Düşük Değerleri Tespit Edebilir mi veya Değişiklikleri Takip Edebilir mi? Çok Merkezli, Kesitsel, Gözlemsel ANDROMEDA-PEGASUS Çalışması”"/>
        <s v="“Kronik Böbrek Hastalarında Glisemik Değişkenlik ve Metabolik Profilin İncelenmesi”"/>
        <s v="“Kronik Böbrek Hastalarında Ioheksol Plazma Klirensinin LC-MS/MS ile Ölçülmesine Dayalı Glomerüler Filtrasyon Hızının Kreatinin Temelli Glomerüler Filtrasyon Hızı Tahminiyle Karşılaştırılması”"/>
        <s v="“Kronik Böbrek Hastalığı İlişkili Bilişsel Bozukluk Patofizyolojisinin Radyolojik, Biyokimyasal ve Metabolomik Biyobelirteçler Işığında Karşılaştırmalı Bir Sistem Biyolojisi Analizi”"/>
        <s v="“Kronik Böbrek Hastalığında Tübüler Proteinüri Tayininde İdrar Alfa-1 Mikroglobulin ve Beta-2 Mikroglobulin Ölçüm Yöntemlerinin Karşılaştırılması”"/>
        <s v="&quot;Kronik Böbrek Hastalığının Teşhisi: Bir Makine Öğrenmesi Uygulaması&quot;"/>
        <s v="“Kronik Çok İlaca Dirençli Pseudomonas Aeruginosa Enfeksiyonu Olan Kistik Fibrozisli Çocuk Hastalarımızın Retrospektif Değerlendirilmesi"/>
        <s v="“Kronik Granülomatoz Hastalık Tanılı Çocukların Akciğer Bulgularının Değerlendirilmesi”"/>
        <s v="“Kronik Granülomatöz Hastalık Tanısı ile İzlenen Hastalarda Gastrointestinal ve Hepatik Bulguların Değerlendirilmesi”"/>
        <s v="“Kronik Hastalığı Olan Çocukların Eğitiminde Yapay Zeka Kullanımına İlişkin Pediatri Hemşirelerinin Metaforlarının Analizi”"/>
        <s v="“Kronik Hastalıklarda Doktor-Hasta İlişkisi Ölçeği’nin Türkçe Geçerlik ve Güvenirlik Çalışması”"/>
        <s v="“Kronik Karaciğer Hastalarında Sarkopeninin Bilgisayarlı Tomografi ile Değerlendirilmesi ve Metabolik Disfonksiyonla İlişkili Yağlı Karaciğer Hastalığı Hastalarının Alt Grup Analizi”"/>
        <s v="“Kronik Karaciğer Hastalarında Sarkopeninin Non-İnvaziv Yöntemlerle Değerlendirilmesi ve Sarkopenin Uzun Dönem Morbidite ve Mortaliteye Etkisi”"/>
        <s v="&quot;Kronik Lenfositik Lösemi Hastalarında Ekstrameduller Tutulumunun Prognostik, Klinik, Laboratuvar, Tedavi Yanıtı Açısından Değerlendirmesi&quot;"/>
        <s v="“Kronik Miyeloid Lösemi Hastalarında Tirozin Kinaz Kullanımı İlişkili Proteinüri Gelişimini Etkileyen Faktörlerin İncelenmesi”"/>
        <s v="“Kronik Myeloid Lösemi Blastik Faz Hastalarının Tek Merkezden Gerçek Yaşam Verileriyle Retrospektif İncelenmesi”"/>
        <s v="“Kronik Myeloid Lösemi Hastalarının Klinik, Prognostik, Sağkalım ve Tedavilerinin Değerlendirilmesi”"/>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s v="“Kronik Obstrüktif Akciğer Hastalığı Tanılı İleri Yaş Hastalarda Anksiyete ve Depresyonun İnhaler Uyumuyla İlişkisinin İncelenmesi”"/>
        <s v="“Kronik Obstrüktif Akciğer Hastalığının Oküler Mikrovasküler ParametrelerÜzerine Etkilerinin Değerlendirilmesi”"/>
        <s v="“Kronik Oklüzif İliofemoral Hastalıkta Rekanalizasyon: Endovasküler Tedavi Sonuçları ve Venöz Giriş Akımının Asendan Venografi ile Değerlendirilmesi”"/>
        <s v="“Kronik Plak Psöriazis Tanılı Hastalarda Hepatik Fibrozisin Değerlendirilmesi”"/>
        <s v="“Kronik Plak Tip Psöriazis Vulgaris Tanılı Çoklu Biyolojik Tedavi Dirençli Hastaların Demografik Özellikleri, Klinik Özellikleri ve Komorbiditelerinin İncelenmesinın”"/>
        <s v="“Kronik Spontan Ürtiker Hastalarında Nonsteroid Antiinflamatuvar İlaç (NSAİİ) Hipersensitivitesinin İncelenmesi”"/>
        <s v="“Kronik Spontan Ürtiker Tanılı Adölesan Hastalarda Menstrüel Siklusun Hastalık Aktiviyesi Üzerine Etkisi”"/>
        <s v="“Kronik Tromboembolik Pulmoner Hipertansiyonun Tanisonda ve Tedavi Yanıtı Değerlendirmesinde Akciğer Ventilasyon/Perfüzyon Sintigrafisinin Prognostik Gücü”"/>
        <s v="“Kronik Tromboembolik Pulmoner Hipertansiyonun Tanısında ve Tedavi Yanıtı Değerlendirmesinde Akciğer Ventilasyon/Perfüzyon Sintigrafisinin Prognostik Gücü”"/>
        <s v="“Kronik Ürtikerde Sistemik Semptomlarla Giden Alevlenmeler: MCAS Olabilir Mi?”"/>
        <s v="“Küçük Hücreli Akciğer Karsinomunda Moleküler Alt Tiplerin ASCL1, NEUROD1, POU2F3 ve YAP1 İmmünohistokimyasal Ekspresyonuna Göre Sınıflandırılması ve Klinik Önemi”"/>
        <s v="“Küçük Hücreli Dışı Akciğer Kanseri Hastalannda Pulmoner Rezeksiyonu Takiben Göğüs Tüpünün Erken Dönemde Çıkanlmasının Güvenlik ve Uygulama Yönünden Değerlendirilmesi”"/>
        <s v="“Küçük Hücreli Dışı Akciğer Kanseri Tanılı Hastalarda Cerrahi Kapsam ve Tekniğin Postoperatif Akciğer Fonksiyonları Üzerine Etkisi”"/>
        <s v="“Küçük Hücreli Dışı Akciğer Kanseri Tanılı Hastalarda Venöz Tromboembolizm Riskini Öngören Tahmin Modelinin Geliştirilmesi”"/>
        <s v="“Küçük/Orta Damar Vaskülitli Hastaların Kutanöz Prezentasyonları: Dermoskopik ve Histopatolojik Benzerlik ve Farklılıkların İncelenmesi”"/>
        <s v="“Kulak Burun Boğaz Hastalarının Cerrahi Müdahaleler Hakkında Sık Sordukları Sorulara Büyük Dil Modelleri ve Uzmanlarının Verdiği Cevapların Hasta Bakış Açısından Karşılaştırılması”"/>
        <s v="“Kullanılmayan İlaçların İadesi ve İmhası Anketinin Türkçe Geçerlik ve Güvenirlik Çalışması"/>
        <s v="“Kullanılmış İnsülin İğnelerinin İmha Yöntemlerinin Tespiti: Türkiye’de Bir Aile Sağlığı Merkezi’nde Yapılandırılmış Hasta Eğitimi Müdahalesinin Sürdürülebilir Evsel Tıbbi Atık Yönetimine Etkisinin Değerlendirilmesi”"/>
        <s v="“Kültür ile Kanıtlanmış Erşkin Tüberküloz Olgularının İrdelenmesi ve İzolatların Direnç Profillerinin Belirlenmesi”"/>
        <s v="“Kumar Oynama Bozukluğu ile İlişkili Psikolojik Faktörlerin Nitel ve Nicel Yöntemlerle İncelenmesi”"/>
        <s v="“Küresel Bir Halk Sağlığı Problemi Olan Antibiyotik Direncini Aşmak için Antisense Oligonükleotit Temelli Yenilikçi Formülasyonların Geliştirilmesi ve Değerlendirilmesi”"/>
        <s v="“Kurtarıcı Kardeş Uygulamasının Etik Boyutları: Uzman Hekimlerin Yaklaşımları”"/>
        <s v="“Kurutulmuş İdrar Örneklerinde (DUS) Uyuşturucu-Uyarıcı Madde Analizi”"/>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s v="“L-Sitrülin Malat Takviyesinin Dövüş Sporcularında Aerobik Egzersiz Performansı Üzerine Etkisi”"/>
        <s v="“Laringotrakeal Stenoz Cerrahi Tedavisinde Uzun Dönem Sonuçlarımız: 15 Yıllık Hacettepe Tecrübesi”"/>
        <s v="“Larinks Patolojilerinin Malignleşme Sürecinde SERPİNE1'in Rolü”"/>
        <s v="“Lateral Epikondilit Tedavisinde Steroid Enjeksiyonu ile Kombine Lateral Antebrakial Kutanöz Sinir Pulsed Radyofrekans Tedavisinin Etkinliğinin Değerlendirilmesi”"/>
        <s v="“LeFort 1 Cerrahisinde Maksillaya Yaptırılan Çeşitli Hareketlerin Dudak ve Burun Estetik Bölgelerindeki Etkilerinin İncelenmesi”"/>
        <s v="“LeFort I Cerrahisi Uygulanan Hastalarda Maksiller Sinüs Membran Kalınlığı ve Sinüs Sağlığının Değerlendirilmesi”"/>
        <s v="“Legg-Calve-Perthes Hastalığı Olan Çocukların Kalça Eklem Sıvısından Alınan Örneklerinde Mikroorganizma Araştırılması: Karşılaştırmalı Prospektif Çalışma”"/>
        <s v="“Leiomyoma Tanısıyla Opere Edilen Ve Fumarat Hidrataz Eksikliği Saptanan Hastaların Klinik Sonuçlarının Değerlendirilmesi”"/>
        <s v="“Lenfoma Hastalarında Warburg Etkisine Bağlı Tip B Laktik Asidoz ve Hipoglisemi: İki Olgu Sunumu ve Literatür Derlemesi”"/>
        <s v="“Letrozol ile Uyarılan Dondurulmuş Embriyo Transferi (FET) Sikluslarında Serum Estradiol Dinamikleri ile Gebelik Sonuçları Arasındaki İlişki”"/>
        <s v="“Ligamentum Falciforme Hepatis Radyolojik Anatomisi: Morfometri ve Yağ Dokusu İlişkisi”"/>
        <s v="“Lipit Mediyatör Maresin 1'in İnflamasyon Ortamında Dental Pulpa Kök Hücreleri Üzerine Etkisi”"/>
        <s v="“Lipödemli Hastalarda Fiziksel Performansın, Alt Ekstremite Fonksiyonunun, Vücut Kompozisyonunun Fibromiyalji Sendromu ve Hipermobilite Sıklığının Değerlendirilmesi”"/>
        <s v="“Luminal A Meme Kanseri: Genç Yaşa Özgü Kötü Prognozun Moleküler Temelleri”"/>
        <s v="“Madde Kullanım Bozukluğu Hastalarında Yaygın Tek Nükleotid Polimorfizmlerinin Sıklığının Belirlenmesi ve Bunların Madde Kullanımını Yordayan Alt Özelliklerle İlişkileri”"/>
        <s v="“Mahrum Edilmiş Yas: Kürtaj Sonrası Kayıp Sürecinin Anlamlandırılması”"/>
        <s v="“Major Depresif Bozukluğu Olan Ergenlerde Kendine Zarar Verme Davranışı ile Ebeveynlerinin Duygu Düzenleme Becerileri ve Aile İşlevselliği Arasındaki İlişki”"/>
        <s v="“Major Depresyon Bozukluğunda SSRI Tedavisinin Başarısını Öngören, Emosyonel EEG Tabanlı, Çizge Kuramsal ve Nedensel Bir Prognostik Belirteç Araştırması”"/>
        <s v="“Maksiller Darlığa Sahip İleri Sutural Maturasyon Evresinde Olan Hastalarda Modifiye Glassman Tekniği ile Cortico-Puncture Tekniği Uygulanarak Yapılan Mini Vida Destekli Genişletme Tedavisinin Etkilerinin Karşılaştırılması”"/>
        <s v="“Maksiller Darlığı Olan Hastalarda Diş-Kemik Destekli ve Saf Kemik Destekli Maksiller Ekspansiyon Yöntemlerinin Üç Boyutlu Karşılaştırılması”"/>
        <s v="“Maksiller Retrüzyon ile Birlikte Obstrüktif Uyku Apne Sendromu Olan Çocuklarda Maksiller İlerletme Tedavisinin Etkilerinin Retrospektif Değerlendirilmesi”"/>
        <s v="“Maksiller Sinüs Lift Cerrahisinin Komşu Dişlerin Pulpa Vitalitesi Üzerine Etkisinin Elektriksel ve Termal Testlerle Değerlendirilmesi”"/>
        <s v="“Maksillofasiyal Protezlerde Konvansiyonel ve Dijital İş Akışlarına Yönelik Diş Hekimliği 4. ve 5. Sınıf Öğrencilerinin Bilgi Düzeyinin Değerlendirilmesi”"/>
        <s v="“Malign Kemik Lezyonlarının Tedavisinde Perkütan Osteosentez ve Sementoplastinin Rolü ve Tedavi Sonuçlarının Değerlendirilmesi”"/>
        <s v="“Malign Potansiyeli Belirsiz Uterus Düz Kas Tümörleri ile Erken Evre Leiomyosarkomda Rekürrensi ve Prognozu Öngörmede Klinik ve Histopatolojik Prediktörler”"/>
        <s v="“Malignite Nedeniyle Yapılan Gastrointestinal Sistem Cerrahisi Sonrası Görülen İntraabdominal Kanamaların Tedavisinde Cerrahi ve Vasküler Girişimsel Radyolojik Yöntem Sonuçlarının Karşılaştırılması”"/>
        <s v="“Malignite Tanısı Alan Primer İmmün Yetmezlikli Hastaların Klinik ve Laboratuvar Özelliklerinin Değerlendirilmesi ”"/>
        <s v="“Mamografide Yapay Zekanın Risk Skoru Davranışı ve İnterval Kanser Tespit Performansı”"/>
        <s v="“Mandibular Asimetrisi Bulunan Sınıf II ve Sınıf III Hastalarda Orta Yüz Asimetrilerinin Anteroposterior Sefalometrik Filmler Üzerinden İncelenmesi”"/>
        <s v="“Mandibular Lingula Morfolojisi ile Mandibular Kanal Varyasyonları, Mental ve Mandibular Foramen Boyutları Arasındaki Korelasyonun Konik Işınlı Bilgisayar Tomografi ile İncelenmesi”"/>
        <s v="“Mandibular Tek Taraflı Kondil Hiperplazisi Olan Hastalarda Eklem Aralığı ve Gonial Açı Ölçümlerinin Retrospektif Analizi”"/>
        <s v="“Mandibulat Total Dişsiz Hastalarda Üç veya Dört İmplant Destekli Overdenture Konfigürasyonlarının İnterforaminal Bölgedeki Anatomik Uygunluğunun Dijital Planlama ile Analizi”"/>
        <s v="“Mandibuler Distraktör Takılan Pediatrik Hastalarda Perioperatif Komlikasyonların Retrospektrif İncelenmesi”"/>
        <s v="“Mantar Enfeksiyonu Nedeniyle Tedavi Edilen Pediatrik Hastaların Verilerinin Retrospektif Olarak İncelenmesi ve Risk Faktörlerinin Belirlenmesi”"/>
        <s v="“Manyetik Rezonans Görüntüleme ile Belirlenen Pankreas Yağlanmasının ERCP Sonrası Komplikasyonlarla İlişkisinin Değerlendirilmesi”"/>
        <s v="“Manyetik Rezonans Görüntüleme ile Serebellum, Beyin Sapı, Bazal Gangliyon ve Talamusta Saptanan Insidentalomaların Görüntüleme Bulguları”"/>
        <s v="&quot;Manyetik Rezonans Görüntülemede Difüzyon Ağırlıklı Görüntüleme Ovaryan ve Adneksal Lezyonları Raporlama ve Veri Sistemi– Manyetik Rezonans Skorlama Skalasının İsabetine Katkısı&quot;"/>
        <s v="“Mass General Brigham Yapay Zeka Grubu Tarafından Geliştirilen Miksofibrosarkom Sağkalım Tahmin Modelinin Ulusal Çok Merkezli Eksternal Validasyon Çalışması"/>
        <s v="“Mass General Brigham Yapay Zekâ Grubu Tarafından Geliştirilen Undiferansiye Pleomorfik Sarkom Sağkalım Tahmin Modelinin Ulusal Çok Merkezli Eksternal Validasyon Çalışması”"/>
        <s v="“Mastektomi Sonrası Radyoterapi Uygulanan Meme Kanserli Hastalarda Yağ Grefti Uygulamasının Radyasyon Hasarlı Deri Üzerindeki Histopatolojik Etkilerinin Değerlendirilmesi ve Klinik Bulgularla Korelasyonu”"/>
        <s v="“Matematik ve Türkçe Derslerinde Kullanılan Fiziksel Aktivite Tabanlı Aktif ve Pasif Zihin Molalarının Akademik Başarı, Bilişsel İşlevler, Fiziksel Aktivite Düzeyi ve Sınıf İçi Davranışlar Üzerindeki Etkisi”"/>
        <s v="“Matür T Hücreli Lenfomalarda INI-1 (SMARCB1) Ekspresyon Kaybının Değerlendirilmesi”"/>
        <s v="“Mayer-Rokitansky-Küster-Hauser Sendromlu Hastalarda Uterin Remnant Dokuların Anterior Neovajen Duvarı Oluşturulmasında Kullanıldığı Modifiye Davydov Tekniğinin Tanımlanması ve Uzun Dönem Sonuçlarının Analizi”"/>
        <s v="“Medial Diz Ağrısı Olan Diz Osteoartritli Hastalarda Safen ve Medial Geniküler Sinirlerin Pulsed Radyofrekans Tedavilerinin Etkinliklerinin Karşılaştırılması”"/>
        <s v="“Medializasyon Laringoplasti ve Aritenoid Addüksiyonu İşlemi Yapılan Tek Taraflı Ses Teli Felci Hastalarında Vücut Kitle İndeksinin Ameliyat Sonrası Dispne Üzerine Etkisinin Araştırılması&quot;"/>
        <s v="“Mekanik Aort ve Mitral Kapak Protezi Bulunan Hastalarda Ventriküler Taşikardi Ablasyonunda Sol Ventriküle Transapikal ve Trans-Sağ Atriyal Erişimin Etkinliği ve Sonuçları”"/>
        <s v="“Mekanik Ventilasyon Uygulanan Geriatrik Hastalarda Solunum Yolu Mikrobiyom Disbiyozisi ve Pulmoner İnflamaging”"/>
        <s v="“Mekanik Ventilatörden Ayırmada T-tüp Denemesi Uygulanan Hastalarda Hemodinami Parametrelerinin Değişimlerinin Gözlenmesi”"/>
        <s v="“Melanom Hastalarında Kiraz Anjiyom Sıklığının ve Kiraz Anjiyomların Gelişiminde VEGF ile VEGF Reseptörlerinin Doku ve Serum Düzeyinde Değerlendirilmesi”"/>
        <s v="“Melazma Hastalarında Vasküler Endotelyal Büyüme Faktörü Polimorfizminin Değerlendirilmesi”"/>
        <s v="“MELD 3.0 ve GEMA skorlarının Siroz Hastalarında Mortalite Öngörüsünde Etkinliğinin Araştırılması”"/>
        <s v="“Membranöz Nefropati Hastalarında Tiroid Kanseri Taramasının Önemi”"/>
        <s v="“Meme Kanseri Hastalarında Gustave Roussy İmmün Skorunun Sağ Kalım ile İlişkisi”"/>
        <s v="“Meme Kanseri Hücrelerinde Cx43 ve YAP Arasındaki İlişkinin Araştırılması”"/>
        <s v="“Meme Lenfoma Olgularının Patolojik Spektrumu, Klinikopatolojik Korelasyon ve Literatür Derlemesi: Retrospektif Bir Çalışma ”"/>
        <s v="“MEN1 ve MEN4 Sendromlu Hastaların Klinik Özelliklerinin Retrospektif Değerlendirilmesi”"/>
        <s v="“Meningomiyesel ve Diğer Nöromusküler Erken Başlangıçlı Skolyozlarda Büyüyen Rod Tedavisini Tekiben Uygulanan Definitif Cerrahinin Klinik ve Radyolojik Sonuçlarının Karşılaştırılması”"/>
        <s v="“Menstrual Siklusun Farklı Dönemlerinde Aşil Tendon Elastisitesi ile Anterior Talofibular Ligament Kalınlığının Ultrasonografi ve Shear Wave Elastografi ile Değerlendirilmesi”"/>
        <s v="“Menstrüel Kanama Dışı Risk Faktörü Olmayan Genç Kadınlarda Demir Eksikliği ile Menstrüel Kanama Özellikleri Arasındaki İlişkinin Değerlendirilmesi”"/>
        <s v="“Menstrüel Siklusun Farklı Fazlarında Değişen İştah ve Aşerme Düzeyleri ile Plazma Oksitosin Seviyesi Arasındaki İlişki"/>
        <s v="“Mesleki Kurşun İntoksikasyonu için Etilendiamintetraasetik Asit (EDTA) Şelasyon Tedavisi Alan Hastalarda Eser Element Düzeylerinin Retrospektif Değerlendirilmesi”"/>
        <s v="“Mesleklerarası İşbirliği Programına Yönelik Öğrenci ve Eğitici Görüşleri: Program Değerlendirme Çalışması”"/>
        <s v="“Mesleksel ve Çevresel İç Ortam Hava Kirleticileri ile Akciğer Adenokarsinomu Arasındaki İlişkinin Biyolojik Kanıtlar ile Değerlendirilmesi”"/>
        <s v="“Metabolik Disfonksiyonla İlişkili Steatotik Karaciğer Hastalığı (MASLD) Etiyopatogenezinde Safra Asidi Metabolitleri ve Metabolomik Analizi”"/>
        <s v="“Metabolik Disfonksiyonla İlişkili Steatotik Karaciğer Hastalığı (MASLD)’na Sahip Obez Bireylerde Plazma Metabolom Profilinin Değerlendirilmesi”"/>
        <s v="“Metabolik Disfonsiyon ile İlişkili Steatotik Karaciğer Hastalığında Serum ve İdrar Uromodulin Düzeylerinin Böbrek Fonksiyonlarıyla İlişkisi”"/>
        <s v="“Metafizyel Displazi Olgularında Klinik Spektrumun ve Genetik Etiyolojinin İncelenmesi”"/>
        <s v="“Metastatik Kolorektal Adenokarsinomunda Karaciğer Metastazektomisi Sonrası Adjuvan Tedavilerin Etkinliğinin Değerlendirilmesi”"/>
        <s v="“Metastatik Kolorektal, Over ve Serviks Hastalarında Renal Sonlanımların Değerlendirilmesi”"/>
        <s v="“Metastatik Prostat Kanseri Olan Hastalarda Androjen Reseptör Yolak İnhibitörlerinin Etkinliğini Tahmin Etmede Klinik-Biyokimyasal ve Moleküler Görüntüleme Parametrelerinin Rolü”"/>
        <s v="“Metilmalonik Asidemi ve Propiyonik Asidemide Akut Metabolik Dekompanzasyonun Acil Tanı ve Tedavisi”"/>
        <s v="“Mevsimsel Koronavirüs Enfeksiyonlarının 0–18 Yaş Arası Hastalarda Morbidite ve Mortalite Üzerine Etkisinin Değerlendirilmesi”"/>
        <s v="“Midpalatal Sütur Olgunlaşmasının Değerlendirilmesinde Yeni Bir Metot”"/>
        <s v="“Migren Tedavisi Optimizasyon Anketi (MTOQ)-4&quot;ün Türkçe Geçerlik ve Güvenirlik Çalışması”"/>
        <s v="“Migrende Fonksiyonel Transkranial Doppler ultrasonografi”"/>
        <s v="“Mikozis Fungoides ve Ayırıcı Tanısına Giren Lezyonlarda TRPS1, RBC1, TOX ve PDCD1 Ekspresyonlarının Karşılaştırmalı Değerlendirilmesi: Tanısal Algoritma Geliştirmeye Yönelik Klinikopatolojik Yaklaşım”"/>
        <s v="“Mikozis Fungoides, Psöriasis ve Atopik Dermatit Hastalarında Dermoskopik Bulguların İncelenmesi”"/>
        <s v="“Mikrosatellit İnstabilitesi Yüksek Olan Mide Kanseri Olgularında Tedavi Yaklaşımı ve Prognoz İncelenmesi”"/>
        <s v="“Minimal İnvaziv Kardiyak Cerrahide Anestezi Yönetimi Deneyimimiz Tek Merkezli Gözlemsel Çalışma-Bireysel Araştırma”"/>
        <s v="“Mitokondriyal Hastalık Tanılı Hastaların Semptom ve Bulgularının Mitokondriyal Hastalık Tanı Kriterleri ile Değerlendirilmesi”"/>
        <s v="“Mitokondriyal Hastalıklarda Mitokondri Fonksiyon Bozukluğunun Çoklu-Omik Platformları ile Değerlendirilmesi ve Girişimsel Olmayan Yeni Tanı ve İzlem Yöntemlerinin Geliştirilmesi”"/>
        <s v="“Mitral Anüler Disjunction Saptanan Hastalarda Genetik Etiyolojinin Araştırılması ”"/>
        <s v="“Mizofoninin Klinik Alt Türleri: Demografik Özellikler, Ruhsal ve Bedensel Ek Tanıların İki Aşamalı İncelenmesi”"/>
        <s v="“Modülatör Tedavi Kullanan Kistik Fibrozis Tanılı Çocuk Hastalarımızın Özellikleri ve Mental Sağlık Durumları”"/>
        <s v="“Mohs Cerrahisi Fellowship Eğitiminde Kullanılan Ölçme ve Değerlendirme Araçlarıyla İlgili Eğitici ve Öğrenci Görüşleri”"/>
        <s v="“Mohs Cerrahisinde Artırılmış Gerçeklik Entegrasyonlu Simülasyon Çalışması”"/>
        <s v="“Molibden Kofaktor Eksikligi-Tek Merkez Deneyimi”"/>
        <s v="“Monogenik Obezite ile İlişkili Varyant Saptanmış Erken Başlangıçlı Ciddi Obezitesi Olan Çocuklarda Klinik Ayırıcı Özelliklerin Belirlenmesi”"/>
        <s v="“Monogenik ve İdiyopatik Parkinson Hastalarında Kortikal-Subkortikal Glukoz Metabolizma Karakteristiklerinin Karşılaştırılması”"/>
        <s v="“Morganellaceae Ailesinde Antibiyotik Direnç Mekanizmalarının ve Virülans Faktörlerinin Fenotipik ve Genotipik Yöntemlerle İncelenmesi”"/>
        <s v="“Motor Beceri Zorlukları Özgül Öğrenme Bozukluğu İçin Fenotipik Bir Belirteç Olabilir mi? Motor Performansın Postürografik Analizi ve Bilişsel Becerilerle İlişkisi”"/>
        <s v="&quot;Motor İletim Blokları Parametrelerinin Retrospektif Olarak Analizi&quot;"/>
        <s v="“Motor Nöron Hastalığı Tanılı Bireylerde Eşlik Eden Ek Tuzak Nöropati Varlığının Değerlendirilmesi”"/>
        <s v="“MuItidisipliner KBB-Onkoloji Konseyinde Tartışılan Larinks Kanserli Hastalarda Klasifikasyon ve Sağkalım Değerlendirmede Yapay Zeka Temelli Tahmin Modeli Oluşturmak”"/>
        <s v="“Multipıl Skleroz Hastalarındaki Demiyelinizan Lezyonların, Non-demiyelinizan Lezyonlardan Duyarlılık Ağırlıklı MR Görüntüleme ile Ayrımı”"/>
        <s v="“Multipl Myelomda Fonksiyonel Görüntüleme: MRG ve PET-BT Yöntemlerinin Karşılaştırılması”"/>
        <s v="“Multipl Skleroz (MS) Tanılı Hastalarda MS Mesane Kontrol Aracı Kullanılarak Alt Üriner Sistem Semptomlarının Ön Değerlendirmesi ve Fonksiyonel Üroloji Polikliniğine Yönlendirme Kriterlerinin Belirlenmesi”"/>
        <s v="“Multipl Skleroz Hastalarında Hastalık Modifiye Edici Tedavilerin Yan Etkilerinin Yaş ve Cinsiyete Göre İncelenmesi”"/>
        <s v="“Multipl Skleroz Tanılı Hastalarda Telomer Uzunluğu Analizi: Prognoz, Klinik Fenotip, Dizabilite ve Manyetik Rezonans Görüntüleme Beyin Volüm Değişiklikleri ile İlişkisi”"/>
        <s v="“Multipl Sklerozda Telomer Uzunluğu, p16INK4a İfadesi ve İleri Beyin MR Görüntülemeleri ile Hastalık Progresyonu Arasındaki İlişkinin Prospektif İncelenmesi”"/>
        <s v="“Multiple Miyelom Etiyolojisinde Kopya Sayısı Değişikliklerinin Dijital Multipleks Ligasyon Bağımlı Prob Amplifikasyonu (MLPA) ile Araştırılması”"/>
        <s v="“Multiple Skleroz (MS) Tanılı Hastalarda MS Mesane Kontrol Aracı Kullanılarak Alt Üriner Sistem Semptomlarının Ön Değerlendirilmesi ve Fonksiyonel Üroloji Polikliniğine Yönlendirme Kriterlerinin Belirlenmesi”"/>
        <s v="&quot;Multiple Skleroz Tamil Kadınların Menopoz Semptomları ile Menopoza Yönelik Yaşam Kalitelerinin İncelenmesi&quot;"/>
        <s v="“Multisistem İnflamatuvar Sendrom (MIS-C)’da, Sistemik Siklik Dinükleotitler (CDN’ler) ve İnterferon Genlerini Uyarıcı (STING) Yolu Aktivasyonu: Hiperinflamasyona İmmünopatolojik Bakış”"/>
        <s v="“Myelodisplastik Sendrom ve Kronik Myelomonositik Lösemi Hastalarında Otoimmün Hastalık Birlikteliğinin Prognostik, Klinik, Laboratuvar, Tedavi Yanıtı Açısından Değerlendirilmesi”"/>
        <s v="“Mylohyoid Kas Transpozisyonunun Fasial Reanimasyondaki Potansiyeli: Kadavra Çalışması”"/>
        <s v="“Nadir Bir Over Tümörü: Ovaryen Fibrosarkom ve Mitotik Aktif Fibrom Olgularının Klinikopatolojik İncelemesi”"/>
        <s v="“Nadir Hastalığı Olan Çocuklar Özelinde Ebeveynlerinin Tutumu, Sağlık Okuryazarlığı ve Ekran Kullanımı”"/>
        <s v="“Nasal Septal Perforasyonlu Hastalarda NOSE-Perf Ölçeğinin Türkçe Uyarlamasının Geçerlilik ve Güvenilirlik Analizi”"/>
        <s v="“Nazal Dermoid Kistlere Multidisipliner Yaklaşım: Konjenital Vakaların Klinik, Görüntüleme ve Cerrahi Bulguları Üzerine Tek Merkezli Bir Analiz ”"/>
        <s v="“Nazal Septal Perforasyon Onarımının Hastaların Nazal Hava Akımı ve Yaşam Kalitesi Üzerine Olan Etkisinin Değerlendirilmesi”"/>
        <s v="“Nazofaringeal Stenozun Cerrahi Tedavisinde Nazoseptal Flep Etkinliğinin Araştırılması”"/>
        <s v="“Nefrotik Sendrom Tanılı Pediatrik Hastalarda Kapsamlı İlaç Yönetimi”"/>
        <s v="“Nemalin Miyopatisi Olan Hastalar için Çok Merkezli, Prospektif, Uzunlamasına ve Gözlemsel Bir Doğal Seyir Çalışması”"/>
        <s v="“Neoadjuvan Kemoterapi, Cerrahi ve Adjuvan Radyoterapi Uygulanan Meme Kanserli Olgularda HER2- Düzeyi ile Sağkalım İlişkisi ”"/>
        <s v="“Neovasküler Yaşa Bağlı Makula Dejenerasyonunda Fibrotik Skar Özellikleri ve Tedavi Parametrelerinin Görme Keskinliği Üzerine Etkileri: Retrospektif Gözlemsel Bir Çalışma”"/>
        <s v="“Non-Melanositik Deri Tümörlerinin Dermoskopik Özelliklerinin Polarize, Non-Polarize ve UV Modlar ile Karşılaştırılması”"/>
        <s v="“Non-Metrik Kraniyal Özelliklerin Cinsiyet Ayrımında Makine Öğrenmesi ve Uzman Değerlendirmeleri”"/>
        <s v="“Noninvazif Pulmoner Aspergillozis ve Allerjik Bronkopulmoner Aspergillozis Tanılı Kistik Fibrozis Hastalarında Vorikonazol Serum Düzeyi Ölçümünün Tedaviye Katkısı”"/>
        <s v="&quot;Nonsteroid Anti-İnflamatuar İlaçlar ile Alevlenen Hava Yolu Hastalığında Aspirin Kullanımının Kardiyovasküler Olaylar ve Kanama ile İlişkisini Değerlendirmek&quot;"/>
        <s v="“Nonsteroid Anti-inflamatuar İlaçlar ile Tetiklenen Hava Yolu Hastalığı Tanısı Olan Hastalarda Çoklu İlaç Alerjilerinin Değerlendirilmesi”"/>
        <s v="&quot;Nonsteroid Anti-İnflamatuar İlaçlarla Alevlenen Solunum Yolu Hastalığı Tanılı Kadınlarda Polikistik Over Sendromu Sıklığının Değerlendirilmesi&quot;"/>
        <s v="&quot;Nonsteroidal Anti-İnflamatuar ilaçlarla Alevlenen Solunum Yolu Hastalığında (N-ERD) Biyolojik ve Aspirin Tedavilerinin Karşılaştırmalı Etkileri &quot;"/>
        <s v="“Normal Basınçlı Hidrosefali Hastalarında Kortikal Eksitabilitenin Transkraniyal Manyetik Uyarım ile Değerlendirilmesi”"/>
        <s v="“Normal Doğum Politikaları ve Kadınların Tutumlarının Doğum Tercihi ve Postpartum Yaşam Kalitesi Üzerindeki Etkisi”"/>
        <s v="“Normal Gebeliklerde Fetal Farinks Büyüme Paternlerinin Üç Boyutlu Ultrasonografi ile Değerlendirilmesi”"/>
        <s v="“Nöroblastom Tanılı Çocuklarda Kemoterapi Tedavisi Bitimi Sonrası Aşı Serolojik Yanıtlarının ve Aşılama Programının Değerlendirilmesi”"/>
        <s v="“Nöroblastom ve Wilms Tümörü Tanılı Hastalarda Böbrek Koruyucu Cerrahi Sonrası Uzun Dönem Prognozun Değerlendirilmesi”"/>
        <s v="&quot;Nöroçeşitlilik Perspektifinden Cinsiyet Disforisi: Klinik Örneklemde Otistik Özellikler, Dikkat Eksikliği ve Hiperaktivite Bozukluğu Belirtileri ve Duyusal Profil Arasındaki İlişkinin İncelenmesi&quot;"/>
        <s v="“Nörodejeneratif Hastalıklarda Rutin Manyetik Rezonans Görüntüleme Sekanslarına Ek Olarak QSM ve CEST MRG Tekniklerinin Tanısal Katkısının ve Hastalığa Özgü Görüntüleme Paternlerinin Değerlendirilmesi”"/>
        <s v="“Nörodejeneratif Hastalıkların Erken Tanısında Göz Hareketleri Kullanılabilir mi?: Yapay Zeka Aracılıklı Vaka-Kontrol Çalışması”"/>
        <s v="“Nörofibromatosis Tip 1 Vakalarında Gebelik Öncesi Dönemden Çocukluk Dönemine Çevresel Etkilenimler”"/>
        <s v="“Nörofibromatozis Tip 1 Hastalarının Beyin Manyetik Rezonans Görüntüleme Bulgularının Retrospektif Degerlendirilmesi”"/>
        <s v="&quot;Nörofibromatozis Tip1 İlişkili Pleksiform Nörofibromlarda Selümetinib Kullanımı: Hacettepe Deneyimi”"/>
        <s v="“Nörogelişimsel Bozukluk Tanı Gruplarında Potansiyel Biyobelirteç Olarak IL-6, IL-18, TNF-α ve β-NGF Düzeylerinin Karşılaştırmalı Analizi”"/>
        <s v="“Nöroloji ve Çocuk Nöroloji Bölümlerinden Çocuk İmmünoloji Bölümüne Konsulte Edilen ve Primer İmmün Yetmezlik Tanısı Konulan Hastaların İncelenmesi”"/>
        <s v="“Nörolojik Semptom ile Başvuran Lösemi ve Lenfoma Hastalarında İntrakraniyal Görüntüleme Bulgularının Araştırılması”"/>
        <s v="“Nöromusküler Hastalıklarda Tüm Ekzom Dizileme Yöntemi ile Genetik Etyolojinin Belirlenmesi”"/>
        <s v="“Nükleer Tıp Görüntüleme Yöntemleri ile Saptanan İnsidental Papiller Tiroid Mikrokarsinomlarının Klinikopatolojik Özelliklerinin Diğer Saptanma Yöntemleriyle Karşılaştırıması”"/>
        <s v="“Nüks Endometrium Kanserinde Sekonder Sitoredüktif Cerrahinin Rolü ve Cerrahi Başarıyı Etkileyen Faktörler”"/>
        <s v="“Obez Hastalarda Antimikrobiyal Tedavide Terapötik İlaç Düzeyi İzlemi: Prospektif Gözlemsel Bir Çalışma”"/>
        <s v="“Obez Hastalarda Meropenem ve Vankomisin Terapötik İlaç Düzeyi İzlemi: Retrospektif Bir Kohort Çalışması”"/>
        <s v="“Obezite Hastalığının Oküler Yüzey Üzerindeki Etkilerinin Değerlendirilmesi”"/>
        <s v="“Obsesif Kompulsif Bozukluğu olan Ergenlerde Duyusal Profil ile İnteroseptif Farkındalık ve Doğruluğun İncelenmesi”"/>
        <s v="“Obstrüktif veya Reflüksif Megaüreter Nedeniyle Geçici Üreterokutaneostomi Yapılmış Olan Hastaların Klinik Takip Sonuçlarının Değerlendirilmesi”"/>
        <s v="“Odontojenik Kist ve Tümörlerde Kortikal Perforasyon, Kemik Dolumu ve Rekürrens Oranlarının Volümetrik ve Kantitatif Değerlendirilmesi”"/>
        <s v="“Oktogenarian Kolon Kanserli Hastalarda Tedavi Etkinliğinin ve Uyumunun Değerlendirilmesi"/>
        <s v="“Omuz Yaralanması Geçiren Sporcularda Spora Dönüş Evrelerinde Psikolojik Hazıroluşluğun İncelenmesi: Boylamsal Karma Desen Çalışması”"/>
        <s v="“Ön Çapraz Bağ Rekonstrüksiyonu Yapılan Hastalarda Kemik Tünel Genişliklerinin Zero Time Echo Sekans Manyetik Rezonans Görüntülemeve Bilgisayarlı Tomografi ile Karşılaştırılması”"/>
        <s v="“Ön Glottik Web Tedavisinde ‘Kelebek Mukoza Flebi’ Cerrahi Tekniğinin Sonuçları”"/>
        <s v="“Onikomikoz Teşhisinde Yapay Zeka Algoritmalarının Dermatolog ve Aile Hekimleri ile Karşılatırmalı Olarak Değerlendirilmesi”"/>
        <s v="“Onkolojik veya Hematolojik Malignitesi Olan Nötropenik Hastalarda Karbapenemaz Üreten Enterobacterales Sebepli Bakteriyemi Tedavisinde Seftazidim/Avibaktam”"/>
        <s v="“Opere Temporal Lob Epilepsili Hastalarda Jeneralize İnteriktal Epileptiform Deşarj Varlığı ve Önemi”"/>
        <s v="“Optik Disk Druzeni Tanılı Hastalar ve Kontrol Gruplarında, Optik Koherens Tomografı-Anjiyografı (OCT-A) Tetkiki ile Optik Sinir Başı ve Peripapiller Mikrovasküler Değişikliklerin Karşılaştırılması ve Klinik Bulgular ile Korelasyonu”"/>
        <s v="“Orak Hücreli Anemi Hastalarının Kanama ve Tromboz Sıklıkları ile Klinik Özelliklerinin ve Tedavi Yöntemlerinin İncelenmesi”"/>
        <s v="“Oral Bakteri Kaynaklı Ekstraselüler Veziküllerin İnsan Mikroçevre Hücreleri Üzerindeki Etkilerinin Araştırılması”"/>
        <s v="“Oral Biyopsi Uygulanan Hastalarda Anksiyete ve Ağrı Düzeylerinin Değerlendirilmesi”"/>
        <s v="“Oral Cerrahi İşlem Gereken Bireylerin Preoperatif Siberkondri Ciddiyeti ile Anksiyete ve Cerrahi Korku Seviyelerinin Değerlendirilmesi”"/>
        <s v="&quot;Oral Demir Preparatı Alerjisi Şüphesi Olan Hastalarda Alternatif Demir Tuzları ile Yapılan Oral Provokasyon Sonuçlarının Değerlendirilmesi&quot;"/>
        <s v="“Oral İmmunoglobulin Replasmanı Almış Olan Primer İmmün Yetmezlik Hastalarının Demografik, Klinik ve Laboratuvar Özelliklerinin Değerlendirilmesi”"/>
        <s v="“Örgün ve Mesleki Öğretimde Olmayan veya Çalışmayan (NEET) Gençlerin Ruh Sağlığının Sosyal Eşitsizlikler Açısından İncelenmesi: Nitel ve Nicel bir Derleme”"/>
        <s v="“Orta Dönemde Bakılan Serum ve İdrar Metal İyon Seviyeleri, Metal-Metal Kalça Artroplastisinin On İki Yıllık Sağkalımım Öngörebilir mi?”"/>
        <s v="“Orta-Şiddetli Kronik Plak Tipi Psöriazis Nedeniyle TNF-α İnhibitörü, IL-17 İnhibitörü veya IL-23 İnhibitörü Tedavisi Kullanan Hastalarda, Aynı Grup İçindeki Biyolojik Ajan Değişiminin Değerlendirilmesi”"/>
        <s v="“Ortodontik Tedavi Sürecinde Yapay Zekâ ve Sosyal Medya Kullanım Alışkanlıklarının Değerlendirilmesi”"/>
        <s v="“Ortodontik Tedavi Sürecinin Keratinize Diş Eti Özellikleri Üzerine Etkisinin İncelenmesi”"/>
        <s v="“Ortognatik Cerrahi Takiplerinde Karşılaşılan Nörosensoriyel Bozuklukların Klinik Testler ile Değerlendirilmesi ve Yaşam Kalitesi Üzerine Etkisi”"/>
        <s v="“Ortognatik Cerrahide ERAS Yaklaşımının Operatif Parametreler ve Nörosensoryel İyileşmeye Etkisi”"/>
        <s v="“Ortopedik Engelli Çocuklarda Ağız Sağlığının, Ağız Sağlığına İlişkin Yaşam Kalitesinin ve Ebeveyn ve Öğretmen Farkındalığının İncelenmesi”"/>
        <s v="“Ortopedik Tümör Hastalarında Büyük Dil Modellerinin MRG ve Patoloji Raporlarından Tanı Koyma Yeterliliğinin Değerlendirilmesi”"/>
        <s v="“Ortostatik Hipotansiyonun Retrospektif İzlemde Kırılganlık Düzeyindeki Değişim ve İlişkili Geriatrik Parametreler Üzerine Etkisinin Değerlendirilmesi”"/>
        <s v="“Os Hyoideum Anatomik Değerlendirmesi: Şekil, Füzyon, Gövde Genişliği ve Bunların Birbirleriyle Olan İlişkileri, Basit Bir Sınıflandırma Önerisiyle”"/>
        <s v="“Os Naviculare Cerrahi Fiksasyonu İçin İmplant Boyutlarının Optimizasyonu: Morfometrik Çalışma”"/>
        <s v="“Os Parietale Kalınlığının Bölgesel Değişkenliğinin Analizi ve Klinik Önemi”"/>
        <s v="“Osteoporozu Olan Geriatrik Hastalarda Kırık Riskinin FI-Lab Skoru ve Kapsamlı Geriatrik Değerlendirme ile Değerlendirilmesi”"/>
        <s v="“Otizm Spektrum Bozukluğu Olan Çocuklarda Ebeveyn Çocuk İlişki Kalitesi, Ebeveyn Oksitosin Düzeyi ve Ebeveynlerin Bakım Paylaşım Dengesinin Duygu Düzenleme ile İlişkisinin İncelenmesi”"/>
        <s v="“Otizm Spektrum Bozukluğu ve Dikkat Eksikliği Hiperaktivite Bozukluğu Tanılı Çocuklarda İnflamasyon Hipotezinin Tam Kan Sayımı Parametreleri ile İncelenmesi”"/>
        <s v="“Otizm Spektrum Bozukluğunda Adaptif Bağışıklık Sisteminin Th1/Th2/Th9/Th17/Th22 Ekseni ve B Hücre Aktivasyon Faktörleri Üzerinden Çoklu Sitokin Profili Analizi”"/>
        <s v="“Otizm Tanılı Ergenlerin Ebeveynlerinin Tükenmişlik ve Damgalanma Algısının Bilinçli Farkındalık Aracılığıyla Ergenlerin Psikososyal İyilik Hali Üzerine Etkisi”"/>
        <s v="“Otoimmün Demiyelinizan Hastalıklar (MS, NMO, MOGAD)'a Bağlı Optik Nörit Geçiren Olgularda Mikroperimetri ve Patern Elektroretinografi ile Optik Sinir ile Makula Fonksiyonunun Değerlendirilmesi"/>
        <s v="“Otoimmün Hastalıklarda Eşlik Eden Ek Otoimmün Hastalıkların İncelenmesi”"/>
        <s v="“Otoinflamatuvar Hastalıklarda Akciğer Tutulumunun Değerlendirilmesi”"/>
        <s v="“Ottawa Kriz Kaynak Yönetimi Küresel Değerlendirme Ölçeği ve Ottawa Kriz Kaynak Yönetimi Becerileri Kontrol Listesinin Türkçeye Uyarlanması”"/>
        <s v="“Over Kanseri Hastalarında Primer Debulking Cerrahisi Yapılan ve Neoadjuvan Kemoterapi Alanlarda Gelişen Venöz Tromboembolik Olaylar, Risk Faktörleri, Sağkalım ve Profilaksi Uygulamalarının Retrospektif Olarak Araştırılması”"/>
        <s v="“Over Kanseri Hastalarında Uygulanan Tedavi Stratejilerinin, Tedavi Yanıtı Öngörücü Parametrelerin, Sağ Kalım ve Nüks Paternlerinin Çok Yönlü Analizi”"/>
        <s v="“Over Kanserinde Mikroplastikler ve Metabolomik Etkileri”"/>
        <s v="&quot;Özel Gereksinimli Çocukların Okula Devam Durumları ve Karşılaştıkları Engeller&quot;"/>
        <s v="“Özgül Öğrenme Bozukluğu Tanılı Ergenlerde Benlik Saygısı, Yeterlik Algısı ve Baskın Savunma Mekanizmalarının Annelerdeki Psikolojik Farkındalık ve Empati Düzeyi ile İlişkisi”"/>
        <s v="“Özgül Öğrenme Bozukluğu ve Dikkat Eksikliği Hiperaktivite Bozukluğu Komorbiditesi Olan Çocuklarda Okuma-Yazma Performansının Yönetici İşlevler, Nörobilişsel Profil ve İşlevsellik ile İlişkisinin İncelenmesi”"/>
        <s v="“Özofagus Atrezili Çocuklarda Tekrarlayan Trakeoözofageal Fistüllerin Yönetimi”"/>
        <s v="“Özofagus Atrezili Olgularda Fiberoptik Endoskopik Yutma Testi ve Videofloroskopik Yutma Testi Değerlendirme Sonuçlarının Karşılaştırılması”"/>
        <s v="“Palyatif Bakım Hastalarına Bakım Verenlerin Deneyimlerinde Cinsiyet Rollerinin Etkilerinin İncelenmesi”"/>
        <s v="“Panoramik Radyografik Görüntüler Kullanılarak Angle Sınıf I, II ve III Malokluzyona Sahip Hastalarda Mandibular Kemik Dansite ve Morfolojisinin Karşılaştırılması”"/>
        <s v="“Panoramik Radyograflarda Derin Öğrenme Yöntemiyle Gelistirilen Yapay Zeka Algoritmasıyla Mandibulada Idiyopatik Osteoskleroz ile Kondensing Osteitisin Tespitinin ve Ayrımının Yapılması”"/>
        <s v="“Papiller Tiroid Kanseri Tanısında Prediktif Değeri Olan Moleküllerin Tespit Edilmesi”"/>
        <s v="“Papiller Tiroid Kanserinin Tükürükteki Moleküler Belirteçler ile Tanısı”"/>
        <s v="“Papivir Kullanımının HPV Pozitif Kadınlarda Viral Klirense Etkisi”"/>
        <s v="“Paranazal Sinüs Pnömotizasyonu ile Nazal Muayene Bulguları ve Rinomanometrik Parametreler Arasındaki İlişkinin Değerlendirilmesi”"/>
        <s v="“Paraservikal Blok Uygulamasının Histeroskopi Sonrası Postoperatif Ağrı Üzerine Etkisi: Anket Çalışması”"/>
        <s v="“Parkinson Hastalığında Levodopa-Karbidopa İntestinal Jel Kullanan Hastalarda Periferik Nörolojik Tutulum: Elektrofizyolojik Çalışma”"/>
        <s v="“Parkinson Hastalığının Genetik Alt Tiplerinde Bağırsak Mikrobiyomunun Karşılaştırmalı Profillenmesi, Fonksiyonel GABAerjik Kapasitenin Metagenomik Analizi ve Yüksek GABA Üreten Lactobacillus Suşlarının İzolasyonu”"/>
        <s v="“Parmak Ucu Amputasyonlarının İkincil Rekonstrüksiyonunda Lokal Flep ve Kompozit Greft Tekniklerinin Karşılaştırılması: Uzun Dönem Duyusal ve Fonksiyonel Sonuçlar”"/>
        <s v="“Patellofemoral Eklem İnstabilitesinde Bilgisayarlı Tomografi ve Sıfır Eko Zamanlı Manyetik Rezonans Görüntüleme Sekansı ile Yapılan Ölçümlerin Karşılaştırılması”"/>
        <s v="“Patient Enablement Instrument (PEI)” Hasta Yetkilendirme Ölçeğinin Türkçe Geçerlilik ve Güvenilirlik Çalışması”"/>
        <s v="“Patolojik Miyopi Hastalarının Retina Bulgularının Uzun Dönem Takip Sonuçları”"/>
        <s v="“PAX1 Gen Mutasyonunun Timus Gelişimi ve Fonksiyonu Üzerinde Etkilerinin Araştırılması”"/>
        <s v="“Pediatri Günübirlik Tedavi Servisinde İzlenen Tıbbi Olarak Karmaşık Çocukların Değerlendirilmesi”"/>
        <s v="“Pediatrik AdrenokortikalTümörler İçin Avrupa-Çapında Araştırma İnisiyatifi-Hastalığı Kavrama ve Tedavi Sonuçlarını Geliştirme”"/>
        <s v="“Pediatrik Akciğer Enfeksiyonlarında Toraks BT Bulgularının Klinik Verilerle Birleştirilmesi Sonucunda Mantar ve Diğer Etkenlerin Derin Öğrenme ve Makine Öğrenmesi Yöntemleriyle Erken Dönemde Ayırt Edilmesi”"/>
        <s v="“Pediatrik Ampiyemde Streptococcus Pneumoniae’nin Rolü: Tanıdaki Gelişmeler ve Epidemiyolojik Bulgular”"/>
        <s v="“Pediatrik Brakiosefalik Ven Kateterizasyonlarının Komplikasyonlar Açısından Retrospektif Olarak İncelenmesi”"/>
        <s v="“Pediatrik Cerrahi Hastalarında Postoperatif Ağrı Yönetimi Başarısının Değerlendirilmesi”"/>
        <s v="“Pediatrik Hastalarda Adenoidektomi ve Parasentez Sonrası Otolojik İyileşme ve Yaşam Kalitesi Değişimleri”"/>
        <s v="“Pediatrik Hastalarda Görüntüleme Eşliğinde Perkütan Gastrostomi: Endikasyonlar, Klinik Başarı ve Komplikasyonların Retrospektif Değerlendirilmesi”"/>
        <s v="“Pediatrik Hastalarda Kortikosteroid Kullanımına Yönelik Ebeveyn/Bakım Veren Görüşlerini Değerlendiren Bir Ölçeğin Geliştirilmesi ve Değerlendirilmesi”"/>
        <s v="“Pediatrik Hematopoietik Kök Hücre Transplantasyonunda Sitomegalovirüs Enfeksiyonunun Transplantasyon Sonuçlarına Etkisinin Değerlendirilmesi”"/>
        <s v="“Pediatrik Hiperlipidemi Hastalarında Glikolizasyon Profil  Karşılaştırması”"/>
        <s v="&quot;Pediatrik İdiopatik Ventriküler Fibrilasyon Olgularında Katekolaminerjik Polimorfik Ventriküler Taşikardiye Yol Açan Genetik Varyantların Sıklığı ve Moleküler Otopsi Uygulamasının Tanısal Katkısı&quot;"/>
        <s v="“Pediatrik IgA Nefropatisi için Üriner EV Temelli Biyobelirteçler ile iUPKH Kaynaklı Kişiselleştirilmiş Organoid Platformlarının Geliştirilmesi”"/>
        <s v="“Pediatrik Kardiyopulmoner Resüsitasyonda Kesintisiz Göğüs Kompresyonları Altında Video ve Direkt Laringoskopinin Karşılaştırılması: Randomize Simülasyon Çalışması”"/>
        <s v="“Pediatrik Kemik Tümörlerinde Ebeveyn Bilgilendirmesinde Büyük Dil Modellerinin Klinik Doğruluk, Okunabilirlik ve Empati Açısından Çok Boyutlu Analizi”"/>
        <s v="“Pediatrik Kriptojenik Nörolojik Hastalıklarda İnsizyonel Beyin Biyopsisinin Tanıya Katkısı”"/>
        <s v="“Pediatrik Langerhans Hücreli Histiyositozda Kemik Tutulum Paternleri ve Vertebral Deformitelerin Klinik Sonuçlarla İlişkisi: Retrospektif Analiz Çalışması”"/>
        <s v="“Pediatrik Majör Cerrahilerde Preoperatif Gamma-Glutamil Transferazın Albümine Logaritmik Oranı ile Postoperatif Komplikasyonlar Arasındaki İlişkinin Değerlendirilmesi”"/>
        <s v="“Pediatrik Nazofarenks Karsinomunda¹⁸F-FDG PET/BT Metabolik Parametrelerinin Prognostik Değeri”"/>
        <s v="“Pediatrik Non-Hodgkin Lenfoma Tanılı Hastalarda PET-BT'den Elde Edilen Semikantitatif Parametrelerin Değerlendirilmesi”"/>
        <s v="“Pediatrik Nöroloji Polikliniğinde Nörogenetik Hastalıkların Dağılımı”"/>
        <s v="“Pediatrik Osteoid Osteoma Hastalarında Bilgisayarlı Tomografi Eşliğinde Radyofrekans Ablasyon Tedavisi Sonrası Nüks ile İlişkili Risk Faktörlerinin Değerlendirilmesi”"/>
        <s v="“Pediatrik Pankreas Cerrahisinde Postoperatif Komplikasyonlar: On Yılda Ne Öğrendik?”"/>
        <s v="“Pediatrik Popülasyonda Pelvik BT ile Asetabular Sektör Açıları ve Femoroasetabular Parametreler Arasındaki Korelasyonun Değerlendirilmesi ve Normatif Referans Değerlerin Belirlenmesi”"/>
        <s v="“Pediatrik Popülasyonda Yaşla Değişen Alerjene Özgü Duyarlanma Dinamikleri"/>
        <s v="“Pediatrik Proksimal Humerus Kırıklarında Konservatif ve Cerrahi Tedavinin Uzun Dönem Sonuçları”"/>
        <s v="“Pediatrik Ürolitiazis Hastalarında Endoskopik Taş Cerrahileri Sonrası Taşsızlık ve Komplikasyon Oranını Etkileyen Faktörlerin Retrospektif İncelemesi”"/>
        <s v="“Pediatrik Wilson Hastalarında Nörotoksisitenin Değerlendirilmesi”"/>
        <s v="“Pediyatrik Orbital Rabdomyosarkomun Görüntüleme Bulguları”"/>
        <s v="“Pediyatrik Sarkomlarda Metabolik ve Radyomik Parametreler ile Prognostik Modelleme”"/>
        <s v="“Pelargonium graveolens'in Endometriozis Hücre Hattı (12Z) Üzerindeki Etkilerinin Araştırılması”"/>
        <s v="“Pelvis Malign Tümörlerinde Tek Cerrah Serisi: Hemipelvektomi Yapılan Hastaların Uzun Dönem Onkolojik Sağkalım ve Fonksiyonel Sonuçların Değerlendirilmesi”"/>
        <s v="“Pemfigus Vulgaris Hastalarında Rituksimab Tedavisinden Sonrası Relaps İle İlişkili Laboratuar ve Klinik Parametrelerin Araştırılması”"/>
        <s v="“Perforan Dermatoz Hastalarında Fototerapi Yanıtını Öngören Klinik ve Laboratuvar Parametrelerinin Değerlendirilmesi”"/>
        <s v="“Peri-implantitis ve Periodontitiste İnflamatuvar ve Koruyucu Yanıt: Dişeti Islaklığı, Dişeti Oluğu Sıvısı ve Peri-implant Oluk Sıvısının TNF-α, IL-10, MUC4 Düzeylerinin İncelenmesi”"/>
        <s v="“Periapikal Patolojisi Bulunan Dişlerde Primer Endodontik Tedavinin Başarısızlık Nedenlerinin İncelenmesi”"/>
        <s v="“Periferik Arter Hastalarında Femoropopliteal Endovasküler Girişim Başarısını Belirleyen Faktörlerin Değerlendirilmesi”"/>
        <s v="“Periferik Fasiyal Paralizili Hastalarda Kulak MRG Bulguları ve 3D-FLAIR Sekansın Tanıya Katkısının Araştırılması”"/>
        <s v="“Perifoveal Eksüdatif Vasküler Anomali Kompleksi ve Benzeri Lezyonun Klinik Özellikleri, Görüntüleme Bulguları ve Tedavi Sonuçları”"/>
        <s v="“Periodontal Durum, Oral Sağlık ve Sosyal Anksiyete Düzeyi Arasındaki İlişkinin İncelenmesi”"/>
        <s v="“Periprostetik Femur Kırığı Hastalarında Laboratuvar Parametreleri ve Radyolojik Morfolojik İndekslerin Uzun Dönem Sağkalım Üzerindeki Analizi: Retrospektif Kohort Çalışması”"/>
        <s v="“Periventriküler Nodüler Heterotopi İlişkili Epilepside Klinik Özellikler”"/>
        <s v="“Perkütan Endolüminal Forseps Biyopsilerinin Teknik ve Tanısal Performansı: Endobiliyer ve Endoüreteral Lezyonlar”"/>
        <s v="“Perkütan Koroner Girişimin Geriatrik Hastalarda Fonksiyonel Performans, Kırılganlık ve Geriatrik Sendromlar ile İlişkisi”"/>
        <s v="“PET Rekonstrüksiyon Algoritmalarının Karşılaştırmalı Değerlendirilmesi: OSEM, BPL, DDG”"/>
        <s v="“PFAPA Tanılı Hastalarda Kullanılan Tedavilerin Retrospektif Olarak Değerlendirilmesi”"/>
        <s v="“PIDCAP Skorlama Sisteminin Kronik Granülomatöz Hastalık Tanısı Olan Hastalarda Değerlendirilmesi”"/>
        <s v="“Pierre Robin Sekanslı Hastalarda Distraksiyon Osteogenezis Uygulamasının Dentofasiyal Yapılara Uzun Dönemdeki Etkisi”"/>
        <s v="“PIK3CG Eksikliğinin Doğal ve Kazanılmış Bağışıklık Sistemi Üzerindeki Etkilerinin Araştırılması”"/>
        <s v="“Pilonidal Hastalıkta Minimal İnvaziv Cerrahi: Ergen Olgularda Gips Prosedürünün Değerlendirilmesi”"/>
        <s v="“Pitoz Cerrahisinde Yeni Bir Teknik: Procerus Kas Transferi ile Üst Göz Kapağının Dinamik Reanimasyonu, Kadavra Çalışması”"/>
        <s v="“Plak Psoriazisli Hastalarda Apremilast Tedavisinin Klinik ve Metabolik Bulgulara Etkisinin İncelenmesi”"/>
        <s v="“Plastik, Rekonstrüktif ve Estetik Cerrahi Polikliniği Hastalarında Hekime Ulaşma ve Tercih Kanallarının İncelenmesi”"/>
        <s v="&quot;Platin Bazlı Kemoterapi Ajanları ile Hızlı İlaç Desensitizasyonuna İlişkin Tek Merkez Deneyimimiz &quot;"/>
        <s v="“Platisma KasTranspozisyonunun Fonksiyonel ve Rekonstrüktif Kullanımı: Kadavra Çalışması”"/>
        <s v="“Plöroparenkimal Fibroelastozis Tanılı Pediatrik Olguların Klinik, Radyolojik ve Tanı Süreçlerinin Değerlendirilmesi: Üç Olguluk Retrospektif Vaka Serisi”"/>
        <s v="“Pnömosistis Jirovecii Pnömonisi Tanısı Koyulan Hastalarda Risk Faktörleri ve Tedavi Yanıtlarının Değerlendirilmesi”"/>
        <s v="“Poliarteritis Nodoza (PAN) Hastalarında Organ Tutulum Paternlerinin Latent Sınıf ve Faktör Analizi ile Değerlendirilmesi (Evaluation of Organ Involvement Patterns in Patients With Polyarteritis Nodosa Using Latent Classand Factor Analysis)"/>
        <s v="“Polikistik Böbrek Hastalığı Olan Renal Transplant Alıcılarında Postoperatif Sağkalım ve Komplikasyonların Değerlendirilmesi''"/>
        <s v="“Polikistik Over Granüloza Hücrelerinde Ferroptozise Astaksantinin Etkileri”"/>
        <s v="“Polikistik Over Sendromlu Ergenlerde Uyku ve Kronotip Özelliklerinin Klinik ve Metabolik Parametrelerle İlişkisi ve İzlemde Değişimin Değerlendirilmesi”"/>
        <s v="“Polikistik Over Sendromlu Hastaların Açlık ve Tokluk Durumunda Beyin Fonksiyonel Durum Değişiminin İnkretin Hormonlarla İlişkisinin İncelenmesi ve Sağlıklı Gönüllüler ile Karşılaştırılması”"/>
        <s v="“Polikistik Over Sendromu Tanılı Hastalar ve Aile Bireylerinde Multi-Omik (Proteomik-Glikomik-Glikoproteomik ve Metabolomik) Profillerin Sağlıklı Kontroller ve Aileleri ile Karşılaştırmalı İncelenmesi”"/>
        <s v="“Polikistik Over Sendromu Tanılı Hastaların Endokrinolojik İzlemi ve Veri Tabanı Oluşturulması”"/>
        <s v="“Polikistik Over Sendromu Tanılı Hastaların Safra Asit Düzeylerinin Sağlıklı Kontrollerle Karşılaştırmalı İncelenmesi”"/>
        <s v="“Polikistik Over Sendromuna İlişkin Bilgi ve Algının Çok Dilli Video Tabanlı Eğitim ile Değerlendirilmesi”"/>
        <s v="“Polikistik Over Sendromunda Cilt Mikrobiyotasının, Cilt Biyofiziksel Özelliklerinin ve Sebum Lipidomiğinin Değerlendirilmesi”"/>
        <s v="“Poliklinik Değerlendirilmesinde Son 1 Haftada Acilden Yönlendirildiği Tespit Edilen Hastaların Verilerinin Retrospektif Olarak Unutkanlık Açısından Değerlendirilmesi”"/>
        <s v="“Polimikrogiri İlişkili Epilepsi Hastalarında Klinik ve Laboratuvar Bulgular: Tek Merkez Deneyimi”"/>
        <s v="“Polimiksin Nefrotoksisitesi için Makine Öğrenme Tabanlı Prediktif Skor Geliştirilmesi”"/>
        <s v="“Portabl Akciğer Grafilerinde Endotrakeal Tüp Pozisyonunun Belirlenmesi ve Pnömotoraks Teşhisinde Yapay Zeka: İki Programın Karşılaştırması”"/>
        <s v="“Portal Hipertansiyon Tanılı Çocuk Hastaların Uzun Süreli Klinik İzlem Sonuçları”"/>
        <s v="“POS-VAP: Sürekli Gözlemsel Çalışma- Ventilatör İlişkili Pnömoni”"/>
        <s v="“Post-Neoliberal Bir Gündem Olarak Bakım Krizi: Engelli Bakım Politika ve Hizmetlerinin Toplumsal Yeniden Üretim Açısından Değerlendirilmesi”"/>
        <s v="“Post-travmatik Epilepsi: Hastaların Klinik Özellikleri, MRGve EEG Bulgularının Prognozla İlişkisi”"/>
        <s v="“Posterior Üvea Nevüsü, Üvea Melanomu ve Sınırlı Koroid Hemanjiyomu Hastalıklarının Ayırıcı Tanısında Makine Öğrenmesi Temelli Yapay Zeka Algoritması Oluşturulması”"/>
        <s v="“Posterior Üveal Nevüslerde Oftalmolojik Muayene Bulguları ile Multimodal Görüntüleme Bulguları Arasındaki Korelasyonun Değerlendirilmesi”"/>
        <s v="“Pre-menopozal ve Post-menopozal Kadınlarda Odyolojik ve Vestibüler Fonksiyonların Karşılaştırılması”"/>
        <s v="“Preeklampsi Açısından Yüksek Riskli Gebelerde Mikrovasküler Değişiklik Takibi ile Preeklampsi Öngörüsü: Prospektif Gözlemsel Çalışma”"/>
        <s v="“Preklinik Endodonti Eğitiminde 3D Baskılı Modeller: Öğrenci Perspektifinden Bir Değerlendirme”"/>
        <s v="“Preoperatif Uyku Kalitesinin Mandibular Gömülü Üçüncü Molar Diş Çekimi Sonrası Ağrı ve Ödem Üzerine Etkisi”"/>
        <s v="“Preseptal, Orbital ve Bukkal Sellülit Nedeniyle Hastanede Yatan Çocukların Değerlendirilmesi”"/>
        <s v="&quot;Preterm Doğum Öyküsü Olan Çocukların Okula Hazır Bulunuşluklarının Değerlendirilmesi&quot;"/>
        <s v="“Preterm Eylem Tehdidi Nedeniyle Antenatal Kortikosteroid Uygulanan Gebelerde Maternal İdrar Metabolomik Profilinin Belirlenmesi ve Gestasyonel Yaş Uyumlu Sağlıklı Gebelerle Karşılaştırılması”"/>
        <s v="“Primer Atopik Hastalıklarda Yardımcı T Hücre 2 Yanıtının Multiomik Yaklaşımla Ayrıntılı Olarak Değerlendirilmesi”"/>
        <s v="“Primer Dismenoreden Etkilenme Düzeyine Göre Başvurulan Tamamlayıcı ve Alternatif Tedavi Yöntemlerinin Değerlendirilmesi”"/>
        <s v="“Primer Diz Artroplastisi Yapılan Hastaların VKİ Oranlarının Uzun Dönem Klinik ve Fonksiyonel Sonuçlara Etkisi”"/>
        <s v="“Primer Dudak Damak Yarıklı Hastalarda Eşlik Eden Anomalilerin Operasyon Yaşı ve Erken Dönem Postoperatif Komplikasyonlarla İlişkisi"/>
        <s v="“Primer Hiperparatiroidi Hastalarında Cerrahi Tedavi ile Sağlanan Kürün Miyokin Profili Üzerindeki Etkilerinin İncelenmesi”"/>
        <s v="“Primer Hiperparatiroidi Tanılı Hastaların Demografik, Klinik, Biyokimyasal ve Görüntüleme Bulgularının Değerlendirilmesi”"/>
        <s v="“Primer Hipofizit (Otoimmün ve IgG4 İlişkili) Olgularının Uzun Dönem Klinik Seyri”"/>
        <s v="“Primer İmmün Yetmezlik Tanısı ile İzlenen Adolesan Hastaların Beden Algısı ve Tedavi Uyumunun Değerlendirilmesi”"/>
        <s v="“Primer İmmün Yetmezlik Tanısı ile İzlenen Hastalarda Karaciğerde Gelişebilen Fokal Nodüler Hiperplazi Lezyonlarmin Değerlendirilmesi ”"/>
        <s v="“Primer İmmün Yetmezlikli Hastalarda Nutrisyonel Durumun Değerlendirilmesi ve Vücut Kompozisyonu Ölçümü”"/>
        <s v="“Primer İntratorasik Nörojenik Tümörlere Multidisipliner Yaklaşım”"/>
        <s v="“Primer Siliyer Diskinezi Hastalarında Beslenme Durumu ve Solunum Parametreleri İlişkisi: Kesitesel ve Takip Çalışması”"/>
        <s v="“Primer Siliyer Diskinezi Tanılı Hastaların Klinik, Radyolojik ve Fonksiyonel Bulgularının Değerlendirilmesi: Erişkin Döneme Geçişte Hastalık Özellikleri”"/>
        <s v="“Primer Vezikoüreteral Reflü Olan Çocuk Hastalarda Açık Cerrahi ile Üreteral Reimplantasyon Sonuçlarımızın Değerlendirilmesi”"/>
        <s v="&quot;Primipar Kadınlarda Emzirme Mitlerinin Emzirme Başarısı Üzerindeki Etkisi: Emzirme Özyeterliliğinin Aracı Rolü&quot;"/>
        <s v="“Progresif Multipl Sklerozis Hastalarında Optik Sinir Tutulumunun Değerlendirilmesi ve Fonksiyonel Parametreler ile Korelasyonu”"/>
        <s v="“Proksimal Falanks Kırıklarında Cerrahi ve Konservatif Tedavinin Radyolojik ve Fonksiyonel Sonuçlarının Karşılaştırılması”"/>
        <s v="“Proksimal Femur Morfometrisinin Ortopedik İmplant ve Protez Tasarımındaki Önemi”"/>
        <s v="“Proksimal Humerus Kırıklarında Kalkar Vidası Pozisyonunun Başarısızlık Üzerine Etkisi”"/>
        <s v="“Proksimal Tibia İntraartiküler Kırıklarının Retrospektif Analizi ve Tedavi Sonuçları”"/>
        <s v="“Proksimal Tibia Rekonstrüksiyonu ile Tedavi Edilen Hastaların Klinik Sonuçları”"/>
        <s v="&quot;Prolaktinoma ve Akromegali Hastalarında Tiroid Hastalıklarının Karşılaştırmalı Değerlendirilmesi”"/>
        <s v="“Propionik Asidemi Tanılı Hastaların Kardiyak Özelliklerinin Retrospektif Değerlendirilmesi”"/>
        <s v="“Prostat Kanseri Hastalarında Definitif Radyoterapi Sonrası Nüksün Tespitinde Ga-68 PSMA PET/BT'nin Rolü”"/>
        <s v="“Prostat Kanserinde Sistemik Tedavi Yanıt Değerlendirilmesinde Ga-68 İşaretli PSMA PET-BT ile Biyokimyasal Belirteçlerin Rolü ve Prognostik Önemi”"/>
        <s v="“Prostat ve Mesane Kanserlerinde DNA Hasar Yanıtının Hedeflenmesi: Preklinik Modelleme&quot;"/>
        <s v="“Proteinüri Nedeniyle Çocuk Nefrolojisi Bilim Dalı'nda Değerlendirilen Diabetes Mellitus Tanılı Çocuk Hastaların Retrospektif Değerlendirilmesi”"/>
        <s v="“Protetik Diş Tedavisinde Yapay Zeka Kullanımına Dair Diş Hekimliği 4. ve 5. Sınıf Öğrencilerinin Farkındalık, Tutum ve Etik Algılarının Değerlendirilmesi”"/>
        <s v="“Pseudo-Bartter Sendromu Olan Kistik Fibrozis Transmembran Regülatör-İlişkili Hastalık Tanılı Çocuklarda Epitel İyon Kanallarının İfade Analizi”"/>
        <s v="“Psikiyatri Asistanları ve İlk Beş Yıl Uzmanların Psikodinamik Psikoterapilere Yönelik Görüşlerinin ve Eğitim Düzeylerinin Değerlendirilmesi”"/>
        <s v="“Psikotik Bozukluklarda Tedaviye Direnç ile İlişkili Doğal Dil İşleme Değişkenlerinin ve Düşünce Süreci Bozukluklarının Değerlendirilmesi”"/>
        <s v="“Psikotik Bozukluklarda Tedaviye Direnç ve Klozapine Dirençle İlişkili Doğal Dil İşleme Değişkenlerinin ve Düşünce Süreci Bozukluklarının Değerlendirilmesi”"/>
        <s v="“Psödohipoparatiroidizmin Klinik ve Laboratuvar Özellikleri ile Genotip-Fenotip İlişkisi”"/>
        <s v="“Psöriatik Artrit ve Psöriasis Tanılı Hastaların Tırnak Yatağı Kapilleroskopi Değerlendirmesi”"/>
        <s v="“Psoriatik Tırnak Bulgularının İncelenmesi ve Psoriatik Artrit ile İlişkisi”"/>
        <s v="“Psoriatik Tırnak ve Onikomikozda Klinik ve Dermoskopik Özelliklerin Karşılaştırılması”"/>
        <s v="“Psöriazis Tanılı Biyolojik Tedavi Alan Kronik Hepatit B Enfeksiyonu Olan Hastalarda Hepatik Fibrozisin Transient Elastografi ile Değerlendirilmesi”"/>
        <s v="“Psoriazis ve Hidradenitisi Süpürativa Hastalarında Metabolik Sendrom ve Bileşenlerinin Karşılaştırmalı Değerlendirilmesi”"/>
        <s v="“Pulmoner Arter Agenezisi ve/veya Hipoplazisi Olan Hastaların Retrospektif Değerlendirilmesi”"/>
        <s v="“Pulmoner Karsinoid Tümörlerde Cerrahi Tedavi, Patolojik Evreleme ve Sağkalım: 2004–2024 Retrospektif Kohort Çalışması”"/>
        <s v="“Radikal Prostatektomiye Bağlı Erektil Disfonksiyon ve Preoperatif Hasta Bilgilendirme Düzeyinin Değerlendirilmesi”"/>
        <s v="“Radikal Sistektomi Operasyonu Yapılan Hastalarda Nefroüreteroileal Stentlerin Uzun Dönem Sonuçları”"/>
        <s v="“Radikal SistoprostatektomiYapılan Hastalarda İnsidental Tespit Edlen Prostat Kanserinin Görülme Sıklığı, Klinikopatolojik Özellikleri ve Sağkalım Üzerindeki Etkisi: Tek Merkezli Bir Analiz”"/>
        <s v="“Radyasyon Yönetim Sistemleri ile Bilgisayarlı Tomografi Tetkiklerinin Lokal Tanısal Referans Seviyelerinin Belirlenmesi”"/>
        <s v="“Radyoloji Tetkiklerinde Hastalar İçin Tahmini Fetal Doz Hesaplamaları”"/>
        <s v="“Ramazan Ayında Oruç Tutma Davranışı, Hipoglisemi Riski ve Diyabet Eğitiminin Değerlendirilmesi: Genel Dahiliye Polikliniklerine Başvuran Diyabetes Mellitus Hastalarında Kesitsel Anket Çalışması”"/>
        <s v="“Ramus Intermedius Arteriae Hepaticae Sınıflamasının Radyolojik Olarak İncelenmesi”"/>
        <s v="“Rasgrp1 Mutasyonu Olan Hastaların Klinik ve Laboratuvar Özelliklerinin Değerlendirilmesi ”"/>
        <s v="“Reenterant Sol Atriyal Taşikardi İndüklenen Atriyal Fibrilasyon Hastalarında Fonksiyonel Harita Özelliklerinin Prognoza Etkisi”"/>
        <s v="&quot;Referans Merkezi Servikal Distoni Botulinum Toksin Uygulamaları Değerlendirmesi&quot;"/>
        <s v="&quot;Reformer Pilates Yapan Bireylerde Fiziksel, Psikolojik ve Sosyal Sağlık Durumunun Değerlendirilmesi: Bir Aile Sağlığı Merkezi Örneği”"/>
        <s v="“Rejeneratif Endodontik Tedavide Kullanılan Materyallerin Simüle Dişlerin Kırılma Dayanımına Etkisi: Laboratuvar Çalışması”"/>
        <s v="&quot;Rekreasyonel Sporcuların Maksimal Oksijen Tüketim Düzeyleri ile Vücut Kompozisyonu Arasındaki İlişkinin Belirlenmesi&quot;"/>
        <s v="“Rekreasyonel ve Elit Kadın Sporcularda İnkontinans Sıklığının ve Etiyolojisinin Belirlenmesi”"/>
        <s v="“Rekürren Glial Tümörlerde Robotik Jiroskopik Lattice Tedavisi ile Reirradyasyon: Klinik Sonuçlar ve Yaşam Kalitesinin Değerlendirilmesi”"/>
        <s v="“Relaps/ Refrakter Akut Myeloid Lösemi Hastalarında Reindüksiyonda Venetoklaks İçeren Tedavi Rejimlerinin Diğer Tedavilerle Karşılaştırılması”"/>
        <s v="“Relapsing Remitting Multipl Skleroz Tanılı Hastalarda Yaş Gruplarına Göre Kognitif Profil ve Görüntüleme Bulgularının Karşılaştırılması”"/>
        <s v="“REM Uyku Davranış Bozukluğunun Prodromal, İdiopatik ve Sekonder Alt Tiplerinde Klinik, Polisomnografik Özellikler ve Tedavi Yanıtlarının Karşılaştırılması”"/>
        <s v="“Remisyondaki İnflamatuar Bağırsak Hastalarında İrritabl Bağırsak Sendromu Sıklığı ve İlişkili Faktörlerin Değerlendirilmesi”"/>
        <s v="“Renal Amiloidozda Prognozu Etkileyen Faktörler: 25 Yıllık Tek Merkez Deneyimi”"/>
        <s v="“Retinal İskemik Perivasküler Lezyonların Kardiyovasküler ve Serebrovasküler Hastalıklarla İlişkisi ve Biyobelirteç Potansiyelinin İncelenmesi”"/>
        <s v="“Retinoblastomlu Hastalarda Enükleasyon Öncesi ve Sonrası Sistemik İnflamatuar Parametrelerin Değişimi”"/>
        <s v="“Retinoblastomun Manyetik Rezonans Görüntüleme Bulgularının Araştırılması ve Yapılandırılmış Raporlama Sisteminin Gözlemciler Arası Güvenilirliğinin Değerlendirilmesi”"/>
        <s v="“Retinopati Tarama Muayenesinde İntranazal Deksmedetomidin: En Uygun Uygulama Zamanının Belirlenmesi”"/>
        <s v="“Retroperitoneal Fibrozisli IgG4 İlişkili Hastalığı Bulunan Hastaların Romatolojik ve Ürolojik Açıdan Mortalite, Morbitide, Prognozlarının ve Tedavi Yaklaşımlarının Değerlendirilendirilmesi”"/>
        <s v="“Rezin İnfiltrasyon Tekniğinde Farklı Pürüzlendirme Yöntemlerinin Renk Stabilitesine ve Yüzey Pürüzlülüğüne Etkisi”"/>
        <s v="“Rh Uygunsuzluğu Olan Gebeliklerde 28. Gebelik Haftasında Uygulanan Antenatal Anti-D İmmünoglobulin Profilaksisinin Neonatal Bilirubin Düzeyleri ve Erken Dönem Yenidoğan Sonuçları Üzerine Etkisinin Değerlendirilmesi: Retrospektif Kohort Çalışması”"/>
        <s v="“Rinoplasti Ameliyatlarında Piezoelektrik Yardımlı Osteotomi ve Konvansiyonel Osteotomilerin Periorbital Ödem ve Ekimoz Üzerine Etkisi”"/>
        <s v="“Rituksimabın Santral Sinir Sistemi Demiyelinizan ve Otoimmün Hastalıklarında Etkililik ve Güvenliliği: Tek Merkez Deneyimi”"/>
        <s v="“Rotasyon Profilli Bilgisayarlı Tomografi Kullanılarak Oluşturulan Parametreler ile Radyografide Proksimal Femur Rotasyonunun Değerlendirilmesi ve Yapay Zekâ ile Analizi”"/>
        <s v="“Rotasyon Profilli Bilgisayarlı Tomografi Kullanılarak Oluşturulan Parametreler ile Radyografide Proksimal Femur Rotasyonunun Değerlendirilmesi”"/>
        <s v="“Rozasea Hastalığının Bazı Alt Gruplarında Görülebilen Oküler Tutulumun Belirlenmesinde ve Takibinde Kullanılabilecek Yeni Biyobelirteçlerin Klinik Temelli Metabolomik Çalışmalarla Araştırılması”"/>
        <s v="“Ruh Sağlığı ve Hastalıkları Kliniği’nde Lurasidon Başlanan Hastaların Klinik Özelliklerinin Değerlendirilmesi”"/>
        <s v="“Saçlı Hücreli Lösemi Hastalarının Tanı Anındaki Klinik, Laboratuvar Parametrelerinin Prognostik, Sağ Kalım ve Tedaviye Yanıt Durumları Açısından Değerlendirilmesi”"/>
        <s v="“Sağır ve İşitme Yetersizliği Olan Bireylerin Sağlıkla İlgili Bilgi Gereksinimlerini Karşılamaya Yönelik Görsel ve İşitsel Medya İçeriklerinin Geliştirilmesi Projesi”"/>
        <s v="&quot;Sağlık Bilimleri Öğrencilerinde İnfluenza, HPV ve Pnömokok Aşılarına Yönelik Bilgi ve Tutum: Kesitsel Çalışma”"/>
        <s v="“Sağlık Hizmetlerinde Aşırı Kullanım Algısı: Nedenleri, Sonuçları ve Hekime Güven ile İlişkisinin Hasta Perspektifinden Değerlendirilmesi”"/>
        <s v="“Sağlık Hizmetlerinde Yalın Yönetim: Ağız ve Diş Sağlığı Merkezi Örneği”"/>
        <s v="“Sağlık Profesyonellerinin Besin ve İlaç Etkileşimleri Hakkında Bilgi ve Farkındalık Düzeylerinin Değerlendirilmesi”"/>
        <s v="“Sağlık Sektöründe Veri Madenciliği Yöntemleri İle Potansiyel Usulsüzlüklerin Tespiti”"/>
        <s v="“Sağlıkta Kalite Standartları Değerlendiricilerinin Sağlık Teknolojilerini Değerlendirme Konusundaki Tutumları”"/>
        <s v="“Sanal Cerrahi Planlamanın Kişiye Özel Plak ve Geleneksel Miniplak Fiksasyonu Yapılmış Hastalardaki Doğruluğunun İncelenmesi”"/>
        <s v="“Sanal Karaciğer Biyopsisi- Metabolik Hastalık İlişkili Yağlı Karaciğer Hastalığında Prognoz ve İzlem”"/>
        <s v="“Sanal Mentorluğun Dinamiklerini Keşfetmek: WONCA Araştırma Çalışma Grubu Programındaki Engeller, Kolaylaştırıcılar ve Mentor ve Danışanların Beklentileri Üzerine Betimleyici Bir Çalışma”"/>
        <s v="“Santral Paranteral Beslenme Kontrol Listesinin Kateter İlişkili Komplikasyonlara Etkisinin Değerlendirilmesi”"/>
        <s v="“Santral Seröz Koryoretinopatide Retina ve Koroid Düzeyindeki Değişikliklerin Retrospektif Değerlendirilmesi”"/>
        <s v="“Santral Sinir Sistemi Hastalıklarında Kappa Serbest Hafif Zincir İndeksinin Tanısal Değeri”"/>
        <s v="“Santral Sinir Sistemi Lenfomalarında Sentinel Lezyonların Görüntüleme Bulguları ve Tanısal Önemi”"/>
        <s v="&quot;Santral Sinir Sistemi’nde T Hücreli Lenfomaların Görüntüleme Bulguları&quot;"/>
        <s v="“Santral Venöz Kateter İlişkili Trombozlarda Risk Faktörleri ve Risk Skorlaması: Prospektif Gözlemsel Çalışma”"/>
        <s v="“Sarkoidoz Hastalarının İmmünolojik Açıdan Değerlendirilmesi”"/>
        <s v="“Sarkopenik Obezite ile Serum İlişkili İnflamasyon Belirteçlerin İlişkisinin İncelenmesi”"/>
        <s v="“SARS-CoV ilişkili Multi-İnflamatuar Sendrom Geçirmiş Çocuk Hastalarının; Tanı ve Tedavi Sonrasında İmmünolojik Durumlarının Değerlendirilmesi”"/>
        <s v="“Schwartz Jampel Sendromunda Metabolik Yolakların Araştırılması ve Terapötik Yaklaşım Hedefleri”"/>
        <s v="“SCN5A Varyantı Saptanan Hastaların Klinik ve Moleküler Bulgularının Değerlendirilmesi”"/>
        <s v="“Seçilmiş Nöroloji Olgularının Klinik Seyir ve Tedavi-Prognozuna Yönelik Olgu Temelli Derlemesi”"/>
        <s v="“Sedanter Davranışın Farklı Şiddette Egzersizlerle Kesintiye Uğratılmasının Postprandiyal Kardiyometabolik Etkileri”"/>
        <s v="“Şeffaf Plak Ataşmanlarında Kullanılan Kompozit Rezinin Renklendirme Ajanı Uygulanması Sonrası Dayanıklılık ve Yüzey Özelliklerinin Karşılaştırılması”"/>
        <s v="“Şeffaf Plak Kompozit Ataşmanlarının Renk Stabilitesi ve Diş Rengi Üzerine Etkileri”"/>
        <s v="“Şeffaf Plak Tedavilerinde Kullanılan Ataşmanların Bağlanma ve Uzaklaştırılma Yöntemlerinin Diş Rengi Üzerine Etkileri”"/>
        <s v="&quot;Şeffaf Plak Tedavilerinde Kullanılan Ataşmanların Hastaların Estetik ve Fonksiyon Algılarının Üzerine Etkisinin Değerlendirilmesi&quot;"/>
        <s v="“Şeffaf Plak Tedavilerinde Mor Işık Altında Yapılan Debonding İşleminin Diş Minesine Etkilerinin 3 Boyutlu Olarak İncelenmesi: İn-vitro Çalışma”"/>
        <s v="“Şeffaf Plak Tedavilerinde Refinement Aşamasında Tekrarlayan Ataşman Debonding İşleminin Mine Yüzeyine Etkilerinin 3 Boyutlu Olarak İncelenmesi: In-Vitro Çalışma”"/>
        <s v="“Şeffaf Plak Tedavisi Gören Bireylerde Ataşman ve Diş Renginin Ağız İçi Tarayıcı Kullanılarak Değerlendirilmesi”"/>
        <s v="“Şeffaf Plak Tekniğinde Ramus Plağı veya Bukkal Shelf Minividası Kullanımının Mandibular Molar Distalizasyonuna Etkisinin FEM ile İncelenmesi”"/>
        <s v="“Şeker Pancarı Küspesinin Gıda Tasarımları için Enzimatik İşlem Yoluyla Değerlendirilmesi”"/>
        <s v="“Sekonder Hipertansiyon Klinik Özellikleri ve Tanıda Bilgisayarlı Tomografinin Rolü”"/>
        <s v="“Sekonder İmmün Yetmezlik İçin Farkındalığın Değerlendirilmesi: Pediatri ve İmmünoloji Perspektifi”"/>
        <s v="“Seksen Beş Yaş ve Üzeri Geriatrik Hastalarda İntrinsik Kapasite Değişimi, İyileşme Paternleri ve Klinik Sonuçları; Retrospektif Kohort Çalışması”"/>
        <s v="“Sele Bireysel Hazırlık Bilgi ve Davranış Ölçeklerinin Uyarlanarak, Etiyopya’nın Kelafo İlçesinde Yaşayan Risk Altı Nüfusun Hazırlık Düzeyinin ve İlişkili Faktörlerin Belirlenmesi”"/>
        <s v="&quot;Senil Presbiakuzi ve Sarkopeni Arasındaki İlişkinin İncelenmesi”"/>
        <s v="“Sentetik Peptit Temelli Yeni Nesil Biyosidal Malzemelerin Geliştirilmesi”"/>
        <s v="“Sepsis/Septik Şok Hastalarında PI, MEWS, qSOFA, APACHE II ve CRT Değerlerinin Analizi ve Klinik Sonuçlarla İlişkisi”"/>
        <s v="“Septal Perforasyon Onarımı Sonrası Mukosiliyer Klirens değerlendirilmesi: Rinosintigrafi ve Sakkarin Testi ile Karşılaştırmalı Analiz”"/>
        <s v="“Septal Perforasyon Onarımı Sonrası Nasal Mukosiliyer Değerlendirilmesi: Rinosintigrafik ve Sakkarin Testi ile Karşılaştırmalı Analiz”"/>
        <s v="“Septik Artrit ve Osteomyelit Tanılı 0-18 Yaş Arasındaki Hastaların Klinik, Etiyolojik ve Epidemiyolojik Açıdan İncelenmesi”"/>
        <s v="“Serbest Diş Eti Grefti Alınan Lateral Damak Bölgesine Farklı Ajanlar Uygulanmış Hastaların Verilerinin Karşılaştırılmalı Olarak İncelenmesi”"/>
        <s v="“Serbest Dişeti Grefti Alınan Lateral Damak Bölgesine Farklı Ajanlar Uygulanarak Yara İyileşmesinin Karşılaştırılması”"/>
        <s v="“Serebral Palsili Çocuklarda Kalça Cerrahisi Sonrası Tekrar Çıkık Gelişimini Etkileyen Faktörler”"/>
        <s v="&quot;Serum Triptaz Düzeyinin Mast Hücre İlişkili Hastalıklardaki Rolünün Retrospektif Olarak Değerlendirilmesi&quot;"/>
        <s v="&quot;Serviks Kanserinde Kemoradyoterapi Öncesi ve Sürecindeki Sarkopeni ve Klinik Önemi&quot;"/>
        <s v="“Sezon Öncesi Antrenman Yükü, Kuvvet Parametreleri ve Performans İlişkisinin Antrenman Takibi Yöntemleri ile Değerlendirmesi”"/>
        <s v="“Şiddetli Koroner Kalsifikasyona Yönelik Girişimlerde Intravasküler Litotripsinin Kullanımının Klinik Sonlanıma Etkisi”"/>
        <s v="“Şiddetli Ülseratif Kolit Hastalarında Aleksitimi Varlığının Değerlendirilmesi”"/>
        <s v="“Sigara Bırakma Polikliniğine Başvuran Bireylerde Motivasyonel Görüşmenin Sürece Etkilerinin Nitel Olarak ve Yapay Zeka Resim Analizi ile İncelenmesi”"/>
        <s v="“Sigara İçen Bireylerde Fonksiyonel Yakın Kızılötesi Spektroskopisi Kullanılarak Fonksiyonel Bağlantısallığın ve Kalp Hızı Değişkenliğinin İncelenmesi”"/>
        <s v="“Sigara İçen ve İçmeyen Bireylerde D Vitamini Seviyeleri ile İnflamatuar Biyobelirteçler (CRP, IL-17, IL-19) Arasındaki İlişkinin Değerlendirilmesi”"/>
        <s v="“Sigara Kullanan Erişkinlerin Sigaraya Ayırdıkları Bütçeye Dair Farkındalıklarının Sigara Bırakma Motivasyonlarıyla İlişkisi”"/>
        <s v="“Sirotik Hastalarda Sarkopeni ve Kognisyon Değerlendirilmesi”"/>
        <s v="“Sistemik Lupus Eritematozus Nefritinde Osteoporoz Risk Faktörlerinin ve Fibroblast Büyüme Faktörü-23 Yolağının Rolünün İncelenmesi”"/>
        <s v="“Sistemik Otoinflamatuvar Hastalıklarda Çoklu-Omik Profilleme, Fonksiyonel Doğrulama ve Mekanizma-Temelli Kişiselleştirilmiş Tanısal Yaklaşım Geliştirilmesi  (Biopath SAID)”"/>
        <s v="“Sistemik Otoinflamatuvar Hastalıklarda Üçüncü Nesil Dizileme ile Genetik Etiyolojinin Belirlenmesi”"/>
        <s v="“Sistemik Venöz Dönüş Anomalisi Olan Hastaların Retrospektif Değerlendirilmesi”"/>
        <s v="“Sıfır eko zamanlı (ZTE) Görüntüleme Tekniğinin Sakroilyak Eklemler MRG'de Radyolojik ve Klinik Tanı Sürecine Etkisinin Araştırılması”"/>
        <s v="“Sıfır Eko Zamanlı Manyetik Rezonans Görüntüleme ile Ölçülen Kritik Omuz Açısının Rotator Kılıf Anormallikleri ve Glenohumeral Osteoartrit ile İlişkisi”"/>
        <s v="“Sıfır Floroskopi ve Konvansiyonel Floroskopi Eşliğinde Yapılan Kateter Ablasyon İşlemlerinin Klinik ve Prosedürel Sonuçlarının Karşılaştırılması”"/>
        <s v="“Sınıf 3 Uzun Yüz Tipine Sahip Hastalarda Cerrahi Planlamanın Barcelona Çizgisi ve Gerçek Dikey Çizgi Açısından Karşılaştırmalı Değerlendirilmesi”"/>
        <s v="“Sınıf II Malokluzyona Sahip Bireylerde Temporomandibular Eklem Bozukluklarının Panoramik Radyografiler Kullanılarak Yapay Zeka ile Teşhisi”"/>
        <s v="“Sınıf II Subdivizyon Olgularında Maksiller Posterior Diş Angulasyonlarının Panoramik Radyografiler Üzerinde Sağ-Sol Karşılaştırmalı Analizi”"/>
        <s v="“Sklerit Hastalarında Ön Segment ve Arka Segment Vasküler Yapılardaki Değişikliklerin Değerlendirilmesi”"/>
        <s v="“Skleroderma Tanılı Olgu ve Bireylerin Biyopsikososyal Durumları ile Çiğneme-Yutma Performansları Arasındaki İlişkinin Araştırılması”"/>
        <s v="“Skleroderma Tanılı Olgu ve Bireylerin Biyopsikososyal Durumları ile Fiziksel Performans ve Fonksiyonellikleri Arasındaki İlişkinin Araştırılması”"/>
        <s v="“SLC2943 Gen Defekti Olan Hastalarda Otofajinin İncelenmesi”"/>
        <s v="“SOD1 Mutasyonu Taşıyan Amyotrofik Lateral Skleroz Hastalarında Kalp Hızı Değişkenliği ve Sempatik Deri Yanıtı ile Otonomik Disfonksiyonun Değerlendirilmesi”"/>
        <s v="“Şok Hastalarında Mikrodolaşım ve Makrodolaşımın Eş Zamanlı Değerlendirilmesi”"/>
        <s v="“Sol Atriyal Apendiks Kapama İşlemlerinde Amulet Cihazının Kullanımının Perikardiyal Efüzyon ile İlişkisinin İncelenmesi”"/>
        <s v="“Sol Dal Alan Uyarım Metodu ile İmplante Edilen Kardiyak Cihazların Hastalar Üzerideki Takip Verilerinin İncelenmesi ve Konvansiyonel Metodoloji ile Karşılaştırılması”"/>
        <s v="“Soliter Fibröz Tümör/Hemanjioperisitoma Tanılı Hastaların Demografik, Klinikopatolojik, Prognostik Özelliklerinin ve Tedavi Yanıtlarının Değerlendirilmesi”"/>
        <s v="“Solunum Yolu Multipleks Respiratuvar Bakteriyal ve Viral PCR Panelinin Tedaviye Etkisi ve Maliyetinin Araştırılması”"/>
        <s v="“Son Bir Yılda Türkiye'deki Çocuk Yoğun Bakımlarda Miyokardit”"/>
        <s v="“Sonografik Sol Ventrikül Çıkış Yolu Hız Zaman İntegrali Değerlendirmesi ile Hesaplanan Kalp Debisinin Akut Kalp Yetmezliği Tedavisinde Diüretik Direnci Göstergesi Olan Spot İdrar Sodyumu Ölçümü ile İlişkisinin İncelenmesi”"/>
        <s v="“Sosyal İzolasyon ve Sosyal Ağ Ölçeğinin (SISN) Türkçe Geçerlik ve Güvenirlik Çalışması”"/>
        <s v="“Spesifik T Hücre Reseptör Yolağı Yetmezliklerinde İmmün Repertuvar Profillerinin Belirlenmesi”"/>
        <s v="“Spinal Musküler Atrofi (SMA) Tip 1 ve 2 Hastalarında İntratekal Nusinersenin Ultrasonografi Eşliğinde Uygulanmasının Değerlendirilmesi”"/>
        <s v="“Spinal Musküler Atrofi Tanılı Hastalarda Kemik Sağlığının Retrospektif Olarak Değerlendirilmesi”"/>
        <s v="“Stajyer Diş Hekimlerinde Maket Üzerinde Sütur Eğitiminin Etkinliği ve Memnuniyetinin Değerlendirilmesi&quot;"/>
        <s v="“Standart AP ve Lateral Diz Grafilerinin Değerlendirilmesi ve Radyolojik Ölçümlerin Yapay Zeka ile Analizi”"/>
        <s v="“STAT1 ve STAT3 Mutasyonu olan Hastaların Klinik ve Laboratuvar Özelliklerinin Değerlendirilmesi”"/>
        <s v="“Statin Tedavisi Altındaki Pediatrik Hiperlipidemi Hastalarında Glikolizasyon Profili Karşılaştırması”"/>
        <s v="&quot;Steroid Olmayan Anti-İnflamatuar İlaçlarla Alevlenen Hava Yolu Hastalığı (NERD) Hastalarında Aspirin Desensitizasyonu Sonrası Düzenli Aspirin Tedavisinin (ATAD) Serum Lipit Mediyatörleri Üzerine Etkilerinin Araştırılması&quot;"/>
        <s v="“Stres, Cinsiyet ve Menstrual Döngünün, Tıkınırcasına Yeme Bozukluğu ve Uyku Kalitesi ile İlişkisinin İncelenmesi”"/>
        <s v="“Stuve-Wiedemann Sendromu Tanısıyla İzlenen Olguların Klinik ve Moleküler Özelliklerinin Değerlendirilmesi”"/>
        <s v="“Subakromiyal Sıkışma Sendromu Tedavisinde Botulinum Toksin A'nın İki Farklı Kas Hedefleme Protokolünün (Deltoid ve Deltoid+Pectoralis Minor) Klinik Etkinlik ve Güvenilirliğinin Karşılaştırılması: Randomize Kontrollü Bir Çalışma.”"/>
        <s v="“Subkortikal Bant Heterotopisi: Klinik Özellikler ve Epilepsi Yükü”"/>
        <s v="“Subkutan İmmunoglobulin Replasman Tedavisi Almış Olan Primer İmmün Yetmezlik Hastalarının Özelliklerinin Değerlendirilmesi”"/>
        <s v="“Suboptimal Ekokardiyografilerde Tanısal Belirsizlik ve Doğal Dil İşleme Analizi”"/>
        <s v="“Suça Sürüklenen Çocukların Biyopsikososyal Özelliklerinin Retrospektif Bir İncelemesi”"/>
        <s v="“Sülfonamid Türeyi İlaçlara Bağlı Aşırı Duyarlılık Reaksiyonlarında Klinik Sonuçlar”"/>
        <s v="“Superior Mezenter Arter Sendromu Tedavisinde Beslenme Desteği ve Sonuçları”"/>
        <s v="“Superior ve İnferior Labial Arterlerin Vermilion Sınırındaki Derinliklerinin ve Konumunun Ölçümü: Kadavra Çalışması”"/>
        <s v="“Sürdürülebilir Klinik Nütrisyon Tedavisinde Sağlık Profesyonellerinin Rolü”"/>
        <s v="“Sürdürülebilirlik ve Çevre Dostu Eczacılık Uygulamaları Kapsamında Farmasötik Ayak İzi Konusunda Görüş ve Tutumların Değerlendirilmesi”"/>
        <s v="“Susam Alerjisi Olan Çocuklarda Oral İmmünoterapi ve Besinden Kaçınma Yaklaşımlarının Yaşam Kalitesi Üzerine Etkileri”"/>
        <s v="“Susam Alerjisi Olan Çocuklarda Oral İmmünoterapinin Güvenliği ve Yaşam Kalitesi Üzerine Etkilerinin Değerlendirilmesi''"/>
        <s v="“Susam veya Kabuklu Ağaç Yemişi Alerjisi Olan Hastalarda Deri Prick Testi, Besin Spesifik IgE ve Dudak Teması Testine Dayalı Risk Skorlaması”"/>
        <s v="“Süt Azı Dişlerinde Fizyolojik ve Patolojik Rezorpsiyonun Derin Öğrenme ile Otomatik Sınıflandırılması”"/>
        <s v="“Tablet Tabanlı Mikroperimetri ile Yaşa Bağlı Makula Dejenerasyonunda Görme Keskinliği Değişiminin Ev Ortamında Saptanması”"/>
        <s v="“Taburculuk Sonrası Bakım Geçiş Kalitesinin Değerlendirilmesi: Çok Boyutlu Bir Ölçüm Yaklaşımı”"/>
        <s v="“Takayasu Arteriti Hastalığında Oftalmolojik Bulguların Değerlendirilmesi”"/>
        <s v="“Talasemi Hastalarında Endokrin Bozuklukların Yaşam Kalitesi Üzerine Etkisinin Değerlendirilmesi”"/>
        <s v="“Tam Ark İmplant Ölçülerinde Fotogrametri ve Ağız İçi Tarama Yöntemlerinin Doğruluğunun Değerlendirilmesi”"/>
        <s v="“Tamamen Enteral Ürün ile Non-Oral Beslenen Hastaların Nutrisyonel Durumların Değerlendirilmesi”"/>
        <s v="“Tanı Almış Prostat Kanseri Hastalarında Serbest PSA Testinin Klinik Gerekliliği ve Sağlık Sistemine Olan Maliyet Etkisi: Retrospektif Bir Analiz”"/>
        <s v="“Tanıdan Tedaviye Güncel Yaklaşımlar Eğitim Programlarının Memnuniyet Anket Sonuçlarının Değerlendirilmesi”"/>
        <s v="“Teikoplanin ile Tedavi Edilen Hastalarda Terapötik İlaç Düzey İzlemi: Retrospektif Bir Analiz”"/>
        <s v="“Teikoplanin Terapötik İlaç Düzey İzlemi: Tek Merkezli Retrospektif Analiz”"/>
        <s v="“Tek Taraflı Dudak ve Damak Yarığına Sahip Hastalarda Maksiller Ekspansiyon ve Yüz Maskesi Sonrası Oklüzyonun Değerlendirilmesinde İki Farklı İndeksin Karşılaştırılması”"/>
        <s v="“Tek Taraflı Dudak-Damak Yarıklı Dental Modellerde Farklı Ağız İçi Tarayıcıların Karşılaştırılması: İn-vitro Çalışma”"/>
        <s v="“Tekil Gebeliklerin İlk Trimesterdeki Myometrial Kalınlık Ölçümleriyle Preterm Doğum İlişkisi”"/>
        <s v="“Temporal Lob Epilepsisinde Lateralize Periyodik Deşarjların Klinik Önemi, Patoloji ve Prognoz ile İlişkisi”"/>
        <s v="“Temporomandibular Eklem Bozukluklarında Ağız Açma Sırasında Disk Morfolojisinde Meydana Gelen Pozisyonel Transformasyonun Klinik Bulgular ve Manyetik Rezonans Görüntüleme Parametreleri ile İlişkisinin Değerlendirilmesi”"/>
        <s v="“Temporomandibular Eklem Bozukluklarında Çene Fonksiyon Kısıtlanmasının ve Yaşam Kalitesinin Değerlendirilmesi”"/>
        <s v="“Temporomandibular Eklem Hipermobilitesinde Dekstroz Proloterapisinin Uzun Dönem Klinik Sonuçlarının Retrospektif Değerlendirilmesi”"/>
        <s v="“Tendon Transferi Uygulanan Hastalarda Etiyolojik Faktörlerin Retrospektif Analizi”"/>
        <s v="“Tenosinoviyal Dev Hücreli Tümör/Pigmente Villonodüler Sinovit (TGCT/PVNS) Hastalarında Kan Plazması ve Sinoviyal Sıvının Metabolomik Profillerinin Q-TOF LC/MS ile Karşılaştırılması”"/>
        <s v="“Terapötik Hikaye İçerikli Bilgilendirici İnteraktif Mobil Uygulamanın Çocuk Kalp Cerrahisi Uygulanacak Hastaların Anksiyete Seviyelerine Etkisi”"/>
        <s v="“Term Yenidoğanlarda Kord Klempleme Süresinin Erken Metabolik ve Solunumsal Sonuçlar Üzerine Etkisi”"/>
        <s v="“TESE Başarısını Etkileyen Faktörler”"/>
        <s v="“Testiküler Germ Hücreli Tümörlerde Tedavi Yanıtı ve Prognoz ile İlişkilendirilebilecek Biyobelirteçlerin Araştırılması”"/>
        <s v="“Tip 1 Diyabetes Mellitus Tanılı Çocukların Psikiyatrik Özelliklerinin İncelenmesi”"/>
        <s v="“Tip 1 Interferonopati Tanılı Pediatrik Hastalarda Klinik ve Laboratuvar Bulguların Degerlendirilmesi”"/>
        <s v="“Tip 2 Biyolojik Ajan Endikasyonlarını Karşılamayan Hastalarda Biyolojik Tedavi Yanıtlarının ve Klinik Özelliklerin Değerlendirilmesi”"/>
        <s v="“Tip 2 Diyabet Hastalarında Karar Verme Çatışması, Kronik Hastalık Bakım Değerlendirmesi, Diyabet Distresi ve Tedaviye Uyum Arasındaki İlişkilerin Değrlendirilmesi”"/>
        <s v="“Tip 2 Mide Kardiya Tümörlerinde Özofajektomi ve Gastrektomi Yöntemlerinin Karşılaştırılması”"/>
        <s v="&quot;Tip I Diyabet Tanısı Olan Çocukların Sağlıkta Baba Katılımlarının Değerlendirilmesi&quot;"/>
        <s v="“Tip I İnterferon Yanıt Defekti Olan Hastalarda İnterferon İmzası ile Antiviral İmmünitenin Değerlendirilmesi”"/>
        <s v="“Tip-1 Diyabeti Olan Çocuklarda Sağlıkta Baba Katılımı ve İlişkili Faktörler&quot;"/>
        <s v="“Tiroid Göz Hastalığında Hastalık Şiddetinin Oftalmolojik ve Ortoptik Klinik Bulgular ile Korelasyonu”"/>
        <s v="&quot;Tiroid İnce İğne Aspirasyon Sitolojisinde Dijital Sitopatoloji ile Konvansiyonel Işık Mikroskobu Değerlendirmesinin Karşılaştırmalı Analizi: Belirsiz Kategorilere Odaklanarak&quot;"/>
        <s v="“Tiroid Kanserinde Metabolik Çeşitliliğin Açığa Çıkarılması: Fiber Tabanlı, İşaretsiz Orta Dalgaboylu Kızılötesi Optoakustik Prob Teknolojisinin Geliştirilmesi”"/>
        <s v="“Tiroid Nodüllerinde Telomer Uzunluğunun Prediktif Değeri”"/>
        <s v="“Tiroid Orbitopatide İmmünsüpresif Tedaviye Klinik Yanıtı Öngören Faktörlerin Değerlendirilmesi”"/>
        <s v="“Tirozinemi Tip 1 Tanılı Pediatrik Yaş Grubu Hastalarda Metabolomik Profilin Hastalığın Klinik ve Laboratuvar Bulguları ve Tedavisi ile İlişkisinin Değerlendirilmesi”"/>
        <s v="“Titanyum Tabanlı Monolitik Zirkonya Köprülerin Klinik Değerlendirmesi: Bir Retrospektif Takip Çalışması”"/>
        <s v="“Tıbbi Uygulama Hatası İddiası Bulunan Otopsi Vakalarının Medikolegal Açıdan Değerlendirilmesi”"/>
        <s v="“Tıbbi Uygulama Hatası Olgularının Değerlendirilmesinde Büyük Dil Modelleri ve Adli Tıp Uzman Görüşlerinin Karşılaştırmalı Analizi”"/>
        <s v="“Tıp Fakültesi Öğrencileri İçin Geliştirilen Bir Elektronik Performans Destek Sisteminin Akademik Başarı ve Performansa Etkisi”"/>
        <s v="“Tıp Fakültesi Öğrencilerinde İleri Kardiyak Yaşam Desteği Eğitiminde Oyun Kartları ile Öğrenmenin Değerlendirilmesi”"/>
        <s v="“Tıp Fakültesi Öğrencilerinde Kronik Bel Ağrısı Prevalansı ve Spondiloartrit ile İlişkili Klinik Özelliklerin Değerlendirilmesi”"/>
        <s v="&quot;Tıp Fakültesi Öğrencilerinde Tıp Öğrencisi Sendromu Yaşama Durumu ve Yapay Zeka Kullanma Eğiliminin İlişkisi: Kesitsel Çalışma”"/>
        <s v="“Tıp Fakültesi Öğrencilerinin Anatomi Eğitiminde Kullandıkları Yapay Zeka Araçları Hakkındaki Tutum ve Görüşleri”"/>
        <s v="“Tıp Fakültesi Öğrencilerinin Tıpta Yapay Zekâya Yönelik Tutumlarının Yapay Zekâ Hazır Bulunuşluğu ve Yapay Zekâ Anksiyetesi Bağlamında İncelenmesi: Karma Yöntem Araştırması”"/>
        <s v="“Tıp Fakültesi Öğrencilerinin Zona Hastalığı ve Zona Aşısıyla İlgili Bilgi Düzeyinin Değerlendirilmesi: Tanımlayıcı Kesitsel Çalışma”"/>
        <s v="“Tıp Fakültesi ve Beslenme ve Diyetetik Bölümü Öğrencilerinin Hasta Güvenliği ve Mesleklerarası İşbirliği Programına Yönelik Görüşleri”"/>
        <s v="“Tıp Öğrencilerinde İyilik Hali Düzeyini Arttırmaya Yönelik Bir Program: Pilot Uygulama”"/>
        <s v="“Tıp ve Mühendislik Öğrencilerinin Yapay Zekaya Karşı Tutumu”"/>
        <s v="“Tıpta Yan Dal Uzmanlık Eğitimi Tercihlerini Belirleyen Etkenler”"/>
        <s v="“Topikal Ürünlerde Mikroyapı Benzerliğini Aydınlatmaya Yönelik In Vitro Permeasyon Çalışması”"/>
        <s v="“Toplumda Tarama İçin Risk Aracının (RISC) Hospitalize Yaşlı Hastada Geçerlik ve Güvenirliğinin Değerlendirilmesi”"/>
        <s v="“Toraks BT Görüntülerinde İnterstisyel Akciğer Hastalığı Tespiti Amacıyla Akciğer Desen Analizine Yönelik Yapay Zeka Uygulaması”"/>
        <s v="“Torasik Outlet Sendromu Hastalarında Stellat Ganglion Bloğu ile Torasik Sempatik Bloğun Ağrı Yönetimindeki Etkinliğinin Karşılaştırılması”"/>
        <s v="“Total Diz Artroplastisinde Posterior Tibial Eğim ve Posterior Kondiler Ofset: Gerçekten Önemli Mi?”"/>
        <s v="“Total Kalça Protezi Yapılan Hastalarda Gelişen Periprostetik Kırıkların Uzun Dönem Sonuçları ve Sağkalım Analizi”"/>
        <s v="“Trakeotomi Dekanülasyonu Yapılan Hastalarda Havayolu Basınçlarındaki ve Solunum İş Yükündeki Değişimin Bilgisayar Simülasyonu ile Değerlendirilmesi”"/>
        <s v="“Transfemoral Yol ile Yapılan Girişimsel İşlemlerde Yüzeyel Ultrasonografinin Prognoz ve Mortaliteye Etkisinin Değerlendirilmesi”"/>
        <s v="“Transfüzyon Bağımlı Talasemi Hastalarında Alternan Şelasyon Kullanımının Etkinlik ve Güvenlik Değerlendirmesi”"/>
        <s v="“Transfüzyon Bağımlı Talasemi Hastalarında Şelasyon Tedavisi Uyumunun Demografik, Davranışsal ve Psikososyal Faktörler ile Değerlendirilmesi”"/>
        <s v="“Transkateter Aort Kapak İmplantasyonu Deneyimimiz: Yıllara Göre Klinik Sonuçlar ve Komplikasyon Oranlarının Retrospektif Analizi”"/>
        <s v="“Transkateter Aort Kapak İmplantasyonu Yapılan Hastalarda Kapak Fonksiyonlarının, Kalıcı Pil İhtiyacı Prediktörlerinin, Periprosedürel Komplikasyonların ve Takip Verilerinin Retrospektif Değerlendirilmesi”"/>
        <s v="“Transkateter Pulmoner Kapak İmplantasyonunun Kardiyopulmoner Egzersiz Kapasitesi Üzerine Etkisinin Retrospektif Analizi''"/>
        <s v="“Translasyonel Preklinik Modeller ile Pulmoner Fibrozis İçin Yeni Tedavi Yaklaşımlarının Geliştirilmesi”"/>
        <s v="“Travma Dışı Nedenlerle Acil Servise Başvuran 90 Yaş ve Üzeri Hastaların Toraks BT Tetkiklerinde Patolojik Bulguların Etyolojik Dağılımı”"/>
        <s v="“Travma İlişkili Venöz Tromboembolizm Olgularının Medikolegal Açıdan İncelenmesi”"/>
        <s v="“Travma Olgularının Endovasküler Tedavilerle Yönetimi; Neredeyiz?”"/>
        <s v="“Travma Sonrası Yumuşak Doku Yönetimi Nasıl Olmalı Travma Cerrahları Ne Diyor?”"/>
        <s v="“Tremor Simülasyonunda Doğruluk, Stabilite ve Uyarılabilirlik Bağlamında Metronom Tiplerinin İncelenmesi ile Burstlerin Sürüklenme Açısından Analizi”"/>
        <s v="“Triester Gliserol Oksit Uygulamasının Postoperatif Ağrı ve Yara İyileşmesine Etkisinin Retrospektif Olarak Değerlendirilmesi”"/>
        <s v="“Trifazik Dalgaların Faz-Spesifik Morfolojik Özelliklerinin Kantitatif Değerlendirilmesi ve Etiyolojiye Göre Karşılaştırılması: Retrospektif Bir Çalışma”"/>
        <s v="“Triküspid Kapak Cerrahisi Uygulanmış Hastalarda Bradikardi Tedavisinde Kalıcı Kalp Pilinin Koroner Sinüs Yoluyla Uygulanması”"/>
        <s v="“Triple Negatif Meme Kanseri Tanılı Hastaların Klinik Özellikleri ve Tedavi Sonuçlarının İncelenmesi”"/>
        <s v="“Triple X Sendromlu Hastalarda Demografik, Fenotipik ve Gelişimsel Özelliklerin Değerlendirilmesi”"/>
        <s v="“Tropomiyozin ve Arjinin Kinaz Duyarlılıkları Arasındaki İlişkilerin İncelenmesi”"/>
        <s v="“TRVaS Türkiye Vaskülit Çalışma Grubu Prospektif, Gözlemsel Veritabanı Devam Çalışması”"/>
        <s v="“Tuberositas İnterossea Radii Morfolojik ve Morfometrik Özelliklerinin Değerlendirilmesi”"/>
        <s v="“Tuberositas İnterossea Ulnaris Morfolojik ve Morfometrik Özelliklerinin Değerlendirilmesi”"/>
        <s v="“Tüm Beyin Radyoterapisi Sırasında Hipokampüsün Dentat Girus ve Cornu Ammonis Bölgelerinin Korunduğu Hastalarda Nörokognitif Fonksiyon Durumunun Değerlendirilmesi”"/>
        <s v="“Türk Erişkin ve Adölesan Popülasyonunda Trunkal Aknenin Demografik, Klinik Özelliklerinin Değerlendirilmesi ve Trunkal Aknenin Yaşam Kalitesi Üzerine Etkisinin Araştırılması”"/>
        <s v="“Türk Erişkinlerde El Sıkma Kuvveti Referans Değerlerinin Belirlenmesi”"/>
        <s v="“Türkiye 65 Yaş Üstü Popülasyonunda Yaşa ve Cinsiyete Göre Baldır Çevresi Persentil Eğrilerinin Oluşturulması: Tek Merkezli Kesitsel Bir Çalışma”"/>
        <s v="“Türkiye’de 2022–2024 Yılları Arasında Gerçekleştirilen Aile Hekimliği Uyum Eğitimlerinin Etkililiğinin Değerlendirilmesi: Ön Test ve Son Test Sonuçları Üzerinden Bir Analiz”"/>
        <s v="“Türkiye’de Aile Hekimlerinin Çevre Sağlık Okuryazarlık Düzeyleri: Tanımlayıcı Çalışma”"/>
        <s v="“Türkiye'de Aile Hekimlerinin Kronik Ağrısı Olan Hastalara Yaklaşımı: Tanımlayıcı Çalışma”"/>
        <s v="“Türkiye’de Aile Sağlığı Merkezlerinde Yapılan Okul Sağlık Taramalarına Yönelik Öğretmenlerin Farkındalık ve Tutumlarının Araştırılması: Nitel Çalışma”"/>
        <s v="“Türkiye’de Deri ve Zührevi Hastalıklar Uzmanları ve Uzmanlık Öğrencilerinin Hekimlik Uygulamalarında Chat GPT Kullanımını ve Bu Uygulamaya Güvenini Değerlendiren Anket Çalışması”"/>
        <s v="“Türkiye'de Dudak ve Damak Yarıklarının Epidemiyoloji”"/>
        <s v="“Türkiye’de Ebeveynlerin Geliştiren Bakım Konusundaki Bilgi, Tutum ve Uygulamalarının Değerlendirilmesi Araştırması”"/>
        <s v="“Türkiye'de İnme Seyir ve Sonuç Metrikleri [STORM-Türkiye]”"/>
        <s v="“Türkiye'de Konjenital Miyastenik Sendromların Genetik Profili: Yeni Mutasyonlar ve Klinik Perspektifler”"/>
        <s v="&quot;Türkiye’de Risk Gruplarında Erişkin Bireylerin Grip Aşısına Yönelik Tutum, Algı ve Karar Süreçlerinin Odak Grup Görüşmeleri ile Değerlendirilmesi: Kalitatif Araştırma”"/>
        <s v="“Türkiye'de Steril Vücut Sıvılarında Streptococcus Pneumoniae Serogruplarının Prevalansı: Çok Merkezli, Prospektif Çalışma”"/>
        <s v="“Türkiye'deki Anestezi ve Kadın Doğum Doktorlarının Doğum Analjezisi Konusundaki Bakış Açısı Farklılıklarının Değerlendirilmesi”"/>
        <s v="“Türkiye’deki Çocukluk Çağı İnterstisiyel Akciğer Hastalığı Tanısıyla İzlenen Hastaların Demografik ve Klinik Özelliklerinin REDCap Veri Tabanına Kaydedilmesi (chILD Türkiye) ve Verilerin Değerlendirilmesi”"/>
        <s v="&quot;U14 Su Topu Oyuncularında Enerji Dengesi ve Bazı Performans Parametrelerinin Belirlenmesi&quot;"/>
        <s v="“Üç Boyutlu Yazıcı ile Üretilen Bor Nitrür, Titanyum Dioksit ve Seryum Katkılı Biyomalzemelerin Dental Pulpa Kök Hücre Üzerindeki Etkilerinin İncelenmesi”"/>
        <s v="&quot;Üçüncü Basamak Bir Sağlık Kuruluşunda Mide Kanseri Tedavisinin Maliyet Analizi&quot;"/>
        <s v="“Üçüncü Basamak Sağlık Merkezinde Pediatrik Osteoporoz Olgularının Etiyolojik Dağılımı, Klinik ve Laboratuvar Özellikleri”"/>
        <s v="“Üçüncü Molar Dişlerle İlişkili Perikoronal Foliküllerin Radyografik ve Patolojik Özelliklerinin Retrospektif İncelenmesi”"/>
        <s v="“Ultrasonografi Eşliğinde Transperineal Prostat Biyopsisinin Güvenirliliği, Uygulanabilirliği ve Kanser Yakalamada Başarı Oranı”"/>
        <s v="“Ultrasonografi ile Ölçülen Cilt-Epiglot Mesafesinin Zor Entübasyonu Öngörmedeki Değeri”"/>
        <s v="“Ulusal Kistik Fibrozis Hasta Kayıt Sisteminde Kayıtlı Hastalarda Kistik Fibrozis İlişkili Karaciğer Hastalığının Bağımsız Belirleyicilerinin Saptanması”"/>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s v="“Ulusal Yenidoğan Tarama Programı ile Konjenital Hipotiroidi Tanısı Alarak İzlemde Geçici ve Kalıcı Konjenital Hipotiroidi Tanımlanan Olguların Retrospektif Değerlendirmesi&quot;"/>
        <s v="“Uluslararası İnkontinans Konsültasyonu– Az Aktif Mesane Anketi’nin Türkçe Geçerlik ve Güvenirlik Çalışması”"/>
        <s v="&quot;Üniversite Öğrencileri Arasında Sosyal Medyada Karşılaştıkları Beslenme ve Gıda ile İlgili İçeriklerin Öğrencilerin Beslenme Davranışlarını Etkileme Durumlarına İlişkin Görüşlerinin Belirlenmesi&quot;"/>
        <s v="“Üniversite Öğrencilerinde Akıllı Telefon Bağımlılığı ile Dijital Sağlık Okuryazarlığı Arasındaki İlişkinin İncelenmesi: Tanımlayıcı Araştırma”"/>
        <s v="“Üniversite Öğrencilerinde Ekran Zamanının ve Teknoloji Kullanımının Ruh Sağlığı Üzerindeki Etkileri”"/>
        <s v="“Üniversite Öğrencilerinde Telefon Ekran Süresi ile Depresyon, Anksiyete ve Stres Düzeyleri Arasındaki İlişki”"/>
        <s v="“Üniversite Öğrencilerinde Yanmalı Sigara, Elektronik Sigara ve Isıtılmış Tütün Kullanımına Göre Karbonmonoksit Düzeyleri ve Nikotin Bağımlılığı: Karma Yöntem Çalışması”"/>
        <s v="“Üniversiteler Arası Ragbi Turnuvasında Yaralanma ve Semptomların Retrospektif Analizi: Meteorolojik Veriler ile Karşılaştırmalı Değerlendirme”"/>
        <s v="“Üroloji Aalnında Çalışan Erkek Sağlık Profesyonellerinde Oturarak ve Ayakta İşeme Pozisyonlarının Üroflovmetrik Parametrelere Etkisinin Değerlendirilmesi”"/>
        <s v="“Üst Aerodigestif Sistem Mukozal Lezyonların Analizinde Dar Bant Görüntülemenin Yeri, Verilerin Histopatolojik İnceleme ile Karşılaştırılması”"/>
        <s v="“Üst Ekstremite Deri Kalınlığının Hasta Tarafından Kendi Kendine Değerlendirilmesi Anketinin Türkçe Versiyonunun Kültürel Adaptasyonu, Geçerliği ve Güvenirliğinin İncelenmesi”"/>
        <s v="“Üst Ekstremitede Ön Kondisyonlanma ile “Aktivasyon Sonrası Performans Artışı” mümkün mü?”"/>
        <s v="“Üst Gastrointestinal Sistem Kanamasında Endoskopik Bulguların Dağılımı, Tedavi Yöntemi ve Hemostaz Başarısının Retrospektif Değerlendirilmesi”"/>
        <s v="“Uterin Leiomyosarkom Tanılı Hastalarda Nüks Oranları ve Nüks ile İlişkili Faktörlerin Retrospektif Değerlendirilmesi”"/>
        <s v="“Uterin Serviksin İnvaziv Stratifiye Müsin Üreten Karsinomu: Klinikopatolojik Bulguların ve Prognostik Faktörlerin Değerlendirilmesi”"/>
        <s v="“Uterus Elastikiyetinin İn Vitro Fertilizasyon Sonuçları ile İlişkisinin Prospektif Olarak İncelenmesi”"/>
        <s v="“Uterus Elastikiyetinin İntra Uterin İnseminasyon (IUI) Sonuçları ile İlişkisinin Prospektif Olarak İncelenmesi”"/>
        <s v="“Üveal Melanoma Yönelik Stereotaktik Radyoterapi Uygulanmış Hastalarda Posterior Segment Radyasyon Toksisitesi Gelişimi İçin Klinik Risk Faktörlerinin Retrospektif Olarak Belirlenmesi”"/>
        <s v="“Uyku Apnesi Olmayan Ancak Nazal Septal Deviasyonu Olan Hastalarda Septoplasti Ameliyatı Öncesi ve Sonrası Serum Melatonin Düzeylerinin Karşılaştırılması”"/>
        <s v="“Uyku Apnesinde Cerrahi Tedavi Olan ve  Pozitif Havayolu Basıncı(CPAP) Cihazı Kullanan Hastalarla, Amelyat Olmadan CPAP Tedavisi Kullanan Hastaların CPAP Basınç ve Titrasyon  Farklılıklarının Saptanması”"/>
        <s v="“Uyku Sağlığı Okuryazarlığı Ölçeğinin Türkçe Geçerlik ve Güvenirlik Çalışması&quot;"/>
        <s v="“Uzatılmış Sodyum Hipoklorit İrrigasyonunun Kök Kanal Tedavili Dişlerde Kırılma Dayanımı ve Mikrosertliğe Etkisinin Değerlendirilmesi: İn Vitro Çalışma”"/>
        <s v="“Uzun Süreli Glukokortikoid Kullanımına Bağlı Adrenal Yetmezlikte İlaç Kesim Sürecinin İncelenmesi”"/>
        <s v="“Uzun Süren Nötropeniye Bağlı Ciddi Enfeksiyon Olan Hastalarda Granülosit Transfüzyonu Tedavisinin Değerlendirilmesi”"/>
        <s v="“Vagal Sinir Stimulasyonu ile Epilepsi Tedavisi Planlanmış Hastaların, Manyetik Rezonans Görüntüleme Bulgularının ve Klinik Yanıtların İncelenmesi”"/>
        <s v="“Vaskülit Hastalarında Erektil Disfonksiyonun Yaygınlığı ve Ürolojik Değerlendirme Sıklığı: Kesitsel Bir Anket Çalışması”"/>
        <s v="&quot;Vegan Beslenmenin Oral Mukoza Üzerindeki Sitolojik, Genotoksik ve Antioksidan Etkilerinin İncelenmesi”"/>
        <s v="“Ventriküler Erken Vuru Olan Çocuk Hastalarda Transkateter Ablasyon Sonuçlarımız”"/>
        <s v="“Veteriner Hekimlerin Soğuk Zincir Uygulamalarına İlişkin Bazı Bilgi ve Görüşlerinin Değerlendirilmesi”"/>
        <s v="“Video-EEG Monitorizasyonunda İzlenen Status Epileptikus ve Küme Tip Nöbetlerin Elektrokli̇ni̇k Özellikleri”"/>
        <s v="“Videoürodinami Tetkiki Öncesi Hastanın Skopi İşlemi Sırasında Maruz Kalacağı Radyasyon Miktarını Öngörücü Faktörlerin ve Videoürodinami Tetkiki ile Kadın İşeme Fonksiyonun Tanımlanması”"/>
        <s v="“Viral Solunum Yolu Enfeksiyonu Tanısı ile Takip Edilen Çocuk Hastaların Klinik Verilerinin Retrospektif Olarak İncelenmesi”"/>
        <s v="“Vitiligo Tanılı Pediatrik Hastalarda Oral Mikrobiyom ve Diş Çürüğü İlişkisinin İncelenmesi ”"/>
        <s v="“Vitreoretinal Cerrahi Geçiren Koroidal Malign Melanom Hastalarında Klinik Özellikler ve Sonuçların Değerlendirilmesi”"/>
        <s v="“Vorikonazol Serum Düzeyi İzlemi Yapılan Hastalarda Terapötik Aralığı Etkileyen Faktörlerin Retrospektif Değerlendirilmesi ve Klinik Bir Skorlama Modelinin Geliştirilmesi”"/>
        <s v="“Vücudu Dik Pozisyona Getirerek Yerden Ağırlık Kaldırışının (Deadlift) Biyomekanik Modellenmesi”"/>
        <s v="“Vücut Yuvarlaklık İndeksi ve Vücut Şekil İndeksi ile Beyin Hacmi Arasındaki İlişkinin Hafif Bilişsel Bozukluğu veya Demansı olan Hastalarda Manyetik Rezonans Görüntüleme ile (MRG) Değerlendirilmesi”"/>
        <s v="“Vulva Kanseri ve HER-2 İlişkisi”"/>
        <s v="“WaLIDD Skorunun Türkçe Geçerlik ve Güvenirlik Çalışması”"/>
        <s v="“Wilms Tümörü ve Nefrojenik Artıklardaki Moleküler Değişiklikler”"/>
        <s v="“Wilson Hastalarında Genotip Fenotip Korelasyonunun Değerlendirilmesi”"/>
        <s v="“Wolfram Sendromlu ve Midline Anomalili Hastaların Klinik Özelliklerinin Retrospektif Değerlendirilmesi”"/>
        <s v="“X, Y ve Z Kuşağında Beslenme Alışkanlıklarındaki Farklılıkların Araştırılması”"/>
        <s v="“Yağlı Karaciğer Hastalığında Karaciğer Yağlanması ve Karaciğer Sertliğinin Değerlendirilmesinde Multiparametrik Ultrasonografi ve Manyetik Rezonans Elastografinin Karşılaştırılması”"/>
        <s v="“Yakınını Kaybetmiş Yaşlılarda Uzamış Yas Belirtilerini Yordayan Faktörler”"/>
        <s v="“Yapay Zekâ Destekli Endoskopik Video Analizi ile Gastrointestinal Endoskopi Prosedürlerinde Kamera Stabilitesi ve Hareket Akıcılığının Değerlendirilmesi: Yetkinlik Ölçümü için Çok Prosedürlü Retrospektif Bir Çalışma”"/>
        <s v="“Yapay Zeka Destekli Yüz Analizi ile Estetik Cerrahi Sonuçlarının Objektif Değerlendirilmesi: Retrospektif Görsel Veri Analizi”"/>
        <s v="“Yapay Zekâ Yardımlı Analizler ile Jinekolojik Onkoloji Konsey Karar Süreçlerinin Geliştirilmesi”"/>
        <s v="“Yapay Zekanın Odontojenik Olmayan Ağrı Tanısındaki Başarısının Diş Hekimleri ile Karşılaştırılması: Senaryo Temelli Bir Veri Analizi”"/>
        <s v="“Yapay Zekanın Ventriküler Ekstrasistollerin Elektrokardiyografik Özelliklerine Göre Anatomik Lokalizasyonlarının Değerlendirilmesindeki Rolünün İncelenmesi”"/>
        <s v="“Yardımcı Üreme Tekniklerine Başvuran Kadınlarla Güçlendirme Odaklı Sosyal Hizmet Grup Müdahalesi”"/>
        <s v="“Yaş ve Cinsiyete Özgü Baldır Çevresi Persentilleri ile Geriatri Polikliniği Hastalarında Olası Sarkopeni Arasındaki İlişki”"/>
        <s v="“Yaşlı Bireylerde Farklı Formüllerle Hesaplanan Glomerüler Filtrasyon Hızı ile Kognitif Fonksiyonların ilişkisi”"/>
        <s v="“Yaşlı Bireylerde Mesleki Özellikler ile Bilişsel Durum Arasındaki İlişkinin Değerlendirilmesi”"/>
        <s v="“Yaşlı Bireylerde Mesleki Özellikler ile Geriatrik Sendromların İlişkisinin Değerlendirilmesi”"/>
        <s v="“Yaşlı Bireylerin Yardımcı Teknoloji Kullanımına Bakış Açıları: Nitel Araştırma”"/>
        <s v="“Yaşlı Erişkinlerde Laringofarengeal Reflü Belirtileri ile Geriatrik Sendromlar Arasındaki İlişki”"/>
        <s v="“Yaşlı Hastalarda Kulanılan İlaçlar ile Sarkopeni Arasındaki İlişkinin Değerlendirilmesi&quot;"/>
        <s v="“Yaşlı Hastalarda Metabolik Disfonskiyonla İlişkili Steatotik Karaciğer Hastalığı için Güncel Tanı Kriterlerine Göre Protokol Geliştirilmesi”"/>
        <s v="“Yaşlı Hastalarda Sarkopeni ile İlaçlar Arasındaki İlişkinin Retrospektif Olarak İncelenmesi”"/>
        <s v="“Yaşlı Hastalarda Stres Hiperglisemi Oranının Malnütrisyon, Kırılganlık ve Sarkopeni ile İlişkisinin Değerlendirilmesi"/>
        <s v="“Yaşlı Yetişkinlerde İnflamasyon Belirteçleri ile Bilişsel İşlevler Arasındaki İlişki”"/>
        <s v="“Yatan Hastalarda Malnütrisyonun Sıklığı ve Kas Kütlesi ile Cilt Altı Yağ Dokusu Kalınlığının Ultrasonografik Korelasyonu”"/>
        <s v="“Yaygın Değişken İmmün Yetmezlik Hastalarında Lenfoproliferasyon ile İmmün Fenotipik Özelliklerin İlişkisi”"/>
        <s v="“Yeme Bozukluğu Olan Ergende Tütün, Alkol ve Madde Kullanım Sıklığı ile Hastalık Şiddeti Arasındaki İlişkinin İncelenmesi”"/>
        <s v="“Yeme Bozukluğu Olan Ergenlerde Ebeveyn-Ergen Sınırlarının İncelenmesi”"/>
        <s v="“Yeme Bozukluğu Tanılı Ergenlerde Sosyal Medya Kullanımının Beden Algısı ve Psikopatolojik Belirtiler Üzerine Etkileri”"/>
        <s v="“Yeni Bir İrrigasyon Solüsyonu Triton’un Epoksi Rezin ve Kalsiyum Silikat Esaslı Kök Kanal Dolgu Materyallerinin İtme Bağlanma Dayanımına Etkisi”"/>
        <s v="“Yeni Hepatit B Biyobelirteçlerinin Kronik Hepatit B Hastalığının Fazlarındaki Değişiminin İncelenmesi”"/>
        <s v="“Yeni Nesil Antikoagülan İlaçların İlaç Etkileşimleri Hakkında Farkındalık Düzeyinin Ölçülmesi”"/>
        <s v="“Yeni Nesil Girişimsiz Kapiller Anjiyografi Sisteminin Tasarım Doğrulama Numunesinin Geliştirilmesi ve Sistemin İşlevsellik Değerlendirmesi”"/>
        <s v="“Yeni Terapötiklerin ve Biyobelirteçlerin Keşfi İçin Metabolik Fonksiyon Bozukluğu ile İlişkili Steatotik Karaciğer Hastalığının (MASLD) Patobiyolojisinin Açığa Çıkarılması(UNMASK- EP PerMed Horizon 2020 Projesi)”"/>
        <s v="“Yenidoğan Taraması ile Tanı Alan Spinal Musküler Atrofili Çocukların Tedavi Altında +2. Yıl Fonksiyonel İzlem Sonuçları: Hacettepe Örneği”"/>
        <s v="“Yenidoğan Yoğun Bakım Ünitesinde Sürekli Elektroensefalografi ile Değerlendirilmiş Olan Kritik Hastaların Sonuçlarının İncelenmesi”"/>
        <s v="“Yetişkin Bireylerde Sedanter Davranışın Kesintiye Uğratma Sıklığı, Fiziksel Aktivite ve Sedanter Davranış Sürelerinin İncelenmesi”"/>
        <s v="“Yetişkin Erkek Tutuklu ve Hükümlülerdeki Çeşitli Bireysel Özelliklere Göre Ağız Diş Sağlığının Durumu: Tanımlayıcı Çalışma”"/>
        <s v="“Yetişkin Hemofili A ve B Hastaları ile Aile Üyesi Bakım Verenlerde Yaşam Kalitesi ve Bakım Yükü”"/>
        <s v="“Yetişkinlerdeki Bel, Boyun Vertebra ve Disk Biyomekanik Değişimlerinin Bireysel Faktörler ve Manyetik Rezonans Görüntüler Üzerinden Değerlendirilmesi”"/>
        <s v="“Yoğun Bakım Hastalarında Enteral Fosfor Solüsyonlarının Kandidemi Görülme Oranı Üzerine Etkileri”"/>
        <s v="“Yoğun Bakım Hastalarında Vücut Yağ ve Kas Dağılımının Organ Sonlanımı ve Mortaliteye Etkisi”"/>
        <s v="&quot;Yoğun Bakım Sonrası İzlem Polikliniğinde Takip Edilen Hastaların Demografik ve Klinik Özelliklerinin İncelenmesi &quot;"/>
        <s v="“Yoğun Bakım Ünitelerinde Endotrakeal Tüp İlişkili Oral Mukoz Membran Basınç Yaralanması: Tek Merkezde Boylamsal Bir Nokta Prevalans Çalışması”"/>
        <s v="“Yoğun Bakım Ünitesinde İntravenöz Sıvı Kullanımının Değerlendirilmesi”"/>
        <s v="“Yoğun Bakımda Takip Edilen Geriatrik Hasta Grubunun Klinik Özellikleri ve Klinik Skorların Yoğun Bakım Sonuçlarına Etkisi: Çok Merkezli Prospektif Çalışma”"/>
        <s v="“Yoğun Bakmda Hizmet veren Hekim Hemşire ve Klinik Eczacıların İntravenöz Sıvı Tedavisi Hakkında Bilgi ve Tutumlarının Değerlendirilmesi”"/>
        <s v="“Yön Değiştirme Mesafesine Göre 5-0-5 Testinin Geçerliliği ve Alt Ekstremite Kuvveti ile İlişkisi”"/>
        <s v="“Yorgunluğun Farklı Açısal Hızlarda Alt Ekstremite İzokinetik Kas Kuvvet Çıktıları Üzerine Etkisi”"/>
        <s v="“Yüksek Dereceli Servikal Lezyon Saptanan ve Konizasyon Uygulanan Hastalarda Cerrahi Sınır Pozitifliğinin Prognoza Olan Etkisi”"/>
        <s v="“Yüksek Enerjili Patlayıcılara Bağlı Gelişen İşitme Kayıplarının Adli Tıbbi Değerlendirilmesi”"/>
        <s v="“Yumurta Alerjisi Olan Çocuk Hastalarda Yumurta Merdiveninin Güvenlik ve Etkinliğinin Değerlendirilmesi”"/>
        <s v="&quot;Yüz Dikey Yüksekliği Farklı Olan Kadınlarda Degişen Üst Lateral Diş Boyutlarınım Gülümseme Estetiğine Etkisi”"/>
        <s v="“Yüzücülerde Ultrason ve Güç Ölçümleri ile Omuz Yaralanma Profili Çıkarılması”"/>
        <s v="&quot;Zigomatikomaksiller Kompleks Fraktürlerinde 2 Nokta ve 3 Nokta Fiksasyonunun Uzun Dönem Stabilite ve Orbital Hacim Açısından Kraniyometrik Analizi&quot;"/>
        <s v="“Zor Yönetilen Aksiyel Spondiloartrit Hastalarında Uzun Dönem Takipte Devamlılık ve Geçişlerin Değerlendirilmesi”"/>
        <s v="Klinikopatolojik Özellikleri Entegre Eden Moleküler Sınıflandırma ve Analiz: HPV Bağımsız Vulvar Skuamöz Hücreli Karsinom için Moleküler-Klinikopatolojik Bir Prognostik İmzanın Geliştirilmesi ve Uluslararası Geçerliliğinin Doğrulanması”"/>
        <s v="Minimal İnvaziv Kardiyak Cerrahi Uygulanan Pediatrik Hastalarda Anestezi Yönetimi: Tek Merkezli Olgu Serisi-Bireysel Araştırma”"/>
        <s v="Osteogenezis İmperfekta Hastalarında Ağız Diş Sağlığı Durumunun Değerlendirilmesi"/>
        <s v="Toplumsal Cinsiyet ve Hegernonik Erkeklik Bağlamında Alkol Kullanım Bozukluğu olan Erkeklerin Deneyimleri: Adsız Alkolikler (AA) Örneği&quot;"/>
        <m/>
      </sharedItems>
    </cacheField>
    <cacheField name="NİTELİĞİ" numFmtId="0">
      <sharedItems containsBlank="1" count="5">
        <s v="Bireysel Araştırma"/>
        <s v="Doktora Tezi"/>
        <s v="Uzmanlık Tezi"/>
        <s v="Yüksek Lisans Tezi"/>
        <m/>
      </sharedItems>
    </cacheField>
    <cacheField name="BAŞVURU TARİHİ" numFmtId="0">
      <sharedItems containsNonDate="0" containsDate="1" containsString="0" containsBlank="1" minDate="2025-12-26T00:00:00" maxDate="2026-05-15T00:00:00" count="56">
        <d v="2025-12-26T00:00:00"/>
        <d v="2025-12-29T00:00:00"/>
        <d v="2025-12-30T00:00:00"/>
        <d v="2026-01-02T00:00:00"/>
        <d v="2026-01-05T00:00:00"/>
        <d v="2026-01-07T00:00:00"/>
        <d v="2026-01-08T00:00:00"/>
        <d v="2026-01-09T00:00:00"/>
        <d v="2026-01-12T00:00:00"/>
        <d v="2026-01-14T00:00:00"/>
        <d v="2026-01-15T00:00:00"/>
        <d v="2026-01-22T00:00:00"/>
        <d v="2026-01-23T00:00:00"/>
        <d v="2026-01-26T00:00:00"/>
        <d v="2026-01-27T00:00:00"/>
        <d v="2026-02-05T00:00:00"/>
        <d v="2026-02-06T00:00:00"/>
        <d v="2026-02-09T00:00:00"/>
        <d v="2026-02-10T00:00:00"/>
        <d v="2026-02-11T00:00:00"/>
        <d v="2026-02-18T00:00:00"/>
        <d v="2026-02-19T00:00:00"/>
        <d v="2026-02-23T00:00:00"/>
        <d v="2026-02-24T00:00:00"/>
        <d v="2026-02-25T00:00:00"/>
        <d v="2026-02-26T00:00:00"/>
        <d v="2026-03-06T00:00:00"/>
        <d v="2026-03-09T00:00:00"/>
        <d v="2026-03-13T00:00:00"/>
        <d v="2026-03-16T00:00:00"/>
        <d v="2026-03-17T00:00:00"/>
        <d v="2026-03-18T00:00:00"/>
        <d v="2026-03-26T00:00:00"/>
        <d v="2026-03-27T00:00:00"/>
        <d v="2026-03-31T00:00:00"/>
        <d v="2026-04-06T00:00:00"/>
        <d v="2026-04-07T00:00:00"/>
        <d v="2026-04-08T00:00:00"/>
        <d v="2026-04-09T00:00:00"/>
        <d v="2026-04-10T00:00:00"/>
        <d v="2026-04-13T00:00:00"/>
        <d v="2026-04-14T00:00:00"/>
        <d v="2026-04-15T00:00:00"/>
        <d v="2026-04-16T00:00:00"/>
        <d v="2026-04-22T00:00:00"/>
        <d v="2026-04-24T00:00:00"/>
        <d v="2026-04-27T00:00:00"/>
        <d v="2026-04-28T00:00:00"/>
        <d v="2026-04-29T00:00:00"/>
        <d v="2026-04-30T00:00:00"/>
        <d v="2026-05-04T00:00:00"/>
        <d v="2026-05-12T00:00:00"/>
        <d v="2026-05-13T00:00:00"/>
        <d v="2026-05-14T00:00:00"/>
        <d v="2026-05-15T00:00:00"/>
        <m/>
      </sharedItems>
    </cacheField>
    <cacheField name="KURUL TARİHİ" numFmtId="0">
      <sharedItems containsNonDate="0" containsDate="1" containsString="0" containsBlank="1" minDate="2026-01-06T00:00:00" maxDate="2026-06-02T00:00:00" count="12">
        <d v="2026-01-06T00:00:00"/>
        <d v="2026-01-20T00:00:00"/>
        <d v="2026-02-04T00:00:00"/>
        <d v="2026-02-17T00:00:00"/>
        <d v="2026-03-03T00:00:00"/>
        <d v="2026-03-17T00:00:00"/>
        <d v="2026-03-31T00:00:00"/>
        <d v="2026-04-14T00:00:00"/>
        <d v="2026-04-28T00:00:00"/>
        <d v="2026-05-12T00:00:00"/>
        <d v="2026-06-02T00:00:00"/>
        <m/>
      </sharedItems>
    </cacheField>
    <cacheField name="RAPORTÖR 1" numFmtId="0">
      <sharedItems containsBlank="1" count="13">
        <s v="Doç. Dr. Burcu ERSÖZ ALAN"/>
        <s v="Doç. Dr. Ekim GÜMELER"/>
        <s v="Doç. Dr. Kübra AYKAÇ"/>
        <s v="Doç. Dr. Tolga ÇAKMAK"/>
        <s v="Dr. Öğr. Üyesi Müge DEMİR"/>
        <s v="Prof. Dr. Ayşe KİN İŞLER"/>
        <s v="Prof. Dr. Ayşe Nurten AKARSU"/>
        <s v="Prof. Dr. Gözde GİRGİN"/>
        <s v="Prof. Dr. M. Özgür UYANIK"/>
        <s v="Prof. Dr. Melih Önder BABAOĞLU"/>
        <s v="Prof. Dr. Nazmiye Ebru ORTAÇ ERSOY"/>
        <s v="Prof. Dr. Yavuz AYHAN"/>
        <m/>
      </sharedItems>
    </cacheField>
    <cacheField name="RAPORTÖR 2" numFmtId="0">
      <sharedItems containsBlank="1" count="21">
        <s v="Doç. Dr. Burcu ERSÖZ ALAN"/>
        <s v="Doç. Dr. Ekim GÜMELER"/>
        <s v="Doç. Dr. Kübra AYKAÇ"/>
        <s v="Doç. Dr. Tolga ÇAKMAK"/>
        <s v="Dr. Öğr. Üyesi Müge DEMİR"/>
        <s v="DÜZELTME"/>
        <s v="GERİ ÇEKİLDİ"/>
        <s v="GÖRÜŞ"/>
        <s v="KAEK"/>
        <s v="KAPSAM DIŞI"/>
        <s v="ONAY"/>
        <s v="Prof. Dr. Ayşe KİN İŞLER"/>
        <s v="Prof. Dr. Ayşe Nurten AKARSU"/>
        <s v="Prof. Dr. Gözde GİRGİN"/>
        <s v="Prof. Dr. M. Özgür UYANIK"/>
        <s v="Prof. Dr. Melih Önder BABAOĞLU"/>
        <s v="Prof. Dr. Nazmiye Ebru ORTAÇ ERSOY"/>
        <s v="Prof. Dr. Yavuz AYHAN"/>
        <s v="RET"/>
        <s v="TOPLAM"/>
        <m/>
      </sharedItems>
    </cacheField>
    <cacheField name="KURUL KARARI 1" numFmtId="0">
      <sharedItems containsBlank="1" containsMixedTypes="1" containsNumber="1" containsInteger="1" minValue="0" maxValue="476" count="16">
        <n v="0"/>
        <n v="7"/>
        <n v="17"/>
        <n v="21"/>
        <n v="47"/>
        <n v="164"/>
        <n v="260"/>
        <n v="476"/>
        <s v="⚠ DİKKAT: Boş bırakılan alanlar var!"/>
        <s v="DÜZELTME"/>
        <s v="GÖRÜŞ"/>
        <s v="KAEK"/>
        <s v="KAPSAM DIŞI"/>
        <s v="ONAY"/>
        <s v="RET"/>
        <m/>
      </sharedItems>
    </cacheField>
    <cacheField name="KURUL KARARI 2" numFmtId="0">
      <sharedItems containsBlank="1" containsMixedTypes="1" containsNumber="1" containsInteger="1" minValue="1" maxValue="125" count="13">
        <n v="1"/>
        <n v="4"/>
        <n v="21"/>
        <n v="93"/>
        <n v="125"/>
        <s v="DÜZELTME"/>
        <s v="GERİ ÇEKİLDİ"/>
        <s v="GÖRÜŞ"/>
        <s v="KAEK"/>
        <s v="KAPSAM DIŞI"/>
        <s v="ONAY"/>
        <s v="RET"/>
        <m/>
      </sharedItems>
    </cacheField>
    <cacheField name="KURUL KARARI 3" numFmtId="0">
      <sharedItems containsBlank="1" containsMixedTypes="1" containsNumber="1" containsInteger="1" minValue="0" maxValue="15" count="7">
        <n v="0"/>
        <n v="2"/>
        <n v="13"/>
        <n v="15"/>
        <s v="DÜZELTME"/>
        <s v="ONAY"/>
        <m/>
      </sharedItems>
    </cacheField>
    <cacheField name="KURUL KARARI 4" numFmtId="0">
      <sharedItems containsBlank="1" containsMixedTypes="1" containsNumber="1" containsInteger="1" minValue="0" maxValue="1" count="4">
        <n v="0"/>
        <n v="1"/>
        <s v="ONAY"/>
        <m/>
      </sharedItems>
    </cacheField>
    <cacheField name="GÜNCEL DURUM" numFmtId="0">
      <sharedItems containsBlank="1" containsMixedTypes="1" containsNumber="1" containsInteger="1" minValue="0" maxValue="476" count="16">
        <n v="0"/>
        <n v="2"/>
        <n v="4"/>
        <n v="8"/>
        <n v="14"/>
        <n v="73"/>
        <n v="367"/>
        <n v="476"/>
        <s v="DÜZELTME"/>
        <s v="GERİ ÇEKİLDİ"/>
        <s v="GÖRÜŞ"/>
        <s v="KAEK"/>
        <s v="KAPSAM DIŞI"/>
        <s v="ONAY"/>
        <s v="RET"/>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608">
  <r>
    <x v="0"/>
    <x v="0"/>
    <x v="130"/>
    <x v="56"/>
    <x v="88"/>
    <x v="588"/>
    <x v="0"/>
    <x v="55"/>
    <x v="0"/>
    <x v="6"/>
    <x v="2"/>
    <x v="13"/>
    <x v="12"/>
    <x v="6"/>
    <x v="3"/>
    <x v="13"/>
  </r>
  <r>
    <x v="111"/>
    <x v="1"/>
    <x v="177"/>
    <x v="42"/>
    <x v="65"/>
    <x v="669"/>
    <x v="0"/>
    <x v="55"/>
    <x v="0"/>
    <x v="2"/>
    <x v="13"/>
    <x v="13"/>
    <x v="12"/>
    <x v="6"/>
    <x v="3"/>
    <x v="13"/>
  </r>
  <r>
    <x v="222"/>
    <x v="2"/>
    <x v="42"/>
    <x v="52"/>
    <x v="422"/>
    <x v="89"/>
    <x v="0"/>
    <x v="55"/>
    <x v="0"/>
    <x v="4"/>
    <x v="1"/>
    <x v="13"/>
    <x v="12"/>
    <x v="6"/>
    <x v="3"/>
    <x v="13"/>
  </r>
  <r>
    <x v="333"/>
    <x v="3"/>
    <x v="154"/>
    <x v="41"/>
    <x v="4"/>
    <x v="779"/>
    <x v="1"/>
    <x v="55"/>
    <x v="0"/>
    <x v="3"/>
    <x v="0"/>
    <x v="9"/>
    <x v="10"/>
    <x v="6"/>
    <x v="3"/>
    <x v="13"/>
  </r>
  <r>
    <x v="444"/>
    <x v="4"/>
    <x v="229"/>
    <x v="21"/>
    <x v="66"/>
    <x v="1304"/>
    <x v="1"/>
    <x v="55"/>
    <x v="0"/>
    <x v="11"/>
    <x v="15"/>
    <x v="9"/>
    <x v="10"/>
    <x v="6"/>
    <x v="3"/>
    <x v="13"/>
  </r>
  <r>
    <x v="479"/>
    <x v="5"/>
    <x v="212"/>
    <x v="34"/>
    <x v="313"/>
    <x v="610"/>
    <x v="0"/>
    <x v="55"/>
    <x v="0"/>
    <x v="7"/>
    <x v="11"/>
    <x v="13"/>
    <x v="12"/>
    <x v="6"/>
    <x v="3"/>
    <x v="13"/>
  </r>
  <r>
    <x v="490"/>
    <x v="6"/>
    <x v="11"/>
    <x v="17"/>
    <x v="19"/>
    <x v="590"/>
    <x v="2"/>
    <x v="55"/>
    <x v="0"/>
    <x v="8"/>
    <x v="11"/>
    <x v="13"/>
    <x v="12"/>
    <x v="6"/>
    <x v="3"/>
    <x v="13"/>
  </r>
  <r>
    <x v="501"/>
    <x v="7"/>
    <x v="65"/>
    <x v="34"/>
    <x v="289"/>
    <x v="604"/>
    <x v="2"/>
    <x v="55"/>
    <x v="0"/>
    <x v="3"/>
    <x v="16"/>
    <x v="13"/>
    <x v="12"/>
    <x v="6"/>
    <x v="3"/>
    <x v="13"/>
  </r>
  <r>
    <x v="512"/>
    <x v="8"/>
    <x v="134"/>
    <x v="14"/>
    <x v="203"/>
    <x v="457"/>
    <x v="0"/>
    <x v="55"/>
    <x v="0"/>
    <x v="0"/>
    <x v="2"/>
    <x v="13"/>
    <x v="12"/>
    <x v="6"/>
    <x v="3"/>
    <x v="13"/>
  </r>
  <r>
    <x v="1"/>
    <x v="9"/>
    <x v="265"/>
    <x v="66"/>
    <x v="447"/>
    <x v="159"/>
    <x v="1"/>
    <x v="55"/>
    <x v="0"/>
    <x v="8"/>
    <x v="12"/>
    <x v="9"/>
    <x v="10"/>
    <x v="6"/>
    <x v="3"/>
    <x v="13"/>
  </r>
  <r>
    <x v="12"/>
    <x v="10"/>
    <x v="225"/>
    <x v="34"/>
    <x v="318"/>
    <x v="1166"/>
    <x v="0"/>
    <x v="55"/>
    <x v="0"/>
    <x v="10"/>
    <x v="17"/>
    <x v="13"/>
    <x v="12"/>
    <x v="6"/>
    <x v="3"/>
    <x v="13"/>
  </r>
  <r>
    <x v="23"/>
    <x v="11"/>
    <x v="220"/>
    <x v="33"/>
    <x v="270"/>
    <x v="957"/>
    <x v="2"/>
    <x v="55"/>
    <x v="0"/>
    <x v="1"/>
    <x v="15"/>
    <x v="12"/>
    <x v="12"/>
    <x v="6"/>
    <x v="3"/>
    <x v="12"/>
  </r>
  <r>
    <x v="34"/>
    <x v="12"/>
    <x v="230"/>
    <x v="68"/>
    <x v="453"/>
    <x v="62"/>
    <x v="3"/>
    <x v="55"/>
    <x v="0"/>
    <x v="4"/>
    <x v="3"/>
    <x v="9"/>
    <x v="10"/>
    <x v="6"/>
    <x v="3"/>
    <x v="13"/>
  </r>
  <r>
    <x v="45"/>
    <x v="13"/>
    <x v="129"/>
    <x v="61"/>
    <x v="441"/>
    <x v="741"/>
    <x v="0"/>
    <x v="55"/>
    <x v="0"/>
    <x v="5"/>
    <x v="2"/>
    <x v="13"/>
    <x v="12"/>
    <x v="6"/>
    <x v="3"/>
    <x v="13"/>
  </r>
  <r>
    <x v="56"/>
    <x v="14"/>
    <x v="144"/>
    <x v="28"/>
    <x v="241"/>
    <x v="1360"/>
    <x v="0"/>
    <x v="55"/>
    <x v="0"/>
    <x v="9"/>
    <x v="13"/>
    <x v="14"/>
    <x v="5"/>
    <x v="4"/>
    <x v="3"/>
    <x v="8"/>
  </r>
  <r>
    <x v="67"/>
    <x v="15"/>
    <x v="184"/>
    <x v="28"/>
    <x v="249"/>
    <x v="626"/>
    <x v="0"/>
    <x v="55"/>
    <x v="0"/>
    <x v="10"/>
    <x v="17"/>
    <x v="13"/>
    <x v="12"/>
    <x v="6"/>
    <x v="3"/>
    <x v="13"/>
  </r>
  <r>
    <x v="78"/>
    <x v="16"/>
    <x v="153"/>
    <x v="6"/>
    <x v="118"/>
    <x v="1463"/>
    <x v="2"/>
    <x v="55"/>
    <x v="0"/>
    <x v="3"/>
    <x v="0"/>
    <x v="9"/>
    <x v="10"/>
    <x v="6"/>
    <x v="3"/>
    <x v="13"/>
  </r>
  <r>
    <x v="89"/>
    <x v="17"/>
    <x v="78"/>
    <x v="27"/>
    <x v="235"/>
    <x v="837"/>
    <x v="0"/>
    <x v="55"/>
    <x v="0"/>
    <x v="6"/>
    <x v="2"/>
    <x v="13"/>
    <x v="12"/>
    <x v="6"/>
    <x v="3"/>
    <x v="13"/>
  </r>
  <r>
    <x v="100"/>
    <x v="18"/>
    <x v="101"/>
    <x v="29"/>
    <x v="256"/>
    <x v="1147"/>
    <x v="0"/>
    <x v="55"/>
    <x v="0"/>
    <x v="1"/>
    <x v="16"/>
    <x v="13"/>
    <x v="12"/>
    <x v="6"/>
    <x v="3"/>
    <x v="13"/>
  </r>
  <r>
    <x v="112"/>
    <x v="19"/>
    <x v="101"/>
    <x v="29"/>
    <x v="260"/>
    <x v="129"/>
    <x v="0"/>
    <x v="55"/>
    <x v="0"/>
    <x v="4"/>
    <x v="17"/>
    <x v="13"/>
    <x v="12"/>
    <x v="6"/>
    <x v="3"/>
    <x v="13"/>
  </r>
  <r>
    <x v="123"/>
    <x v="20"/>
    <x v="223"/>
    <x v="58"/>
    <x v="72"/>
    <x v="1269"/>
    <x v="1"/>
    <x v="55"/>
    <x v="0"/>
    <x v="5"/>
    <x v="15"/>
    <x v="9"/>
    <x v="7"/>
    <x v="5"/>
    <x v="3"/>
    <x v="13"/>
  </r>
  <r>
    <x v="134"/>
    <x v="21"/>
    <x v="28"/>
    <x v="14"/>
    <x v="207"/>
    <x v="426"/>
    <x v="2"/>
    <x v="55"/>
    <x v="0"/>
    <x v="0"/>
    <x v="13"/>
    <x v="9"/>
    <x v="10"/>
    <x v="6"/>
    <x v="3"/>
    <x v="13"/>
  </r>
  <r>
    <x v="145"/>
    <x v="22"/>
    <x v="175"/>
    <x v="1"/>
    <x v="13"/>
    <x v="925"/>
    <x v="0"/>
    <x v="55"/>
    <x v="0"/>
    <x v="8"/>
    <x v="1"/>
    <x v="10"/>
    <x v="8"/>
    <x v="6"/>
    <x v="3"/>
    <x v="11"/>
  </r>
  <r>
    <x v="156"/>
    <x v="23"/>
    <x v="250"/>
    <x v="13"/>
    <x v="183"/>
    <x v="780"/>
    <x v="0"/>
    <x v="55"/>
    <x v="0"/>
    <x v="0"/>
    <x v="17"/>
    <x v="10"/>
    <x v="5"/>
    <x v="5"/>
    <x v="3"/>
    <x v="13"/>
  </r>
  <r>
    <x v="167"/>
    <x v="24"/>
    <x v="105"/>
    <x v="35"/>
    <x v="348"/>
    <x v="417"/>
    <x v="0"/>
    <x v="55"/>
    <x v="0"/>
    <x v="1"/>
    <x v="2"/>
    <x v="13"/>
    <x v="12"/>
    <x v="6"/>
    <x v="3"/>
    <x v="13"/>
  </r>
  <r>
    <x v="178"/>
    <x v="25"/>
    <x v="196"/>
    <x v="36"/>
    <x v="367"/>
    <x v="1241"/>
    <x v="0"/>
    <x v="55"/>
    <x v="0"/>
    <x v="4"/>
    <x v="14"/>
    <x v="13"/>
    <x v="12"/>
    <x v="6"/>
    <x v="3"/>
    <x v="13"/>
  </r>
  <r>
    <x v="189"/>
    <x v="26"/>
    <x v="129"/>
    <x v="61"/>
    <x v="440"/>
    <x v="483"/>
    <x v="0"/>
    <x v="55"/>
    <x v="0"/>
    <x v="5"/>
    <x v="3"/>
    <x v="13"/>
    <x v="12"/>
    <x v="6"/>
    <x v="3"/>
    <x v="13"/>
  </r>
  <r>
    <x v="200"/>
    <x v="27"/>
    <x v="58"/>
    <x v="34"/>
    <x v="280"/>
    <x v="95"/>
    <x v="0"/>
    <x v="55"/>
    <x v="0"/>
    <x v="1"/>
    <x v="13"/>
    <x v="13"/>
    <x v="12"/>
    <x v="6"/>
    <x v="3"/>
    <x v="13"/>
  </r>
  <r>
    <x v="211"/>
    <x v="28"/>
    <x v="204"/>
    <x v="36"/>
    <x v="368"/>
    <x v="189"/>
    <x v="0"/>
    <x v="0"/>
    <x v="0"/>
    <x v="9"/>
    <x v="16"/>
    <x v="13"/>
    <x v="12"/>
    <x v="6"/>
    <x v="3"/>
    <x v="13"/>
  </r>
  <r>
    <x v="223"/>
    <x v="29"/>
    <x v="144"/>
    <x v="28"/>
    <x v="243"/>
    <x v="1024"/>
    <x v="0"/>
    <x v="0"/>
    <x v="0"/>
    <x v="9"/>
    <x v="2"/>
    <x v="9"/>
    <x v="10"/>
    <x v="6"/>
    <x v="3"/>
    <x v="13"/>
  </r>
  <r>
    <x v="234"/>
    <x v="30"/>
    <x v="144"/>
    <x v="28"/>
    <x v="243"/>
    <x v="1394"/>
    <x v="0"/>
    <x v="0"/>
    <x v="0"/>
    <x v="9"/>
    <x v="16"/>
    <x v="9"/>
    <x v="12"/>
    <x v="6"/>
    <x v="3"/>
    <x v="8"/>
  </r>
  <r>
    <x v="245"/>
    <x v="31"/>
    <x v="171"/>
    <x v="28"/>
    <x v="246"/>
    <x v="889"/>
    <x v="0"/>
    <x v="0"/>
    <x v="0"/>
    <x v="10"/>
    <x v="13"/>
    <x v="13"/>
    <x v="12"/>
    <x v="6"/>
    <x v="3"/>
    <x v="13"/>
  </r>
  <r>
    <x v="256"/>
    <x v="32"/>
    <x v="212"/>
    <x v="34"/>
    <x v="335"/>
    <x v="359"/>
    <x v="2"/>
    <x v="0"/>
    <x v="0"/>
    <x v="3"/>
    <x v="17"/>
    <x v="13"/>
    <x v="12"/>
    <x v="6"/>
    <x v="3"/>
    <x v="13"/>
  </r>
  <r>
    <x v="267"/>
    <x v="33"/>
    <x v="132"/>
    <x v="5"/>
    <x v="110"/>
    <x v="1210"/>
    <x v="0"/>
    <x v="0"/>
    <x v="0"/>
    <x v="8"/>
    <x v="11"/>
    <x v="13"/>
    <x v="12"/>
    <x v="6"/>
    <x v="3"/>
    <x v="13"/>
  </r>
  <r>
    <x v="278"/>
    <x v="34"/>
    <x v="132"/>
    <x v="5"/>
    <x v="109"/>
    <x v="213"/>
    <x v="0"/>
    <x v="0"/>
    <x v="0"/>
    <x v="4"/>
    <x v="11"/>
    <x v="13"/>
    <x v="12"/>
    <x v="6"/>
    <x v="3"/>
    <x v="13"/>
  </r>
  <r>
    <x v="289"/>
    <x v="35"/>
    <x v="219"/>
    <x v="44"/>
    <x v="400"/>
    <x v="888"/>
    <x v="0"/>
    <x v="0"/>
    <x v="0"/>
    <x v="4"/>
    <x v="1"/>
    <x v="13"/>
    <x v="12"/>
    <x v="6"/>
    <x v="3"/>
    <x v="13"/>
  </r>
  <r>
    <x v="300"/>
    <x v="36"/>
    <x v="266"/>
    <x v="13"/>
    <x v="195"/>
    <x v="1418"/>
    <x v="0"/>
    <x v="0"/>
    <x v="0"/>
    <x v="2"/>
    <x v="0"/>
    <x v="13"/>
    <x v="12"/>
    <x v="6"/>
    <x v="3"/>
    <x v="13"/>
  </r>
  <r>
    <x v="311"/>
    <x v="37"/>
    <x v="135"/>
    <x v="40"/>
    <x v="372"/>
    <x v="155"/>
    <x v="0"/>
    <x v="0"/>
    <x v="0"/>
    <x v="6"/>
    <x v="1"/>
    <x v="10"/>
    <x v="5"/>
    <x v="5"/>
    <x v="3"/>
    <x v="13"/>
  </r>
  <r>
    <x v="322"/>
    <x v="38"/>
    <x v="46"/>
    <x v="45"/>
    <x v="29"/>
    <x v="1067"/>
    <x v="0"/>
    <x v="0"/>
    <x v="0"/>
    <x v="8"/>
    <x v="3"/>
    <x v="14"/>
    <x v="10"/>
    <x v="6"/>
    <x v="3"/>
    <x v="13"/>
  </r>
  <r>
    <x v="334"/>
    <x v="39"/>
    <x v="70"/>
    <x v="13"/>
    <x v="148"/>
    <x v="870"/>
    <x v="0"/>
    <x v="0"/>
    <x v="0"/>
    <x v="7"/>
    <x v="0"/>
    <x v="13"/>
    <x v="12"/>
    <x v="6"/>
    <x v="3"/>
    <x v="13"/>
  </r>
  <r>
    <x v="345"/>
    <x v="40"/>
    <x v="85"/>
    <x v="36"/>
    <x v="365"/>
    <x v="1145"/>
    <x v="2"/>
    <x v="0"/>
    <x v="0"/>
    <x v="11"/>
    <x v="14"/>
    <x v="13"/>
    <x v="12"/>
    <x v="6"/>
    <x v="3"/>
    <x v="13"/>
  </r>
  <r>
    <x v="356"/>
    <x v="41"/>
    <x v="85"/>
    <x v="36"/>
    <x v="366"/>
    <x v="1315"/>
    <x v="0"/>
    <x v="0"/>
    <x v="0"/>
    <x v="9"/>
    <x v="2"/>
    <x v="9"/>
    <x v="7"/>
    <x v="5"/>
    <x v="3"/>
    <x v="13"/>
  </r>
  <r>
    <x v="367"/>
    <x v="42"/>
    <x v="85"/>
    <x v="36"/>
    <x v="366"/>
    <x v="1338"/>
    <x v="0"/>
    <x v="0"/>
    <x v="0"/>
    <x v="4"/>
    <x v="12"/>
    <x v="13"/>
    <x v="12"/>
    <x v="6"/>
    <x v="3"/>
    <x v="13"/>
  </r>
  <r>
    <x v="378"/>
    <x v="43"/>
    <x v="158"/>
    <x v="34"/>
    <x v="296"/>
    <x v="403"/>
    <x v="0"/>
    <x v="0"/>
    <x v="0"/>
    <x v="6"/>
    <x v="0"/>
    <x v="13"/>
    <x v="12"/>
    <x v="6"/>
    <x v="3"/>
    <x v="13"/>
  </r>
  <r>
    <x v="389"/>
    <x v="44"/>
    <x v="168"/>
    <x v="31"/>
    <x v="267"/>
    <x v="78"/>
    <x v="1"/>
    <x v="0"/>
    <x v="0"/>
    <x v="5"/>
    <x v="4"/>
    <x v="13"/>
    <x v="12"/>
    <x v="6"/>
    <x v="3"/>
    <x v="13"/>
  </r>
  <r>
    <x v="400"/>
    <x v="45"/>
    <x v="143"/>
    <x v="13"/>
    <x v="159"/>
    <x v="3"/>
    <x v="0"/>
    <x v="0"/>
    <x v="0"/>
    <x v="0"/>
    <x v="3"/>
    <x v="13"/>
    <x v="12"/>
    <x v="6"/>
    <x v="3"/>
    <x v="13"/>
  </r>
  <r>
    <x v="411"/>
    <x v="46"/>
    <x v="237"/>
    <x v="33"/>
    <x v="272"/>
    <x v="1121"/>
    <x v="0"/>
    <x v="0"/>
    <x v="0"/>
    <x v="6"/>
    <x v="17"/>
    <x v="9"/>
    <x v="10"/>
    <x v="6"/>
    <x v="3"/>
    <x v="13"/>
  </r>
  <r>
    <x v="422"/>
    <x v="47"/>
    <x v="252"/>
    <x v="15"/>
    <x v="221"/>
    <x v="1449"/>
    <x v="0"/>
    <x v="0"/>
    <x v="0"/>
    <x v="2"/>
    <x v="1"/>
    <x v="10"/>
    <x v="5"/>
    <x v="5"/>
    <x v="3"/>
    <x v="13"/>
  </r>
  <r>
    <x v="433"/>
    <x v="48"/>
    <x v="231"/>
    <x v="22"/>
    <x v="232"/>
    <x v="916"/>
    <x v="2"/>
    <x v="1"/>
    <x v="0"/>
    <x v="7"/>
    <x v="14"/>
    <x v="13"/>
    <x v="12"/>
    <x v="6"/>
    <x v="3"/>
    <x v="13"/>
  </r>
  <r>
    <x v="445"/>
    <x v="49"/>
    <x v="152"/>
    <x v="55"/>
    <x v="71"/>
    <x v="1549"/>
    <x v="0"/>
    <x v="1"/>
    <x v="0"/>
    <x v="8"/>
    <x v="4"/>
    <x v="9"/>
    <x v="10"/>
    <x v="6"/>
    <x v="3"/>
    <x v="13"/>
  </r>
  <r>
    <x v="456"/>
    <x v="50"/>
    <x v="37"/>
    <x v="35"/>
    <x v="339"/>
    <x v="1192"/>
    <x v="2"/>
    <x v="2"/>
    <x v="0"/>
    <x v="9"/>
    <x v="17"/>
    <x v="9"/>
    <x v="10"/>
    <x v="6"/>
    <x v="3"/>
    <x v="13"/>
  </r>
  <r>
    <x v="467"/>
    <x v="51"/>
    <x v="207"/>
    <x v="43"/>
    <x v="389"/>
    <x v="1459"/>
    <x v="0"/>
    <x v="2"/>
    <x v="0"/>
    <x v="6"/>
    <x v="11"/>
    <x v="13"/>
    <x v="12"/>
    <x v="6"/>
    <x v="3"/>
    <x v="13"/>
  </r>
  <r>
    <x v="472"/>
    <x v="52"/>
    <x v="15"/>
    <x v="15"/>
    <x v="217"/>
    <x v="127"/>
    <x v="2"/>
    <x v="2"/>
    <x v="0"/>
    <x v="4"/>
    <x v="16"/>
    <x v="11"/>
    <x v="12"/>
    <x v="6"/>
    <x v="3"/>
    <x v="11"/>
  </r>
  <r>
    <x v="473"/>
    <x v="53"/>
    <x v="63"/>
    <x v="15"/>
    <x v="225"/>
    <x v="561"/>
    <x v="2"/>
    <x v="2"/>
    <x v="0"/>
    <x v="7"/>
    <x v="16"/>
    <x v="13"/>
    <x v="12"/>
    <x v="6"/>
    <x v="3"/>
    <x v="13"/>
  </r>
  <r>
    <x v="474"/>
    <x v="54"/>
    <x v="165"/>
    <x v="13"/>
    <x v="165"/>
    <x v="17"/>
    <x v="0"/>
    <x v="2"/>
    <x v="0"/>
    <x v="6"/>
    <x v="3"/>
    <x v="13"/>
    <x v="12"/>
    <x v="6"/>
    <x v="3"/>
    <x v="13"/>
  </r>
  <r>
    <x v="475"/>
    <x v="55"/>
    <x v="259"/>
    <x v="11"/>
    <x v="131"/>
    <x v="833"/>
    <x v="0"/>
    <x v="3"/>
    <x v="1"/>
    <x v="5"/>
    <x v="13"/>
    <x v="9"/>
    <x v="10"/>
    <x v="6"/>
    <x v="3"/>
    <x v="13"/>
  </r>
  <r>
    <x v="476"/>
    <x v="56"/>
    <x v="208"/>
    <x v="46"/>
    <x v="409"/>
    <x v="1072"/>
    <x v="0"/>
    <x v="3"/>
    <x v="1"/>
    <x v="4"/>
    <x v="1"/>
    <x v="9"/>
    <x v="10"/>
    <x v="6"/>
    <x v="3"/>
    <x v="13"/>
  </r>
  <r>
    <x v="477"/>
    <x v="57"/>
    <x v="240"/>
    <x v="37"/>
    <x v="59"/>
    <x v="406"/>
    <x v="1"/>
    <x v="3"/>
    <x v="1"/>
    <x v="10"/>
    <x v="3"/>
    <x v="9"/>
    <x v="6"/>
    <x v="6"/>
    <x v="3"/>
    <x v="9"/>
  </r>
  <r>
    <x v="478"/>
    <x v="58"/>
    <x v="193"/>
    <x v="69"/>
    <x v="456"/>
    <x v="225"/>
    <x v="0"/>
    <x v="3"/>
    <x v="1"/>
    <x v="2"/>
    <x v="17"/>
    <x v="9"/>
    <x v="6"/>
    <x v="6"/>
    <x v="3"/>
    <x v="9"/>
  </r>
  <r>
    <x v="480"/>
    <x v="59"/>
    <x v="165"/>
    <x v="13"/>
    <x v="166"/>
    <x v="807"/>
    <x v="3"/>
    <x v="3"/>
    <x v="1"/>
    <x v="9"/>
    <x v="2"/>
    <x v="9"/>
    <x v="10"/>
    <x v="6"/>
    <x v="3"/>
    <x v="13"/>
  </r>
  <r>
    <x v="481"/>
    <x v="60"/>
    <x v="203"/>
    <x v="51"/>
    <x v="43"/>
    <x v="378"/>
    <x v="0"/>
    <x v="3"/>
    <x v="1"/>
    <x v="8"/>
    <x v="0"/>
    <x v="10"/>
    <x v="5"/>
    <x v="6"/>
    <x v="3"/>
    <x v="8"/>
  </r>
  <r>
    <x v="482"/>
    <x v="61"/>
    <x v="93"/>
    <x v="37"/>
    <x v="55"/>
    <x v="1363"/>
    <x v="0"/>
    <x v="3"/>
    <x v="1"/>
    <x v="5"/>
    <x v="0"/>
    <x v="13"/>
    <x v="12"/>
    <x v="6"/>
    <x v="3"/>
    <x v="13"/>
  </r>
  <r>
    <x v="483"/>
    <x v="62"/>
    <x v="179"/>
    <x v="43"/>
    <x v="69"/>
    <x v="8"/>
    <x v="0"/>
    <x v="3"/>
    <x v="1"/>
    <x v="9"/>
    <x v="13"/>
    <x v="13"/>
    <x v="12"/>
    <x v="6"/>
    <x v="3"/>
    <x v="13"/>
  </r>
  <r>
    <x v="484"/>
    <x v="63"/>
    <x v="164"/>
    <x v="54"/>
    <x v="460"/>
    <x v="38"/>
    <x v="2"/>
    <x v="3"/>
    <x v="1"/>
    <x v="11"/>
    <x v="16"/>
    <x v="9"/>
    <x v="5"/>
    <x v="5"/>
    <x v="3"/>
    <x v="13"/>
  </r>
  <r>
    <x v="485"/>
    <x v="64"/>
    <x v="164"/>
    <x v="54"/>
    <x v="437"/>
    <x v="40"/>
    <x v="2"/>
    <x v="3"/>
    <x v="1"/>
    <x v="11"/>
    <x v="16"/>
    <x v="9"/>
    <x v="6"/>
    <x v="6"/>
    <x v="3"/>
    <x v="9"/>
  </r>
  <r>
    <x v="486"/>
    <x v="65"/>
    <x v="126"/>
    <x v="27"/>
    <x v="237"/>
    <x v="750"/>
    <x v="0"/>
    <x v="4"/>
    <x v="1"/>
    <x v="1"/>
    <x v="15"/>
    <x v="13"/>
    <x v="12"/>
    <x v="6"/>
    <x v="3"/>
    <x v="13"/>
  </r>
  <r>
    <x v="487"/>
    <x v="66"/>
    <x v="0"/>
    <x v="52"/>
    <x v="417"/>
    <x v="834"/>
    <x v="0"/>
    <x v="4"/>
    <x v="1"/>
    <x v="1"/>
    <x v="4"/>
    <x v="9"/>
    <x v="10"/>
    <x v="6"/>
    <x v="3"/>
    <x v="13"/>
  </r>
  <r>
    <x v="488"/>
    <x v="67"/>
    <x v="33"/>
    <x v="52"/>
    <x v="420"/>
    <x v="708"/>
    <x v="2"/>
    <x v="4"/>
    <x v="1"/>
    <x v="4"/>
    <x v="2"/>
    <x v="13"/>
    <x v="12"/>
    <x v="6"/>
    <x v="3"/>
    <x v="13"/>
  </r>
  <r>
    <x v="489"/>
    <x v="68"/>
    <x v="93"/>
    <x v="37"/>
    <x v="53"/>
    <x v="1532"/>
    <x v="0"/>
    <x v="4"/>
    <x v="1"/>
    <x v="7"/>
    <x v="17"/>
    <x v="13"/>
    <x v="12"/>
    <x v="6"/>
    <x v="3"/>
    <x v="13"/>
  </r>
  <r>
    <x v="491"/>
    <x v="69"/>
    <x v="226"/>
    <x v="44"/>
    <x v="401"/>
    <x v="1153"/>
    <x v="0"/>
    <x v="4"/>
    <x v="1"/>
    <x v="1"/>
    <x v="17"/>
    <x v="13"/>
    <x v="12"/>
    <x v="6"/>
    <x v="3"/>
    <x v="13"/>
  </r>
  <r>
    <x v="492"/>
    <x v="70"/>
    <x v="82"/>
    <x v="7"/>
    <x v="0"/>
    <x v="1568"/>
    <x v="0"/>
    <x v="5"/>
    <x v="1"/>
    <x v="6"/>
    <x v="4"/>
    <x v="9"/>
    <x v="10"/>
    <x v="6"/>
    <x v="3"/>
    <x v="13"/>
  </r>
  <r>
    <x v="493"/>
    <x v="71"/>
    <x v="51"/>
    <x v="13"/>
    <x v="142"/>
    <x v="1120"/>
    <x v="0"/>
    <x v="5"/>
    <x v="1"/>
    <x v="9"/>
    <x v="14"/>
    <x v="9"/>
    <x v="12"/>
    <x v="6"/>
    <x v="3"/>
    <x v="8"/>
  </r>
  <r>
    <x v="494"/>
    <x v="72"/>
    <x v="240"/>
    <x v="37"/>
    <x v="60"/>
    <x v="818"/>
    <x v="0"/>
    <x v="5"/>
    <x v="1"/>
    <x v="7"/>
    <x v="11"/>
    <x v="9"/>
    <x v="7"/>
    <x v="5"/>
    <x v="3"/>
    <x v="13"/>
  </r>
  <r>
    <x v="495"/>
    <x v="73"/>
    <x v="254"/>
    <x v="60"/>
    <x v="8"/>
    <x v="1011"/>
    <x v="1"/>
    <x v="6"/>
    <x v="1"/>
    <x v="3"/>
    <x v="0"/>
    <x v="13"/>
    <x v="12"/>
    <x v="6"/>
    <x v="3"/>
    <x v="13"/>
  </r>
  <r>
    <x v="496"/>
    <x v="74"/>
    <x v="103"/>
    <x v="2"/>
    <x v="16"/>
    <x v="933"/>
    <x v="2"/>
    <x v="6"/>
    <x v="1"/>
    <x v="8"/>
    <x v="1"/>
    <x v="13"/>
    <x v="12"/>
    <x v="6"/>
    <x v="3"/>
    <x v="13"/>
  </r>
  <r>
    <x v="497"/>
    <x v="75"/>
    <x v="38"/>
    <x v="45"/>
    <x v="26"/>
    <x v="1294"/>
    <x v="0"/>
    <x v="7"/>
    <x v="1"/>
    <x v="8"/>
    <x v="2"/>
    <x v="13"/>
    <x v="12"/>
    <x v="6"/>
    <x v="3"/>
    <x v="13"/>
  </r>
  <r>
    <x v="498"/>
    <x v="76"/>
    <x v="233"/>
    <x v="11"/>
    <x v="127"/>
    <x v="318"/>
    <x v="0"/>
    <x v="7"/>
    <x v="1"/>
    <x v="2"/>
    <x v="0"/>
    <x v="9"/>
    <x v="10"/>
    <x v="6"/>
    <x v="3"/>
    <x v="13"/>
  </r>
  <r>
    <x v="499"/>
    <x v="77"/>
    <x v="266"/>
    <x v="13"/>
    <x v="193"/>
    <x v="975"/>
    <x v="2"/>
    <x v="7"/>
    <x v="1"/>
    <x v="0"/>
    <x v="3"/>
    <x v="13"/>
    <x v="12"/>
    <x v="6"/>
    <x v="3"/>
    <x v="13"/>
  </r>
  <r>
    <x v="500"/>
    <x v="78"/>
    <x v="261"/>
    <x v="20"/>
    <x v="51"/>
    <x v="782"/>
    <x v="1"/>
    <x v="7"/>
    <x v="1"/>
    <x v="3"/>
    <x v="13"/>
    <x v="9"/>
    <x v="10"/>
    <x v="6"/>
    <x v="3"/>
    <x v="13"/>
  </r>
  <r>
    <x v="502"/>
    <x v="79"/>
    <x v="36"/>
    <x v="13"/>
    <x v="140"/>
    <x v="736"/>
    <x v="2"/>
    <x v="8"/>
    <x v="1"/>
    <x v="9"/>
    <x v="2"/>
    <x v="9"/>
    <x v="10"/>
    <x v="6"/>
    <x v="3"/>
    <x v="13"/>
  </r>
  <r>
    <x v="503"/>
    <x v="80"/>
    <x v="256"/>
    <x v="40"/>
    <x v="375"/>
    <x v="948"/>
    <x v="0"/>
    <x v="8"/>
    <x v="1"/>
    <x v="4"/>
    <x v="11"/>
    <x v="13"/>
    <x v="12"/>
    <x v="6"/>
    <x v="3"/>
    <x v="13"/>
  </r>
  <r>
    <x v="504"/>
    <x v="81"/>
    <x v="222"/>
    <x v="43"/>
    <x v="394"/>
    <x v="664"/>
    <x v="0"/>
    <x v="8"/>
    <x v="1"/>
    <x v="11"/>
    <x v="16"/>
    <x v="9"/>
    <x v="10"/>
    <x v="6"/>
    <x v="3"/>
    <x v="13"/>
  </r>
  <r>
    <x v="505"/>
    <x v="82"/>
    <x v="59"/>
    <x v="34"/>
    <x v="286"/>
    <x v="361"/>
    <x v="0"/>
    <x v="8"/>
    <x v="1"/>
    <x v="3"/>
    <x v="11"/>
    <x v="10"/>
    <x v="10"/>
    <x v="6"/>
    <x v="3"/>
    <x v="13"/>
  </r>
  <r>
    <x v="506"/>
    <x v="83"/>
    <x v="212"/>
    <x v="34"/>
    <x v="273"/>
    <x v="569"/>
    <x v="0"/>
    <x v="8"/>
    <x v="1"/>
    <x v="10"/>
    <x v="11"/>
    <x v="10"/>
    <x v="5"/>
    <x v="6"/>
    <x v="3"/>
    <x v="8"/>
  </r>
  <r>
    <x v="507"/>
    <x v="84"/>
    <x v="239"/>
    <x v="34"/>
    <x v="321"/>
    <x v="151"/>
    <x v="0"/>
    <x v="9"/>
    <x v="1"/>
    <x v="9"/>
    <x v="0"/>
    <x v="13"/>
    <x v="12"/>
    <x v="6"/>
    <x v="3"/>
    <x v="13"/>
  </r>
  <r>
    <x v="508"/>
    <x v="85"/>
    <x v="188"/>
    <x v="49"/>
    <x v="38"/>
    <x v="148"/>
    <x v="2"/>
    <x v="9"/>
    <x v="1"/>
    <x v="8"/>
    <x v="13"/>
    <x v="9"/>
    <x v="10"/>
    <x v="6"/>
    <x v="3"/>
    <x v="13"/>
  </r>
  <r>
    <x v="509"/>
    <x v="86"/>
    <x v="254"/>
    <x v="13"/>
    <x v="187"/>
    <x v="1458"/>
    <x v="0"/>
    <x v="9"/>
    <x v="1"/>
    <x v="5"/>
    <x v="1"/>
    <x v="13"/>
    <x v="12"/>
    <x v="6"/>
    <x v="3"/>
    <x v="13"/>
  </r>
  <r>
    <x v="510"/>
    <x v="87"/>
    <x v="52"/>
    <x v="29"/>
    <x v="252"/>
    <x v="1507"/>
    <x v="0"/>
    <x v="9"/>
    <x v="1"/>
    <x v="11"/>
    <x v="15"/>
    <x v="13"/>
    <x v="12"/>
    <x v="6"/>
    <x v="3"/>
    <x v="13"/>
  </r>
  <r>
    <x v="511"/>
    <x v="88"/>
    <x v="52"/>
    <x v="29"/>
    <x v="252"/>
    <x v="1185"/>
    <x v="0"/>
    <x v="9"/>
    <x v="1"/>
    <x v="1"/>
    <x v="16"/>
    <x v="13"/>
    <x v="12"/>
    <x v="6"/>
    <x v="3"/>
    <x v="13"/>
  </r>
  <r>
    <x v="513"/>
    <x v="89"/>
    <x v="165"/>
    <x v="13"/>
    <x v="163"/>
    <x v="718"/>
    <x v="0"/>
    <x v="9"/>
    <x v="1"/>
    <x v="2"/>
    <x v="3"/>
    <x v="9"/>
    <x v="10"/>
    <x v="6"/>
    <x v="3"/>
    <x v="13"/>
  </r>
  <r>
    <x v="514"/>
    <x v="90"/>
    <x v="45"/>
    <x v="34"/>
    <x v="279"/>
    <x v="243"/>
    <x v="0"/>
    <x v="9"/>
    <x v="1"/>
    <x v="0"/>
    <x v="14"/>
    <x v="13"/>
    <x v="12"/>
    <x v="6"/>
    <x v="3"/>
    <x v="13"/>
  </r>
  <r>
    <x v="515"/>
    <x v="91"/>
    <x v="101"/>
    <x v="29"/>
    <x v="259"/>
    <x v="1253"/>
    <x v="0"/>
    <x v="9"/>
    <x v="1"/>
    <x v="11"/>
    <x v="11"/>
    <x v="13"/>
    <x v="12"/>
    <x v="6"/>
    <x v="3"/>
    <x v="13"/>
  </r>
  <r>
    <x v="516"/>
    <x v="92"/>
    <x v="56"/>
    <x v="13"/>
    <x v="144"/>
    <x v="454"/>
    <x v="2"/>
    <x v="9"/>
    <x v="1"/>
    <x v="9"/>
    <x v="14"/>
    <x v="13"/>
    <x v="12"/>
    <x v="6"/>
    <x v="3"/>
    <x v="13"/>
  </r>
  <r>
    <x v="517"/>
    <x v="93"/>
    <x v="34"/>
    <x v="13"/>
    <x v="139"/>
    <x v="543"/>
    <x v="2"/>
    <x v="9"/>
    <x v="1"/>
    <x v="4"/>
    <x v="2"/>
    <x v="9"/>
    <x v="10"/>
    <x v="6"/>
    <x v="3"/>
    <x v="13"/>
  </r>
  <r>
    <x v="518"/>
    <x v="94"/>
    <x v="151"/>
    <x v="34"/>
    <x v="229"/>
    <x v="1214"/>
    <x v="0"/>
    <x v="9"/>
    <x v="1"/>
    <x v="3"/>
    <x v="0"/>
    <x v="13"/>
    <x v="12"/>
    <x v="6"/>
    <x v="3"/>
    <x v="13"/>
  </r>
  <r>
    <x v="519"/>
    <x v="95"/>
    <x v="10"/>
    <x v="59"/>
    <x v="79"/>
    <x v="1182"/>
    <x v="1"/>
    <x v="10"/>
    <x v="1"/>
    <x v="4"/>
    <x v="3"/>
    <x v="13"/>
    <x v="12"/>
    <x v="6"/>
    <x v="3"/>
    <x v="13"/>
  </r>
  <r>
    <x v="520"/>
    <x v="96"/>
    <x v="212"/>
    <x v="34"/>
    <x v="336"/>
    <x v="560"/>
    <x v="0"/>
    <x v="10"/>
    <x v="1"/>
    <x v="10"/>
    <x v="13"/>
    <x v="13"/>
    <x v="12"/>
    <x v="6"/>
    <x v="3"/>
    <x v="13"/>
  </r>
  <r>
    <x v="521"/>
    <x v="97"/>
    <x v="212"/>
    <x v="34"/>
    <x v="336"/>
    <x v="1530"/>
    <x v="0"/>
    <x v="10"/>
    <x v="1"/>
    <x v="10"/>
    <x v="13"/>
    <x v="13"/>
    <x v="12"/>
    <x v="6"/>
    <x v="3"/>
    <x v="13"/>
  </r>
  <r>
    <x v="522"/>
    <x v="98"/>
    <x v="10"/>
    <x v="59"/>
    <x v="80"/>
    <x v="509"/>
    <x v="1"/>
    <x v="10"/>
    <x v="1"/>
    <x v="4"/>
    <x v="1"/>
    <x v="13"/>
    <x v="12"/>
    <x v="6"/>
    <x v="3"/>
    <x v="13"/>
  </r>
  <r>
    <x v="2"/>
    <x v="99"/>
    <x v="254"/>
    <x v="13"/>
    <x v="188"/>
    <x v="32"/>
    <x v="0"/>
    <x v="10"/>
    <x v="1"/>
    <x v="6"/>
    <x v="4"/>
    <x v="13"/>
    <x v="12"/>
    <x v="6"/>
    <x v="3"/>
    <x v="13"/>
  </r>
  <r>
    <x v="3"/>
    <x v="100"/>
    <x v="191"/>
    <x v="1"/>
    <x v="9"/>
    <x v="489"/>
    <x v="2"/>
    <x v="11"/>
    <x v="2"/>
    <x v="8"/>
    <x v="13"/>
    <x v="13"/>
    <x v="12"/>
    <x v="6"/>
    <x v="3"/>
    <x v="13"/>
  </r>
  <r>
    <x v="4"/>
    <x v="101"/>
    <x v="94"/>
    <x v="61"/>
    <x v="439"/>
    <x v="203"/>
    <x v="0"/>
    <x v="11"/>
    <x v="2"/>
    <x v="10"/>
    <x v="15"/>
    <x v="9"/>
    <x v="10"/>
    <x v="6"/>
    <x v="3"/>
    <x v="13"/>
  </r>
  <r>
    <x v="5"/>
    <x v="102"/>
    <x v="19"/>
    <x v="14"/>
    <x v="205"/>
    <x v="1540"/>
    <x v="2"/>
    <x v="11"/>
    <x v="2"/>
    <x v="4"/>
    <x v="2"/>
    <x v="13"/>
    <x v="12"/>
    <x v="6"/>
    <x v="3"/>
    <x v="13"/>
  </r>
  <r>
    <x v="6"/>
    <x v="103"/>
    <x v="244"/>
    <x v="34"/>
    <x v="323"/>
    <x v="1404"/>
    <x v="0"/>
    <x v="11"/>
    <x v="2"/>
    <x v="9"/>
    <x v="13"/>
    <x v="13"/>
    <x v="12"/>
    <x v="6"/>
    <x v="3"/>
    <x v="13"/>
  </r>
  <r>
    <x v="7"/>
    <x v="104"/>
    <x v="131"/>
    <x v="28"/>
    <x v="238"/>
    <x v="795"/>
    <x v="0"/>
    <x v="11"/>
    <x v="2"/>
    <x v="9"/>
    <x v="12"/>
    <x v="13"/>
    <x v="12"/>
    <x v="6"/>
    <x v="3"/>
    <x v="13"/>
  </r>
  <r>
    <x v="8"/>
    <x v="105"/>
    <x v="115"/>
    <x v="35"/>
    <x v="354"/>
    <x v="535"/>
    <x v="0"/>
    <x v="11"/>
    <x v="2"/>
    <x v="0"/>
    <x v="16"/>
    <x v="13"/>
    <x v="12"/>
    <x v="6"/>
    <x v="3"/>
    <x v="13"/>
  </r>
  <r>
    <x v="9"/>
    <x v="106"/>
    <x v="79"/>
    <x v="35"/>
    <x v="341"/>
    <x v="1088"/>
    <x v="0"/>
    <x v="11"/>
    <x v="2"/>
    <x v="6"/>
    <x v="2"/>
    <x v="9"/>
    <x v="10"/>
    <x v="6"/>
    <x v="3"/>
    <x v="13"/>
  </r>
  <r>
    <x v="10"/>
    <x v="107"/>
    <x v="6"/>
    <x v="2"/>
    <x v="14"/>
    <x v="386"/>
    <x v="0"/>
    <x v="11"/>
    <x v="2"/>
    <x v="8"/>
    <x v="0"/>
    <x v="13"/>
    <x v="12"/>
    <x v="6"/>
    <x v="3"/>
    <x v="13"/>
  </r>
  <r>
    <x v="11"/>
    <x v="108"/>
    <x v="2"/>
    <x v="13"/>
    <x v="199"/>
    <x v="284"/>
    <x v="0"/>
    <x v="11"/>
    <x v="2"/>
    <x v="2"/>
    <x v="13"/>
    <x v="13"/>
    <x v="12"/>
    <x v="6"/>
    <x v="3"/>
    <x v="13"/>
  </r>
  <r>
    <x v="13"/>
    <x v="109"/>
    <x v="240"/>
    <x v="37"/>
    <x v="63"/>
    <x v="401"/>
    <x v="0"/>
    <x v="11"/>
    <x v="2"/>
    <x v="7"/>
    <x v="14"/>
    <x v="13"/>
    <x v="12"/>
    <x v="6"/>
    <x v="3"/>
    <x v="13"/>
  </r>
  <r>
    <x v="14"/>
    <x v="110"/>
    <x v="162"/>
    <x v="43"/>
    <x v="383"/>
    <x v="589"/>
    <x v="0"/>
    <x v="11"/>
    <x v="2"/>
    <x v="2"/>
    <x v="0"/>
    <x v="9"/>
    <x v="10"/>
    <x v="6"/>
    <x v="3"/>
    <x v="13"/>
  </r>
  <r>
    <x v="15"/>
    <x v="111"/>
    <x v="111"/>
    <x v="45"/>
    <x v="31"/>
    <x v="932"/>
    <x v="0"/>
    <x v="11"/>
    <x v="2"/>
    <x v="8"/>
    <x v="16"/>
    <x v="13"/>
    <x v="12"/>
    <x v="6"/>
    <x v="3"/>
    <x v="13"/>
  </r>
  <r>
    <x v="16"/>
    <x v="112"/>
    <x v="150"/>
    <x v="32"/>
    <x v="94"/>
    <x v="228"/>
    <x v="1"/>
    <x v="11"/>
    <x v="2"/>
    <x v="6"/>
    <x v="16"/>
    <x v="9"/>
    <x v="10"/>
    <x v="6"/>
    <x v="3"/>
    <x v="13"/>
  </r>
  <r>
    <x v="17"/>
    <x v="113"/>
    <x v="171"/>
    <x v="28"/>
    <x v="244"/>
    <x v="12"/>
    <x v="0"/>
    <x v="11"/>
    <x v="2"/>
    <x v="4"/>
    <x v="0"/>
    <x v="13"/>
    <x v="12"/>
    <x v="6"/>
    <x v="3"/>
    <x v="13"/>
  </r>
  <r>
    <x v="18"/>
    <x v="114"/>
    <x v="146"/>
    <x v="22"/>
    <x v="231"/>
    <x v="522"/>
    <x v="2"/>
    <x v="11"/>
    <x v="2"/>
    <x v="4"/>
    <x v="15"/>
    <x v="9"/>
    <x v="12"/>
    <x v="6"/>
    <x v="3"/>
    <x v="8"/>
  </r>
  <r>
    <x v="19"/>
    <x v="115"/>
    <x v="25"/>
    <x v="5"/>
    <x v="112"/>
    <x v="167"/>
    <x v="1"/>
    <x v="11"/>
    <x v="2"/>
    <x v="6"/>
    <x v="0"/>
    <x v="13"/>
    <x v="12"/>
    <x v="6"/>
    <x v="3"/>
    <x v="13"/>
  </r>
  <r>
    <x v="20"/>
    <x v="116"/>
    <x v="195"/>
    <x v="34"/>
    <x v="305"/>
    <x v="351"/>
    <x v="0"/>
    <x v="11"/>
    <x v="2"/>
    <x v="9"/>
    <x v="16"/>
    <x v="9"/>
    <x v="10"/>
    <x v="6"/>
    <x v="3"/>
    <x v="13"/>
  </r>
  <r>
    <x v="21"/>
    <x v="117"/>
    <x v="72"/>
    <x v="65"/>
    <x v="91"/>
    <x v="792"/>
    <x v="0"/>
    <x v="12"/>
    <x v="2"/>
    <x v="6"/>
    <x v="4"/>
    <x v="9"/>
    <x v="10"/>
    <x v="6"/>
    <x v="3"/>
    <x v="13"/>
  </r>
  <r>
    <x v="22"/>
    <x v="118"/>
    <x v="110"/>
    <x v="5"/>
    <x v="113"/>
    <x v="126"/>
    <x v="0"/>
    <x v="12"/>
    <x v="2"/>
    <x v="6"/>
    <x v="14"/>
    <x v="9"/>
    <x v="10"/>
    <x v="6"/>
    <x v="3"/>
    <x v="13"/>
  </r>
  <r>
    <x v="24"/>
    <x v="119"/>
    <x v="238"/>
    <x v="47"/>
    <x v="7"/>
    <x v="694"/>
    <x v="0"/>
    <x v="12"/>
    <x v="2"/>
    <x v="6"/>
    <x v="2"/>
    <x v="9"/>
    <x v="10"/>
    <x v="6"/>
    <x v="3"/>
    <x v="13"/>
  </r>
  <r>
    <x v="25"/>
    <x v="120"/>
    <x v="150"/>
    <x v="32"/>
    <x v="95"/>
    <x v="541"/>
    <x v="0"/>
    <x v="12"/>
    <x v="2"/>
    <x v="6"/>
    <x v="14"/>
    <x v="9"/>
    <x v="10"/>
    <x v="6"/>
    <x v="3"/>
    <x v="13"/>
  </r>
  <r>
    <x v="26"/>
    <x v="121"/>
    <x v="126"/>
    <x v="27"/>
    <x v="236"/>
    <x v="1232"/>
    <x v="0"/>
    <x v="12"/>
    <x v="2"/>
    <x v="9"/>
    <x v="13"/>
    <x v="9"/>
    <x v="10"/>
    <x v="6"/>
    <x v="3"/>
    <x v="13"/>
  </r>
  <r>
    <x v="27"/>
    <x v="122"/>
    <x v="76"/>
    <x v="34"/>
    <x v="292"/>
    <x v="405"/>
    <x v="0"/>
    <x v="12"/>
    <x v="2"/>
    <x v="4"/>
    <x v="16"/>
    <x v="13"/>
    <x v="12"/>
    <x v="6"/>
    <x v="3"/>
    <x v="13"/>
  </r>
  <r>
    <x v="28"/>
    <x v="123"/>
    <x v="267"/>
    <x v="54"/>
    <x v="438"/>
    <x v="367"/>
    <x v="0"/>
    <x v="12"/>
    <x v="2"/>
    <x v="0"/>
    <x v="12"/>
    <x v="9"/>
    <x v="12"/>
    <x v="6"/>
    <x v="3"/>
    <x v="8"/>
  </r>
  <r>
    <x v="29"/>
    <x v="124"/>
    <x v="144"/>
    <x v="28"/>
    <x v="242"/>
    <x v="1025"/>
    <x v="0"/>
    <x v="12"/>
    <x v="2"/>
    <x v="9"/>
    <x v="2"/>
    <x v="9"/>
    <x v="12"/>
    <x v="6"/>
    <x v="3"/>
    <x v="8"/>
  </r>
  <r>
    <x v="30"/>
    <x v="125"/>
    <x v="26"/>
    <x v="19"/>
    <x v="48"/>
    <x v="797"/>
    <x v="1"/>
    <x v="12"/>
    <x v="2"/>
    <x v="2"/>
    <x v="13"/>
    <x v="9"/>
    <x v="10"/>
    <x v="6"/>
    <x v="3"/>
    <x v="13"/>
  </r>
  <r>
    <x v="31"/>
    <x v="126"/>
    <x v="223"/>
    <x v="58"/>
    <x v="74"/>
    <x v="1270"/>
    <x v="1"/>
    <x v="12"/>
    <x v="2"/>
    <x v="6"/>
    <x v="13"/>
    <x v="13"/>
    <x v="12"/>
    <x v="6"/>
    <x v="3"/>
    <x v="13"/>
  </r>
  <r>
    <x v="32"/>
    <x v="127"/>
    <x v="90"/>
    <x v="13"/>
    <x v="152"/>
    <x v="330"/>
    <x v="2"/>
    <x v="12"/>
    <x v="2"/>
    <x v="0"/>
    <x v="4"/>
    <x v="9"/>
    <x v="10"/>
    <x v="6"/>
    <x v="3"/>
    <x v="13"/>
  </r>
  <r>
    <x v="33"/>
    <x v="128"/>
    <x v="169"/>
    <x v="14"/>
    <x v="214"/>
    <x v="1078"/>
    <x v="2"/>
    <x v="12"/>
    <x v="2"/>
    <x v="0"/>
    <x v="16"/>
    <x v="13"/>
    <x v="12"/>
    <x v="6"/>
    <x v="3"/>
    <x v="13"/>
  </r>
  <r>
    <x v="35"/>
    <x v="129"/>
    <x v="245"/>
    <x v="40"/>
    <x v="373"/>
    <x v="1115"/>
    <x v="2"/>
    <x v="12"/>
    <x v="2"/>
    <x v="9"/>
    <x v="14"/>
    <x v="13"/>
    <x v="12"/>
    <x v="6"/>
    <x v="3"/>
    <x v="13"/>
  </r>
  <r>
    <x v="36"/>
    <x v="130"/>
    <x v="195"/>
    <x v="34"/>
    <x v="305"/>
    <x v="350"/>
    <x v="0"/>
    <x v="12"/>
    <x v="2"/>
    <x v="10"/>
    <x v="2"/>
    <x v="9"/>
    <x v="5"/>
    <x v="6"/>
    <x v="3"/>
    <x v="8"/>
  </r>
  <r>
    <x v="37"/>
    <x v="131"/>
    <x v="264"/>
    <x v="34"/>
    <x v="333"/>
    <x v="786"/>
    <x v="2"/>
    <x v="12"/>
    <x v="2"/>
    <x v="10"/>
    <x v="0"/>
    <x v="13"/>
    <x v="12"/>
    <x v="6"/>
    <x v="3"/>
    <x v="13"/>
  </r>
  <r>
    <x v="38"/>
    <x v="132"/>
    <x v="149"/>
    <x v="37"/>
    <x v="58"/>
    <x v="1117"/>
    <x v="0"/>
    <x v="12"/>
    <x v="2"/>
    <x v="4"/>
    <x v="13"/>
    <x v="9"/>
    <x v="10"/>
    <x v="6"/>
    <x v="3"/>
    <x v="13"/>
  </r>
  <r>
    <x v="39"/>
    <x v="133"/>
    <x v="42"/>
    <x v="52"/>
    <x v="424"/>
    <x v="1179"/>
    <x v="0"/>
    <x v="12"/>
    <x v="2"/>
    <x v="4"/>
    <x v="15"/>
    <x v="13"/>
    <x v="12"/>
    <x v="6"/>
    <x v="3"/>
    <x v="13"/>
  </r>
  <r>
    <x v="40"/>
    <x v="134"/>
    <x v="38"/>
    <x v="45"/>
    <x v="28"/>
    <x v="923"/>
    <x v="0"/>
    <x v="12"/>
    <x v="2"/>
    <x v="8"/>
    <x v="13"/>
    <x v="9"/>
    <x v="10"/>
    <x v="6"/>
    <x v="3"/>
    <x v="13"/>
  </r>
  <r>
    <x v="41"/>
    <x v="135"/>
    <x v="86"/>
    <x v="9"/>
    <x v="87"/>
    <x v="420"/>
    <x v="3"/>
    <x v="12"/>
    <x v="2"/>
    <x v="4"/>
    <x v="14"/>
    <x v="13"/>
    <x v="12"/>
    <x v="6"/>
    <x v="3"/>
    <x v="13"/>
  </r>
  <r>
    <x v="42"/>
    <x v="136"/>
    <x v="98"/>
    <x v="40"/>
    <x v="370"/>
    <x v="724"/>
    <x v="0"/>
    <x v="13"/>
    <x v="2"/>
    <x v="4"/>
    <x v="2"/>
    <x v="13"/>
    <x v="12"/>
    <x v="6"/>
    <x v="3"/>
    <x v="13"/>
  </r>
  <r>
    <x v="43"/>
    <x v="137"/>
    <x v="197"/>
    <x v="13"/>
    <x v="174"/>
    <x v="768"/>
    <x v="0"/>
    <x v="13"/>
    <x v="2"/>
    <x v="6"/>
    <x v="0"/>
    <x v="13"/>
    <x v="12"/>
    <x v="6"/>
    <x v="3"/>
    <x v="13"/>
  </r>
  <r>
    <x v="44"/>
    <x v="138"/>
    <x v="71"/>
    <x v="34"/>
    <x v="291"/>
    <x v="1372"/>
    <x v="0"/>
    <x v="13"/>
    <x v="2"/>
    <x v="2"/>
    <x v="16"/>
    <x v="13"/>
    <x v="12"/>
    <x v="6"/>
    <x v="3"/>
    <x v="13"/>
  </r>
  <r>
    <x v="46"/>
    <x v="139"/>
    <x v="151"/>
    <x v="34"/>
    <x v="459"/>
    <x v="355"/>
    <x v="0"/>
    <x v="13"/>
    <x v="2"/>
    <x v="10"/>
    <x v="15"/>
    <x v="13"/>
    <x v="12"/>
    <x v="6"/>
    <x v="3"/>
    <x v="13"/>
  </r>
  <r>
    <x v="47"/>
    <x v="140"/>
    <x v="166"/>
    <x v="13"/>
    <x v="169"/>
    <x v="796"/>
    <x v="0"/>
    <x v="13"/>
    <x v="2"/>
    <x v="4"/>
    <x v="2"/>
    <x v="11"/>
    <x v="12"/>
    <x v="6"/>
    <x v="3"/>
    <x v="11"/>
  </r>
  <r>
    <x v="48"/>
    <x v="141"/>
    <x v="96"/>
    <x v="37"/>
    <x v="57"/>
    <x v="173"/>
    <x v="0"/>
    <x v="13"/>
    <x v="2"/>
    <x v="7"/>
    <x v="15"/>
    <x v="13"/>
    <x v="12"/>
    <x v="6"/>
    <x v="3"/>
    <x v="13"/>
  </r>
  <r>
    <x v="49"/>
    <x v="142"/>
    <x v="259"/>
    <x v="11"/>
    <x v="130"/>
    <x v="1093"/>
    <x v="0"/>
    <x v="14"/>
    <x v="2"/>
    <x v="4"/>
    <x v="0"/>
    <x v="9"/>
    <x v="10"/>
    <x v="6"/>
    <x v="3"/>
    <x v="13"/>
  </r>
  <r>
    <x v="50"/>
    <x v="143"/>
    <x v="221"/>
    <x v="13"/>
    <x v="177"/>
    <x v="329"/>
    <x v="2"/>
    <x v="14"/>
    <x v="2"/>
    <x v="2"/>
    <x v="14"/>
    <x v="13"/>
    <x v="12"/>
    <x v="6"/>
    <x v="3"/>
    <x v="13"/>
  </r>
  <r>
    <x v="51"/>
    <x v="144"/>
    <x v="93"/>
    <x v="37"/>
    <x v="56"/>
    <x v="530"/>
    <x v="0"/>
    <x v="14"/>
    <x v="2"/>
    <x v="7"/>
    <x v="14"/>
    <x v="13"/>
    <x v="12"/>
    <x v="6"/>
    <x v="3"/>
    <x v="13"/>
  </r>
  <r>
    <x v="52"/>
    <x v="145"/>
    <x v="43"/>
    <x v="30"/>
    <x v="1"/>
    <x v="1006"/>
    <x v="0"/>
    <x v="15"/>
    <x v="3"/>
    <x v="10"/>
    <x v="2"/>
    <x v="13"/>
    <x v="12"/>
    <x v="6"/>
    <x v="3"/>
    <x v="13"/>
  </r>
  <r>
    <x v="53"/>
    <x v="146"/>
    <x v="138"/>
    <x v="6"/>
    <x v="117"/>
    <x v="713"/>
    <x v="0"/>
    <x v="15"/>
    <x v="3"/>
    <x v="4"/>
    <x v="1"/>
    <x v="11"/>
    <x v="12"/>
    <x v="6"/>
    <x v="3"/>
    <x v="11"/>
  </r>
  <r>
    <x v="54"/>
    <x v="147"/>
    <x v="76"/>
    <x v="34"/>
    <x v="294"/>
    <x v="260"/>
    <x v="0"/>
    <x v="15"/>
    <x v="3"/>
    <x v="11"/>
    <x v="13"/>
    <x v="13"/>
    <x v="12"/>
    <x v="6"/>
    <x v="3"/>
    <x v="13"/>
  </r>
  <r>
    <x v="55"/>
    <x v="148"/>
    <x v="76"/>
    <x v="34"/>
    <x v="294"/>
    <x v="404"/>
    <x v="0"/>
    <x v="15"/>
    <x v="3"/>
    <x v="10"/>
    <x v="3"/>
    <x v="13"/>
    <x v="12"/>
    <x v="6"/>
    <x v="3"/>
    <x v="13"/>
  </r>
  <r>
    <x v="57"/>
    <x v="149"/>
    <x v="76"/>
    <x v="34"/>
    <x v="293"/>
    <x v="526"/>
    <x v="0"/>
    <x v="15"/>
    <x v="3"/>
    <x v="0"/>
    <x v="1"/>
    <x v="13"/>
    <x v="12"/>
    <x v="6"/>
    <x v="3"/>
    <x v="13"/>
  </r>
  <r>
    <x v="58"/>
    <x v="150"/>
    <x v="101"/>
    <x v="29"/>
    <x v="261"/>
    <x v="716"/>
    <x v="0"/>
    <x v="15"/>
    <x v="3"/>
    <x v="4"/>
    <x v="14"/>
    <x v="9"/>
    <x v="10"/>
    <x v="6"/>
    <x v="3"/>
    <x v="13"/>
  </r>
  <r>
    <x v="59"/>
    <x v="151"/>
    <x v="212"/>
    <x v="34"/>
    <x v="312"/>
    <x v="1277"/>
    <x v="1"/>
    <x v="15"/>
    <x v="3"/>
    <x v="11"/>
    <x v="13"/>
    <x v="10"/>
    <x v="5"/>
    <x v="5"/>
    <x v="3"/>
    <x v="13"/>
  </r>
  <r>
    <x v="60"/>
    <x v="152"/>
    <x v="91"/>
    <x v="46"/>
    <x v="402"/>
    <x v="652"/>
    <x v="0"/>
    <x v="15"/>
    <x v="3"/>
    <x v="2"/>
    <x v="3"/>
    <x v="9"/>
    <x v="10"/>
    <x v="6"/>
    <x v="3"/>
    <x v="13"/>
  </r>
  <r>
    <x v="61"/>
    <x v="153"/>
    <x v="20"/>
    <x v="59"/>
    <x v="81"/>
    <x v="1571"/>
    <x v="1"/>
    <x v="15"/>
    <x v="3"/>
    <x v="4"/>
    <x v="0"/>
    <x v="13"/>
    <x v="12"/>
    <x v="6"/>
    <x v="3"/>
    <x v="13"/>
  </r>
  <r>
    <x v="62"/>
    <x v="154"/>
    <x v="107"/>
    <x v="49"/>
    <x v="35"/>
    <x v="1439"/>
    <x v="0"/>
    <x v="15"/>
    <x v="3"/>
    <x v="8"/>
    <x v="11"/>
    <x v="13"/>
    <x v="12"/>
    <x v="6"/>
    <x v="3"/>
    <x v="13"/>
  </r>
  <r>
    <x v="63"/>
    <x v="155"/>
    <x v="266"/>
    <x v="13"/>
    <x v="67"/>
    <x v="86"/>
    <x v="0"/>
    <x v="15"/>
    <x v="3"/>
    <x v="4"/>
    <x v="1"/>
    <x v="9"/>
    <x v="10"/>
    <x v="6"/>
    <x v="3"/>
    <x v="13"/>
  </r>
  <r>
    <x v="64"/>
    <x v="156"/>
    <x v="194"/>
    <x v="17"/>
    <x v="23"/>
    <x v="915"/>
    <x v="1"/>
    <x v="15"/>
    <x v="3"/>
    <x v="8"/>
    <x v="2"/>
    <x v="13"/>
    <x v="12"/>
    <x v="6"/>
    <x v="3"/>
    <x v="13"/>
  </r>
  <r>
    <x v="65"/>
    <x v="157"/>
    <x v="9"/>
    <x v="6"/>
    <x v="114"/>
    <x v="1471"/>
    <x v="2"/>
    <x v="15"/>
    <x v="3"/>
    <x v="1"/>
    <x v="0"/>
    <x v="9"/>
    <x v="10"/>
    <x v="6"/>
    <x v="3"/>
    <x v="13"/>
  </r>
  <r>
    <x v="66"/>
    <x v="158"/>
    <x v="41"/>
    <x v="40"/>
    <x v="376"/>
    <x v="624"/>
    <x v="2"/>
    <x v="15"/>
    <x v="3"/>
    <x v="5"/>
    <x v="16"/>
    <x v="9"/>
    <x v="10"/>
    <x v="6"/>
    <x v="3"/>
    <x v="13"/>
  </r>
  <r>
    <x v="68"/>
    <x v="159"/>
    <x v="266"/>
    <x v="13"/>
    <x v="198"/>
    <x v="200"/>
    <x v="0"/>
    <x v="16"/>
    <x v="3"/>
    <x v="2"/>
    <x v="3"/>
    <x v="14"/>
    <x v="12"/>
    <x v="6"/>
    <x v="3"/>
    <x v="14"/>
  </r>
  <r>
    <x v="69"/>
    <x v="160"/>
    <x v="93"/>
    <x v="37"/>
    <x v="54"/>
    <x v="1534"/>
    <x v="0"/>
    <x v="16"/>
    <x v="3"/>
    <x v="10"/>
    <x v="11"/>
    <x v="13"/>
    <x v="12"/>
    <x v="6"/>
    <x v="3"/>
    <x v="13"/>
  </r>
  <r>
    <x v="70"/>
    <x v="161"/>
    <x v="49"/>
    <x v="23"/>
    <x v="233"/>
    <x v="963"/>
    <x v="0"/>
    <x v="16"/>
    <x v="3"/>
    <x v="11"/>
    <x v="13"/>
    <x v="9"/>
    <x v="10"/>
    <x v="6"/>
    <x v="3"/>
    <x v="13"/>
  </r>
  <r>
    <x v="71"/>
    <x v="162"/>
    <x v="59"/>
    <x v="34"/>
    <x v="284"/>
    <x v="1152"/>
    <x v="2"/>
    <x v="16"/>
    <x v="3"/>
    <x v="11"/>
    <x v="13"/>
    <x v="13"/>
    <x v="12"/>
    <x v="6"/>
    <x v="3"/>
    <x v="13"/>
  </r>
  <r>
    <x v="72"/>
    <x v="163"/>
    <x v="105"/>
    <x v="35"/>
    <x v="352"/>
    <x v="1490"/>
    <x v="0"/>
    <x v="16"/>
    <x v="3"/>
    <x v="4"/>
    <x v="1"/>
    <x v="9"/>
    <x v="10"/>
    <x v="6"/>
    <x v="3"/>
    <x v="13"/>
  </r>
  <r>
    <x v="73"/>
    <x v="164"/>
    <x v="105"/>
    <x v="35"/>
    <x v="347"/>
    <x v="1489"/>
    <x v="0"/>
    <x v="16"/>
    <x v="3"/>
    <x v="4"/>
    <x v="1"/>
    <x v="9"/>
    <x v="10"/>
    <x v="6"/>
    <x v="3"/>
    <x v="13"/>
  </r>
  <r>
    <x v="74"/>
    <x v="165"/>
    <x v="208"/>
    <x v="46"/>
    <x v="410"/>
    <x v="1130"/>
    <x v="0"/>
    <x v="16"/>
    <x v="3"/>
    <x v="1"/>
    <x v="0"/>
    <x v="9"/>
    <x v="12"/>
    <x v="6"/>
    <x v="3"/>
    <x v="8"/>
  </r>
  <r>
    <x v="75"/>
    <x v="166"/>
    <x v="208"/>
    <x v="46"/>
    <x v="410"/>
    <x v="432"/>
    <x v="0"/>
    <x v="16"/>
    <x v="3"/>
    <x v="6"/>
    <x v="13"/>
    <x v="9"/>
    <x v="12"/>
    <x v="6"/>
    <x v="3"/>
    <x v="8"/>
  </r>
  <r>
    <x v="76"/>
    <x v="167"/>
    <x v="162"/>
    <x v="43"/>
    <x v="380"/>
    <x v="1438"/>
    <x v="0"/>
    <x v="16"/>
    <x v="3"/>
    <x v="11"/>
    <x v="11"/>
    <x v="13"/>
    <x v="12"/>
    <x v="6"/>
    <x v="3"/>
    <x v="13"/>
  </r>
  <r>
    <x v="77"/>
    <x v="168"/>
    <x v="79"/>
    <x v="35"/>
    <x v="344"/>
    <x v="26"/>
    <x v="0"/>
    <x v="16"/>
    <x v="3"/>
    <x v="6"/>
    <x v="3"/>
    <x v="13"/>
    <x v="12"/>
    <x v="6"/>
    <x v="3"/>
    <x v="13"/>
  </r>
  <r>
    <x v="79"/>
    <x v="169"/>
    <x v="27"/>
    <x v="35"/>
    <x v="338"/>
    <x v="24"/>
    <x v="0"/>
    <x v="16"/>
    <x v="3"/>
    <x v="6"/>
    <x v="3"/>
    <x v="13"/>
    <x v="12"/>
    <x v="6"/>
    <x v="3"/>
    <x v="13"/>
  </r>
  <r>
    <x v="80"/>
    <x v="170"/>
    <x v="266"/>
    <x v="13"/>
    <x v="197"/>
    <x v="257"/>
    <x v="0"/>
    <x v="16"/>
    <x v="3"/>
    <x v="2"/>
    <x v="0"/>
    <x v="9"/>
    <x v="10"/>
    <x v="6"/>
    <x v="3"/>
    <x v="13"/>
  </r>
  <r>
    <x v="81"/>
    <x v="171"/>
    <x v="59"/>
    <x v="34"/>
    <x v="287"/>
    <x v="567"/>
    <x v="0"/>
    <x v="16"/>
    <x v="3"/>
    <x v="5"/>
    <x v="16"/>
    <x v="9"/>
    <x v="10"/>
    <x v="6"/>
    <x v="3"/>
    <x v="13"/>
  </r>
  <r>
    <x v="82"/>
    <x v="172"/>
    <x v="30"/>
    <x v="15"/>
    <x v="222"/>
    <x v="524"/>
    <x v="0"/>
    <x v="16"/>
    <x v="3"/>
    <x v="6"/>
    <x v="14"/>
    <x v="13"/>
    <x v="12"/>
    <x v="6"/>
    <x v="3"/>
    <x v="13"/>
  </r>
  <r>
    <x v="83"/>
    <x v="173"/>
    <x v="172"/>
    <x v="46"/>
    <x v="407"/>
    <x v="1387"/>
    <x v="3"/>
    <x v="17"/>
    <x v="3"/>
    <x v="6"/>
    <x v="13"/>
    <x v="9"/>
    <x v="10"/>
    <x v="6"/>
    <x v="3"/>
    <x v="13"/>
  </r>
  <r>
    <x v="84"/>
    <x v="174"/>
    <x v="247"/>
    <x v="28"/>
    <x v="251"/>
    <x v="709"/>
    <x v="2"/>
    <x v="17"/>
    <x v="3"/>
    <x v="6"/>
    <x v="17"/>
    <x v="9"/>
    <x v="10"/>
    <x v="6"/>
    <x v="3"/>
    <x v="13"/>
  </r>
  <r>
    <x v="85"/>
    <x v="175"/>
    <x v="246"/>
    <x v="69"/>
    <x v="457"/>
    <x v="1206"/>
    <x v="0"/>
    <x v="17"/>
    <x v="3"/>
    <x v="10"/>
    <x v="17"/>
    <x v="13"/>
    <x v="12"/>
    <x v="6"/>
    <x v="3"/>
    <x v="13"/>
  </r>
  <r>
    <x v="86"/>
    <x v="176"/>
    <x v="60"/>
    <x v="69"/>
    <x v="454"/>
    <x v="1235"/>
    <x v="0"/>
    <x v="17"/>
    <x v="3"/>
    <x v="2"/>
    <x v="0"/>
    <x v="13"/>
    <x v="12"/>
    <x v="6"/>
    <x v="3"/>
    <x v="13"/>
  </r>
  <r>
    <x v="87"/>
    <x v="177"/>
    <x v="60"/>
    <x v="69"/>
    <x v="454"/>
    <x v="1234"/>
    <x v="0"/>
    <x v="17"/>
    <x v="3"/>
    <x v="2"/>
    <x v="0"/>
    <x v="13"/>
    <x v="12"/>
    <x v="6"/>
    <x v="3"/>
    <x v="13"/>
  </r>
  <r>
    <x v="88"/>
    <x v="178"/>
    <x v="53"/>
    <x v="3"/>
    <x v="97"/>
    <x v="1480"/>
    <x v="0"/>
    <x v="17"/>
    <x v="3"/>
    <x v="3"/>
    <x v="11"/>
    <x v="9"/>
    <x v="10"/>
    <x v="6"/>
    <x v="3"/>
    <x v="13"/>
  </r>
  <r>
    <x v="90"/>
    <x v="179"/>
    <x v="58"/>
    <x v="34"/>
    <x v="281"/>
    <x v="94"/>
    <x v="2"/>
    <x v="17"/>
    <x v="3"/>
    <x v="6"/>
    <x v="14"/>
    <x v="9"/>
    <x v="10"/>
    <x v="6"/>
    <x v="3"/>
    <x v="13"/>
  </r>
  <r>
    <x v="91"/>
    <x v="180"/>
    <x v="16"/>
    <x v="47"/>
    <x v="6"/>
    <x v="754"/>
    <x v="3"/>
    <x v="18"/>
    <x v="3"/>
    <x v="6"/>
    <x v="3"/>
    <x v="9"/>
    <x v="10"/>
    <x v="6"/>
    <x v="3"/>
    <x v="13"/>
  </r>
  <r>
    <x v="92"/>
    <x v="181"/>
    <x v="113"/>
    <x v="49"/>
    <x v="36"/>
    <x v="1061"/>
    <x v="0"/>
    <x v="18"/>
    <x v="3"/>
    <x v="4"/>
    <x v="14"/>
    <x v="13"/>
    <x v="12"/>
    <x v="6"/>
    <x v="3"/>
    <x v="13"/>
  </r>
  <r>
    <x v="93"/>
    <x v="182"/>
    <x v="217"/>
    <x v="51"/>
    <x v="44"/>
    <x v="1373"/>
    <x v="2"/>
    <x v="18"/>
    <x v="3"/>
    <x v="8"/>
    <x v="13"/>
    <x v="10"/>
    <x v="5"/>
    <x v="5"/>
    <x v="3"/>
    <x v="13"/>
  </r>
  <r>
    <x v="94"/>
    <x v="183"/>
    <x v="88"/>
    <x v="53"/>
    <x v="45"/>
    <x v="507"/>
    <x v="0"/>
    <x v="19"/>
    <x v="3"/>
    <x v="8"/>
    <x v="11"/>
    <x v="13"/>
    <x v="12"/>
    <x v="6"/>
    <x v="3"/>
    <x v="13"/>
  </r>
  <r>
    <x v="95"/>
    <x v="184"/>
    <x v="42"/>
    <x v="52"/>
    <x v="423"/>
    <x v="931"/>
    <x v="2"/>
    <x v="19"/>
    <x v="3"/>
    <x v="10"/>
    <x v="1"/>
    <x v="13"/>
    <x v="12"/>
    <x v="6"/>
    <x v="3"/>
    <x v="13"/>
  </r>
  <r>
    <x v="96"/>
    <x v="185"/>
    <x v="105"/>
    <x v="35"/>
    <x v="349"/>
    <x v="729"/>
    <x v="0"/>
    <x v="19"/>
    <x v="3"/>
    <x v="3"/>
    <x v="16"/>
    <x v="14"/>
    <x v="12"/>
    <x v="6"/>
    <x v="3"/>
    <x v="14"/>
  </r>
  <r>
    <x v="97"/>
    <x v="186"/>
    <x v="114"/>
    <x v="40"/>
    <x v="377"/>
    <x v="1015"/>
    <x v="0"/>
    <x v="19"/>
    <x v="3"/>
    <x v="4"/>
    <x v="13"/>
    <x v="14"/>
    <x v="12"/>
    <x v="6"/>
    <x v="3"/>
    <x v="14"/>
  </r>
  <r>
    <x v="98"/>
    <x v="187"/>
    <x v="81"/>
    <x v="13"/>
    <x v="150"/>
    <x v="1282"/>
    <x v="2"/>
    <x v="19"/>
    <x v="3"/>
    <x v="11"/>
    <x v="11"/>
    <x v="9"/>
    <x v="10"/>
    <x v="6"/>
    <x v="3"/>
    <x v="13"/>
  </r>
  <r>
    <x v="99"/>
    <x v="188"/>
    <x v="137"/>
    <x v="5"/>
    <x v="107"/>
    <x v="169"/>
    <x v="0"/>
    <x v="19"/>
    <x v="3"/>
    <x v="1"/>
    <x v="2"/>
    <x v="13"/>
    <x v="12"/>
    <x v="6"/>
    <x v="3"/>
    <x v="13"/>
  </r>
  <r>
    <x v="101"/>
    <x v="189"/>
    <x v="120"/>
    <x v="31"/>
    <x v="263"/>
    <x v="1502"/>
    <x v="0"/>
    <x v="19"/>
    <x v="3"/>
    <x v="0"/>
    <x v="12"/>
    <x v="13"/>
    <x v="12"/>
    <x v="6"/>
    <x v="3"/>
    <x v="13"/>
  </r>
  <r>
    <x v="102"/>
    <x v="190"/>
    <x v="56"/>
    <x v="13"/>
    <x v="70"/>
    <x v="317"/>
    <x v="0"/>
    <x v="20"/>
    <x v="4"/>
    <x v="9"/>
    <x v="11"/>
    <x v="9"/>
    <x v="10"/>
    <x v="6"/>
    <x v="3"/>
    <x v="13"/>
  </r>
  <r>
    <x v="103"/>
    <x v="191"/>
    <x v="4"/>
    <x v="13"/>
    <x v="136"/>
    <x v="285"/>
    <x v="0"/>
    <x v="20"/>
    <x v="4"/>
    <x v="7"/>
    <x v="3"/>
    <x v="13"/>
    <x v="12"/>
    <x v="6"/>
    <x v="3"/>
    <x v="13"/>
  </r>
  <r>
    <x v="104"/>
    <x v="192"/>
    <x v="222"/>
    <x v="43"/>
    <x v="392"/>
    <x v="1440"/>
    <x v="0"/>
    <x v="20"/>
    <x v="4"/>
    <x v="6"/>
    <x v="17"/>
    <x v="13"/>
    <x v="12"/>
    <x v="6"/>
    <x v="3"/>
    <x v="13"/>
  </r>
  <r>
    <x v="105"/>
    <x v="193"/>
    <x v="201"/>
    <x v="10"/>
    <x v="123"/>
    <x v="376"/>
    <x v="0"/>
    <x v="20"/>
    <x v="4"/>
    <x v="7"/>
    <x v="15"/>
    <x v="10"/>
    <x v="10"/>
    <x v="6"/>
    <x v="3"/>
    <x v="13"/>
  </r>
  <r>
    <x v="106"/>
    <x v="194"/>
    <x v="89"/>
    <x v="52"/>
    <x v="429"/>
    <x v="1151"/>
    <x v="0"/>
    <x v="20"/>
    <x v="4"/>
    <x v="1"/>
    <x v="0"/>
    <x v="13"/>
    <x v="12"/>
    <x v="6"/>
    <x v="3"/>
    <x v="13"/>
  </r>
  <r>
    <x v="107"/>
    <x v="195"/>
    <x v="25"/>
    <x v="5"/>
    <x v="111"/>
    <x v="1122"/>
    <x v="3"/>
    <x v="20"/>
    <x v="4"/>
    <x v="2"/>
    <x v="11"/>
    <x v="13"/>
    <x v="12"/>
    <x v="6"/>
    <x v="3"/>
    <x v="13"/>
  </r>
  <r>
    <x v="108"/>
    <x v="196"/>
    <x v="218"/>
    <x v="34"/>
    <x v="315"/>
    <x v="950"/>
    <x v="0"/>
    <x v="20"/>
    <x v="4"/>
    <x v="4"/>
    <x v="17"/>
    <x v="12"/>
    <x v="12"/>
    <x v="6"/>
    <x v="3"/>
    <x v="12"/>
  </r>
  <r>
    <x v="109"/>
    <x v="197"/>
    <x v="218"/>
    <x v="34"/>
    <x v="315"/>
    <x v="97"/>
    <x v="0"/>
    <x v="20"/>
    <x v="4"/>
    <x v="4"/>
    <x v="17"/>
    <x v="12"/>
    <x v="12"/>
    <x v="6"/>
    <x v="3"/>
    <x v="12"/>
  </r>
  <r>
    <x v="110"/>
    <x v="198"/>
    <x v="218"/>
    <x v="34"/>
    <x v="315"/>
    <x v="1358"/>
    <x v="0"/>
    <x v="20"/>
    <x v="4"/>
    <x v="4"/>
    <x v="17"/>
    <x v="12"/>
    <x v="12"/>
    <x v="6"/>
    <x v="3"/>
    <x v="12"/>
  </r>
  <r>
    <x v="113"/>
    <x v="199"/>
    <x v="108"/>
    <x v="2"/>
    <x v="17"/>
    <x v="842"/>
    <x v="0"/>
    <x v="20"/>
    <x v="4"/>
    <x v="8"/>
    <x v="1"/>
    <x v="13"/>
    <x v="12"/>
    <x v="6"/>
    <x v="3"/>
    <x v="13"/>
  </r>
  <r>
    <x v="114"/>
    <x v="200"/>
    <x v="212"/>
    <x v="34"/>
    <x v="307"/>
    <x v="371"/>
    <x v="0"/>
    <x v="20"/>
    <x v="4"/>
    <x v="2"/>
    <x v="13"/>
    <x v="10"/>
    <x v="5"/>
    <x v="6"/>
    <x v="3"/>
    <x v="8"/>
  </r>
  <r>
    <x v="115"/>
    <x v="201"/>
    <x v="100"/>
    <x v="25"/>
    <x v="85"/>
    <x v="506"/>
    <x v="0"/>
    <x v="21"/>
    <x v="4"/>
    <x v="6"/>
    <x v="3"/>
    <x v="13"/>
    <x v="12"/>
    <x v="6"/>
    <x v="3"/>
    <x v="13"/>
  </r>
  <r>
    <x v="116"/>
    <x v="202"/>
    <x v="121"/>
    <x v="1"/>
    <x v="10"/>
    <x v="374"/>
    <x v="0"/>
    <x v="21"/>
    <x v="4"/>
    <x v="8"/>
    <x v="0"/>
    <x v="13"/>
    <x v="12"/>
    <x v="6"/>
    <x v="3"/>
    <x v="13"/>
  </r>
  <r>
    <x v="117"/>
    <x v="203"/>
    <x v="30"/>
    <x v="15"/>
    <x v="218"/>
    <x v="494"/>
    <x v="0"/>
    <x v="21"/>
    <x v="4"/>
    <x v="5"/>
    <x v="15"/>
    <x v="13"/>
    <x v="12"/>
    <x v="6"/>
    <x v="3"/>
    <x v="13"/>
  </r>
  <r>
    <x v="118"/>
    <x v="204"/>
    <x v="216"/>
    <x v="44"/>
    <x v="398"/>
    <x v="208"/>
    <x v="0"/>
    <x v="21"/>
    <x v="4"/>
    <x v="4"/>
    <x v="12"/>
    <x v="13"/>
    <x v="12"/>
    <x v="6"/>
    <x v="3"/>
    <x v="13"/>
  </r>
  <r>
    <x v="119"/>
    <x v="205"/>
    <x v="232"/>
    <x v="58"/>
    <x v="77"/>
    <x v="855"/>
    <x v="1"/>
    <x v="21"/>
    <x v="4"/>
    <x v="1"/>
    <x v="3"/>
    <x v="10"/>
    <x v="10"/>
    <x v="6"/>
    <x v="3"/>
    <x v="13"/>
  </r>
  <r>
    <x v="120"/>
    <x v="206"/>
    <x v="7"/>
    <x v="52"/>
    <x v="418"/>
    <x v="245"/>
    <x v="0"/>
    <x v="22"/>
    <x v="4"/>
    <x v="6"/>
    <x v="1"/>
    <x v="9"/>
    <x v="5"/>
    <x v="5"/>
    <x v="3"/>
    <x v="13"/>
  </r>
  <r>
    <x v="121"/>
    <x v="207"/>
    <x v="115"/>
    <x v="35"/>
    <x v="356"/>
    <x v="593"/>
    <x v="2"/>
    <x v="22"/>
    <x v="4"/>
    <x v="0"/>
    <x v="2"/>
    <x v="9"/>
    <x v="10"/>
    <x v="6"/>
    <x v="3"/>
    <x v="13"/>
  </r>
  <r>
    <x v="122"/>
    <x v="208"/>
    <x v="29"/>
    <x v="3"/>
    <x v="101"/>
    <x v="579"/>
    <x v="0"/>
    <x v="22"/>
    <x v="4"/>
    <x v="7"/>
    <x v="14"/>
    <x v="13"/>
    <x v="12"/>
    <x v="6"/>
    <x v="3"/>
    <x v="13"/>
  </r>
  <r>
    <x v="124"/>
    <x v="209"/>
    <x v="216"/>
    <x v="44"/>
    <x v="399"/>
    <x v="1216"/>
    <x v="2"/>
    <x v="22"/>
    <x v="4"/>
    <x v="4"/>
    <x v="12"/>
    <x v="14"/>
    <x v="10"/>
    <x v="6"/>
    <x v="3"/>
    <x v="13"/>
  </r>
  <r>
    <x v="125"/>
    <x v="210"/>
    <x v="50"/>
    <x v="11"/>
    <x v="126"/>
    <x v="840"/>
    <x v="0"/>
    <x v="22"/>
    <x v="4"/>
    <x v="2"/>
    <x v="17"/>
    <x v="13"/>
    <x v="12"/>
    <x v="6"/>
    <x v="3"/>
    <x v="13"/>
  </r>
  <r>
    <x v="126"/>
    <x v="211"/>
    <x v="50"/>
    <x v="11"/>
    <x v="125"/>
    <x v="1158"/>
    <x v="0"/>
    <x v="22"/>
    <x v="4"/>
    <x v="2"/>
    <x v="17"/>
    <x v="13"/>
    <x v="12"/>
    <x v="6"/>
    <x v="3"/>
    <x v="13"/>
  </r>
  <r>
    <x v="127"/>
    <x v="212"/>
    <x v="17"/>
    <x v="45"/>
    <x v="25"/>
    <x v="602"/>
    <x v="0"/>
    <x v="22"/>
    <x v="4"/>
    <x v="8"/>
    <x v="13"/>
    <x v="9"/>
    <x v="12"/>
    <x v="6"/>
    <x v="3"/>
    <x v="8"/>
  </r>
  <r>
    <x v="128"/>
    <x v="213"/>
    <x v="142"/>
    <x v="13"/>
    <x v="158"/>
    <x v="87"/>
    <x v="0"/>
    <x v="22"/>
    <x v="4"/>
    <x v="8"/>
    <x v="15"/>
    <x v="9"/>
    <x v="10"/>
    <x v="6"/>
    <x v="3"/>
    <x v="13"/>
  </r>
  <r>
    <x v="129"/>
    <x v="214"/>
    <x v="259"/>
    <x v="11"/>
    <x v="132"/>
    <x v="313"/>
    <x v="0"/>
    <x v="23"/>
    <x v="4"/>
    <x v="3"/>
    <x v="15"/>
    <x v="13"/>
    <x v="12"/>
    <x v="6"/>
    <x v="3"/>
    <x v="13"/>
  </r>
  <r>
    <x v="130"/>
    <x v="215"/>
    <x v="15"/>
    <x v="15"/>
    <x v="215"/>
    <x v="1160"/>
    <x v="0"/>
    <x v="23"/>
    <x v="4"/>
    <x v="4"/>
    <x v="0"/>
    <x v="13"/>
    <x v="12"/>
    <x v="6"/>
    <x v="3"/>
    <x v="13"/>
  </r>
  <r>
    <x v="131"/>
    <x v="216"/>
    <x v="213"/>
    <x v="50"/>
    <x v="416"/>
    <x v="413"/>
    <x v="2"/>
    <x v="23"/>
    <x v="4"/>
    <x v="5"/>
    <x v="1"/>
    <x v="13"/>
    <x v="12"/>
    <x v="6"/>
    <x v="3"/>
    <x v="13"/>
  </r>
  <r>
    <x v="132"/>
    <x v="217"/>
    <x v="2"/>
    <x v="13"/>
    <x v="134"/>
    <x v="1030"/>
    <x v="0"/>
    <x v="23"/>
    <x v="4"/>
    <x v="9"/>
    <x v="11"/>
    <x v="9"/>
    <x v="10"/>
    <x v="6"/>
    <x v="3"/>
    <x v="13"/>
  </r>
  <r>
    <x v="133"/>
    <x v="218"/>
    <x v="89"/>
    <x v="52"/>
    <x v="428"/>
    <x v="231"/>
    <x v="0"/>
    <x v="23"/>
    <x v="4"/>
    <x v="1"/>
    <x v="3"/>
    <x v="13"/>
    <x v="12"/>
    <x v="6"/>
    <x v="3"/>
    <x v="13"/>
  </r>
  <r>
    <x v="135"/>
    <x v="219"/>
    <x v="106"/>
    <x v="52"/>
    <x v="430"/>
    <x v="1255"/>
    <x v="0"/>
    <x v="23"/>
    <x v="4"/>
    <x v="0"/>
    <x v="3"/>
    <x v="13"/>
    <x v="12"/>
    <x v="6"/>
    <x v="3"/>
    <x v="13"/>
  </r>
  <r>
    <x v="136"/>
    <x v="220"/>
    <x v="155"/>
    <x v="39"/>
    <x v="90"/>
    <x v="1466"/>
    <x v="0"/>
    <x v="23"/>
    <x v="4"/>
    <x v="6"/>
    <x v="14"/>
    <x v="13"/>
    <x v="12"/>
    <x v="6"/>
    <x v="3"/>
    <x v="13"/>
  </r>
  <r>
    <x v="137"/>
    <x v="221"/>
    <x v="243"/>
    <x v="18"/>
    <x v="228"/>
    <x v="898"/>
    <x v="2"/>
    <x v="23"/>
    <x v="4"/>
    <x v="2"/>
    <x v="13"/>
    <x v="13"/>
    <x v="12"/>
    <x v="6"/>
    <x v="3"/>
    <x v="13"/>
  </r>
  <r>
    <x v="138"/>
    <x v="222"/>
    <x v="4"/>
    <x v="13"/>
    <x v="201"/>
    <x v="184"/>
    <x v="0"/>
    <x v="24"/>
    <x v="4"/>
    <x v="2"/>
    <x v="11"/>
    <x v="9"/>
    <x v="10"/>
    <x v="6"/>
    <x v="3"/>
    <x v="13"/>
  </r>
  <r>
    <x v="139"/>
    <x v="223"/>
    <x v="157"/>
    <x v="13"/>
    <x v="160"/>
    <x v="1031"/>
    <x v="2"/>
    <x v="25"/>
    <x v="4"/>
    <x v="6"/>
    <x v="13"/>
    <x v="13"/>
    <x v="12"/>
    <x v="6"/>
    <x v="3"/>
    <x v="13"/>
  </r>
  <r>
    <x v="140"/>
    <x v="224"/>
    <x v="212"/>
    <x v="34"/>
    <x v="310"/>
    <x v="552"/>
    <x v="0"/>
    <x v="25"/>
    <x v="4"/>
    <x v="11"/>
    <x v="3"/>
    <x v="10"/>
    <x v="5"/>
    <x v="6"/>
    <x v="3"/>
    <x v="8"/>
  </r>
  <r>
    <x v="141"/>
    <x v="225"/>
    <x v="73"/>
    <x v="52"/>
    <x v="426"/>
    <x v="1326"/>
    <x v="2"/>
    <x v="26"/>
    <x v="5"/>
    <x v="1"/>
    <x v="3"/>
    <x v="13"/>
    <x v="12"/>
    <x v="6"/>
    <x v="3"/>
    <x v="13"/>
  </r>
  <r>
    <x v="142"/>
    <x v="226"/>
    <x v="80"/>
    <x v="12"/>
    <x v="5"/>
    <x v="276"/>
    <x v="0"/>
    <x v="26"/>
    <x v="5"/>
    <x v="11"/>
    <x v="2"/>
    <x v="9"/>
    <x v="12"/>
    <x v="6"/>
    <x v="3"/>
    <x v="8"/>
  </r>
  <r>
    <x v="143"/>
    <x v="227"/>
    <x v="178"/>
    <x v="43"/>
    <x v="385"/>
    <x v="452"/>
    <x v="2"/>
    <x v="26"/>
    <x v="5"/>
    <x v="0"/>
    <x v="13"/>
    <x v="13"/>
    <x v="12"/>
    <x v="6"/>
    <x v="3"/>
    <x v="13"/>
  </r>
  <r>
    <x v="144"/>
    <x v="228"/>
    <x v="54"/>
    <x v="14"/>
    <x v="210"/>
    <x v="1032"/>
    <x v="0"/>
    <x v="26"/>
    <x v="5"/>
    <x v="0"/>
    <x v="4"/>
    <x v="9"/>
    <x v="10"/>
    <x v="6"/>
    <x v="3"/>
    <x v="13"/>
  </r>
  <r>
    <x v="146"/>
    <x v="229"/>
    <x v="234"/>
    <x v="13"/>
    <x v="180"/>
    <x v="283"/>
    <x v="0"/>
    <x v="26"/>
    <x v="5"/>
    <x v="10"/>
    <x v="2"/>
    <x v="9"/>
    <x v="10"/>
    <x v="6"/>
    <x v="3"/>
    <x v="13"/>
  </r>
  <r>
    <x v="147"/>
    <x v="230"/>
    <x v="7"/>
    <x v="52"/>
    <x v="419"/>
    <x v="1105"/>
    <x v="2"/>
    <x v="26"/>
    <x v="5"/>
    <x v="1"/>
    <x v="11"/>
    <x v="9"/>
    <x v="10"/>
    <x v="6"/>
    <x v="3"/>
    <x v="13"/>
  </r>
  <r>
    <x v="148"/>
    <x v="231"/>
    <x v="208"/>
    <x v="46"/>
    <x v="409"/>
    <x v="1140"/>
    <x v="0"/>
    <x v="26"/>
    <x v="5"/>
    <x v="7"/>
    <x v="16"/>
    <x v="13"/>
    <x v="12"/>
    <x v="6"/>
    <x v="3"/>
    <x v="13"/>
  </r>
  <r>
    <x v="149"/>
    <x v="232"/>
    <x v="208"/>
    <x v="46"/>
    <x v="410"/>
    <x v="941"/>
    <x v="0"/>
    <x v="26"/>
    <x v="5"/>
    <x v="10"/>
    <x v="13"/>
    <x v="13"/>
    <x v="12"/>
    <x v="6"/>
    <x v="3"/>
    <x v="13"/>
  </r>
  <r>
    <x v="150"/>
    <x v="233"/>
    <x v="208"/>
    <x v="46"/>
    <x v="410"/>
    <x v="1125"/>
    <x v="0"/>
    <x v="26"/>
    <x v="5"/>
    <x v="10"/>
    <x v="13"/>
    <x v="13"/>
    <x v="12"/>
    <x v="6"/>
    <x v="3"/>
    <x v="13"/>
  </r>
  <r>
    <x v="151"/>
    <x v="234"/>
    <x v="208"/>
    <x v="46"/>
    <x v="410"/>
    <x v="1123"/>
    <x v="0"/>
    <x v="26"/>
    <x v="5"/>
    <x v="10"/>
    <x v="13"/>
    <x v="12"/>
    <x v="12"/>
    <x v="6"/>
    <x v="3"/>
    <x v="12"/>
  </r>
  <r>
    <x v="152"/>
    <x v="235"/>
    <x v="104"/>
    <x v="46"/>
    <x v="404"/>
    <x v="1355"/>
    <x v="0"/>
    <x v="26"/>
    <x v="5"/>
    <x v="4"/>
    <x v="11"/>
    <x v="11"/>
    <x v="12"/>
    <x v="6"/>
    <x v="3"/>
    <x v="11"/>
  </r>
  <r>
    <x v="153"/>
    <x v="236"/>
    <x v="136"/>
    <x v="13"/>
    <x v="137"/>
    <x v="9"/>
    <x v="0"/>
    <x v="26"/>
    <x v="5"/>
    <x v="3"/>
    <x v="12"/>
    <x v="9"/>
    <x v="12"/>
    <x v="6"/>
    <x v="3"/>
    <x v="8"/>
  </r>
  <r>
    <x v="154"/>
    <x v="237"/>
    <x v="187"/>
    <x v="51"/>
    <x v="41"/>
    <x v="368"/>
    <x v="2"/>
    <x v="26"/>
    <x v="5"/>
    <x v="8"/>
    <x v="3"/>
    <x v="13"/>
    <x v="12"/>
    <x v="6"/>
    <x v="3"/>
    <x v="13"/>
  </r>
  <r>
    <x v="155"/>
    <x v="238"/>
    <x v="114"/>
    <x v="40"/>
    <x v="371"/>
    <x v="470"/>
    <x v="0"/>
    <x v="26"/>
    <x v="5"/>
    <x v="1"/>
    <x v="0"/>
    <x v="9"/>
    <x v="5"/>
    <x v="6"/>
    <x v="3"/>
    <x v="8"/>
  </r>
  <r>
    <x v="157"/>
    <x v="239"/>
    <x v="255"/>
    <x v="13"/>
    <x v="189"/>
    <x v="436"/>
    <x v="2"/>
    <x v="27"/>
    <x v="5"/>
    <x v="4"/>
    <x v="2"/>
    <x v="11"/>
    <x v="12"/>
    <x v="6"/>
    <x v="3"/>
    <x v="11"/>
  </r>
  <r>
    <x v="158"/>
    <x v="240"/>
    <x v="115"/>
    <x v="35"/>
    <x v="355"/>
    <x v="520"/>
    <x v="2"/>
    <x v="27"/>
    <x v="5"/>
    <x v="6"/>
    <x v="3"/>
    <x v="13"/>
    <x v="12"/>
    <x v="6"/>
    <x v="3"/>
    <x v="13"/>
  </r>
  <r>
    <x v="159"/>
    <x v="241"/>
    <x v="105"/>
    <x v="35"/>
    <x v="350"/>
    <x v="913"/>
    <x v="0"/>
    <x v="27"/>
    <x v="5"/>
    <x v="4"/>
    <x v="12"/>
    <x v="13"/>
    <x v="12"/>
    <x v="6"/>
    <x v="3"/>
    <x v="13"/>
  </r>
  <r>
    <x v="160"/>
    <x v="242"/>
    <x v="242"/>
    <x v="6"/>
    <x v="120"/>
    <x v="1552"/>
    <x v="0"/>
    <x v="27"/>
    <x v="5"/>
    <x v="4"/>
    <x v="17"/>
    <x v="13"/>
    <x v="12"/>
    <x v="6"/>
    <x v="3"/>
    <x v="13"/>
  </r>
  <r>
    <x v="161"/>
    <x v="243"/>
    <x v="178"/>
    <x v="43"/>
    <x v="386"/>
    <x v="720"/>
    <x v="0"/>
    <x v="27"/>
    <x v="5"/>
    <x v="1"/>
    <x v="17"/>
    <x v="13"/>
    <x v="12"/>
    <x v="6"/>
    <x v="3"/>
    <x v="13"/>
  </r>
  <r>
    <x v="162"/>
    <x v="244"/>
    <x v="212"/>
    <x v="34"/>
    <x v="311"/>
    <x v="267"/>
    <x v="0"/>
    <x v="27"/>
    <x v="5"/>
    <x v="5"/>
    <x v="17"/>
    <x v="9"/>
    <x v="10"/>
    <x v="6"/>
    <x v="3"/>
    <x v="13"/>
  </r>
  <r>
    <x v="163"/>
    <x v="245"/>
    <x v="14"/>
    <x v="6"/>
    <x v="115"/>
    <x v="639"/>
    <x v="2"/>
    <x v="27"/>
    <x v="5"/>
    <x v="11"/>
    <x v="0"/>
    <x v="10"/>
    <x v="9"/>
    <x v="6"/>
    <x v="3"/>
    <x v="12"/>
  </r>
  <r>
    <x v="164"/>
    <x v="246"/>
    <x v="209"/>
    <x v="46"/>
    <x v="411"/>
    <x v="843"/>
    <x v="0"/>
    <x v="27"/>
    <x v="5"/>
    <x v="3"/>
    <x v="14"/>
    <x v="9"/>
    <x v="12"/>
    <x v="6"/>
    <x v="3"/>
    <x v="8"/>
  </r>
  <r>
    <x v="165"/>
    <x v="247"/>
    <x v="15"/>
    <x v="15"/>
    <x v="216"/>
    <x v="1175"/>
    <x v="2"/>
    <x v="27"/>
    <x v="5"/>
    <x v="10"/>
    <x v="11"/>
    <x v="9"/>
    <x v="10"/>
    <x v="6"/>
    <x v="3"/>
    <x v="13"/>
  </r>
  <r>
    <x v="166"/>
    <x v="248"/>
    <x v="105"/>
    <x v="35"/>
    <x v="351"/>
    <x v="698"/>
    <x v="0"/>
    <x v="27"/>
    <x v="5"/>
    <x v="4"/>
    <x v="14"/>
    <x v="13"/>
    <x v="12"/>
    <x v="6"/>
    <x v="3"/>
    <x v="13"/>
  </r>
  <r>
    <x v="168"/>
    <x v="249"/>
    <x v="131"/>
    <x v="28"/>
    <x v="239"/>
    <x v="472"/>
    <x v="0"/>
    <x v="27"/>
    <x v="5"/>
    <x v="6"/>
    <x v="2"/>
    <x v="9"/>
    <x v="10"/>
    <x v="6"/>
    <x v="3"/>
    <x v="13"/>
  </r>
  <r>
    <x v="169"/>
    <x v="250"/>
    <x v="91"/>
    <x v="46"/>
    <x v="403"/>
    <x v="1209"/>
    <x v="0"/>
    <x v="27"/>
    <x v="5"/>
    <x v="1"/>
    <x v="0"/>
    <x v="13"/>
    <x v="12"/>
    <x v="6"/>
    <x v="3"/>
    <x v="13"/>
  </r>
  <r>
    <x v="170"/>
    <x v="251"/>
    <x v="215"/>
    <x v="35"/>
    <x v="359"/>
    <x v="648"/>
    <x v="0"/>
    <x v="27"/>
    <x v="5"/>
    <x v="4"/>
    <x v="3"/>
    <x v="14"/>
    <x v="12"/>
    <x v="6"/>
    <x v="3"/>
    <x v="14"/>
  </r>
  <r>
    <x v="171"/>
    <x v="252"/>
    <x v="179"/>
    <x v="43"/>
    <x v="388"/>
    <x v="1027"/>
    <x v="0"/>
    <x v="27"/>
    <x v="5"/>
    <x v="5"/>
    <x v="1"/>
    <x v="13"/>
    <x v="12"/>
    <x v="6"/>
    <x v="3"/>
    <x v="13"/>
  </r>
  <r>
    <x v="172"/>
    <x v="253"/>
    <x v="162"/>
    <x v="43"/>
    <x v="382"/>
    <x v="122"/>
    <x v="0"/>
    <x v="27"/>
    <x v="5"/>
    <x v="11"/>
    <x v="11"/>
    <x v="13"/>
    <x v="12"/>
    <x v="6"/>
    <x v="3"/>
    <x v="13"/>
  </r>
  <r>
    <x v="173"/>
    <x v="254"/>
    <x v="79"/>
    <x v="35"/>
    <x v="340"/>
    <x v="22"/>
    <x v="0"/>
    <x v="27"/>
    <x v="5"/>
    <x v="10"/>
    <x v="13"/>
    <x v="13"/>
    <x v="12"/>
    <x v="6"/>
    <x v="3"/>
    <x v="13"/>
  </r>
  <r>
    <x v="174"/>
    <x v="255"/>
    <x v="240"/>
    <x v="37"/>
    <x v="62"/>
    <x v="1531"/>
    <x v="1"/>
    <x v="27"/>
    <x v="5"/>
    <x v="6"/>
    <x v="13"/>
    <x v="9"/>
    <x v="10"/>
    <x v="6"/>
    <x v="3"/>
    <x v="13"/>
  </r>
  <r>
    <x v="175"/>
    <x v="256"/>
    <x v="124"/>
    <x v="1"/>
    <x v="11"/>
    <x v="596"/>
    <x v="0"/>
    <x v="27"/>
    <x v="5"/>
    <x v="8"/>
    <x v="2"/>
    <x v="9"/>
    <x v="6"/>
    <x v="6"/>
    <x v="3"/>
    <x v="9"/>
  </r>
  <r>
    <x v="176"/>
    <x v="257"/>
    <x v="124"/>
    <x v="1"/>
    <x v="11"/>
    <x v="595"/>
    <x v="0"/>
    <x v="27"/>
    <x v="5"/>
    <x v="8"/>
    <x v="3"/>
    <x v="9"/>
    <x v="10"/>
    <x v="6"/>
    <x v="3"/>
    <x v="13"/>
  </r>
  <r>
    <x v="177"/>
    <x v="258"/>
    <x v="160"/>
    <x v="13"/>
    <x v="161"/>
    <x v="302"/>
    <x v="0"/>
    <x v="27"/>
    <x v="5"/>
    <x v="2"/>
    <x v="0"/>
    <x v="13"/>
    <x v="12"/>
    <x v="6"/>
    <x v="3"/>
    <x v="13"/>
  </r>
  <r>
    <x v="179"/>
    <x v="259"/>
    <x v="250"/>
    <x v="13"/>
    <x v="184"/>
    <x v="1323"/>
    <x v="0"/>
    <x v="27"/>
    <x v="5"/>
    <x v="6"/>
    <x v="4"/>
    <x v="9"/>
    <x v="5"/>
    <x v="6"/>
    <x v="3"/>
    <x v="8"/>
  </r>
  <r>
    <x v="180"/>
    <x v="260"/>
    <x v="57"/>
    <x v="13"/>
    <x v="146"/>
    <x v="289"/>
    <x v="0"/>
    <x v="27"/>
    <x v="5"/>
    <x v="0"/>
    <x v="11"/>
    <x v="13"/>
    <x v="12"/>
    <x v="6"/>
    <x v="3"/>
    <x v="13"/>
  </r>
  <r>
    <x v="181"/>
    <x v="261"/>
    <x v="145"/>
    <x v="0"/>
    <x v="96"/>
    <x v="584"/>
    <x v="2"/>
    <x v="27"/>
    <x v="5"/>
    <x v="11"/>
    <x v="16"/>
    <x v="13"/>
    <x v="12"/>
    <x v="6"/>
    <x v="3"/>
    <x v="13"/>
  </r>
  <r>
    <x v="182"/>
    <x v="262"/>
    <x v="28"/>
    <x v="14"/>
    <x v="208"/>
    <x v="1038"/>
    <x v="0"/>
    <x v="27"/>
    <x v="5"/>
    <x v="3"/>
    <x v="1"/>
    <x v="13"/>
    <x v="12"/>
    <x v="6"/>
    <x v="3"/>
    <x v="13"/>
  </r>
  <r>
    <x v="183"/>
    <x v="263"/>
    <x v="161"/>
    <x v="34"/>
    <x v="301"/>
    <x v="1527"/>
    <x v="0"/>
    <x v="27"/>
    <x v="5"/>
    <x v="8"/>
    <x v="13"/>
    <x v="9"/>
    <x v="10"/>
    <x v="6"/>
    <x v="3"/>
    <x v="13"/>
  </r>
  <r>
    <x v="184"/>
    <x v="264"/>
    <x v="161"/>
    <x v="34"/>
    <x v="301"/>
    <x v="1528"/>
    <x v="0"/>
    <x v="27"/>
    <x v="5"/>
    <x v="8"/>
    <x v="13"/>
    <x v="9"/>
    <x v="10"/>
    <x v="6"/>
    <x v="3"/>
    <x v="13"/>
  </r>
  <r>
    <x v="185"/>
    <x v="265"/>
    <x v="223"/>
    <x v="58"/>
    <x v="75"/>
    <x v="1028"/>
    <x v="1"/>
    <x v="27"/>
    <x v="5"/>
    <x v="3"/>
    <x v="0"/>
    <x v="9"/>
    <x v="10"/>
    <x v="6"/>
    <x v="3"/>
    <x v="13"/>
  </r>
  <r>
    <x v="186"/>
    <x v="266"/>
    <x v="35"/>
    <x v="49"/>
    <x v="34"/>
    <x v="394"/>
    <x v="2"/>
    <x v="27"/>
    <x v="5"/>
    <x v="8"/>
    <x v="11"/>
    <x v="9"/>
    <x v="10"/>
    <x v="6"/>
    <x v="3"/>
    <x v="13"/>
  </r>
  <r>
    <x v="187"/>
    <x v="267"/>
    <x v="187"/>
    <x v="51"/>
    <x v="42"/>
    <x v="379"/>
    <x v="2"/>
    <x v="27"/>
    <x v="5"/>
    <x v="8"/>
    <x v="11"/>
    <x v="13"/>
    <x v="12"/>
    <x v="6"/>
    <x v="3"/>
    <x v="13"/>
  </r>
  <r>
    <x v="188"/>
    <x v="268"/>
    <x v="47"/>
    <x v="13"/>
    <x v="141"/>
    <x v="212"/>
    <x v="0"/>
    <x v="27"/>
    <x v="5"/>
    <x v="11"/>
    <x v="2"/>
    <x v="13"/>
    <x v="12"/>
    <x v="6"/>
    <x v="3"/>
    <x v="13"/>
  </r>
  <r>
    <x v="190"/>
    <x v="269"/>
    <x v="102"/>
    <x v="13"/>
    <x v="153"/>
    <x v="29"/>
    <x v="0"/>
    <x v="27"/>
    <x v="5"/>
    <x v="6"/>
    <x v="16"/>
    <x v="13"/>
    <x v="12"/>
    <x v="6"/>
    <x v="3"/>
    <x v="13"/>
  </r>
  <r>
    <x v="191"/>
    <x v="270"/>
    <x v="102"/>
    <x v="13"/>
    <x v="155"/>
    <x v="31"/>
    <x v="0"/>
    <x v="27"/>
    <x v="5"/>
    <x v="6"/>
    <x v="17"/>
    <x v="13"/>
    <x v="12"/>
    <x v="6"/>
    <x v="3"/>
    <x v="13"/>
  </r>
  <r>
    <x v="192"/>
    <x v="271"/>
    <x v="266"/>
    <x v="13"/>
    <x v="192"/>
    <x v="201"/>
    <x v="0"/>
    <x v="27"/>
    <x v="5"/>
    <x v="2"/>
    <x v="1"/>
    <x v="13"/>
    <x v="12"/>
    <x v="6"/>
    <x v="3"/>
    <x v="13"/>
  </r>
  <r>
    <x v="193"/>
    <x v="272"/>
    <x v="161"/>
    <x v="34"/>
    <x v="297"/>
    <x v="1344"/>
    <x v="0"/>
    <x v="28"/>
    <x v="6"/>
    <x v="5"/>
    <x v="13"/>
    <x v="9"/>
    <x v="12"/>
    <x v="6"/>
    <x v="3"/>
    <x v="8"/>
  </r>
  <r>
    <x v="194"/>
    <x v="273"/>
    <x v="56"/>
    <x v="13"/>
    <x v="145"/>
    <x v="196"/>
    <x v="0"/>
    <x v="28"/>
    <x v="6"/>
    <x v="4"/>
    <x v="3"/>
    <x v="9"/>
    <x v="5"/>
    <x v="5"/>
    <x v="3"/>
    <x v="13"/>
  </r>
  <r>
    <x v="195"/>
    <x v="274"/>
    <x v="37"/>
    <x v="35"/>
    <x v="337"/>
    <x v="1187"/>
    <x v="0"/>
    <x v="28"/>
    <x v="6"/>
    <x v="4"/>
    <x v="13"/>
    <x v="9"/>
    <x v="10"/>
    <x v="6"/>
    <x v="3"/>
    <x v="13"/>
  </r>
  <r>
    <x v="196"/>
    <x v="275"/>
    <x v="122"/>
    <x v="33"/>
    <x v="268"/>
    <x v="707"/>
    <x v="2"/>
    <x v="28"/>
    <x v="6"/>
    <x v="2"/>
    <x v="1"/>
    <x v="12"/>
    <x v="12"/>
    <x v="6"/>
    <x v="3"/>
    <x v="12"/>
  </r>
  <r>
    <x v="197"/>
    <x v="276"/>
    <x v="39"/>
    <x v="52"/>
    <x v="421"/>
    <x v="623"/>
    <x v="0"/>
    <x v="28"/>
    <x v="6"/>
    <x v="1"/>
    <x v="15"/>
    <x v="9"/>
    <x v="10"/>
    <x v="6"/>
    <x v="3"/>
    <x v="13"/>
  </r>
  <r>
    <x v="198"/>
    <x v="277"/>
    <x v="199"/>
    <x v="13"/>
    <x v="175"/>
    <x v="1374"/>
    <x v="0"/>
    <x v="28"/>
    <x v="6"/>
    <x v="2"/>
    <x v="13"/>
    <x v="13"/>
    <x v="12"/>
    <x v="6"/>
    <x v="3"/>
    <x v="13"/>
  </r>
  <r>
    <x v="199"/>
    <x v="278"/>
    <x v="46"/>
    <x v="45"/>
    <x v="30"/>
    <x v="1296"/>
    <x v="0"/>
    <x v="28"/>
    <x v="6"/>
    <x v="8"/>
    <x v="3"/>
    <x v="11"/>
    <x v="12"/>
    <x v="6"/>
    <x v="3"/>
    <x v="11"/>
  </r>
  <r>
    <x v="201"/>
    <x v="279"/>
    <x v="232"/>
    <x v="58"/>
    <x v="76"/>
    <x v="529"/>
    <x v="1"/>
    <x v="28"/>
    <x v="6"/>
    <x v="3"/>
    <x v="0"/>
    <x v="13"/>
    <x v="12"/>
    <x v="6"/>
    <x v="3"/>
    <x v="13"/>
  </r>
  <r>
    <x v="202"/>
    <x v="280"/>
    <x v="48"/>
    <x v="3"/>
    <x v="105"/>
    <x v="1453"/>
    <x v="2"/>
    <x v="28"/>
    <x v="6"/>
    <x v="8"/>
    <x v="13"/>
    <x v="9"/>
    <x v="10"/>
    <x v="6"/>
    <x v="3"/>
    <x v="13"/>
  </r>
  <r>
    <x v="203"/>
    <x v="281"/>
    <x v="258"/>
    <x v="34"/>
    <x v="324"/>
    <x v="1251"/>
    <x v="2"/>
    <x v="29"/>
    <x v="6"/>
    <x v="0"/>
    <x v="15"/>
    <x v="9"/>
    <x v="10"/>
    <x v="6"/>
    <x v="3"/>
    <x v="13"/>
  </r>
  <r>
    <x v="204"/>
    <x v="282"/>
    <x v="184"/>
    <x v="28"/>
    <x v="248"/>
    <x v="1537"/>
    <x v="0"/>
    <x v="29"/>
    <x v="6"/>
    <x v="6"/>
    <x v="2"/>
    <x v="13"/>
    <x v="12"/>
    <x v="6"/>
    <x v="3"/>
    <x v="13"/>
  </r>
  <r>
    <x v="205"/>
    <x v="283"/>
    <x v="268"/>
    <x v="35"/>
    <x v="361"/>
    <x v="253"/>
    <x v="0"/>
    <x v="29"/>
    <x v="6"/>
    <x v="6"/>
    <x v="14"/>
    <x v="14"/>
    <x v="10"/>
    <x v="6"/>
    <x v="3"/>
    <x v="13"/>
  </r>
  <r>
    <x v="206"/>
    <x v="284"/>
    <x v="38"/>
    <x v="45"/>
    <x v="27"/>
    <x v="1331"/>
    <x v="0"/>
    <x v="29"/>
    <x v="6"/>
    <x v="8"/>
    <x v="3"/>
    <x v="13"/>
    <x v="12"/>
    <x v="6"/>
    <x v="3"/>
    <x v="13"/>
  </r>
  <r>
    <x v="207"/>
    <x v="285"/>
    <x v="184"/>
    <x v="28"/>
    <x v="247"/>
    <x v="471"/>
    <x v="0"/>
    <x v="29"/>
    <x v="6"/>
    <x v="6"/>
    <x v="2"/>
    <x v="13"/>
    <x v="12"/>
    <x v="6"/>
    <x v="3"/>
    <x v="13"/>
  </r>
  <r>
    <x v="208"/>
    <x v="286"/>
    <x v="180"/>
    <x v="13"/>
    <x v="172"/>
    <x v="1118"/>
    <x v="0"/>
    <x v="29"/>
    <x v="6"/>
    <x v="9"/>
    <x v="0"/>
    <x v="9"/>
    <x v="10"/>
    <x v="6"/>
    <x v="3"/>
    <x v="13"/>
  </r>
  <r>
    <x v="209"/>
    <x v="287"/>
    <x v="234"/>
    <x v="13"/>
    <x v="179"/>
    <x v="85"/>
    <x v="0"/>
    <x v="29"/>
    <x v="6"/>
    <x v="1"/>
    <x v="13"/>
    <x v="13"/>
    <x v="12"/>
    <x v="6"/>
    <x v="3"/>
    <x v="13"/>
  </r>
  <r>
    <x v="210"/>
    <x v="288"/>
    <x v="52"/>
    <x v="29"/>
    <x v="253"/>
    <x v="1254"/>
    <x v="0"/>
    <x v="29"/>
    <x v="6"/>
    <x v="4"/>
    <x v="11"/>
    <x v="13"/>
    <x v="12"/>
    <x v="6"/>
    <x v="3"/>
    <x v="13"/>
  </r>
  <r>
    <x v="212"/>
    <x v="289"/>
    <x v="86"/>
    <x v="64"/>
    <x v="446"/>
    <x v="83"/>
    <x v="2"/>
    <x v="29"/>
    <x v="6"/>
    <x v="6"/>
    <x v="4"/>
    <x v="13"/>
    <x v="12"/>
    <x v="6"/>
    <x v="3"/>
    <x v="13"/>
  </r>
  <r>
    <x v="213"/>
    <x v="290"/>
    <x v="5"/>
    <x v="5"/>
    <x v="106"/>
    <x v="168"/>
    <x v="0"/>
    <x v="29"/>
    <x v="6"/>
    <x v="1"/>
    <x v="11"/>
    <x v="9"/>
    <x v="10"/>
    <x v="6"/>
    <x v="3"/>
    <x v="13"/>
  </r>
  <r>
    <x v="214"/>
    <x v="291"/>
    <x v="174"/>
    <x v="17"/>
    <x v="22"/>
    <x v="826"/>
    <x v="0"/>
    <x v="29"/>
    <x v="6"/>
    <x v="8"/>
    <x v="11"/>
    <x v="13"/>
    <x v="12"/>
    <x v="6"/>
    <x v="3"/>
    <x v="13"/>
  </r>
  <r>
    <x v="215"/>
    <x v="292"/>
    <x v="167"/>
    <x v="14"/>
    <x v="213"/>
    <x v="460"/>
    <x v="2"/>
    <x v="29"/>
    <x v="6"/>
    <x v="0"/>
    <x v="11"/>
    <x v="9"/>
    <x v="10"/>
    <x v="6"/>
    <x v="3"/>
    <x v="13"/>
  </r>
  <r>
    <x v="216"/>
    <x v="293"/>
    <x v="119"/>
    <x v="35"/>
    <x v="357"/>
    <x v="581"/>
    <x v="2"/>
    <x v="29"/>
    <x v="6"/>
    <x v="9"/>
    <x v="4"/>
    <x v="13"/>
    <x v="12"/>
    <x v="6"/>
    <x v="3"/>
    <x v="13"/>
  </r>
  <r>
    <x v="217"/>
    <x v="294"/>
    <x v="133"/>
    <x v="67"/>
    <x v="450"/>
    <x v="448"/>
    <x v="2"/>
    <x v="29"/>
    <x v="6"/>
    <x v="5"/>
    <x v="13"/>
    <x v="9"/>
    <x v="10"/>
    <x v="6"/>
    <x v="3"/>
    <x v="13"/>
  </r>
  <r>
    <x v="218"/>
    <x v="295"/>
    <x v="190"/>
    <x v="34"/>
    <x v="304"/>
    <x v="108"/>
    <x v="0"/>
    <x v="29"/>
    <x v="6"/>
    <x v="6"/>
    <x v="15"/>
    <x v="9"/>
    <x v="10"/>
    <x v="6"/>
    <x v="3"/>
    <x v="13"/>
  </r>
  <r>
    <x v="219"/>
    <x v="296"/>
    <x v="253"/>
    <x v="13"/>
    <x v="186"/>
    <x v="455"/>
    <x v="2"/>
    <x v="29"/>
    <x v="6"/>
    <x v="8"/>
    <x v="2"/>
    <x v="13"/>
    <x v="12"/>
    <x v="6"/>
    <x v="3"/>
    <x v="13"/>
  </r>
  <r>
    <x v="220"/>
    <x v="297"/>
    <x v="160"/>
    <x v="13"/>
    <x v="162"/>
    <x v="221"/>
    <x v="0"/>
    <x v="29"/>
    <x v="6"/>
    <x v="2"/>
    <x v="3"/>
    <x v="13"/>
    <x v="12"/>
    <x v="6"/>
    <x v="3"/>
    <x v="13"/>
  </r>
  <r>
    <x v="221"/>
    <x v="298"/>
    <x v="29"/>
    <x v="3"/>
    <x v="98"/>
    <x v="1243"/>
    <x v="2"/>
    <x v="29"/>
    <x v="6"/>
    <x v="5"/>
    <x v="13"/>
    <x v="13"/>
    <x v="12"/>
    <x v="6"/>
    <x v="3"/>
    <x v="13"/>
  </r>
  <r>
    <x v="224"/>
    <x v="299"/>
    <x v="212"/>
    <x v="34"/>
    <x v="306"/>
    <x v="557"/>
    <x v="0"/>
    <x v="29"/>
    <x v="6"/>
    <x v="9"/>
    <x v="1"/>
    <x v="9"/>
    <x v="12"/>
    <x v="6"/>
    <x v="3"/>
    <x v="8"/>
  </r>
  <r>
    <x v="225"/>
    <x v="300"/>
    <x v="199"/>
    <x v="13"/>
    <x v="176"/>
    <x v="331"/>
    <x v="0"/>
    <x v="30"/>
    <x v="6"/>
    <x v="3"/>
    <x v="12"/>
    <x v="9"/>
    <x v="12"/>
    <x v="6"/>
    <x v="3"/>
    <x v="8"/>
  </r>
  <r>
    <x v="226"/>
    <x v="301"/>
    <x v="215"/>
    <x v="35"/>
    <x v="358"/>
    <x v="1487"/>
    <x v="0"/>
    <x v="30"/>
    <x v="6"/>
    <x v="6"/>
    <x v="0"/>
    <x v="13"/>
    <x v="12"/>
    <x v="6"/>
    <x v="3"/>
    <x v="13"/>
  </r>
  <r>
    <x v="227"/>
    <x v="302"/>
    <x v="23"/>
    <x v="36"/>
    <x v="364"/>
    <x v="190"/>
    <x v="0"/>
    <x v="30"/>
    <x v="6"/>
    <x v="1"/>
    <x v="14"/>
    <x v="13"/>
    <x v="12"/>
    <x v="6"/>
    <x v="3"/>
    <x v="13"/>
  </r>
  <r>
    <x v="228"/>
    <x v="303"/>
    <x v="66"/>
    <x v="34"/>
    <x v="290"/>
    <x v="1238"/>
    <x v="0"/>
    <x v="30"/>
    <x v="6"/>
    <x v="4"/>
    <x v="11"/>
    <x v="9"/>
    <x v="10"/>
    <x v="6"/>
    <x v="3"/>
    <x v="13"/>
  </r>
  <r>
    <x v="229"/>
    <x v="304"/>
    <x v="156"/>
    <x v="44"/>
    <x v="397"/>
    <x v="1127"/>
    <x v="2"/>
    <x v="30"/>
    <x v="6"/>
    <x v="1"/>
    <x v="2"/>
    <x v="13"/>
    <x v="12"/>
    <x v="6"/>
    <x v="3"/>
    <x v="13"/>
  </r>
  <r>
    <x v="230"/>
    <x v="305"/>
    <x v="146"/>
    <x v="22"/>
    <x v="230"/>
    <x v="747"/>
    <x v="0"/>
    <x v="30"/>
    <x v="6"/>
    <x v="4"/>
    <x v="15"/>
    <x v="14"/>
    <x v="12"/>
    <x v="6"/>
    <x v="3"/>
    <x v="14"/>
  </r>
  <r>
    <x v="231"/>
    <x v="306"/>
    <x v="146"/>
    <x v="22"/>
    <x v="230"/>
    <x v="574"/>
    <x v="0"/>
    <x v="30"/>
    <x v="6"/>
    <x v="4"/>
    <x v="15"/>
    <x v="14"/>
    <x v="12"/>
    <x v="6"/>
    <x v="3"/>
    <x v="14"/>
  </r>
  <r>
    <x v="232"/>
    <x v="307"/>
    <x v="182"/>
    <x v="53"/>
    <x v="46"/>
    <x v="206"/>
    <x v="0"/>
    <x v="31"/>
    <x v="6"/>
    <x v="8"/>
    <x v="1"/>
    <x v="9"/>
    <x v="12"/>
    <x v="6"/>
    <x v="3"/>
    <x v="8"/>
  </r>
  <r>
    <x v="233"/>
    <x v="308"/>
    <x v="258"/>
    <x v="34"/>
    <x v="325"/>
    <x v="114"/>
    <x v="0"/>
    <x v="31"/>
    <x v="6"/>
    <x v="3"/>
    <x v="0"/>
    <x v="13"/>
    <x v="12"/>
    <x v="6"/>
    <x v="3"/>
    <x v="13"/>
  </r>
  <r>
    <x v="235"/>
    <x v="309"/>
    <x v="258"/>
    <x v="34"/>
    <x v="326"/>
    <x v="354"/>
    <x v="0"/>
    <x v="31"/>
    <x v="6"/>
    <x v="3"/>
    <x v="0"/>
    <x v="13"/>
    <x v="12"/>
    <x v="6"/>
    <x v="3"/>
    <x v="13"/>
  </r>
  <r>
    <x v="236"/>
    <x v="310"/>
    <x v="163"/>
    <x v="31"/>
    <x v="264"/>
    <x v="139"/>
    <x v="0"/>
    <x v="31"/>
    <x v="6"/>
    <x v="0"/>
    <x v="13"/>
    <x v="13"/>
    <x v="12"/>
    <x v="6"/>
    <x v="3"/>
    <x v="13"/>
  </r>
  <r>
    <x v="237"/>
    <x v="311"/>
    <x v="92"/>
    <x v="25"/>
    <x v="84"/>
    <x v="1298"/>
    <x v="3"/>
    <x v="31"/>
    <x v="6"/>
    <x v="6"/>
    <x v="2"/>
    <x v="9"/>
    <x v="7"/>
    <x v="4"/>
    <x v="2"/>
    <x v="13"/>
  </r>
  <r>
    <x v="238"/>
    <x v="312"/>
    <x v="258"/>
    <x v="34"/>
    <x v="328"/>
    <x v="532"/>
    <x v="0"/>
    <x v="32"/>
    <x v="7"/>
    <x v="5"/>
    <x v="13"/>
    <x v="9"/>
    <x v="10"/>
    <x v="6"/>
    <x v="3"/>
    <x v="13"/>
  </r>
  <r>
    <x v="239"/>
    <x v="313"/>
    <x v="258"/>
    <x v="34"/>
    <x v="329"/>
    <x v="353"/>
    <x v="0"/>
    <x v="32"/>
    <x v="7"/>
    <x v="5"/>
    <x v="13"/>
    <x v="9"/>
    <x v="10"/>
    <x v="6"/>
    <x v="3"/>
    <x v="13"/>
  </r>
  <r>
    <x v="240"/>
    <x v="314"/>
    <x v="178"/>
    <x v="43"/>
    <x v="384"/>
    <x v="1498"/>
    <x v="2"/>
    <x v="32"/>
    <x v="7"/>
    <x v="11"/>
    <x v="16"/>
    <x v="13"/>
    <x v="12"/>
    <x v="6"/>
    <x v="3"/>
    <x v="13"/>
  </r>
  <r>
    <x v="241"/>
    <x v="315"/>
    <x v="21"/>
    <x v="34"/>
    <x v="276"/>
    <x v="47"/>
    <x v="0"/>
    <x v="32"/>
    <x v="7"/>
    <x v="6"/>
    <x v="16"/>
    <x v="10"/>
    <x v="5"/>
    <x v="5"/>
    <x v="3"/>
    <x v="13"/>
  </r>
  <r>
    <x v="242"/>
    <x v="316"/>
    <x v="251"/>
    <x v="15"/>
    <x v="223"/>
    <x v="1142"/>
    <x v="0"/>
    <x v="32"/>
    <x v="7"/>
    <x v="9"/>
    <x v="14"/>
    <x v="13"/>
    <x v="12"/>
    <x v="6"/>
    <x v="3"/>
    <x v="13"/>
  </r>
  <r>
    <x v="243"/>
    <x v="317"/>
    <x v="22"/>
    <x v="48"/>
    <x v="32"/>
    <x v="1071"/>
    <x v="2"/>
    <x v="32"/>
    <x v="7"/>
    <x v="8"/>
    <x v="2"/>
    <x v="13"/>
    <x v="12"/>
    <x v="6"/>
    <x v="3"/>
    <x v="13"/>
  </r>
  <r>
    <x v="244"/>
    <x v="318"/>
    <x v="79"/>
    <x v="35"/>
    <x v="343"/>
    <x v="21"/>
    <x v="0"/>
    <x v="32"/>
    <x v="7"/>
    <x v="3"/>
    <x v="0"/>
    <x v="14"/>
    <x v="12"/>
    <x v="6"/>
    <x v="3"/>
    <x v="14"/>
  </r>
  <r>
    <x v="246"/>
    <x v="319"/>
    <x v="179"/>
    <x v="43"/>
    <x v="68"/>
    <x v="641"/>
    <x v="0"/>
    <x v="32"/>
    <x v="7"/>
    <x v="11"/>
    <x v="1"/>
    <x v="13"/>
    <x v="12"/>
    <x v="6"/>
    <x v="3"/>
    <x v="13"/>
  </r>
  <r>
    <x v="247"/>
    <x v="320"/>
    <x v="105"/>
    <x v="35"/>
    <x v="353"/>
    <x v="645"/>
    <x v="0"/>
    <x v="32"/>
    <x v="7"/>
    <x v="4"/>
    <x v="1"/>
    <x v="13"/>
    <x v="12"/>
    <x v="6"/>
    <x v="3"/>
    <x v="13"/>
  </r>
  <r>
    <x v="248"/>
    <x v="321"/>
    <x v="264"/>
    <x v="34"/>
    <x v="334"/>
    <x v="1008"/>
    <x v="0"/>
    <x v="32"/>
    <x v="7"/>
    <x v="3"/>
    <x v="15"/>
    <x v="13"/>
    <x v="12"/>
    <x v="6"/>
    <x v="3"/>
    <x v="13"/>
  </r>
  <r>
    <x v="249"/>
    <x v="322"/>
    <x v="29"/>
    <x v="3"/>
    <x v="102"/>
    <x v="1461"/>
    <x v="0"/>
    <x v="32"/>
    <x v="7"/>
    <x v="9"/>
    <x v="2"/>
    <x v="9"/>
    <x v="12"/>
    <x v="6"/>
    <x v="3"/>
    <x v="8"/>
  </r>
  <r>
    <x v="250"/>
    <x v="323"/>
    <x v="21"/>
    <x v="34"/>
    <x v="274"/>
    <x v="152"/>
    <x v="0"/>
    <x v="32"/>
    <x v="7"/>
    <x v="0"/>
    <x v="4"/>
    <x v="13"/>
    <x v="12"/>
    <x v="6"/>
    <x v="3"/>
    <x v="13"/>
  </r>
  <r>
    <x v="251"/>
    <x v="324"/>
    <x v="139"/>
    <x v="5"/>
    <x v="108"/>
    <x v="349"/>
    <x v="0"/>
    <x v="32"/>
    <x v="7"/>
    <x v="3"/>
    <x v="13"/>
    <x v="13"/>
    <x v="12"/>
    <x v="6"/>
    <x v="3"/>
    <x v="13"/>
  </r>
  <r>
    <x v="252"/>
    <x v="325"/>
    <x v="208"/>
    <x v="46"/>
    <x v="408"/>
    <x v="942"/>
    <x v="0"/>
    <x v="32"/>
    <x v="7"/>
    <x v="4"/>
    <x v="3"/>
    <x v="9"/>
    <x v="12"/>
    <x v="6"/>
    <x v="3"/>
    <x v="8"/>
  </r>
  <r>
    <x v="253"/>
    <x v="326"/>
    <x v="266"/>
    <x v="13"/>
    <x v="196"/>
    <x v="937"/>
    <x v="0"/>
    <x v="32"/>
    <x v="7"/>
    <x v="2"/>
    <x v="0"/>
    <x v="13"/>
    <x v="12"/>
    <x v="6"/>
    <x v="3"/>
    <x v="13"/>
  </r>
  <r>
    <x v="254"/>
    <x v="327"/>
    <x v="125"/>
    <x v="52"/>
    <x v="431"/>
    <x v="799"/>
    <x v="0"/>
    <x v="33"/>
    <x v="7"/>
    <x v="1"/>
    <x v="12"/>
    <x v="13"/>
    <x v="12"/>
    <x v="6"/>
    <x v="3"/>
    <x v="13"/>
  </r>
  <r>
    <x v="255"/>
    <x v="328"/>
    <x v="218"/>
    <x v="34"/>
    <x v="316"/>
    <x v="1073"/>
    <x v="0"/>
    <x v="33"/>
    <x v="7"/>
    <x v="5"/>
    <x v="16"/>
    <x v="13"/>
    <x v="12"/>
    <x v="6"/>
    <x v="3"/>
    <x v="13"/>
  </r>
  <r>
    <x v="257"/>
    <x v="329"/>
    <x v="215"/>
    <x v="35"/>
    <x v="360"/>
    <x v="23"/>
    <x v="0"/>
    <x v="33"/>
    <x v="7"/>
    <x v="8"/>
    <x v="13"/>
    <x v="10"/>
    <x v="5"/>
    <x v="6"/>
    <x v="3"/>
    <x v="8"/>
  </r>
  <r>
    <x v="258"/>
    <x v="330"/>
    <x v="134"/>
    <x v="14"/>
    <x v="212"/>
    <x v="1392"/>
    <x v="0"/>
    <x v="33"/>
    <x v="7"/>
    <x v="6"/>
    <x v="0"/>
    <x v="13"/>
    <x v="12"/>
    <x v="6"/>
    <x v="3"/>
    <x v="13"/>
  </r>
  <r>
    <x v="259"/>
    <x v="331"/>
    <x v="154"/>
    <x v="41"/>
    <x v="3"/>
    <x v="235"/>
    <x v="3"/>
    <x v="33"/>
    <x v="7"/>
    <x v="3"/>
    <x v="2"/>
    <x v="14"/>
    <x v="12"/>
    <x v="6"/>
    <x v="3"/>
    <x v="14"/>
  </r>
  <r>
    <x v="260"/>
    <x v="332"/>
    <x v="214"/>
    <x v="43"/>
    <x v="390"/>
    <x v="1208"/>
    <x v="2"/>
    <x v="33"/>
    <x v="7"/>
    <x v="10"/>
    <x v="17"/>
    <x v="9"/>
    <x v="10"/>
    <x v="6"/>
    <x v="3"/>
    <x v="13"/>
  </r>
  <r>
    <x v="261"/>
    <x v="333"/>
    <x v="67"/>
    <x v="62"/>
    <x v="442"/>
    <x v="864"/>
    <x v="2"/>
    <x v="33"/>
    <x v="7"/>
    <x v="9"/>
    <x v="4"/>
    <x v="14"/>
    <x v="12"/>
    <x v="6"/>
    <x v="3"/>
    <x v="14"/>
  </r>
  <r>
    <x v="262"/>
    <x v="334"/>
    <x v="204"/>
    <x v="36"/>
    <x v="369"/>
    <x v="771"/>
    <x v="2"/>
    <x v="33"/>
    <x v="7"/>
    <x v="1"/>
    <x v="16"/>
    <x v="13"/>
    <x v="12"/>
    <x v="6"/>
    <x v="3"/>
    <x v="13"/>
  </r>
  <r>
    <x v="263"/>
    <x v="335"/>
    <x v="198"/>
    <x v="49"/>
    <x v="39"/>
    <x v="502"/>
    <x v="0"/>
    <x v="33"/>
    <x v="7"/>
    <x v="8"/>
    <x v="0"/>
    <x v="13"/>
    <x v="12"/>
    <x v="6"/>
    <x v="3"/>
    <x v="13"/>
  </r>
  <r>
    <x v="264"/>
    <x v="336"/>
    <x v="202"/>
    <x v="59"/>
    <x v="82"/>
    <x v="789"/>
    <x v="0"/>
    <x v="33"/>
    <x v="7"/>
    <x v="0"/>
    <x v="3"/>
    <x v="9"/>
    <x v="10"/>
    <x v="6"/>
    <x v="3"/>
    <x v="13"/>
  </r>
  <r>
    <x v="265"/>
    <x v="337"/>
    <x v="109"/>
    <x v="54"/>
    <x v="435"/>
    <x v="1222"/>
    <x v="0"/>
    <x v="33"/>
    <x v="7"/>
    <x v="11"/>
    <x v="13"/>
    <x v="9"/>
    <x v="5"/>
    <x v="5"/>
    <x v="3"/>
    <x v="13"/>
  </r>
  <r>
    <x v="266"/>
    <x v="338"/>
    <x v="109"/>
    <x v="54"/>
    <x v="436"/>
    <x v="435"/>
    <x v="0"/>
    <x v="33"/>
    <x v="7"/>
    <x v="9"/>
    <x v="17"/>
    <x v="9"/>
    <x v="12"/>
    <x v="6"/>
    <x v="3"/>
    <x v="8"/>
  </r>
  <r>
    <x v="268"/>
    <x v="339"/>
    <x v="95"/>
    <x v="67"/>
    <x v="448"/>
    <x v="721"/>
    <x v="0"/>
    <x v="33"/>
    <x v="7"/>
    <x v="10"/>
    <x v="2"/>
    <x v="13"/>
    <x v="12"/>
    <x v="6"/>
    <x v="3"/>
    <x v="13"/>
  </r>
  <r>
    <x v="269"/>
    <x v="340"/>
    <x v="40"/>
    <x v="50"/>
    <x v="415"/>
    <x v="943"/>
    <x v="0"/>
    <x v="33"/>
    <x v="7"/>
    <x v="4"/>
    <x v="11"/>
    <x v="11"/>
    <x v="12"/>
    <x v="6"/>
    <x v="3"/>
    <x v="11"/>
  </r>
  <r>
    <x v="270"/>
    <x v="341"/>
    <x v="99"/>
    <x v="32"/>
    <x v="93"/>
    <x v="528"/>
    <x v="0"/>
    <x v="33"/>
    <x v="7"/>
    <x v="5"/>
    <x v="1"/>
    <x v="13"/>
    <x v="12"/>
    <x v="6"/>
    <x v="3"/>
    <x v="13"/>
  </r>
  <r>
    <x v="271"/>
    <x v="342"/>
    <x v="24"/>
    <x v="34"/>
    <x v="278"/>
    <x v="1519"/>
    <x v="0"/>
    <x v="33"/>
    <x v="7"/>
    <x v="4"/>
    <x v="1"/>
    <x v="9"/>
    <x v="12"/>
    <x v="6"/>
    <x v="3"/>
    <x v="8"/>
  </r>
  <r>
    <x v="272"/>
    <x v="343"/>
    <x v="161"/>
    <x v="34"/>
    <x v="302"/>
    <x v="566"/>
    <x v="0"/>
    <x v="33"/>
    <x v="7"/>
    <x v="7"/>
    <x v="2"/>
    <x v="13"/>
    <x v="12"/>
    <x v="6"/>
    <x v="3"/>
    <x v="13"/>
  </r>
  <r>
    <x v="273"/>
    <x v="344"/>
    <x v="95"/>
    <x v="67"/>
    <x v="449"/>
    <x v="958"/>
    <x v="0"/>
    <x v="33"/>
    <x v="7"/>
    <x v="5"/>
    <x v="16"/>
    <x v="13"/>
    <x v="12"/>
    <x v="6"/>
    <x v="3"/>
    <x v="13"/>
  </r>
  <r>
    <x v="274"/>
    <x v="345"/>
    <x v="184"/>
    <x v="28"/>
    <x v="250"/>
    <x v="628"/>
    <x v="0"/>
    <x v="34"/>
    <x v="7"/>
    <x v="4"/>
    <x v="3"/>
    <x v="9"/>
    <x v="12"/>
    <x v="6"/>
    <x v="3"/>
    <x v="8"/>
  </r>
  <r>
    <x v="275"/>
    <x v="346"/>
    <x v="29"/>
    <x v="3"/>
    <x v="99"/>
    <x v="1412"/>
    <x v="0"/>
    <x v="34"/>
    <x v="7"/>
    <x v="9"/>
    <x v="13"/>
    <x v="14"/>
    <x v="12"/>
    <x v="6"/>
    <x v="3"/>
    <x v="14"/>
  </r>
  <r>
    <x v="276"/>
    <x v="347"/>
    <x v="212"/>
    <x v="34"/>
    <x v="314"/>
    <x v="360"/>
    <x v="0"/>
    <x v="34"/>
    <x v="7"/>
    <x v="6"/>
    <x v="11"/>
    <x v="9"/>
    <x v="12"/>
    <x v="6"/>
    <x v="3"/>
    <x v="8"/>
  </r>
  <r>
    <x v="277"/>
    <x v="348"/>
    <x v="68"/>
    <x v="29"/>
    <x v="255"/>
    <x v="852"/>
    <x v="0"/>
    <x v="34"/>
    <x v="7"/>
    <x v="8"/>
    <x v="1"/>
    <x v="13"/>
    <x v="12"/>
    <x v="6"/>
    <x v="3"/>
    <x v="13"/>
  </r>
  <r>
    <x v="279"/>
    <x v="349"/>
    <x v="239"/>
    <x v="34"/>
    <x v="322"/>
    <x v="619"/>
    <x v="0"/>
    <x v="34"/>
    <x v="7"/>
    <x v="2"/>
    <x v="15"/>
    <x v="13"/>
    <x v="12"/>
    <x v="6"/>
    <x v="3"/>
    <x v="13"/>
  </r>
  <r>
    <x v="280"/>
    <x v="350"/>
    <x v="90"/>
    <x v="13"/>
    <x v="151"/>
    <x v="1089"/>
    <x v="0"/>
    <x v="34"/>
    <x v="7"/>
    <x v="0"/>
    <x v="14"/>
    <x v="9"/>
    <x v="10"/>
    <x v="6"/>
    <x v="3"/>
    <x v="13"/>
  </r>
  <r>
    <x v="281"/>
    <x v="351"/>
    <x v="165"/>
    <x v="13"/>
    <x v="167"/>
    <x v="411"/>
    <x v="0"/>
    <x v="34"/>
    <x v="7"/>
    <x v="6"/>
    <x v="14"/>
    <x v="9"/>
    <x v="12"/>
    <x v="6"/>
    <x v="3"/>
    <x v="8"/>
  </r>
  <r>
    <x v="282"/>
    <x v="352"/>
    <x v="21"/>
    <x v="34"/>
    <x v="274"/>
    <x v="556"/>
    <x v="0"/>
    <x v="35"/>
    <x v="8"/>
    <x v="5"/>
    <x v="13"/>
    <x v="13"/>
    <x v="12"/>
    <x v="6"/>
    <x v="3"/>
    <x v="13"/>
  </r>
  <r>
    <x v="283"/>
    <x v="353"/>
    <x v="29"/>
    <x v="3"/>
    <x v="100"/>
    <x v="1268"/>
    <x v="0"/>
    <x v="35"/>
    <x v="8"/>
    <x v="9"/>
    <x v="14"/>
    <x v="14"/>
    <x v="12"/>
    <x v="6"/>
    <x v="3"/>
    <x v="14"/>
  </r>
  <r>
    <x v="284"/>
    <x v="354"/>
    <x v="192"/>
    <x v="50"/>
    <x v="413"/>
    <x v="1104"/>
    <x v="0"/>
    <x v="35"/>
    <x v="8"/>
    <x v="4"/>
    <x v="0"/>
    <x v="13"/>
    <x v="12"/>
    <x v="6"/>
    <x v="3"/>
    <x v="13"/>
  </r>
  <r>
    <x v="285"/>
    <x v="355"/>
    <x v="189"/>
    <x v="30"/>
    <x v="2"/>
    <x v="1207"/>
    <x v="0"/>
    <x v="35"/>
    <x v="8"/>
    <x v="0"/>
    <x v="3"/>
    <x v="9"/>
    <x v="12"/>
    <x v="6"/>
    <x v="3"/>
    <x v="8"/>
  </r>
  <r>
    <x v="286"/>
    <x v="356"/>
    <x v="234"/>
    <x v="13"/>
    <x v="181"/>
    <x v="280"/>
    <x v="0"/>
    <x v="35"/>
    <x v="8"/>
    <x v="5"/>
    <x v="16"/>
    <x v="13"/>
    <x v="12"/>
    <x v="6"/>
    <x v="3"/>
    <x v="13"/>
  </r>
  <r>
    <x v="287"/>
    <x v="357"/>
    <x v="259"/>
    <x v="11"/>
    <x v="129"/>
    <x v="290"/>
    <x v="0"/>
    <x v="35"/>
    <x v="8"/>
    <x v="6"/>
    <x v="14"/>
    <x v="9"/>
    <x v="12"/>
    <x v="6"/>
    <x v="3"/>
    <x v="8"/>
  </r>
  <r>
    <x v="288"/>
    <x v="358"/>
    <x v="28"/>
    <x v="14"/>
    <x v="206"/>
    <x v="1080"/>
    <x v="2"/>
    <x v="35"/>
    <x v="8"/>
    <x v="11"/>
    <x v="1"/>
    <x v="9"/>
    <x v="12"/>
    <x v="6"/>
    <x v="3"/>
    <x v="8"/>
  </r>
  <r>
    <x v="290"/>
    <x v="359"/>
    <x v="52"/>
    <x v="29"/>
    <x v="254"/>
    <x v="1491"/>
    <x v="0"/>
    <x v="35"/>
    <x v="8"/>
    <x v="4"/>
    <x v="3"/>
    <x v="9"/>
    <x v="12"/>
    <x v="6"/>
    <x v="3"/>
    <x v="8"/>
  </r>
  <r>
    <x v="291"/>
    <x v="360"/>
    <x v="161"/>
    <x v="34"/>
    <x v="300"/>
    <x v="613"/>
    <x v="0"/>
    <x v="36"/>
    <x v="8"/>
    <x v="3"/>
    <x v="13"/>
    <x v="13"/>
    <x v="12"/>
    <x v="6"/>
    <x v="3"/>
    <x v="13"/>
  </r>
  <r>
    <x v="292"/>
    <x v="361"/>
    <x v="266"/>
    <x v="13"/>
    <x v="194"/>
    <x v="813"/>
    <x v="0"/>
    <x v="36"/>
    <x v="8"/>
    <x v="9"/>
    <x v="11"/>
    <x v="10"/>
    <x v="11"/>
    <x v="6"/>
    <x v="3"/>
    <x v="14"/>
  </r>
  <r>
    <x v="293"/>
    <x v="362"/>
    <x v="170"/>
    <x v="13"/>
    <x v="170"/>
    <x v="607"/>
    <x v="2"/>
    <x v="36"/>
    <x v="8"/>
    <x v="10"/>
    <x v="12"/>
    <x v="13"/>
    <x v="12"/>
    <x v="6"/>
    <x v="3"/>
    <x v="13"/>
  </r>
  <r>
    <x v="294"/>
    <x v="363"/>
    <x v="263"/>
    <x v="34"/>
    <x v="331"/>
    <x v="84"/>
    <x v="0"/>
    <x v="36"/>
    <x v="8"/>
    <x v="0"/>
    <x v="13"/>
    <x v="13"/>
    <x v="12"/>
    <x v="6"/>
    <x v="3"/>
    <x v="13"/>
  </r>
  <r>
    <x v="295"/>
    <x v="364"/>
    <x v="263"/>
    <x v="34"/>
    <x v="331"/>
    <x v="1411"/>
    <x v="0"/>
    <x v="36"/>
    <x v="8"/>
    <x v="3"/>
    <x v="16"/>
    <x v="14"/>
    <x v="12"/>
    <x v="6"/>
    <x v="3"/>
    <x v="14"/>
  </r>
  <r>
    <x v="296"/>
    <x v="365"/>
    <x v="60"/>
    <x v="69"/>
    <x v="461"/>
    <x v="1375"/>
    <x v="0"/>
    <x v="36"/>
    <x v="8"/>
    <x v="4"/>
    <x v="14"/>
    <x v="13"/>
    <x v="12"/>
    <x v="6"/>
    <x v="3"/>
    <x v="13"/>
  </r>
  <r>
    <x v="297"/>
    <x v="366"/>
    <x v="176"/>
    <x v="10"/>
    <x v="122"/>
    <x v="1272"/>
    <x v="1"/>
    <x v="36"/>
    <x v="8"/>
    <x v="6"/>
    <x v="1"/>
    <x v="13"/>
    <x v="12"/>
    <x v="6"/>
    <x v="3"/>
    <x v="13"/>
  </r>
  <r>
    <x v="298"/>
    <x v="367"/>
    <x v="165"/>
    <x v="13"/>
    <x v="164"/>
    <x v="1398"/>
    <x v="0"/>
    <x v="36"/>
    <x v="8"/>
    <x v="9"/>
    <x v="13"/>
    <x v="9"/>
    <x v="12"/>
    <x v="6"/>
    <x v="3"/>
    <x v="8"/>
  </r>
  <r>
    <x v="299"/>
    <x v="368"/>
    <x v="151"/>
    <x v="34"/>
    <x v="295"/>
    <x v="399"/>
    <x v="0"/>
    <x v="36"/>
    <x v="8"/>
    <x v="11"/>
    <x v="14"/>
    <x v="13"/>
    <x v="12"/>
    <x v="6"/>
    <x v="3"/>
    <x v="13"/>
  </r>
  <r>
    <x v="301"/>
    <x v="369"/>
    <x v="64"/>
    <x v="24"/>
    <x v="234"/>
    <x v="1396"/>
    <x v="0"/>
    <x v="36"/>
    <x v="8"/>
    <x v="4"/>
    <x v="1"/>
    <x v="13"/>
    <x v="12"/>
    <x v="6"/>
    <x v="3"/>
    <x v="13"/>
  </r>
  <r>
    <x v="302"/>
    <x v="370"/>
    <x v="168"/>
    <x v="31"/>
    <x v="265"/>
    <x v="138"/>
    <x v="2"/>
    <x v="36"/>
    <x v="8"/>
    <x v="11"/>
    <x v="11"/>
    <x v="13"/>
    <x v="12"/>
    <x v="6"/>
    <x v="3"/>
    <x v="13"/>
  </r>
  <r>
    <x v="303"/>
    <x v="371"/>
    <x v="101"/>
    <x v="29"/>
    <x v="262"/>
    <x v="216"/>
    <x v="0"/>
    <x v="36"/>
    <x v="8"/>
    <x v="4"/>
    <x v="0"/>
    <x v="9"/>
    <x v="12"/>
    <x v="6"/>
    <x v="3"/>
    <x v="8"/>
  </r>
  <r>
    <x v="304"/>
    <x v="372"/>
    <x v="183"/>
    <x v="52"/>
    <x v="432"/>
    <x v="1033"/>
    <x v="2"/>
    <x v="36"/>
    <x v="8"/>
    <x v="1"/>
    <x v="17"/>
    <x v="9"/>
    <x v="12"/>
    <x v="6"/>
    <x v="3"/>
    <x v="8"/>
  </r>
  <r>
    <x v="305"/>
    <x v="373"/>
    <x v="234"/>
    <x v="13"/>
    <x v="178"/>
    <x v="286"/>
    <x v="2"/>
    <x v="36"/>
    <x v="8"/>
    <x v="6"/>
    <x v="3"/>
    <x v="13"/>
    <x v="12"/>
    <x v="6"/>
    <x v="3"/>
    <x v="13"/>
  </r>
  <r>
    <x v="306"/>
    <x v="374"/>
    <x v="83"/>
    <x v="14"/>
    <x v="202"/>
    <x v="214"/>
    <x v="0"/>
    <x v="36"/>
    <x v="8"/>
    <x v="11"/>
    <x v="16"/>
    <x v="13"/>
    <x v="12"/>
    <x v="6"/>
    <x v="3"/>
    <x v="13"/>
  </r>
  <r>
    <x v="307"/>
    <x v="375"/>
    <x v="101"/>
    <x v="29"/>
    <x v="257"/>
    <x v="1332"/>
    <x v="0"/>
    <x v="36"/>
    <x v="8"/>
    <x v="4"/>
    <x v="0"/>
    <x v="9"/>
    <x v="12"/>
    <x v="6"/>
    <x v="3"/>
    <x v="8"/>
  </r>
  <r>
    <x v="308"/>
    <x v="376"/>
    <x v="70"/>
    <x v="13"/>
    <x v="147"/>
    <x v="1200"/>
    <x v="0"/>
    <x v="36"/>
    <x v="8"/>
    <x v="5"/>
    <x v="15"/>
    <x v="9"/>
    <x v="12"/>
    <x v="6"/>
    <x v="3"/>
    <x v="8"/>
  </r>
  <r>
    <x v="309"/>
    <x v="377"/>
    <x v="79"/>
    <x v="35"/>
    <x v="342"/>
    <x v="1043"/>
    <x v="0"/>
    <x v="36"/>
    <x v="8"/>
    <x v="7"/>
    <x v="16"/>
    <x v="13"/>
    <x v="12"/>
    <x v="6"/>
    <x v="3"/>
    <x v="13"/>
  </r>
  <r>
    <x v="310"/>
    <x v="378"/>
    <x v="58"/>
    <x v="34"/>
    <x v="282"/>
    <x v="1567"/>
    <x v="0"/>
    <x v="37"/>
    <x v="8"/>
    <x v="9"/>
    <x v="3"/>
    <x v="10"/>
    <x v="5"/>
    <x v="6"/>
    <x v="3"/>
    <x v="8"/>
  </r>
  <r>
    <x v="312"/>
    <x v="379"/>
    <x v="227"/>
    <x v="18"/>
    <x v="227"/>
    <x v="1341"/>
    <x v="0"/>
    <x v="37"/>
    <x v="8"/>
    <x v="6"/>
    <x v="11"/>
    <x v="13"/>
    <x v="12"/>
    <x v="6"/>
    <x v="3"/>
    <x v="13"/>
  </r>
  <r>
    <x v="313"/>
    <x v="380"/>
    <x v="48"/>
    <x v="3"/>
    <x v="103"/>
    <x v="421"/>
    <x v="2"/>
    <x v="38"/>
    <x v="8"/>
    <x v="9"/>
    <x v="0"/>
    <x v="10"/>
    <x v="5"/>
    <x v="6"/>
    <x v="3"/>
    <x v="8"/>
  </r>
  <r>
    <x v="314"/>
    <x v="381"/>
    <x v="62"/>
    <x v="2"/>
    <x v="15"/>
    <x v="597"/>
    <x v="2"/>
    <x v="38"/>
    <x v="8"/>
    <x v="8"/>
    <x v="13"/>
    <x v="13"/>
    <x v="12"/>
    <x v="6"/>
    <x v="3"/>
    <x v="13"/>
  </r>
  <r>
    <x v="315"/>
    <x v="382"/>
    <x v="258"/>
    <x v="34"/>
    <x v="327"/>
    <x v="1486"/>
    <x v="0"/>
    <x v="38"/>
    <x v="8"/>
    <x v="5"/>
    <x v="1"/>
    <x v="13"/>
    <x v="12"/>
    <x v="6"/>
    <x v="3"/>
    <x v="13"/>
  </r>
  <r>
    <x v="316"/>
    <x v="383"/>
    <x v="24"/>
    <x v="34"/>
    <x v="277"/>
    <x v="838"/>
    <x v="0"/>
    <x v="38"/>
    <x v="8"/>
    <x v="10"/>
    <x v="12"/>
    <x v="9"/>
    <x v="12"/>
    <x v="6"/>
    <x v="3"/>
    <x v="8"/>
  </r>
  <r>
    <x v="317"/>
    <x v="384"/>
    <x v="222"/>
    <x v="43"/>
    <x v="393"/>
    <x v="539"/>
    <x v="0"/>
    <x v="38"/>
    <x v="8"/>
    <x v="11"/>
    <x v="16"/>
    <x v="13"/>
    <x v="12"/>
    <x v="6"/>
    <x v="3"/>
    <x v="13"/>
  </r>
  <r>
    <x v="318"/>
    <x v="385"/>
    <x v="168"/>
    <x v="31"/>
    <x v="266"/>
    <x v="133"/>
    <x v="2"/>
    <x v="39"/>
    <x v="8"/>
    <x v="3"/>
    <x v="14"/>
    <x v="13"/>
    <x v="12"/>
    <x v="6"/>
    <x v="3"/>
    <x v="13"/>
  </r>
  <r>
    <x v="319"/>
    <x v="386"/>
    <x v="127"/>
    <x v="16"/>
    <x v="92"/>
    <x v="492"/>
    <x v="3"/>
    <x v="40"/>
    <x v="8"/>
    <x v="5"/>
    <x v="13"/>
    <x v="9"/>
    <x v="10"/>
    <x v="6"/>
    <x v="3"/>
    <x v="13"/>
  </r>
  <r>
    <x v="320"/>
    <x v="387"/>
    <x v="255"/>
    <x v="13"/>
    <x v="190"/>
    <x v="1428"/>
    <x v="0"/>
    <x v="40"/>
    <x v="8"/>
    <x v="4"/>
    <x v="14"/>
    <x v="13"/>
    <x v="12"/>
    <x v="6"/>
    <x v="3"/>
    <x v="13"/>
  </r>
  <r>
    <x v="321"/>
    <x v="388"/>
    <x v="255"/>
    <x v="13"/>
    <x v="191"/>
    <x v="1429"/>
    <x v="0"/>
    <x v="40"/>
    <x v="8"/>
    <x v="4"/>
    <x v="14"/>
    <x v="9"/>
    <x v="12"/>
    <x v="6"/>
    <x v="3"/>
    <x v="8"/>
  </r>
  <r>
    <x v="323"/>
    <x v="389"/>
    <x v="251"/>
    <x v="15"/>
    <x v="224"/>
    <x v="1230"/>
    <x v="2"/>
    <x v="40"/>
    <x v="8"/>
    <x v="10"/>
    <x v="13"/>
    <x v="9"/>
    <x v="12"/>
    <x v="6"/>
    <x v="3"/>
    <x v="8"/>
  </r>
  <r>
    <x v="324"/>
    <x v="390"/>
    <x v="171"/>
    <x v="28"/>
    <x v="245"/>
    <x v="14"/>
    <x v="0"/>
    <x v="41"/>
    <x v="8"/>
    <x v="6"/>
    <x v="0"/>
    <x v="13"/>
    <x v="12"/>
    <x v="6"/>
    <x v="3"/>
    <x v="13"/>
  </r>
  <r>
    <x v="325"/>
    <x v="391"/>
    <x v="96"/>
    <x v="37"/>
    <x v="52"/>
    <x v="63"/>
    <x v="0"/>
    <x v="42"/>
    <x v="8"/>
    <x v="9"/>
    <x v="1"/>
    <x v="9"/>
    <x v="12"/>
    <x v="6"/>
    <x v="3"/>
    <x v="8"/>
  </r>
  <r>
    <x v="326"/>
    <x v="392"/>
    <x v="84"/>
    <x v="52"/>
    <x v="433"/>
    <x v="1434"/>
    <x v="0"/>
    <x v="42"/>
    <x v="8"/>
    <x v="1"/>
    <x v="0"/>
    <x v="13"/>
    <x v="12"/>
    <x v="6"/>
    <x v="3"/>
    <x v="13"/>
  </r>
  <r>
    <x v="327"/>
    <x v="393"/>
    <x v="69"/>
    <x v="52"/>
    <x v="425"/>
    <x v="1040"/>
    <x v="0"/>
    <x v="42"/>
    <x v="8"/>
    <x v="1"/>
    <x v="16"/>
    <x v="13"/>
    <x v="12"/>
    <x v="6"/>
    <x v="3"/>
    <x v="13"/>
  </r>
  <r>
    <x v="328"/>
    <x v="394"/>
    <x v="19"/>
    <x v="14"/>
    <x v="204"/>
    <x v="382"/>
    <x v="2"/>
    <x v="42"/>
    <x v="8"/>
    <x v="11"/>
    <x v="3"/>
    <x v="13"/>
    <x v="12"/>
    <x v="6"/>
    <x v="3"/>
    <x v="13"/>
  </r>
  <r>
    <x v="329"/>
    <x v="395"/>
    <x v="218"/>
    <x v="34"/>
    <x v="316"/>
    <x v="558"/>
    <x v="0"/>
    <x v="42"/>
    <x v="8"/>
    <x v="4"/>
    <x v="11"/>
    <x v="9"/>
    <x v="12"/>
    <x v="6"/>
    <x v="3"/>
    <x v="8"/>
  </r>
  <r>
    <x v="330"/>
    <x v="396"/>
    <x v="236"/>
    <x v="33"/>
    <x v="271"/>
    <x v="785"/>
    <x v="2"/>
    <x v="42"/>
    <x v="8"/>
    <x v="9"/>
    <x v="13"/>
    <x v="9"/>
    <x v="10"/>
    <x v="6"/>
    <x v="3"/>
    <x v="13"/>
  </r>
  <r>
    <x v="331"/>
    <x v="397"/>
    <x v="141"/>
    <x v="8"/>
    <x v="121"/>
    <x v="1551"/>
    <x v="1"/>
    <x v="42"/>
    <x v="8"/>
    <x v="1"/>
    <x v="0"/>
    <x v="13"/>
    <x v="12"/>
    <x v="6"/>
    <x v="3"/>
    <x v="13"/>
  </r>
  <r>
    <x v="332"/>
    <x v="398"/>
    <x v="32"/>
    <x v="17"/>
    <x v="20"/>
    <x v="827"/>
    <x v="0"/>
    <x v="42"/>
    <x v="8"/>
    <x v="8"/>
    <x v="3"/>
    <x v="13"/>
    <x v="12"/>
    <x v="6"/>
    <x v="3"/>
    <x v="13"/>
  </r>
  <r>
    <x v="335"/>
    <x v="399"/>
    <x v="26"/>
    <x v="19"/>
    <x v="49"/>
    <x v="1103"/>
    <x v="0"/>
    <x v="43"/>
    <x v="8"/>
    <x v="9"/>
    <x v="12"/>
    <x v="9"/>
    <x v="12"/>
    <x v="6"/>
    <x v="3"/>
    <x v="8"/>
  </r>
  <r>
    <x v="336"/>
    <x v="400"/>
    <x v="263"/>
    <x v="34"/>
    <x v="332"/>
    <x v="696"/>
    <x v="0"/>
    <x v="44"/>
    <x v="9"/>
    <x v="10"/>
    <x v="15"/>
    <x v="13"/>
    <x v="12"/>
    <x v="6"/>
    <x v="3"/>
    <x v="13"/>
  </r>
  <r>
    <x v="337"/>
    <x v="401"/>
    <x v="101"/>
    <x v="29"/>
    <x v="261"/>
    <x v="453"/>
    <x v="0"/>
    <x v="44"/>
    <x v="9"/>
    <x v="4"/>
    <x v="13"/>
    <x v="15"/>
    <x v="12"/>
    <x v="6"/>
    <x v="3"/>
    <x v="0"/>
  </r>
  <r>
    <x v="338"/>
    <x v="402"/>
    <x v="140"/>
    <x v="51"/>
    <x v="40"/>
    <x v="391"/>
    <x v="0"/>
    <x v="44"/>
    <x v="9"/>
    <x v="8"/>
    <x v="11"/>
    <x v="13"/>
    <x v="12"/>
    <x v="6"/>
    <x v="3"/>
    <x v="13"/>
  </r>
  <r>
    <x v="339"/>
    <x v="403"/>
    <x v="200"/>
    <x v="62"/>
    <x v="444"/>
    <x v="968"/>
    <x v="2"/>
    <x v="44"/>
    <x v="9"/>
    <x v="6"/>
    <x v="1"/>
    <x v="9"/>
    <x v="12"/>
    <x v="6"/>
    <x v="3"/>
    <x v="8"/>
  </r>
  <r>
    <x v="340"/>
    <x v="404"/>
    <x v="75"/>
    <x v="14"/>
    <x v="211"/>
    <x v="1359"/>
    <x v="0"/>
    <x v="44"/>
    <x v="9"/>
    <x v="0"/>
    <x v="3"/>
    <x v="13"/>
    <x v="12"/>
    <x v="6"/>
    <x v="3"/>
    <x v="13"/>
  </r>
  <r>
    <x v="341"/>
    <x v="405"/>
    <x v="225"/>
    <x v="34"/>
    <x v="320"/>
    <x v="781"/>
    <x v="0"/>
    <x v="44"/>
    <x v="9"/>
    <x v="2"/>
    <x v="11"/>
    <x v="15"/>
    <x v="12"/>
    <x v="6"/>
    <x v="3"/>
    <x v="0"/>
  </r>
  <r>
    <x v="342"/>
    <x v="406"/>
    <x v="232"/>
    <x v="58"/>
    <x v="78"/>
    <x v="400"/>
    <x v="1"/>
    <x v="44"/>
    <x v="9"/>
    <x v="2"/>
    <x v="1"/>
    <x v="13"/>
    <x v="12"/>
    <x v="6"/>
    <x v="3"/>
    <x v="13"/>
  </r>
  <r>
    <x v="343"/>
    <x v="407"/>
    <x v="161"/>
    <x v="34"/>
    <x v="298"/>
    <x v="570"/>
    <x v="0"/>
    <x v="44"/>
    <x v="9"/>
    <x v="4"/>
    <x v="16"/>
    <x v="9"/>
    <x v="12"/>
    <x v="6"/>
    <x v="3"/>
    <x v="8"/>
  </r>
  <r>
    <x v="344"/>
    <x v="408"/>
    <x v="212"/>
    <x v="34"/>
    <x v="309"/>
    <x v="447"/>
    <x v="0"/>
    <x v="44"/>
    <x v="9"/>
    <x v="9"/>
    <x v="11"/>
    <x v="13"/>
    <x v="12"/>
    <x v="6"/>
    <x v="3"/>
    <x v="13"/>
  </r>
  <r>
    <x v="346"/>
    <x v="409"/>
    <x v="59"/>
    <x v="34"/>
    <x v="285"/>
    <x v="1176"/>
    <x v="0"/>
    <x v="44"/>
    <x v="9"/>
    <x v="7"/>
    <x v="14"/>
    <x v="13"/>
    <x v="12"/>
    <x v="6"/>
    <x v="3"/>
    <x v="13"/>
  </r>
  <r>
    <x v="347"/>
    <x v="410"/>
    <x v="210"/>
    <x v="48"/>
    <x v="33"/>
    <x v="103"/>
    <x v="0"/>
    <x v="44"/>
    <x v="9"/>
    <x v="8"/>
    <x v="3"/>
    <x v="13"/>
    <x v="12"/>
    <x v="6"/>
    <x v="3"/>
    <x v="13"/>
  </r>
  <r>
    <x v="348"/>
    <x v="411"/>
    <x v="155"/>
    <x v="39"/>
    <x v="89"/>
    <x v="393"/>
    <x v="0"/>
    <x v="44"/>
    <x v="9"/>
    <x v="8"/>
    <x v="2"/>
    <x v="13"/>
    <x v="12"/>
    <x v="6"/>
    <x v="3"/>
    <x v="13"/>
  </r>
  <r>
    <x v="349"/>
    <x v="412"/>
    <x v="225"/>
    <x v="34"/>
    <x v="319"/>
    <x v="450"/>
    <x v="0"/>
    <x v="44"/>
    <x v="9"/>
    <x v="3"/>
    <x v="13"/>
    <x v="13"/>
    <x v="12"/>
    <x v="6"/>
    <x v="3"/>
    <x v="13"/>
  </r>
  <r>
    <x v="350"/>
    <x v="413"/>
    <x v="18"/>
    <x v="11"/>
    <x v="124"/>
    <x v="638"/>
    <x v="0"/>
    <x v="44"/>
    <x v="9"/>
    <x v="9"/>
    <x v="16"/>
    <x v="13"/>
    <x v="12"/>
    <x v="6"/>
    <x v="3"/>
    <x v="13"/>
  </r>
  <r>
    <x v="351"/>
    <x v="414"/>
    <x v="249"/>
    <x v="13"/>
    <x v="182"/>
    <x v="322"/>
    <x v="2"/>
    <x v="44"/>
    <x v="9"/>
    <x v="2"/>
    <x v="0"/>
    <x v="13"/>
    <x v="12"/>
    <x v="6"/>
    <x v="3"/>
    <x v="13"/>
  </r>
  <r>
    <x v="352"/>
    <x v="415"/>
    <x v="240"/>
    <x v="37"/>
    <x v="61"/>
    <x v="1533"/>
    <x v="1"/>
    <x v="44"/>
    <x v="9"/>
    <x v="7"/>
    <x v="1"/>
    <x v="10"/>
    <x v="12"/>
    <x v="6"/>
    <x v="3"/>
    <x v="10"/>
  </r>
  <r>
    <x v="353"/>
    <x v="416"/>
    <x v="193"/>
    <x v="69"/>
    <x v="455"/>
    <x v="1048"/>
    <x v="0"/>
    <x v="44"/>
    <x v="9"/>
    <x v="1"/>
    <x v="2"/>
    <x v="13"/>
    <x v="12"/>
    <x v="6"/>
    <x v="3"/>
    <x v="13"/>
  </r>
  <r>
    <x v="354"/>
    <x v="417"/>
    <x v="101"/>
    <x v="29"/>
    <x v="258"/>
    <x v="1278"/>
    <x v="0"/>
    <x v="44"/>
    <x v="9"/>
    <x v="4"/>
    <x v="3"/>
    <x v="15"/>
    <x v="12"/>
    <x v="6"/>
    <x v="3"/>
    <x v="0"/>
  </r>
  <r>
    <x v="355"/>
    <x v="418"/>
    <x v="179"/>
    <x v="43"/>
    <x v="387"/>
    <x v="121"/>
    <x v="0"/>
    <x v="45"/>
    <x v="9"/>
    <x v="11"/>
    <x v="0"/>
    <x v="15"/>
    <x v="12"/>
    <x v="6"/>
    <x v="3"/>
    <x v="0"/>
  </r>
  <r>
    <x v="357"/>
    <x v="419"/>
    <x v="173"/>
    <x v="13"/>
    <x v="171"/>
    <x v="804"/>
    <x v="0"/>
    <x v="45"/>
    <x v="9"/>
    <x v="2"/>
    <x v="15"/>
    <x v="13"/>
    <x v="12"/>
    <x v="6"/>
    <x v="3"/>
    <x v="13"/>
  </r>
  <r>
    <x v="358"/>
    <x v="420"/>
    <x v="104"/>
    <x v="46"/>
    <x v="405"/>
    <x v="755"/>
    <x v="0"/>
    <x v="45"/>
    <x v="9"/>
    <x v="9"/>
    <x v="16"/>
    <x v="13"/>
    <x v="12"/>
    <x v="6"/>
    <x v="3"/>
    <x v="13"/>
  </r>
  <r>
    <x v="359"/>
    <x v="421"/>
    <x v="266"/>
    <x v="13"/>
    <x v="133"/>
    <x v="1285"/>
    <x v="0"/>
    <x v="46"/>
    <x v="9"/>
    <x v="9"/>
    <x v="2"/>
    <x v="9"/>
    <x v="12"/>
    <x v="6"/>
    <x v="3"/>
    <x v="8"/>
  </r>
  <r>
    <x v="360"/>
    <x v="422"/>
    <x v="55"/>
    <x v="13"/>
    <x v="143"/>
    <x v="7"/>
    <x v="0"/>
    <x v="46"/>
    <x v="9"/>
    <x v="5"/>
    <x v="16"/>
    <x v="9"/>
    <x v="12"/>
    <x v="6"/>
    <x v="3"/>
    <x v="8"/>
  </r>
  <r>
    <x v="361"/>
    <x v="423"/>
    <x v="166"/>
    <x v="13"/>
    <x v="168"/>
    <x v="308"/>
    <x v="0"/>
    <x v="46"/>
    <x v="9"/>
    <x v="5"/>
    <x v="2"/>
    <x v="13"/>
    <x v="12"/>
    <x v="6"/>
    <x v="3"/>
    <x v="13"/>
  </r>
  <r>
    <x v="362"/>
    <x v="424"/>
    <x v="147"/>
    <x v="67"/>
    <x v="451"/>
    <x v="428"/>
    <x v="0"/>
    <x v="46"/>
    <x v="9"/>
    <x v="1"/>
    <x v="13"/>
    <x v="13"/>
    <x v="12"/>
    <x v="6"/>
    <x v="3"/>
    <x v="13"/>
  </r>
  <r>
    <x v="363"/>
    <x v="425"/>
    <x v="255"/>
    <x v="13"/>
    <x v="157"/>
    <x v="844"/>
    <x v="0"/>
    <x v="46"/>
    <x v="9"/>
    <x v="6"/>
    <x v="0"/>
    <x v="15"/>
    <x v="12"/>
    <x v="6"/>
    <x v="3"/>
    <x v="0"/>
  </r>
  <r>
    <x v="364"/>
    <x v="426"/>
    <x v="21"/>
    <x v="34"/>
    <x v="275"/>
    <x v="550"/>
    <x v="0"/>
    <x v="46"/>
    <x v="9"/>
    <x v="4"/>
    <x v="16"/>
    <x v="9"/>
    <x v="12"/>
    <x v="6"/>
    <x v="3"/>
    <x v="8"/>
  </r>
  <r>
    <x v="365"/>
    <x v="427"/>
    <x v="77"/>
    <x v="13"/>
    <x v="149"/>
    <x v="631"/>
    <x v="0"/>
    <x v="47"/>
    <x v="9"/>
    <x v="11"/>
    <x v="14"/>
    <x v="9"/>
    <x v="12"/>
    <x v="6"/>
    <x v="3"/>
    <x v="8"/>
  </r>
  <r>
    <x v="366"/>
    <x v="428"/>
    <x v="262"/>
    <x v="34"/>
    <x v="330"/>
    <x v="437"/>
    <x v="0"/>
    <x v="47"/>
    <x v="9"/>
    <x v="9"/>
    <x v="13"/>
    <x v="9"/>
    <x v="12"/>
    <x v="6"/>
    <x v="3"/>
    <x v="8"/>
  </r>
  <r>
    <x v="368"/>
    <x v="429"/>
    <x v="262"/>
    <x v="34"/>
    <x v="330"/>
    <x v="683"/>
    <x v="0"/>
    <x v="47"/>
    <x v="9"/>
    <x v="9"/>
    <x v="13"/>
    <x v="13"/>
    <x v="12"/>
    <x v="6"/>
    <x v="3"/>
    <x v="13"/>
  </r>
  <r>
    <x v="369"/>
    <x v="430"/>
    <x v="31"/>
    <x v="13"/>
    <x v="138"/>
    <x v="488"/>
    <x v="2"/>
    <x v="47"/>
    <x v="9"/>
    <x v="4"/>
    <x v="0"/>
    <x v="13"/>
    <x v="12"/>
    <x v="6"/>
    <x v="3"/>
    <x v="13"/>
  </r>
  <r>
    <x v="370"/>
    <x v="431"/>
    <x v="206"/>
    <x v="17"/>
    <x v="24"/>
    <x v="1495"/>
    <x v="0"/>
    <x v="47"/>
    <x v="9"/>
    <x v="5"/>
    <x v="4"/>
    <x v="13"/>
    <x v="12"/>
    <x v="6"/>
    <x v="3"/>
    <x v="13"/>
  </r>
  <r>
    <x v="371"/>
    <x v="432"/>
    <x v="112"/>
    <x v="15"/>
    <x v="219"/>
    <x v="370"/>
    <x v="0"/>
    <x v="47"/>
    <x v="9"/>
    <x v="1"/>
    <x v="3"/>
    <x v="13"/>
    <x v="12"/>
    <x v="6"/>
    <x v="3"/>
    <x v="13"/>
  </r>
  <r>
    <x v="372"/>
    <x v="433"/>
    <x v="257"/>
    <x v="58"/>
    <x v="83"/>
    <x v="81"/>
    <x v="0"/>
    <x v="48"/>
    <x v="9"/>
    <x v="6"/>
    <x v="3"/>
    <x v="9"/>
    <x v="12"/>
    <x v="6"/>
    <x v="3"/>
    <x v="8"/>
  </r>
  <r>
    <x v="373"/>
    <x v="434"/>
    <x v="3"/>
    <x v="13"/>
    <x v="135"/>
    <x v="319"/>
    <x v="0"/>
    <x v="48"/>
    <x v="9"/>
    <x v="11"/>
    <x v="0"/>
    <x v="12"/>
    <x v="12"/>
    <x v="6"/>
    <x v="3"/>
    <x v="12"/>
  </r>
  <r>
    <x v="374"/>
    <x v="435"/>
    <x v="161"/>
    <x v="34"/>
    <x v="299"/>
    <x v="571"/>
    <x v="0"/>
    <x v="48"/>
    <x v="9"/>
    <x v="10"/>
    <x v="11"/>
    <x v="9"/>
    <x v="12"/>
    <x v="6"/>
    <x v="3"/>
    <x v="8"/>
  </r>
  <r>
    <x v="375"/>
    <x v="436"/>
    <x v="222"/>
    <x v="43"/>
    <x v="391"/>
    <x v="446"/>
    <x v="0"/>
    <x v="48"/>
    <x v="9"/>
    <x v="11"/>
    <x v="1"/>
    <x v="13"/>
    <x v="12"/>
    <x v="6"/>
    <x v="3"/>
    <x v="13"/>
  </r>
  <r>
    <x v="376"/>
    <x v="437"/>
    <x v="102"/>
    <x v="13"/>
    <x v="154"/>
    <x v="161"/>
    <x v="0"/>
    <x v="49"/>
    <x v="9"/>
    <x v="6"/>
    <x v="11"/>
    <x v="13"/>
    <x v="12"/>
    <x v="6"/>
    <x v="3"/>
    <x v="13"/>
  </r>
  <r>
    <x v="377"/>
    <x v="438"/>
    <x v="40"/>
    <x v="50"/>
    <x v="414"/>
    <x v="377"/>
    <x v="0"/>
    <x v="49"/>
    <x v="9"/>
    <x v="4"/>
    <x v="13"/>
    <x v="13"/>
    <x v="12"/>
    <x v="6"/>
    <x v="3"/>
    <x v="13"/>
  </r>
  <r>
    <x v="379"/>
    <x v="439"/>
    <x v="12"/>
    <x v="38"/>
    <x v="64"/>
    <x v="899"/>
    <x v="1"/>
    <x v="50"/>
    <x v="9"/>
    <x v="11"/>
    <x v="0"/>
    <x v="13"/>
    <x v="12"/>
    <x v="6"/>
    <x v="3"/>
    <x v="13"/>
  </r>
  <r>
    <x v="380"/>
    <x v="440"/>
    <x v="235"/>
    <x v="13"/>
    <x v="458"/>
    <x v="112"/>
    <x v="0"/>
    <x v="50"/>
    <x v="9"/>
    <x v="6"/>
    <x v="14"/>
    <x v="13"/>
    <x v="12"/>
    <x v="6"/>
    <x v="3"/>
    <x v="13"/>
  </r>
  <r>
    <x v="381"/>
    <x v="441"/>
    <x v="212"/>
    <x v="34"/>
    <x v="310"/>
    <x v="553"/>
    <x v="0"/>
    <x v="50"/>
    <x v="9"/>
    <x v="6"/>
    <x v="16"/>
    <x v="13"/>
    <x v="12"/>
    <x v="6"/>
    <x v="3"/>
    <x v="13"/>
  </r>
  <r>
    <x v="382"/>
    <x v="442"/>
    <x v="162"/>
    <x v="43"/>
    <x v="381"/>
    <x v="996"/>
    <x v="0"/>
    <x v="50"/>
    <x v="9"/>
    <x v="11"/>
    <x v="1"/>
    <x v="13"/>
    <x v="12"/>
    <x v="6"/>
    <x v="3"/>
    <x v="13"/>
  </r>
  <r>
    <x v="383"/>
    <x v="443"/>
    <x v="44"/>
    <x v="18"/>
    <x v="226"/>
    <x v="612"/>
    <x v="0"/>
    <x v="50"/>
    <x v="9"/>
    <x v="3"/>
    <x v="2"/>
    <x v="13"/>
    <x v="12"/>
    <x v="6"/>
    <x v="3"/>
    <x v="13"/>
  </r>
  <r>
    <x v="384"/>
    <x v="444"/>
    <x v="32"/>
    <x v="17"/>
    <x v="21"/>
    <x v="810"/>
    <x v="0"/>
    <x v="50"/>
    <x v="9"/>
    <x v="8"/>
    <x v="11"/>
    <x v="13"/>
    <x v="12"/>
    <x v="6"/>
    <x v="3"/>
    <x v="13"/>
  </r>
  <r>
    <x v="385"/>
    <x v="445"/>
    <x v="36"/>
    <x v="13"/>
    <x v="200"/>
    <x v="479"/>
    <x v="0"/>
    <x v="50"/>
    <x v="9"/>
    <x v="9"/>
    <x v="14"/>
    <x v="15"/>
    <x v="12"/>
    <x v="6"/>
    <x v="3"/>
    <x v="0"/>
  </r>
  <r>
    <x v="386"/>
    <x v="446"/>
    <x v="59"/>
    <x v="34"/>
    <x v="283"/>
    <x v="547"/>
    <x v="0"/>
    <x v="50"/>
    <x v="9"/>
    <x v="11"/>
    <x v="13"/>
    <x v="15"/>
    <x v="12"/>
    <x v="6"/>
    <x v="3"/>
    <x v="0"/>
  </r>
  <r>
    <x v="387"/>
    <x v="447"/>
    <x v="148"/>
    <x v="1"/>
    <x v="12"/>
    <x v="632"/>
    <x v="0"/>
    <x v="50"/>
    <x v="9"/>
    <x v="8"/>
    <x v="16"/>
    <x v="13"/>
    <x v="12"/>
    <x v="6"/>
    <x v="3"/>
    <x v="13"/>
  </r>
  <r>
    <x v="388"/>
    <x v="448"/>
    <x v="48"/>
    <x v="3"/>
    <x v="104"/>
    <x v="1479"/>
    <x v="0"/>
    <x v="50"/>
    <x v="9"/>
    <x v="11"/>
    <x v="0"/>
    <x v="9"/>
    <x v="12"/>
    <x v="6"/>
    <x v="3"/>
    <x v="8"/>
  </r>
  <r>
    <x v="390"/>
    <x v="449"/>
    <x v="28"/>
    <x v="14"/>
    <x v="209"/>
    <x v="334"/>
    <x v="0"/>
    <x v="50"/>
    <x v="9"/>
    <x v="0"/>
    <x v="4"/>
    <x v="9"/>
    <x v="12"/>
    <x v="6"/>
    <x v="3"/>
    <x v="8"/>
  </r>
  <r>
    <x v="391"/>
    <x v="450"/>
    <x v="13"/>
    <x v="68"/>
    <x v="452"/>
    <x v="1414"/>
    <x v="0"/>
    <x v="50"/>
    <x v="9"/>
    <x v="4"/>
    <x v="1"/>
    <x v="13"/>
    <x v="12"/>
    <x v="6"/>
    <x v="3"/>
    <x v="13"/>
  </r>
  <r>
    <x v="392"/>
    <x v="451"/>
    <x v="211"/>
    <x v="63"/>
    <x v="445"/>
    <x v="577"/>
    <x v="2"/>
    <x v="50"/>
    <x v="9"/>
    <x v="6"/>
    <x v="3"/>
    <x v="13"/>
    <x v="12"/>
    <x v="6"/>
    <x v="3"/>
    <x v="13"/>
  </r>
  <r>
    <x v="393"/>
    <x v="452"/>
    <x v="262"/>
    <x v="34"/>
    <x v="330"/>
    <x v="685"/>
    <x v="0"/>
    <x v="51"/>
    <x v="10"/>
    <x v="5"/>
    <x v="13"/>
    <x v="13"/>
    <x v="12"/>
    <x v="6"/>
    <x v="3"/>
    <x v="13"/>
  </r>
  <r>
    <x v="394"/>
    <x v="453"/>
    <x v="262"/>
    <x v="34"/>
    <x v="330"/>
    <x v="486"/>
    <x v="0"/>
    <x v="51"/>
    <x v="10"/>
    <x v="10"/>
    <x v="13"/>
    <x v="13"/>
    <x v="12"/>
    <x v="6"/>
    <x v="3"/>
    <x v="13"/>
  </r>
  <r>
    <x v="395"/>
    <x v="454"/>
    <x v="118"/>
    <x v="40"/>
    <x v="378"/>
    <x v="831"/>
    <x v="0"/>
    <x v="51"/>
    <x v="10"/>
    <x v="6"/>
    <x v="11"/>
    <x v="13"/>
    <x v="12"/>
    <x v="6"/>
    <x v="3"/>
    <x v="13"/>
  </r>
  <r>
    <x v="396"/>
    <x v="455"/>
    <x v="222"/>
    <x v="43"/>
    <x v="395"/>
    <x v="1382"/>
    <x v="0"/>
    <x v="51"/>
    <x v="10"/>
    <x v="11"/>
    <x v="3"/>
    <x v="13"/>
    <x v="12"/>
    <x v="6"/>
    <x v="3"/>
    <x v="13"/>
  </r>
  <r>
    <x v="397"/>
    <x v="456"/>
    <x v="59"/>
    <x v="34"/>
    <x v="283"/>
    <x v="44"/>
    <x v="0"/>
    <x v="51"/>
    <x v="10"/>
    <x v="9"/>
    <x v="14"/>
    <x v="13"/>
    <x v="12"/>
    <x v="6"/>
    <x v="3"/>
    <x v="13"/>
  </r>
  <r>
    <x v="398"/>
    <x v="457"/>
    <x v="8"/>
    <x v="36"/>
    <x v="363"/>
    <x v="205"/>
    <x v="0"/>
    <x v="51"/>
    <x v="10"/>
    <x v="1"/>
    <x v="0"/>
    <x v="9"/>
    <x v="12"/>
    <x v="6"/>
    <x v="3"/>
    <x v="8"/>
  </r>
  <r>
    <x v="399"/>
    <x v="458"/>
    <x v="251"/>
    <x v="15"/>
    <x v="220"/>
    <x v="237"/>
    <x v="0"/>
    <x v="51"/>
    <x v="10"/>
    <x v="9"/>
    <x v="11"/>
    <x v="9"/>
    <x v="12"/>
    <x v="6"/>
    <x v="3"/>
    <x v="8"/>
  </r>
  <r>
    <x v="401"/>
    <x v="459"/>
    <x v="89"/>
    <x v="52"/>
    <x v="427"/>
    <x v="1116"/>
    <x v="0"/>
    <x v="51"/>
    <x v="10"/>
    <x v="1"/>
    <x v="14"/>
    <x v="13"/>
    <x v="12"/>
    <x v="6"/>
    <x v="3"/>
    <x v="13"/>
  </r>
  <r>
    <x v="402"/>
    <x v="460"/>
    <x v="1"/>
    <x v="4"/>
    <x v="47"/>
    <x v="68"/>
    <x v="0"/>
    <x v="51"/>
    <x v="10"/>
    <x v="6"/>
    <x v="13"/>
    <x v="10"/>
    <x v="12"/>
    <x v="6"/>
    <x v="3"/>
    <x v="10"/>
  </r>
  <r>
    <x v="403"/>
    <x v="461"/>
    <x v="97"/>
    <x v="54"/>
    <x v="434"/>
    <x v="1265"/>
    <x v="0"/>
    <x v="51"/>
    <x v="10"/>
    <x v="9"/>
    <x v="0"/>
    <x v="13"/>
    <x v="12"/>
    <x v="6"/>
    <x v="3"/>
    <x v="13"/>
  </r>
  <r>
    <x v="404"/>
    <x v="462"/>
    <x v="205"/>
    <x v="33"/>
    <x v="269"/>
    <x v="1168"/>
    <x v="2"/>
    <x v="51"/>
    <x v="10"/>
    <x v="11"/>
    <x v="3"/>
    <x v="9"/>
    <x v="12"/>
    <x v="6"/>
    <x v="3"/>
    <x v="8"/>
  </r>
  <r>
    <x v="405"/>
    <x v="463"/>
    <x v="248"/>
    <x v="2"/>
    <x v="18"/>
    <x v="385"/>
    <x v="0"/>
    <x v="51"/>
    <x v="10"/>
    <x v="8"/>
    <x v="1"/>
    <x v="9"/>
    <x v="12"/>
    <x v="6"/>
    <x v="3"/>
    <x v="8"/>
  </r>
  <r>
    <x v="406"/>
    <x v="464"/>
    <x v="116"/>
    <x v="26"/>
    <x v="86"/>
    <x v="573"/>
    <x v="3"/>
    <x v="51"/>
    <x v="10"/>
    <x v="9"/>
    <x v="12"/>
    <x v="9"/>
    <x v="12"/>
    <x v="6"/>
    <x v="3"/>
    <x v="8"/>
  </r>
  <r>
    <x v="407"/>
    <x v="465"/>
    <x v="156"/>
    <x v="44"/>
    <x v="396"/>
    <x v="992"/>
    <x v="0"/>
    <x v="51"/>
    <x v="10"/>
    <x v="11"/>
    <x v="1"/>
    <x v="13"/>
    <x v="12"/>
    <x v="6"/>
    <x v="3"/>
    <x v="13"/>
  </r>
  <r>
    <x v="408"/>
    <x v="466"/>
    <x v="260"/>
    <x v="20"/>
    <x v="50"/>
    <x v="46"/>
    <x v="0"/>
    <x v="51"/>
    <x v="10"/>
    <x v="3"/>
    <x v="16"/>
    <x v="15"/>
    <x v="12"/>
    <x v="6"/>
    <x v="3"/>
    <x v="0"/>
  </r>
  <r>
    <x v="409"/>
    <x v="467"/>
    <x v="21"/>
    <x v="34"/>
    <x v="276"/>
    <x v="563"/>
    <x v="0"/>
    <x v="51"/>
    <x v="10"/>
    <x v="5"/>
    <x v="16"/>
    <x v="15"/>
    <x v="12"/>
    <x v="6"/>
    <x v="3"/>
    <x v="0"/>
  </r>
  <r>
    <x v="410"/>
    <x v="468"/>
    <x v="212"/>
    <x v="34"/>
    <x v="308"/>
    <x v="551"/>
    <x v="0"/>
    <x v="51"/>
    <x v="10"/>
    <x v="6"/>
    <x v="17"/>
    <x v="9"/>
    <x v="12"/>
    <x v="6"/>
    <x v="3"/>
    <x v="8"/>
  </r>
  <r>
    <x v="412"/>
    <x v="469"/>
    <x v="181"/>
    <x v="6"/>
    <x v="119"/>
    <x v="1126"/>
    <x v="2"/>
    <x v="51"/>
    <x v="10"/>
    <x v="9"/>
    <x v="14"/>
    <x v="13"/>
    <x v="12"/>
    <x v="6"/>
    <x v="3"/>
    <x v="13"/>
  </r>
  <r>
    <x v="413"/>
    <x v="470"/>
    <x v="228"/>
    <x v="46"/>
    <x v="412"/>
    <x v="1149"/>
    <x v="0"/>
    <x v="51"/>
    <x v="10"/>
    <x v="0"/>
    <x v="13"/>
    <x v="13"/>
    <x v="12"/>
    <x v="6"/>
    <x v="3"/>
    <x v="13"/>
  </r>
  <r>
    <x v="414"/>
    <x v="471"/>
    <x v="74"/>
    <x v="57"/>
    <x v="73"/>
    <x v="1467"/>
    <x v="1"/>
    <x v="51"/>
    <x v="10"/>
    <x v="3"/>
    <x v="0"/>
    <x v="13"/>
    <x v="12"/>
    <x v="6"/>
    <x v="3"/>
    <x v="13"/>
  </r>
  <r>
    <x v="415"/>
    <x v="472"/>
    <x v="123"/>
    <x v="6"/>
    <x v="116"/>
    <x v="251"/>
    <x v="0"/>
    <x v="51"/>
    <x v="10"/>
    <x v="1"/>
    <x v="11"/>
    <x v="9"/>
    <x v="12"/>
    <x v="6"/>
    <x v="3"/>
    <x v="8"/>
  </r>
  <r>
    <x v="416"/>
    <x v="473"/>
    <x v="128"/>
    <x v="49"/>
    <x v="37"/>
    <x v="935"/>
    <x v="2"/>
    <x v="51"/>
    <x v="10"/>
    <x v="8"/>
    <x v="13"/>
    <x v="9"/>
    <x v="12"/>
    <x v="6"/>
    <x v="3"/>
    <x v="8"/>
  </r>
  <r>
    <x v="417"/>
    <x v="474"/>
    <x v="159"/>
    <x v="46"/>
    <x v="406"/>
    <x v="512"/>
    <x v="0"/>
    <x v="51"/>
    <x v="10"/>
    <x v="1"/>
    <x v="3"/>
    <x v="9"/>
    <x v="12"/>
    <x v="6"/>
    <x v="3"/>
    <x v="8"/>
  </r>
  <r>
    <x v="418"/>
    <x v="475"/>
    <x v="8"/>
    <x v="36"/>
    <x v="363"/>
    <x v="1430"/>
    <x v="0"/>
    <x v="51"/>
    <x v="10"/>
    <x v="0"/>
    <x v="16"/>
    <x v="13"/>
    <x v="12"/>
    <x v="6"/>
    <x v="3"/>
    <x v="13"/>
  </r>
  <r>
    <x v="419"/>
    <x v="476"/>
    <x v="253"/>
    <x v="13"/>
    <x v="185"/>
    <x v="1169"/>
    <x v="0"/>
    <x v="51"/>
    <x v="10"/>
    <x v="11"/>
    <x v="11"/>
    <x v="9"/>
    <x v="12"/>
    <x v="6"/>
    <x v="3"/>
    <x v="8"/>
  </r>
  <r>
    <x v="420"/>
    <x v="477"/>
    <x v="117"/>
    <x v="13"/>
    <x v="156"/>
    <x v="311"/>
    <x v="0"/>
    <x v="51"/>
    <x v="10"/>
    <x v="9"/>
    <x v="0"/>
    <x v="13"/>
    <x v="12"/>
    <x v="6"/>
    <x v="3"/>
    <x v="13"/>
  </r>
  <r>
    <x v="421"/>
    <x v="478"/>
    <x v="245"/>
    <x v="40"/>
    <x v="374"/>
    <x v="1307"/>
    <x v="0"/>
    <x v="51"/>
    <x v="10"/>
    <x v="8"/>
    <x v="12"/>
    <x v="14"/>
    <x v="12"/>
    <x v="6"/>
    <x v="3"/>
    <x v="14"/>
  </r>
  <r>
    <x v="423"/>
    <x v="479"/>
    <x v="67"/>
    <x v="62"/>
    <x v="443"/>
    <x v="866"/>
    <x v="0"/>
    <x v="51"/>
    <x v="10"/>
    <x v="6"/>
    <x v="16"/>
    <x v="9"/>
    <x v="12"/>
    <x v="6"/>
    <x v="3"/>
    <x v="8"/>
  </r>
  <r>
    <x v="424"/>
    <x v="480"/>
    <x v="87"/>
    <x v="28"/>
    <x v="240"/>
    <x v="1205"/>
    <x v="2"/>
    <x v="52"/>
    <x v="10"/>
    <x v="3"/>
    <x v="17"/>
    <x v="9"/>
    <x v="12"/>
    <x v="6"/>
    <x v="3"/>
    <x v="8"/>
  </r>
  <r>
    <x v="425"/>
    <x v="481"/>
    <x v="186"/>
    <x v="13"/>
    <x v="173"/>
    <x v="1514"/>
    <x v="2"/>
    <x v="52"/>
    <x v="10"/>
    <x v="6"/>
    <x v="13"/>
    <x v="13"/>
    <x v="12"/>
    <x v="6"/>
    <x v="3"/>
    <x v="13"/>
  </r>
  <r>
    <x v="426"/>
    <x v="482"/>
    <x v="61"/>
    <x v="34"/>
    <x v="288"/>
    <x v="873"/>
    <x v="2"/>
    <x v="52"/>
    <x v="10"/>
    <x v="9"/>
    <x v="16"/>
    <x v="13"/>
    <x v="12"/>
    <x v="6"/>
    <x v="3"/>
    <x v="13"/>
  </r>
  <r>
    <x v="427"/>
    <x v="483"/>
    <x v="23"/>
    <x v="36"/>
    <x v="362"/>
    <x v="712"/>
    <x v="0"/>
    <x v="52"/>
    <x v="10"/>
    <x v="5"/>
    <x v="1"/>
    <x v="9"/>
    <x v="12"/>
    <x v="6"/>
    <x v="3"/>
    <x v="8"/>
  </r>
  <r>
    <x v="428"/>
    <x v="484"/>
    <x v="23"/>
    <x v="36"/>
    <x v="362"/>
    <x v="1328"/>
    <x v="0"/>
    <x v="52"/>
    <x v="10"/>
    <x v="5"/>
    <x v="1"/>
    <x v="9"/>
    <x v="12"/>
    <x v="6"/>
    <x v="3"/>
    <x v="8"/>
  </r>
  <r>
    <x v="429"/>
    <x v="485"/>
    <x v="224"/>
    <x v="34"/>
    <x v="317"/>
    <x v="1171"/>
    <x v="0"/>
    <x v="53"/>
    <x v="10"/>
    <x v="11"/>
    <x v="16"/>
    <x v="15"/>
    <x v="12"/>
    <x v="6"/>
    <x v="3"/>
    <x v="0"/>
  </r>
  <r>
    <x v="430"/>
    <x v="486"/>
    <x v="224"/>
    <x v="34"/>
    <x v="317"/>
    <x v="1173"/>
    <x v="0"/>
    <x v="53"/>
    <x v="10"/>
    <x v="11"/>
    <x v="16"/>
    <x v="15"/>
    <x v="12"/>
    <x v="6"/>
    <x v="3"/>
    <x v="0"/>
  </r>
  <r>
    <x v="431"/>
    <x v="487"/>
    <x v="79"/>
    <x v="35"/>
    <x v="345"/>
    <x v="444"/>
    <x v="2"/>
    <x v="53"/>
    <x v="10"/>
    <x v="7"/>
    <x v="3"/>
    <x v="15"/>
    <x v="12"/>
    <x v="6"/>
    <x v="3"/>
    <x v="0"/>
  </r>
  <r>
    <x v="432"/>
    <x v="488"/>
    <x v="241"/>
    <x v="11"/>
    <x v="128"/>
    <x v="715"/>
    <x v="0"/>
    <x v="53"/>
    <x v="10"/>
    <x v="3"/>
    <x v="0"/>
    <x v="15"/>
    <x v="12"/>
    <x v="6"/>
    <x v="3"/>
    <x v="0"/>
  </r>
  <r>
    <x v="434"/>
    <x v="489"/>
    <x v="185"/>
    <x v="34"/>
    <x v="303"/>
    <x v="594"/>
    <x v="0"/>
    <x v="54"/>
    <x v="10"/>
    <x v="8"/>
    <x v="13"/>
    <x v="15"/>
    <x v="12"/>
    <x v="6"/>
    <x v="3"/>
    <x v="0"/>
  </r>
  <r>
    <x v="435"/>
    <x v="490"/>
    <x v="256"/>
    <x v="40"/>
    <x v="379"/>
    <x v="1053"/>
    <x v="0"/>
    <x v="54"/>
    <x v="10"/>
    <x v="0"/>
    <x v="15"/>
    <x v="15"/>
    <x v="12"/>
    <x v="6"/>
    <x v="3"/>
    <x v="0"/>
  </r>
  <r>
    <x v="436"/>
    <x v="491"/>
    <x v="79"/>
    <x v="35"/>
    <x v="346"/>
    <x v="734"/>
    <x v="0"/>
    <x v="54"/>
    <x v="10"/>
    <x v="8"/>
    <x v="12"/>
    <x v="15"/>
    <x v="12"/>
    <x v="6"/>
    <x v="3"/>
    <x v="0"/>
  </r>
  <r>
    <x v="437"/>
    <x v="492"/>
    <x v="269"/>
    <x v="70"/>
    <x v="462"/>
    <x v="1572"/>
    <x v="4"/>
    <x v="55"/>
    <x v="11"/>
    <x v="12"/>
    <x v="20"/>
    <x v="15"/>
    <x v="12"/>
    <x v="6"/>
    <x v="3"/>
    <x v="0"/>
  </r>
  <r>
    <x v="438"/>
    <x v="493"/>
    <x v="269"/>
    <x v="70"/>
    <x v="462"/>
    <x v="1572"/>
    <x v="4"/>
    <x v="55"/>
    <x v="11"/>
    <x v="12"/>
    <x v="20"/>
    <x v="15"/>
    <x v="12"/>
    <x v="6"/>
    <x v="3"/>
    <x v="0"/>
  </r>
  <r>
    <x v="439"/>
    <x v="494"/>
    <x v="269"/>
    <x v="70"/>
    <x v="462"/>
    <x v="1572"/>
    <x v="4"/>
    <x v="55"/>
    <x v="11"/>
    <x v="12"/>
    <x v="20"/>
    <x v="15"/>
    <x v="12"/>
    <x v="6"/>
    <x v="3"/>
    <x v="0"/>
  </r>
  <r>
    <x v="440"/>
    <x v="495"/>
    <x v="269"/>
    <x v="70"/>
    <x v="462"/>
    <x v="1572"/>
    <x v="4"/>
    <x v="55"/>
    <x v="11"/>
    <x v="12"/>
    <x v="20"/>
    <x v="15"/>
    <x v="12"/>
    <x v="6"/>
    <x v="3"/>
    <x v="0"/>
  </r>
  <r>
    <x v="441"/>
    <x v="496"/>
    <x v="269"/>
    <x v="70"/>
    <x v="462"/>
    <x v="1572"/>
    <x v="4"/>
    <x v="55"/>
    <x v="11"/>
    <x v="12"/>
    <x v="20"/>
    <x v="15"/>
    <x v="12"/>
    <x v="6"/>
    <x v="3"/>
    <x v="0"/>
  </r>
  <r>
    <x v="442"/>
    <x v="497"/>
    <x v="269"/>
    <x v="70"/>
    <x v="462"/>
    <x v="1572"/>
    <x v="4"/>
    <x v="55"/>
    <x v="11"/>
    <x v="12"/>
    <x v="20"/>
    <x v="15"/>
    <x v="12"/>
    <x v="6"/>
    <x v="3"/>
    <x v="0"/>
  </r>
  <r>
    <x v="443"/>
    <x v="498"/>
    <x v="269"/>
    <x v="70"/>
    <x v="462"/>
    <x v="1572"/>
    <x v="4"/>
    <x v="55"/>
    <x v="11"/>
    <x v="12"/>
    <x v="20"/>
    <x v="15"/>
    <x v="12"/>
    <x v="6"/>
    <x v="3"/>
    <x v="0"/>
  </r>
  <r>
    <x v="446"/>
    <x v="499"/>
    <x v="269"/>
    <x v="70"/>
    <x v="462"/>
    <x v="1572"/>
    <x v="4"/>
    <x v="55"/>
    <x v="11"/>
    <x v="12"/>
    <x v="20"/>
    <x v="15"/>
    <x v="12"/>
    <x v="6"/>
    <x v="3"/>
    <x v="0"/>
  </r>
  <r>
    <x v="447"/>
    <x v="500"/>
    <x v="269"/>
    <x v="70"/>
    <x v="462"/>
    <x v="1572"/>
    <x v="4"/>
    <x v="55"/>
    <x v="11"/>
    <x v="12"/>
    <x v="20"/>
    <x v="15"/>
    <x v="12"/>
    <x v="6"/>
    <x v="3"/>
    <x v="0"/>
  </r>
  <r>
    <x v="448"/>
    <x v="501"/>
    <x v="269"/>
    <x v="70"/>
    <x v="462"/>
    <x v="1572"/>
    <x v="4"/>
    <x v="55"/>
    <x v="11"/>
    <x v="12"/>
    <x v="20"/>
    <x v="15"/>
    <x v="12"/>
    <x v="6"/>
    <x v="3"/>
    <x v="0"/>
  </r>
  <r>
    <x v="449"/>
    <x v="502"/>
    <x v="269"/>
    <x v="70"/>
    <x v="462"/>
    <x v="1572"/>
    <x v="4"/>
    <x v="55"/>
    <x v="11"/>
    <x v="12"/>
    <x v="20"/>
    <x v="15"/>
    <x v="12"/>
    <x v="6"/>
    <x v="3"/>
    <x v="0"/>
  </r>
  <r>
    <x v="450"/>
    <x v="503"/>
    <x v="269"/>
    <x v="70"/>
    <x v="462"/>
    <x v="1572"/>
    <x v="4"/>
    <x v="55"/>
    <x v="11"/>
    <x v="12"/>
    <x v="20"/>
    <x v="15"/>
    <x v="12"/>
    <x v="6"/>
    <x v="3"/>
    <x v="0"/>
  </r>
  <r>
    <x v="451"/>
    <x v="504"/>
    <x v="269"/>
    <x v="70"/>
    <x v="462"/>
    <x v="1572"/>
    <x v="4"/>
    <x v="55"/>
    <x v="11"/>
    <x v="12"/>
    <x v="20"/>
    <x v="15"/>
    <x v="12"/>
    <x v="6"/>
    <x v="3"/>
    <x v="0"/>
  </r>
  <r>
    <x v="452"/>
    <x v="505"/>
    <x v="269"/>
    <x v="70"/>
    <x v="462"/>
    <x v="1572"/>
    <x v="4"/>
    <x v="55"/>
    <x v="11"/>
    <x v="12"/>
    <x v="20"/>
    <x v="15"/>
    <x v="12"/>
    <x v="6"/>
    <x v="3"/>
    <x v="0"/>
  </r>
  <r>
    <x v="453"/>
    <x v="506"/>
    <x v="269"/>
    <x v="70"/>
    <x v="462"/>
    <x v="1572"/>
    <x v="4"/>
    <x v="55"/>
    <x v="11"/>
    <x v="12"/>
    <x v="20"/>
    <x v="15"/>
    <x v="12"/>
    <x v="6"/>
    <x v="3"/>
    <x v="0"/>
  </r>
  <r>
    <x v="454"/>
    <x v="507"/>
    <x v="269"/>
    <x v="70"/>
    <x v="462"/>
    <x v="1572"/>
    <x v="4"/>
    <x v="55"/>
    <x v="11"/>
    <x v="12"/>
    <x v="20"/>
    <x v="15"/>
    <x v="12"/>
    <x v="6"/>
    <x v="3"/>
    <x v="0"/>
  </r>
  <r>
    <x v="455"/>
    <x v="508"/>
    <x v="269"/>
    <x v="70"/>
    <x v="462"/>
    <x v="1572"/>
    <x v="4"/>
    <x v="55"/>
    <x v="11"/>
    <x v="12"/>
    <x v="20"/>
    <x v="15"/>
    <x v="12"/>
    <x v="6"/>
    <x v="3"/>
    <x v="0"/>
  </r>
  <r>
    <x v="457"/>
    <x v="509"/>
    <x v="269"/>
    <x v="70"/>
    <x v="462"/>
    <x v="1572"/>
    <x v="4"/>
    <x v="55"/>
    <x v="11"/>
    <x v="12"/>
    <x v="20"/>
    <x v="15"/>
    <x v="12"/>
    <x v="6"/>
    <x v="3"/>
    <x v="0"/>
  </r>
  <r>
    <x v="458"/>
    <x v="510"/>
    <x v="269"/>
    <x v="70"/>
    <x v="462"/>
    <x v="1572"/>
    <x v="4"/>
    <x v="55"/>
    <x v="11"/>
    <x v="12"/>
    <x v="20"/>
    <x v="15"/>
    <x v="12"/>
    <x v="6"/>
    <x v="3"/>
    <x v="0"/>
  </r>
  <r>
    <x v="459"/>
    <x v="511"/>
    <x v="269"/>
    <x v="70"/>
    <x v="462"/>
    <x v="1572"/>
    <x v="4"/>
    <x v="55"/>
    <x v="11"/>
    <x v="12"/>
    <x v="20"/>
    <x v="15"/>
    <x v="12"/>
    <x v="6"/>
    <x v="3"/>
    <x v="0"/>
  </r>
  <r>
    <x v="460"/>
    <x v="512"/>
    <x v="269"/>
    <x v="70"/>
    <x v="462"/>
    <x v="1572"/>
    <x v="4"/>
    <x v="55"/>
    <x v="11"/>
    <x v="12"/>
    <x v="20"/>
    <x v="15"/>
    <x v="12"/>
    <x v="6"/>
    <x v="3"/>
    <x v="0"/>
  </r>
  <r>
    <x v="461"/>
    <x v="513"/>
    <x v="269"/>
    <x v="70"/>
    <x v="462"/>
    <x v="1572"/>
    <x v="4"/>
    <x v="55"/>
    <x v="11"/>
    <x v="12"/>
    <x v="20"/>
    <x v="15"/>
    <x v="12"/>
    <x v="6"/>
    <x v="3"/>
    <x v="0"/>
  </r>
  <r>
    <x v="462"/>
    <x v="514"/>
    <x v="269"/>
    <x v="70"/>
    <x v="462"/>
    <x v="1572"/>
    <x v="4"/>
    <x v="55"/>
    <x v="11"/>
    <x v="12"/>
    <x v="20"/>
    <x v="15"/>
    <x v="12"/>
    <x v="6"/>
    <x v="3"/>
    <x v="0"/>
  </r>
  <r>
    <x v="463"/>
    <x v="515"/>
    <x v="269"/>
    <x v="70"/>
    <x v="462"/>
    <x v="1572"/>
    <x v="4"/>
    <x v="55"/>
    <x v="11"/>
    <x v="12"/>
    <x v="20"/>
    <x v="15"/>
    <x v="12"/>
    <x v="6"/>
    <x v="3"/>
    <x v="0"/>
  </r>
  <r>
    <x v="464"/>
    <x v="516"/>
    <x v="269"/>
    <x v="70"/>
    <x v="462"/>
    <x v="1572"/>
    <x v="4"/>
    <x v="55"/>
    <x v="11"/>
    <x v="12"/>
    <x v="20"/>
    <x v="15"/>
    <x v="12"/>
    <x v="6"/>
    <x v="3"/>
    <x v="0"/>
  </r>
  <r>
    <x v="465"/>
    <x v="517"/>
    <x v="269"/>
    <x v="70"/>
    <x v="462"/>
    <x v="1572"/>
    <x v="4"/>
    <x v="55"/>
    <x v="11"/>
    <x v="12"/>
    <x v="20"/>
    <x v="15"/>
    <x v="12"/>
    <x v="6"/>
    <x v="3"/>
    <x v="0"/>
  </r>
  <r>
    <x v="466"/>
    <x v="518"/>
    <x v="269"/>
    <x v="70"/>
    <x v="462"/>
    <x v="1572"/>
    <x v="4"/>
    <x v="55"/>
    <x v="11"/>
    <x v="12"/>
    <x v="20"/>
    <x v="15"/>
    <x v="12"/>
    <x v="6"/>
    <x v="3"/>
    <x v="0"/>
  </r>
  <r>
    <x v="468"/>
    <x v="519"/>
    <x v="269"/>
    <x v="70"/>
    <x v="462"/>
    <x v="1572"/>
    <x v="4"/>
    <x v="55"/>
    <x v="11"/>
    <x v="12"/>
    <x v="20"/>
    <x v="15"/>
    <x v="12"/>
    <x v="6"/>
    <x v="3"/>
    <x v="0"/>
  </r>
  <r>
    <x v="469"/>
    <x v="520"/>
    <x v="269"/>
    <x v="70"/>
    <x v="462"/>
    <x v="1572"/>
    <x v="4"/>
    <x v="55"/>
    <x v="11"/>
    <x v="12"/>
    <x v="20"/>
    <x v="15"/>
    <x v="12"/>
    <x v="6"/>
    <x v="3"/>
    <x v="0"/>
  </r>
  <r>
    <x v="470"/>
    <x v="521"/>
    <x v="269"/>
    <x v="70"/>
    <x v="462"/>
    <x v="1572"/>
    <x v="4"/>
    <x v="55"/>
    <x v="11"/>
    <x v="12"/>
    <x v="20"/>
    <x v="15"/>
    <x v="12"/>
    <x v="6"/>
    <x v="3"/>
    <x v="0"/>
  </r>
  <r>
    <x v="471"/>
    <x v="522"/>
    <x v="269"/>
    <x v="70"/>
    <x v="462"/>
    <x v="1572"/>
    <x v="4"/>
    <x v="55"/>
    <x v="11"/>
    <x v="12"/>
    <x v="20"/>
    <x v="15"/>
    <x v="12"/>
    <x v="6"/>
    <x v="3"/>
    <x v="0"/>
  </r>
  <r>
    <x v="523"/>
    <x v="523"/>
    <x v="269"/>
    <x v="70"/>
    <x v="462"/>
    <x v="1572"/>
    <x v="4"/>
    <x v="55"/>
    <x v="11"/>
    <x v="12"/>
    <x v="20"/>
    <x v="15"/>
    <x v="12"/>
    <x v="6"/>
    <x v="3"/>
    <x v="15"/>
  </r>
  <r>
    <x v="523"/>
    <x v="523"/>
    <x v="269"/>
    <x v="70"/>
    <x v="462"/>
    <x v="1572"/>
    <x v="4"/>
    <x v="55"/>
    <x v="11"/>
    <x v="12"/>
    <x v="20"/>
    <x v="15"/>
    <x v="12"/>
    <x v="6"/>
    <x v="3"/>
    <x v="15"/>
  </r>
  <r>
    <x v="523"/>
    <x v="523"/>
    <x v="269"/>
    <x v="70"/>
    <x v="462"/>
    <x v="1572"/>
    <x v="4"/>
    <x v="55"/>
    <x v="11"/>
    <x v="12"/>
    <x v="20"/>
    <x v="15"/>
    <x v="12"/>
    <x v="6"/>
    <x v="3"/>
    <x v="15"/>
  </r>
  <r>
    <x v="523"/>
    <x v="523"/>
    <x v="269"/>
    <x v="70"/>
    <x v="462"/>
    <x v="1572"/>
    <x v="4"/>
    <x v="55"/>
    <x v="11"/>
    <x v="12"/>
    <x v="20"/>
    <x v="15"/>
    <x v="12"/>
    <x v="6"/>
    <x v="3"/>
    <x v="15"/>
  </r>
  <r>
    <x v="523"/>
    <x v="523"/>
    <x v="269"/>
    <x v="70"/>
    <x v="462"/>
    <x v="1478"/>
    <x v="4"/>
    <x v="55"/>
    <x v="11"/>
    <x v="12"/>
    <x v="10"/>
    <x v="6"/>
    <x v="3"/>
    <x v="2"/>
    <x v="1"/>
    <x v="6"/>
  </r>
  <r>
    <x v="523"/>
    <x v="523"/>
    <x v="269"/>
    <x v="70"/>
    <x v="462"/>
    <x v="1148"/>
    <x v="4"/>
    <x v="55"/>
    <x v="11"/>
    <x v="12"/>
    <x v="5"/>
    <x v="5"/>
    <x v="2"/>
    <x v="1"/>
    <x v="0"/>
    <x v="5"/>
  </r>
  <r>
    <x v="523"/>
    <x v="523"/>
    <x v="269"/>
    <x v="70"/>
    <x v="462"/>
    <x v="42"/>
    <x v="4"/>
    <x v="55"/>
    <x v="11"/>
    <x v="12"/>
    <x v="8"/>
    <x v="1"/>
    <x v="0"/>
    <x v="0"/>
    <x v="0"/>
    <x v="3"/>
  </r>
  <r>
    <x v="523"/>
    <x v="523"/>
    <x v="269"/>
    <x v="70"/>
    <x v="462"/>
    <x v="195"/>
    <x v="4"/>
    <x v="55"/>
    <x v="11"/>
    <x v="12"/>
    <x v="7"/>
    <x v="3"/>
    <x v="1"/>
    <x v="0"/>
    <x v="0"/>
    <x v="1"/>
  </r>
  <r>
    <x v="523"/>
    <x v="523"/>
    <x v="269"/>
    <x v="70"/>
    <x v="462"/>
    <x v="1271"/>
    <x v="4"/>
    <x v="55"/>
    <x v="11"/>
    <x v="12"/>
    <x v="9"/>
    <x v="1"/>
    <x v="0"/>
    <x v="0"/>
    <x v="0"/>
    <x v="3"/>
  </r>
  <r>
    <x v="523"/>
    <x v="523"/>
    <x v="269"/>
    <x v="70"/>
    <x v="462"/>
    <x v="309"/>
    <x v="4"/>
    <x v="55"/>
    <x v="11"/>
    <x v="12"/>
    <x v="18"/>
    <x v="2"/>
    <x v="0"/>
    <x v="0"/>
    <x v="0"/>
    <x v="4"/>
  </r>
  <r>
    <x v="523"/>
    <x v="523"/>
    <x v="269"/>
    <x v="70"/>
    <x v="462"/>
    <x v="364"/>
    <x v="4"/>
    <x v="55"/>
    <x v="11"/>
    <x v="12"/>
    <x v="6"/>
    <x v="0"/>
    <x v="1"/>
    <x v="0"/>
    <x v="0"/>
    <x v="2"/>
  </r>
  <r>
    <x v="523"/>
    <x v="523"/>
    <x v="269"/>
    <x v="70"/>
    <x v="462"/>
    <x v="279"/>
    <x v="4"/>
    <x v="55"/>
    <x v="11"/>
    <x v="12"/>
    <x v="19"/>
    <x v="7"/>
    <x v="4"/>
    <x v="3"/>
    <x v="1"/>
    <x v="7"/>
  </r>
  <r>
    <x v="523"/>
    <x v="523"/>
    <x v="269"/>
    <x v="70"/>
    <x v="462"/>
    <x v="675"/>
    <x v="4"/>
    <x v="55"/>
    <x v="11"/>
    <x v="12"/>
    <x v="20"/>
    <x v="15"/>
    <x v="12"/>
    <x v="6"/>
    <x v="3"/>
    <x v="15"/>
  </r>
  <r>
    <x v="523"/>
    <x v="523"/>
    <x v="269"/>
    <x v="70"/>
    <x v="462"/>
    <x v="438"/>
    <x v="4"/>
    <x v="55"/>
    <x v="11"/>
    <x v="12"/>
    <x v="20"/>
    <x v="15"/>
    <x v="12"/>
    <x v="6"/>
    <x v="3"/>
    <x v="15"/>
  </r>
  <r>
    <x v="523"/>
    <x v="523"/>
    <x v="269"/>
    <x v="70"/>
    <x v="462"/>
    <x v="1264"/>
    <x v="4"/>
    <x v="55"/>
    <x v="11"/>
    <x v="12"/>
    <x v="20"/>
    <x v="4"/>
    <x v="12"/>
    <x v="6"/>
    <x v="3"/>
    <x v="15"/>
  </r>
  <r>
    <x v="523"/>
    <x v="523"/>
    <x v="269"/>
    <x v="70"/>
    <x v="462"/>
    <x v="1350"/>
    <x v="4"/>
    <x v="55"/>
    <x v="11"/>
    <x v="12"/>
    <x v="20"/>
    <x v="15"/>
    <x v="12"/>
    <x v="6"/>
    <x v="3"/>
    <x v="15"/>
  </r>
  <r>
    <x v="523"/>
    <x v="523"/>
    <x v="269"/>
    <x v="70"/>
    <x v="462"/>
    <x v="440"/>
    <x v="4"/>
    <x v="55"/>
    <x v="11"/>
    <x v="12"/>
    <x v="20"/>
    <x v="8"/>
    <x v="12"/>
    <x v="6"/>
    <x v="3"/>
    <x v="15"/>
  </r>
  <r>
    <x v="523"/>
    <x v="523"/>
    <x v="269"/>
    <x v="70"/>
    <x v="462"/>
    <x v="740"/>
    <x v="4"/>
    <x v="55"/>
    <x v="11"/>
    <x v="12"/>
    <x v="20"/>
    <x v="15"/>
    <x v="12"/>
    <x v="6"/>
    <x v="3"/>
    <x v="15"/>
  </r>
  <r>
    <x v="523"/>
    <x v="523"/>
    <x v="269"/>
    <x v="70"/>
    <x v="462"/>
    <x v="627"/>
    <x v="4"/>
    <x v="55"/>
    <x v="11"/>
    <x v="12"/>
    <x v="20"/>
    <x v="15"/>
    <x v="12"/>
    <x v="6"/>
    <x v="3"/>
    <x v="15"/>
  </r>
  <r>
    <x v="523"/>
    <x v="523"/>
    <x v="269"/>
    <x v="70"/>
    <x v="462"/>
    <x v="73"/>
    <x v="4"/>
    <x v="55"/>
    <x v="11"/>
    <x v="12"/>
    <x v="20"/>
    <x v="15"/>
    <x v="12"/>
    <x v="6"/>
    <x v="3"/>
    <x v="15"/>
  </r>
  <r>
    <x v="523"/>
    <x v="523"/>
    <x v="269"/>
    <x v="70"/>
    <x v="462"/>
    <x v="1297"/>
    <x v="4"/>
    <x v="55"/>
    <x v="11"/>
    <x v="12"/>
    <x v="20"/>
    <x v="15"/>
    <x v="12"/>
    <x v="6"/>
    <x v="3"/>
    <x v="15"/>
  </r>
  <r>
    <x v="523"/>
    <x v="523"/>
    <x v="269"/>
    <x v="70"/>
    <x v="462"/>
    <x v="481"/>
    <x v="4"/>
    <x v="55"/>
    <x v="11"/>
    <x v="12"/>
    <x v="20"/>
    <x v="15"/>
    <x v="12"/>
    <x v="6"/>
    <x v="3"/>
    <x v="15"/>
  </r>
  <r>
    <x v="523"/>
    <x v="523"/>
    <x v="269"/>
    <x v="70"/>
    <x v="462"/>
    <x v="199"/>
    <x v="4"/>
    <x v="55"/>
    <x v="11"/>
    <x v="12"/>
    <x v="20"/>
    <x v="15"/>
    <x v="12"/>
    <x v="6"/>
    <x v="3"/>
    <x v="15"/>
  </r>
  <r>
    <x v="523"/>
    <x v="523"/>
    <x v="269"/>
    <x v="70"/>
    <x v="462"/>
    <x v="106"/>
    <x v="4"/>
    <x v="55"/>
    <x v="11"/>
    <x v="12"/>
    <x v="20"/>
    <x v="15"/>
    <x v="12"/>
    <x v="6"/>
    <x v="3"/>
    <x v="15"/>
  </r>
  <r>
    <x v="523"/>
    <x v="523"/>
    <x v="269"/>
    <x v="70"/>
    <x v="462"/>
    <x v="934"/>
    <x v="4"/>
    <x v="55"/>
    <x v="11"/>
    <x v="12"/>
    <x v="20"/>
    <x v="15"/>
    <x v="12"/>
    <x v="6"/>
    <x v="3"/>
    <x v="15"/>
  </r>
  <r>
    <x v="523"/>
    <x v="523"/>
    <x v="269"/>
    <x v="70"/>
    <x v="462"/>
    <x v="484"/>
    <x v="4"/>
    <x v="55"/>
    <x v="11"/>
    <x v="12"/>
    <x v="20"/>
    <x v="15"/>
    <x v="12"/>
    <x v="6"/>
    <x v="3"/>
    <x v="15"/>
  </r>
  <r>
    <x v="523"/>
    <x v="523"/>
    <x v="269"/>
    <x v="70"/>
    <x v="462"/>
    <x v="1529"/>
    <x v="4"/>
    <x v="55"/>
    <x v="11"/>
    <x v="12"/>
    <x v="20"/>
    <x v="15"/>
    <x v="12"/>
    <x v="6"/>
    <x v="3"/>
    <x v="15"/>
  </r>
  <r>
    <x v="523"/>
    <x v="523"/>
    <x v="269"/>
    <x v="70"/>
    <x v="462"/>
    <x v="98"/>
    <x v="4"/>
    <x v="55"/>
    <x v="11"/>
    <x v="12"/>
    <x v="20"/>
    <x v="15"/>
    <x v="12"/>
    <x v="6"/>
    <x v="3"/>
    <x v="15"/>
  </r>
  <r>
    <x v="523"/>
    <x v="523"/>
    <x v="269"/>
    <x v="70"/>
    <x v="462"/>
    <x v="396"/>
    <x v="4"/>
    <x v="55"/>
    <x v="11"/>
    <x v="12"/>
    <x v="20"/>
    <x v="15"/>
    <x v="12"/>
    <x v="6"/>
    <x v="3"/>
    <x v="15"/>
  </r>
  <r>
    <x v="523"/>
    <x v="523"/>
    <x v="269"/>
    <x v="70"/>
    <x v="462"/>
    <x v="325"/>
    <x v="4"/>
    <x v="55"/>
    <x v="11"/>
    <x v="12"/>
    <x v="20"/>
    <x v="15"/>
    <x v="12"/>
    <x v="6"/>
    <x v="3"/>
    <x v="15"/>
  </r>
  <r>
    <x v="523"/>
    <x v="523"/>
    <x v="269"/>
    <x v="70"/>
    <x v="462"/>
    <x v="1317"/>
    <x v="4"/>
    <x v="55"/>
    <x v="11"/>
    <x v="12"/>
    <x v="20"/>
    <x v="15"/>
    <x v="12"/>
    <x v="6"/>
    <x v="3"/>
    <x v="15"/>
  </r>
  <r>
    <x v="523"/>
    <x v="523"/>
    <x v="269"/>
    <x v="70"/>
    <x v="462"/>
    <x v="533"/>
    <x v="4"/>
    <x v="55"/>
    <x v="11"/>
    <x v="12"/>
    <x v="20"/>
    <x v="15"/>
    <x v="12"/>
    <x v="6"/>
    <x v="3"/>
    <x v="15"/>
  </r>
  <r>
    <x v="523"/>
    <x v="523"/>
    <x v="269"/>
    <x v="70"/>
    <x v="462"/>
    <x v="182"/>
    <x v="4"/>
    <x v="55"/>
    <x v="11"/>
    <x v="12"/>
    <x v="20"/>
    <x v="15"/>
    <x v="12"/>
    <x v="6"/>
    <x v="3"/>
    <x v="15"/>
  </r>
  <r>
    <x v="523"/>
    <x v="523"/>
    <x v="269"/>
    <x v="70"/>
    <x v="462"/>
    <x v="1124"/>
    <x v="4"/>
    <x v="55"/>
    <x v="11"/>
    <x v="12"/>
    <x v="20"/>
    <x v="15"/>
    <x v="12"/>
    <x v="6"/>
    <x v="3"/>
    <x v="15"/>
  </r>
  <r>
    <x v="523"/>
    <x v="523"/>
    <x v="269"/>
    <x v="70"/>
    <x v="462"/>
    <x v="1184"/>
    <x v="4"/>
    <x v="55"/>
    <x v="11"/>
    <x v="12"/>
    <x v="20"/>
    <x v="15"/>
    <x v="12"/>
    <x v="6"/>
    <x v="3"/>
    <x v="15"/>
  </r>
  <r>
    <x v="523"/>
    <x v="523"/>
    <x v="269"/>
    <x v="70"/>
    <x v="462"/>
    <x v="15"/>
    <x v="4"/>
    <x v="55"/>
    <x v="11"/>
    <x v="12"/>
    <x v="20"/>
    <x v="15"/>
    <x v="12"/>
    <x v="6"/>
    <x v="3"/>
    <x v="15"/>
  </r>
  <r>
    <x v="523"/>
    <x v="523"/>
    <x v="269"/>
    <x v="70"/>
    <x v="462"/>
    <x v="1302"/>
    <x v="4"/>
    <x v="55"/>
    <x v="11"/>
    <x v="12"/>
    <x v="20"/>
    <x v="15"/>
    <x v="12"/>
    <x v="6"/>
    <x v="3"/>
    <x v="15"/>
  </r>
  <r>
    <x v="523"/>
    <x v="523"/>
    <x v="269"/>
    <x v="70"/>
    <x v="462"/>
    <x v="45"/>
    <x v="4"/>
    <x v="55"/>
    <x v="11"/>
    <x v="12"/>
    <x v="20"/>
    <x v="15"/>
    <x v="12"/>
    <x v="6"/>
    <x v="3"/>
    <x v="15"/>
  </r>
  <r>
    <x v="523"/>
    <x v="523"/>
    <x v="269"/>
    <x v="70"/>
    <x v="462"/>
    <x v="116"/>
    <x v="4"/>
    <x v="55"/>
    <x v="11"/>
    <x v="12"/>
    <x v="20"/>
    <x v="15"/>
    <x v="12"/>
    <x v="6"/>
    <x v="3"/>
    <x v="15"/>
  </r>
  <r>
    <x v="523"/>
    <x v="523"/>
    <x v="269"/>
    <x v="70"/>
    <x v="462"/>
    <x v="592"/>
    <x v="4"/>
    <x v="55"/>
    <x v="11"/>
    <x v="12"/>
    <x v="20"/>
    <x v="15"/>
    <x v="12"/>
    <x v="6"/>
    <x v="3"/>
    <x v="15"/>
  </r>
  <r>
    <x v="523"/>
    <x v="523"/>
    <x v="269"/>
    <x v="70"/>
    <x v="462"/>
    <x v="1001"/>
    <x v="4"/>
    <x v="55"/>
    <x v="11"/>
    <x v="12"/>
    <x v="20"/>
    <x v="15"/>
    <x v="12"/>
    <x v="6"/>
    <x v="3"/>
    <x v="15"/>
  </r>
  <r>
    <x v="523"/>
    <x v="523"/>
    <x v="269"/>
    <x v="70"/>
    <x v="462"/>
    <x v="1261"/>
    <x v="4"/>
    <x v="55"/>
    <x v="11"/>
    <x v="12"/>
    <x v="20"/>
    <x v="15"/>
    <x v="12"/>
    <x v="6"/>
    <x v="3"/>
    <x v="15"/>
  </r>
  <r>
    <x v="523"/>
    <x v="523"/>
    <x v="269"/>
    <x v="70"/>
    <x v="462"/>
    <x v="1055"/>
    <x v="4"/>
    <x v="55"/>
    <x v="11"/>
    <x v="12"/>
    <x v="20"/>
    <x v="15"/>
    <x v="12"/>
    <x v="6"/>
    <x v="3"/>
    <x v="15"/>
  </r>
  <r>
    <x v="523"/>
    <x v="523"/>
    <x v="269"/>
    <x v="70"/>
    <x v="462"/>
    <x v="770"/>
    <x v="4"/>
    <x v="55"/>
    <x v="11"/>
    <x v="12"/>
    <x v="20"/>
    <x v="15"/>
    <x v="12"/>
    <x v="6"/>
    <x v="3"/>
    <x v="15"/>
  </r>
  <r>
    <x v="523"/>
    <x v="523"/>
    <x v="269"/>
    <x v="70"/>
    <x v="462"/>
    <x v="1381"/>
    <x v="4"/>
    <x v="55"/>
    <x v="11"/>
    <x v="12"/>
    <x v="20"/>
    <x v="15"/>
    <x v="12"/>
    <x v="6"/>
    <x v="3"/>
    <x v="15"/>
  </r>
  <r>
    <x v="523"/>
    <x v="523"/>
    <x v="269"/>
    <x v="70"/>
    <x v="462"/>
    <x v="1388"/>
    <x v="4"/>
    <x v="55"/>
    <x v="11"/>
    <x v="12"/>
    <x v="20"/>
    <x v="15"/>
    <x v="12"/>
    <x v="6"/>
    <x v="3"/>
    <x v="15"/>
  </r>
  <r>
    <x v="523"/>
    <x v="523"/>
    <x v="269"/>
    <x v="70"/>
    <x v="462"/>
    <x v="769"/>
    <x v="4"/>
    <x v="55"/>
    <x v="11"/>
    <x v="12"/>
    <x v="20"/>
    <x v="15"/>
    <x v="12"/>
    <x v="6"/>
    <x v="3"/>
    <x v="15"/>
  </r>
  <r>
    <x v="523"/>
    <x v="523"/>
    <x v="269"/>
    <x v="70"/>
    <x v="462"/>
    <x v="441"/>
    <x v="4"/>
    <x v="55"/>
    <x v="11"/>
    <x v="12"/>
    <x v="20"/>
    <x v="15"/>
    <x v="12"/>
    <x v="6"/>
    <x v="3"/>
    <x v="15"/>
  </r>
  <r>
    <x v="523"/>
    <x v="523"/>
    <x v="269"/>
    <x v="70"/>
    <x v="462"/>
    <x v="165"/>
    <x v="4"/>
    <x v="55"/>
    <x v="11"/>
    <x v="12"/>
    <x v="20"/>
    <x v="15"/>
    <x v="12"/>
    <x v="6"/>
    <x v="3"/>
    <x v="15"/>
  </r>
  <r>
    <x v="523"/>
    <x v="523"/>
    <x v="269"/>
    <x v="70"/>
    <x v="462"/>
    <x v="1417"/>
    <x v="4"/>
    <x v="55"/>
    <x v="11"/>
    <x v="12"/>
    <x v="20"/>
    <x v="15"/>
    <x v="12"/>
    <x v="6"/>
    <x v="3"/>
    <x v="15"/>
  </r>
  <r>
    <x v="523"/>
    <x v="523"/>
    <x v="269"/>
    <x v="70"/>
    <x v="462"/>
    <x v="1419"/>
    <x v="4"/>
    <x v="55"/>
    <x v="11"/>
    <x v="12"/>
    <x v="20"/>
    <x v="15"/>
    <x v="12"/>
    <x v="6"/>
    <x v="3"/>
    <x v="15"/>
  </r>
  <r>
    <x v="523"/>
    <x v="523"/>
    <x v="269"/>
    <x v="70"/>
    <x v="462"/>
    <x v="473"/>
    <x v="4"/>
    <x v="55"/>
    <x v="11"/>
    <x v="12"/>
    <x v="20"/>
    <x v="15"/>
    <x v="12"/>
    <x v="6"/>
    <x v="3"/>
    <x v="15"/>
  </r>
  <r>
    <x v="523"/>
    <x v="523"/>
    <x v="269"/>
    <x v="70"/>
    <x v="462"/>
    <x v="1050"/>
    <x v="4"/>
    <x v="55"/>
    <x v="11"/>
    <x v="12"/>
    <x v="20"/>
    <x v="15"/>
    <x v="12"/>
    <x v="6"/>
    <x v="3"/>
    <x v="15"/>
  </r>
  <r>
    <x v="523"/>
    <x v="523"/>
    <x v="269"/>
    <x v="70"/>
    <x v="462"/>
    <x v="301"/>
    <x v="4"/>
    <x v="55"/>
    <x v="11"/>
    <x v="12"/>
    <x v="20"/>
    <x v="15"/>
    <x v="12"/>
    <x v="6"/>
    <x v="3"/>
    <x v="15"/>
  </r>
  <r>
    <x v="523"/>
    <x v="523"/>
    <x v="269"/>
    <x v="70"/>
    <x v="462"/>
    <x v="310"/>
    <x v="4"/>
    <x v="55"/>
    <x v="11"/>
    <x v="12"/>
    <x v="20"/>
    <x v="15"/>
    <x v="12"/>
    <x v="6"/>
    <x v="3"/>
    <x v="15"/>
  </r>
  <r>
    <x v="523"/>
    <x v="523"/>
    <x v="269"/>
    <x v="70"/>
    <x v="462"/>
    <x v="1258"/>
    <x v="4"/>
    <x v="55"/>
    <x v="11"/>
    <x v="12"/>
    <x v="20"/>
    <x v="15"/>
    <x v="12"/>
    <x v="6"/>
    <x v="3"/>
    <x v="15"/>
  </r>
  <r>
    <x v="523"/>
    <x v="523"/>
    <x v="269"/>
    <x v="70"/>
    <x v="462"/>
    <x v="697"/>
    <x v="4"/>
    <x v="55"/>
    <x v="11"/>
    <x v="12"/>
    <x v="20"/>
    <x v="15"/>
    <x v="12"/>
    <x v="6"/>
    <x v="3"/>
    <x v="15"/>
  </r>
  <r>
    <x v="523"/>
    <x v="523"/>
    <x v="269"/>
    <x v="70"/>
    <x v="462"/>
    <x v="381"/>
    <x v="4"/>
    <x v="55"/>
    <x v="11"/>
    <x v="12"/>
    <x v="20"/>
    <x v="15"/>
    <x v="12"/>
    <x v="6"/>
    <x v="3"/>
    <x v="15"/>
  </r>
  <r>
    <x v="523"/>
    <x v="523"/>
    <x v="269"/>
    <x v="70"/>
    <x v="462"/>
    <x v="1202"/>
    <x v="4"/>
    <x v="55"/>
    <x v="11"/>
    <x v="12"/>
    <x v="20"/>
    <x v="15"/>
    <x v="12"/>
    <x v="6"/>
    <x v="3"/>
    <x v="15"/>
  </r>
  <r>
    <x v="523"/>
    <x v="523"/>
    <x v="269"/>
    <x v="70"/>
    <x v="462"/>
    <x v="500"/>
    <x v="4"/>
    <x v="55"/>
    <x v="11"/>
    <x v="12"/>
    <x v="20"/>
    <x v="15"/>
    <x v="12"/>
    <x v="6"/>
    <x v="3"/>
    <x v="15"/>
  </r>
  <r>
    <x v="523"/>
    <x v="523"/>
    <x v="269"/>
    <x v="70"/>
    <x v="462"/>
    <x v="1342"/>
    <x v="4"/>
    <x v="55"/>
    <x v="11"/>
    <x v="12"/>
    <x v="20"/>
    <x v="15"/>
    <x v="12"/>
    <x v="6"/>
    <x v="3"/>
    <x v="15"/>
  </r>
  <r>
    <x v="523"/>
    <x v="523"/>
    <x v="269"/>
    <x v="70"/>
    <x v="462"/>
    <x v="1509"/>
    <x v="4"/>
    <x v="55"/>
    <x v="11"/>
    <x v="12"/>
    <x v="20"/>
    <x v="15"/>
    <x v="12"/>
    <x v="6"/>
    <x v="3"/>
    <x v="15"/>
  </r>
  <r>
    <x v="523"/>
    <x v="523"/>
    <x v="269"/>
    <x v="70"/>
    <x v="462"/>
    <x v="643"/>
    <x v="4"/>
    <x v="55"/>
    <x v="11"/>
    <x v="12"/>
    <x v="20"/>
    <x v="15"/>
    <x v="12"/>
    <x v="6"/>
    <x v="3"/>
    <x v="15"/>
  </r>
  <r>
    <x v="523"/>
    <x v="523"/>
    <x v="269"/>
    <x v="70"/>
    <x v="462"/>
    <x v="180"/>
    <x v="4"/>
    <x v="55"/>
    <x v="11"/>
    <x v="12"/>
    <x v="20"/>
    <x v="15"/>
    <x v="12"/>
    <x v="6"/>
    <x v="3"/>
    <x v="15"/>
  </r>
  <r>
    <x v="523"/>
    <x v="523"/>
    <x v="269"/>
    <x v="70"/>
    <x v="462"/>
    <x v="172"/>
    <x v="4"/>
    <x v="55"/>
    <x v="11"/>
    <x v="12"/>
    <x v="20"/>
    <x v="15"/>
    <x v="12"/>
    <x v="6"/>
    <x v="3"/>
    <x v="15"/>
  </r>
  <r>
    <x v="523"/>
    <x v="523"/>
    <x v="269"/>
    <x v="70"/>
    <x v="462"/>
    <x v="1492"/>
    <x v="4"/>
    <x v="55"/>
    <x v="11"/>
    <x v="12"/>
    <x v="20"/>
    <x v="15"/>
    <x v="12"/>
    <x v="6"/>
    <x v="3"/>
    <x v="15"/>
  </r>
  <r>
    <x v="523"/>
    <x v="523"/>
    <x v="269"/>
    <x v="70"/>
    <x v="462"/>
    <x v="1299"/>
    <x v="4"/>
    <x v="55"/>
    <x v="11"/>
    <x v="12"/>
    <x v="20"/>
    <x v="15"/>
    <x v="12"/>
    <x v="6"/>
    <x v="3"/>
    <x v="15"/>
  </r>
  <r>
    <x v="523"/>
    <x v="523"/>
    <x v="269"/>
    <x v="70"/>
    <x v="462"/>
    <x v="871"/>
    <x v="4"/>
    <x v="55"/>
    <x v="11"/>
    <x v="12"/>
    <x v="20"/>
    <x v="15"/>
    <x v="12"/>
    <x v="6"/>
    <x v="3"/>
    <x v="15"/>
  </r>
  <r>
    <x v="523"/>
    <x v="523"/>
    <x v="269"/>
    <x v="70"/>
    <x v="462"/>
    <x v="1433"/>
    <x v="4"/>
    <x v="55"/>
    <x v="11"/>
    <x v="12"/>
    <x v="20"/>
    <x v="15"/>
    <x v="12"/>
    <x v="6"/>
    <x v="3"/>
    <x v="15"/>
  </r>
  <r>
    <x v="523"/>
    <x v="523"/>
    <x v="269"/>
    <x v="70"/>
    <x v="462"/>
    <x v="886"/>
    <x v="4"/>
    <x v="55"/>
    <x v="11"/>
    <x v="12"/>
    <x v="20"/>
    <x v="15"/>
    <x v="12"/>
    <x v="6"/>
    <x v="3"/>
    <x v="15"/>
  </r>
  <r>
    <x v="523"/>
    <x v="523"/>
    <x v="269"/>
    <x v="70"/>
    <x v="462"/>
    <x v="186"/>
    <x v="4"/>
    <x v="55"/>
    <x v="11"/>
    <x v="12"/>
    <x v="20"/>
    <x v="15"/>
    <x v="12"/>
    <x v="6"/>
    <x v="3"/>
    <x v="15"/>
  </r>
  <r>
    <x v="523"/>
    <x v="523"/>
    <x v="269"/>
    <x v="70"/>
    <x v="462"/>
    <x v="1308"/>
    <x v="4"/>
    <x v="55"/>
    <x v="11"/>
    <x v="12"/>
    <x v="20"/>
    <x v="15"/>
    <x v="12"/>
    <x v="6"/>
    <x v="3"/>
    <x v="15"/>
  </r>
  <r>
    <x v="523"/>
    <x v="523"/>
    <x v="269"/>
    <x v="70"/>
    <x v="462"/>
    <x v="90"/>
    <x v="4"/>
    <x v="55"/>
    <x v="11"/>
    <x v="12"/>
    <x v="20"/>
    <x v="15"/>
    <x v="12"/>
    <x v="6"/>
    <x v="3"/>
    <x v="15"/>
  </r>
  <r>
    <x v="523"/>
    <x v="523"/>
    <x v="269"/>
    <x v="70"/>
    <x v="462"/>
    <x v="493"/>
    <x v="4"/>
    <x v="55"/>
    <x v="11"/>
    <x v="12"/>
    <x v="20"/>
    <x v="15"/>
    <x v="12"/>
    <x v="6"/>
    <x v="3"/>
    <x v="15"/>
  </r>
  <r>
    <x v="523"/>
    <x v="523"/>
    <x v="269"/>
    <x v="70"/>
    <x v="462"/>
    <x v="210"/>
    <x v="4"/>
    <x v="55"/>
    <x v="11"/>
    <x v="12"/>
    <x v="20"/>
    <x v="15"/>
    <x v="12"/>
    <x v="6"/>
    <x v="3"/>
    <x v="15"/>
  </r>
  <r>
    <x v="523"/>
    <x v="523"/>
    <x v="269"/>
    <x v="70"/>
    <x v="462"/>
    <x v="976"/>
    <x v="4"/>
    <x v="55"/>
    <x v="11"/>
    <x v="12"/>
    <x v="20"/>
    <x v="15"/>
    <x v="12"/>
    <x v="6"/>
    <x v="3"/>
    <x v="15"/>
  </r>
  <r>
    <x v="523"/>
    <x v="523"/>
    <x v="269"/>
    <x v="70"/>
    <x v="462"/>
    <x v="223"/>
    <x v="4"/>
    <x v="55"/>
    <x v="11"/>
    <x v="12"/>
    <x v="20"/>
    <x v="15"/>
    <x v="12"/>
    <x v="6"/>
    <x v="3"/>
    <x v="15"/>
  </r>
  <r>
    <x v="523"/>
    <x v="523"/>
    <x v="269"/>
    <x v="70"/>
    <x v="462"/>
    <x v="1002"/>
    <x v="4"/>
    <x v="55"/>
    <x v="11"/>
    <x v="12"/>
    <x v="20"/>
    <x v="15"/>
    <x v="12"/>
    <x v="6"/>
    <x v="3"/>
    <x v="15"/>
  </r>
  <r>
    <x v="523"/>
    <x v="523"/>
    <x v="269"/>
    <x v="70"/>
    <x v="462"/>
    <x v="1227"/>
    <x v="4"/>
    <x v="55"/>
    <x v="11"/>
    <x v="12"/>
    <x v="20"/>
    <x v="15"/>
    <x v="12"/>
    <x v="6"/>
    <x v="3"/>
    <x v="15"/>
  </r>
  <r>
    <x v="523"/>
    <x v="523"/>
    <x v="269"/>
    <x v="70"/>
    <x v="462"/>
    <x v="672"/>
    <x v="4"/>
    <x v="55"/>
    <x v="11"/>
    <x v="12"/>
    <x v="20"/>
    <x v="15"/>
    <x v="12"/>
    <x v="6"/>
    <x v="3"/>
    <x v="15"/>
  </r>
  <r>
    <x v="523"/>
    <x v="523"/>
    <x v="269"/>
    <x v="70"/>
    <x v="462"/>
    <x v="1442"/>
    <x v="4"/>
    <x v="55"/>
    <x v="11"/>
    <x v="12"/>
    <x v="20"/>
    <x v="15"/>
    <x v="12"/>
    <x v="6"/>
    <x v="3"/>
    <x v="15"/>
  </r>
  <r>
    <x v="523"/>
    <x v="523"/>
    <x v="269"/>
    <x v="70"/>
    <x v="462"/>
    <x v="1512"/>
    <x v="4"/>
    <x v="55"/>
    <x v="11"/>
    <x v="12"/>
    <x v="20"/>
    <x v="15"/>
    <x v="12"/>
    <x v="6"/>
    <x v="3"/>
    <x v="15"/>
  </r>
  <r>
    <x v="523"/>
    <x v="523"/>
    <x v="269"/>
    <x v="70"/>
    <x v="462"/>
    <x v="1474"/>
    <x v="4"/>
    <x v="55"/>
    <x v="11"/>
    <x v="12"/>
    <x v="20"/>
    <x v="15"/>
    <x v="12"/>
    <x v="6"/>
    <x v="3"/>
    <x v="15"/>
  </r>
  <r>
    <x v="523"/>
    <x v="523"/>
    <x v="269"/>
    <x v="70"/>
    <x v="462"/>
    <x v="523"/>
    <x v="4"/>
    <x v="55"/>
    <x v="11"/>
    <x v="12"/>
    <x v="20"/>
    <x v="15"/>
    <x v="12"/>
    <x v="6"/>
    <x v="3"/>
    <x v="15"/>
  </r>
  <r>
    <x v="523"/>
    <x v="523"/>
    <x v="269"/>
    <x v="70"/>
    <x v="462"/>
    <x v="1468"/>
    <x v="4"/>
    <x v="55"/>
    <x v="11"/>
    <x v="12"/>
    <x v="20"/>
    <x v="15"/>
    <x v="12"/>
    <x v="6"/>
    <x v="3"/>
    <x v="15"/>
  </r>
  <r>
    <x v="523"/>
    <x v="523"/>
    <x v="269"/>
    <x v="70"/>
    <x v="462"/>
    <x v="1113"/>
    <x v="4"/>
    <x v="55"/>
    <x v="11"/>
    <x v="12"/>
    <x v="20"/>
    <x v="15"/>
    <x v="12"/>
    <x v="6"/>
    <x v="3"/>
    <x v="15"/>
  </r>
  <r>
    <x v="523"/>
    <x v="523"/>
    <x v="269"/>
    <x v="70"/>
    <x v="462"/>
    <x v="730"/>
    <x v="4"/>
    <x v="55"/>
    <x v="11"/>
    <x v="12"/>
    <x v="20"/>
    <x v="15"/>
    <x v="12"/>
    <x v="6"/>
    <x v="3"/>
    <x v="15"/>
  </r>
  <r>
    <x v="523"/>
    <x v="523"/>
    <x v="269"/>
    <x v="70"/>
    <x v="462"/>
    <x v="578"/>
    <x v="4"/>
    <x v="55"/>
    <x v="11"/>
    <x v="12"/>
    <x v="20"/>
    <x v="15"/>
    <x v="12"/>
    <x v="6"/>
    <x v="3"/>
    <x v="15"/>
  </r>
  <r>
    <x v="523"/>
    <x v="523"/>
    <x v="269"/>
    <x v="70"/>
    <x v="462"/>
    <x v="1397"/>
    <x v="4"/>
    <x v="55"/>
    <x v="11"/>
    <x v="12"/>
    <x v="20"/>
    <x v="15"/>
    <x v="12"/>
    <x v="6"/>
    <x v="3"/>
    <x v="15"/>
  </r>
  <r>
    <x v="523"/>
    <x v="523"/>
    <x v="269"/>
    <x v="70"/>
    <x v="462"/>
    <x v="877"/>
    <x v="4"/>
    <x v="55"/>
    <x v="11"/>
    <x v="12"/>
    <x v="20"/>
    <x v="15"/>
    <x v="12"/>
    <x v="6"/>
    <x v="3"/>
    <x v="15"/>
  </r>
  <r>
    <x v="523"/>
    <x v="523"/>
    <x v="269"/>
    <x v="70"/>
    <x v="462"/>
    <x v="326"/>
    <x v="4"/>
    <x v="55"/>
    <x v="11"/>
    <x v="12"/>
    <x v="20"/>
    <x v="15"/>
    <x v="12"/>
    <x v="6"/>
    <x v="3"/>
    <x v="15"/>
  </r>
  <r>
    <x v="523"/>
    <x v="523"/>
    <x v="269"/>
    <x v="70"/>
    <x v="462"/>
    <x v="224"/>
    <x v="4"/>
    <x v="55"/>
    <x v="11"/>
    <x v="12"/>
    <x v="20"/>
    <x v="15"/>
    <x v="12"/>
    <x v="6"/>
    <x v="3"/>
    <x v="15"/>
  </r>
  <r>
    <x v="523"/>
    <x v="523"/>
    <x v="269"/>
    <x v="70"/>
    <x v="462"/>
    <x v="875"/>
    <x v="4"/>
    <x v="55"/>
    <x v="11"/>
    <x v="12"/>
    <x v="20"/>
    <x v="15"/>
    <x v="12"/>
    <x v="6"/>
    <x v="3"/>
    <x v="15"/>
  </r>
  <r>
    <x v="523"/>
    <x v="523"/>
    <x v="269"/>
    <x v="70"/>
    <x v="462"/>
    <x v="878"/>
    <x v="4"/>
    <x v="55"/>
    <x v="11"/>
    <x v="12"/>
    <x v="20"/>
    <x v="15"/>
    <x v="12"/>
    <x v="6"/>
    <x v="3"/>
    <x v="15"/>
  </r>
  <r>
    <x v="523"/>
    <x v="523"/>
    <x v="269"/>
    <x v="70"/>
    <x v="462"/>
    <x v="101"/>
    <x v="4"/>
    <x v="55"/>
    <x v="11"/>
    <x v="12"/>
    <x v="20"/>
    <x v="15"/>
    <x v="12"/>
    <x v="6"/>
    <x v="3"/>
    <x v="15"/>
  </r>
  <r>
    <x v="523"/>
    <x v="523"/>
    <x v="269"/>
    <x v="70"/>
    <x v="462"/>
    <x v="516"/>
    <x v="4"/>
    <x v="55"/>
    <x v="11"/>
    <x v="12"/>
    <x v="20"/>
    <x v="15"/>
    <x v="12"/>
    <x v="6"/>
    <x v="3"/>
    <x v="15"/>
  </r>
  <r>
    <x v="523"/>
    <x v="523"/>
    <x v="269"/>
    <x v="70"/>
    <x v="462"/>
    <x v="1091"/>
    <x v="4"/>
    <x v="55"/>
    <x v="11"/>
    <x v="12"/>
    <x v="20"/>
    <x v="15"/>
    <x v="12"/>
    <x v="6"/>
    <x v="3"/>
    <x v="15"/>
  </r>
  <r>
    <x v="523"/>
    <x v="523"/>
    <x v="269"/>
    <x v="70"/>
    <x v="462"/>
    <x v="1111"/>
    <x v="4"/>
    <x v="55"/>
    <x v="11"/>
    <x v="12"/>
    <x v="20"/>
    <x v="15"/>
    <x v="12"/>
    <x v="6"/>
    <x v="3"/>
    <x v="15"/>
  </r>
  <r>
    <x v="523"/>
    <x v="523"/>
    <x v="269"/>
    <x v="70"/>
    <x v="462"/>
    <x v="705"/>
    <x v="4"/>
    <x v="55"/>
    <x v="11"/>
    <x v="12"/>
    <x v="20"/>
    <x v="15"/>
    <x v="12"/>
    <x v="6"/>
    <x v="3"/>
    <x v="15"/>
  </r>
  <r>
    <x v="523"/>
    <x v="523"/>
    <x v="269"/>
    <x v="70"/>
    <x v="462"/>
    <x v="119"/>
    <x v="4"/>
    <x v="55"/>
    <x v="11"/>
    <x v="12"/>
    <x v="20"/>
    <x v="15"/>
    <x v="12"/>
    <x v="6"/>
    <x v="3"/>
    <x v="15"/>
  </r>
  <r>
    <x v="523"/>
    <x v="523"/>
    <x v="269"/>
    <x v="70"/>
    <x v="462"/>
    <x v="580"/>
    <x v="4"/>
    <x v="55"/>
    <x v="11"/>
    <x v="12"/>
    <x v="20"/>
    <x v="15"/>
    <x v="12"/>
    <x v="6"/>
    <x v="3"/>
    <x v="15"/>
  </r>
  <r>
    <x v="523"/>
    <x v="523"/>
    <x v="269"/>
    <x v="70"/>
    <x v="462"/>
    <x v="1570"/>
    <x v="4"/>
    <x v="55"/>
    <x v="11"/>
    <x v="12"/>
    <x v="20"/>
    <x v="15"/>
    <x v="12"/>
    <x v="6"/>
    <x v="3"/>
    <x v="15"/>
  </r>
  <r>
    <x v="523"/>
    <x v="523"/>
    <x v="269"/>
    <x v="70"/>
    <x v="462"/>
    <x v="262"/>
    <x v="4"/>
    <x v="55"/>
    <x v="11"/>
    <x v="12"/>
    <x v="20"/>
    <x v="15"/>
    <x v="12"/>
    <x v="6"/>
    <x v="3"/>
    <x v="15"/>
  </r>
  <r>
    <x v="523"/>
    <x v="523"/>
    <x v="269"/>
    <x v="70"/>
    <x v="462"/>
    <x v="49"/>
    <x v="4"/>
    <x v="55"/>
    <x v="11"/>
    <x v="12"/>
    <x v="20"/>
    <x v="15"/>
    <x v="12"/>
    <x v="6"/>
    <x v="3"/>
    <x v="15"/>
  </r>
  <r>
    <x v="523"/>
    <x v="523"/>
    <x v="269"/>
    <x v="70"/>
    <x v="462"/>
    <x v="598"/>
    <x v="4"/>
    <x v="55"/>
    <x v="11"/>
    <x v="12"/>
    <x v="20"/>
    <x v="15"/>
    <x v="12"/>
    <x v="6"/>
    <x v="3"/>
    <x v="15"/>
  </r>
  <r>
    <x v="523"/>
    <x v="523"/>
    <x v="269"/>
    <x v="70"/>
    <x v="462"/>
    <x v="100"/>
    <x v="4"/>
    <x v="55"/>
    <x v="11"/>
    <x v="12"/>
    <x v="20"/>
    <x v="15"/>
    <x v="12"/>
    <x v="6"/>
    <x v="3"/>
    <x v="15"/>
  </r>
  <r>
    <x v="523"/>
    <x v="523"/>
    <x v="269"/>
    <x v="70"/>
    <x v="462"/>
    <x v="1248"/>
    <x v="4"/>
    <x v="55"/>
    <x v="11"/>
    <x v="12"/>
    <x v="20"/>
    <x v="15"/>
    <x v="12"/>
    <x v="6"/>
    <x v="3"/>
    <x v="15"/>
  </r>
  <r>
    <x v="523"/>
    <x v="523"/>
    <x v="269"/>
    <x v="70"/>
    <x v="462"/>
    <x v="397"/>
    <x v="4"/>
    <x v="55"/>
    <x v="11"/>
    <x v="12"/>
    <x v="20"/>
    <x v="15"/>
    <x v="12"/>
    <x v="6"/>
    <x v="3"/>
    <x v="15"/>
  </r>
  <r>
    <x v="523"/>
    <x v="523"/>
    <x v="269"/>
    <x v="70"/>
    <x v="462"/>
    <x v="6"/>
    <x v="4"/>
    <x v="55"/>
    <x v="11"/>
    <x v="12"/>
    <x v="20"/>
    <x v="15"/>
    <x v="12"/>
    <x v="6"/>
    <x v="3"/>
    <x v="15"/>
  </r>
  <r>
    <x v="523"/>
    <x v="523"/>
    <x v="269"/>
    <x v="70"/>
    <x v="462"/>
    <x v="4"/>
    <x v="4"/>
    <x v="55"/>
    <x v="11"/>
    <x v="12"/>
    <x v="20"/>
    <x v="15"/>
    <x v="12"/>
    <x v="6"/>
    <x v="3"/>
    <x v="15"/>
  </r>
  <r>
    <x v="523"/>
    <x v="523"/>
    <x v="269"/>
    <x v="70"/>
    <x v="462"/>
    <x v="328"/>
    <x v="4"/>
    <x v="55"/>
    <x v="11"/>
    <x v="12"/>
    <x v="20"/>
    <x v="15"/>
    <x v="12"/>
    <x v="6"/>
    <x v="3"/>
    <x v="15"/>
  </r>
  <r>
    <x v="523"/>
    <x v="523"/>
    <x v="269"/>
    <x v="70"/>
    <x v="462"/>
    <x v="335"/>
    <x v="4"/>
    <x v="55"/>
    <x v="11"/>
    <x v="12"/>
    <x v="20"/>
    <x v="15"/>
    <x v="12"/>
    <x v="6"/>
    <x v="3"/>
    <x v="15"/>
  </r>
  <r>
    <x v="523"/>
    <x v="523"/>
    <x v="269"/>
    <x v="70"/>
    <x v="462"/>
    <x v="459"/>
    <x v="4"/>
    <x v="55"/>
    <x v="11"/>
    <x v="12"/>
    <x v="20"/>
    <x v="15"/>
    <x v="12"/>
    <x v="6"/>
    <x v="3"/>
    <x v="15"/>
  </r>
  <r>
    <x v="523"/>
    <x v="523"/>
    <x v="269"/>
    <x v="70"/>
    <x v="462"/>
    <x v="1242"/>
    <x v="4"/>
    <x v="55"/>
    <x v="11"/>
    <x v="12"/>
    <x v="20"/>
    <x v="15"/>
    <x v="12"/>
    <x v="6"/>
    <x v="3"/>
    <x v="15"/>
  </r>
  <r>
    <x v="523"/>
    <x v="523"/>
    <x v="269"/>
    <x v="70"/>
    <x v="462"/>
    <x v="995"/>
    <x v="4"/>
    <x v="55"/>
    <x v="11"/>
    <x v="12"/>
    <x v="20"/>
    <x v="15"/>
    <x v="12"/>
    <x v="6"/>
    <x v="3"/>
    <x v="15"/>
  </r>
  <r>
    <x v="523"/>
    <x v="523"/>
    <x v="269"/>
    <x v="70"/>
    <x v="462"/>
    <x v="546"/>
    <x v="4"/>
    <x v="55"/>
    <x v="11"/>
    <x v="12"/>
    <x v="20"/>
    <x v="15"/>
    <x v="12"/>
    <x v="6"/>
    <x v="3"/>
    <x v="15"/>
  </r>
  <r>
    <x v="523"/>
    <x v="523"/>
    <x v="269"/>
    <x v="70"/>
    <x v="462"/>
    <x v="1330"/>
    <x v="4"/>
    <x v="55"/>
    <x v="11"/>
    <x v="12"/>
    <x v="20"/>
    <x v="15"/>
    <x v="12"/>
    <x v="6"/>
    <x v="3"/>
    <x v="15"/>
  </r>
  <r>
    <x v="523"/>
    <x v="523"/>
    <x v="269"/>
    <x v="70"/>
    <x v="462"/>
    <x v="966"/>
    <x v="4"/>
    <x v="55"/>
    <x v="11"/>
    <x v="12"/>
    <x v="20"/>
    <x v="15"/>
    <x v="12"/>
    <x v="6"/>
    <x v="3"/>
    <x v="15"/>
  </r>
  <r>
    <x v="523"/>
    <x v="523"/>
    <x v="269"/>
    <x v="70"/>
    <x v="462"/>
    <x v="874"/>
    <x v="4"/>
    <x v="55"/>
    <x v="11"/>
    <x v="12"/>
    <x v="20"/>
    <x v="15"/>
    <x v="12"/>
    <x v="6"/>
    <x v="3"/>
    <x v="15"/>
  </r>
  <r>
    <x v="523"/>
    <x v="523"/>
    <x v="269"/>
    <x v="70"/>
    <x v="462"/>
    <x v="1022"/>
    <x v="4"/>
    <x v="55"/>
    <x v="11"/>
    <x v="12"/>
    <x v="20"/>
    <x v="15"/>
    <x v="12"/>
    <x v="6"/>
    <x v="3"/>
    <x v="15"/>
  </r>
  <r>
    <x v="523"/>
    <x v="523"/>
    <x v="269"/>
    <x v="70"/>
    <x v="462"/>
    <x v="1203"/>
    <x v="4"/>
    <x v="55"/>
    <x v="11"/>
    <x v="12"/>
    <x v="20"/>
    <x v="15"/>
    <x v="12"/>
    <x v="6"/>
    <x v="3"/>
    <x v="15"/>
  </r>
  <r>
    <x v="523"/>
    <x v="523"/>
    <x v="269"/>
    <x v="70"/>
    <x v="462"/>
    <x v="1097"/>
    <x v="4"/>
    <x v="55"/>
    <x v="11"/>
    <x v="12"/>
    <x v="20"/>
    <x v="15"/>
    <x v="12"/>
    <x v="6"/>
    <x v="3"/>
    <x v="15"/>
  </r>
  <r>
    <x v="523"/>
    <x v="523"/>
    <x v="269"/>
    <x v="70"/>
    <x v="462"/>
    <x v="110"/>
    <x v="4"/>
    <x v="55"/>
    <x v="11"/>
    <x v="12"/>
    <x v="20"/>
    <x v="15"/>
    <x v="12"/>
    <x v="6"/>
    <x v="3"/>
    <x v="15"/>
  </r>
  <r>
    <x v="523"/>
    <x v="523"/>
    <x v="269"/>
    <x v="70"/>
    <x v="462"/>
    <x v="644"/>
    <x v="4"/>
    <x v="55"/>
    <x v="11"/>
    <x v="12"/>
    <x v="20"/>
    <x v="15"/>
    <x v="12"/>
    <x v="6"/>
    <x v="3"/>
    <x v="15"/>
  </r>
  <r>
    <x v="523"/>
    <x v="523"/>
    <x v="269"/>
    <x v="70"/>
    <x v="462"/>
    <x v="1063"/>
    <x v="4"/>
    <x v="55"/>
    <x v="11"/>
    <x v="12"/>
    <x v="20"/>
    <x v="15"/>
    <x v="12"/>
    <x v="6"/>
    <x v="3"/>
    <x v="15"/>
  </r>
  <r>
    <x v="523"/>
    <x v="523"/>
    <x v="269"/>
    <x v="70"/>
    <x v="462"/>
    <x v="153"/>
    <x v="4"/>
    <x v="55"/>
    <x v="11"/>
    <x v="12"/>
    <x v="20"/>
    <x v="15"/>
    <x v="12"/>
    <x v="6"/>
    <x v="3"/>
    <x v="15"/>
  </r>
  <r>
    <x v="523"/>
    <x v="523"/>
    <x v="269"/>
    <x v="70"/>
    <x v="462"/>
    <x v="1170"/>
    <x v="4"/>
    <x v="55"/>
    <x v="11"/>
    <x v="12"/>
    <x v="20"/>
    <x v="15"/>
    <x v="12"/>
    <x v="6"/>
    <x v="3"/>
    <x v="15"/>
  </r>
  <r>
    <x v="523"/>
    <x v="523"/>
    <x v="269"/>
    <x v="70"/>
    <x v="462"/>
    <x v="862"/>
    <x v="4"/>
    <x v="55"/>
    <x v="11"/>
    <x v="12"/>
    <x v="20"/>
    <x v="15"/>
    <x v="12"/>
    <x v="6"/>
    <x v="3"/>
    <x v="15"/>
  </r>
  <r>
    <x v="523"/>
    <x v="523"/>
    <x v="269"/>
    <x v="70"/>
    <x v="462"/>
    <x v="1190"/>
    <x v="4"/>
    <x v="55"/>
    <x v="11"/>
    <x v="12"/>
    <x v="20"/>
    <x v="15"/>
    <x v="12"/>
    <x v="6"/>
    <x v="3"/>
    <x v="15"/>
  </r>
  <r>
    <x v="523"/>
    <x v="523"/>
    <x v="269"/>
    <x v="70"/>
    <x v="462"/>
    <x v="292"/>
    <x v="4"/>
    <x v="55"/>
    <x v="11"/>
    <x v="12"/>
    <x v="20"/>
    <x v="15"/>
    <x v="12"/>
    <x v="6"/>
    <x v="3"/>
    <x v="15"/>
  </r>
  <r>
    <x v="523"/>
    <x v="523"/>
    <x v="269"/>
    <x v="70"/>
    <x v="462"/>
    <x v="808"/>
    <x v="4"/>
    <x v="55"/>
    <x v="11"/>
    <x v="12"/>
    <x v="20"/>
    <x v="15"/>
    <x v="12"/>
    <x v="6"/>
    <x v="3"/>
    <x v="15"/>
  </r>
  <r>
    <x v="523"/>
    <x v="523"/>
    <x v="269"/>
    <x v="70"/>
    <x v="462"/>
    <x v="170"/>
    <x v="4"/>
    <x v="55"/>
    <x v="11"/>
    <x v="12"/>
    <x v="20"/>
    <x v="15"/>
    <x v="12"/>
    <x v="6"/>
    <x v="3"/>
    <x v="15"/>
  </r>
  <r>
    <x v="523"/>
    <x v="523"/>
    <x v="269"/>
    <x v="70"/>
    <x v="462"/>
    <x v="1559"/>
    <x v="4"/>
    <x v="55"/>
    <x v="11"/>
    <x v="12"/>
    <x v="20"/>
    <x v="15"/>
    <x v="12"/>
    <x v="6"/>
    <x v="3"/>
    <x v="15"/>
  </r>
  <r>
    <x v="523"/>
    <x v="523"/>
    <x v="269"/>
    <x v="70"/>
    <x v="462"/>
    <x v="183"/>
    <x v="4"/>
    <x v="55"/>
    <x v="11"/>
    <x v="12"/>
    <x v="20"/>
    <x v="15"/>
    <x v="12"/>
    <x v="6"/>
    <x v="3"/>
    <x v="15"/>
  </r>
  <r>
    <x v="523"/>
    <x v="523"/>
    <x v="269"/>
    <x v="70"/>
    <x v="462"/>
    <x v="65"/>
    <x v="4"/>
    <x v="55"/>
    <x v="11"/>
    <x v="12"/>
    <x v="20"/>
    <x v="15"/>
    <x v="12"/>
    <x v="6"/>
    <x v="3"/>
    <x v="15"/>
  </r>
  <r>
    <x v="523"/>
    <x v="523"/>
    <x v="269"/>
    <x v="70"/>
    <x v="462"/>
    <x v="1547"/>
    <x v="4"/>
    <x v="55"/>
    <x v="11"/>
    <x v="12"/>
    <x v="20"/>
    <x v="15"/>
    <x v="12"/>
    <x v="6"/>
    <x v="3"/>
    <x v="15"/>
  </r>
  <r>
    <x v="523"/>
    <x v="523"/>
    <x v="269"/>
    <x v="70"/>
    <x v="462"/>
    <x v="299"/>
    <x v="4"/>
    <x v="55"/>
    <x v="11"/>
    <x v="12"/>
    <x v="20"/>
    <x v="15"/>
    <x v="12"/>
    <x v="6"/>
    <x v="3"/>
    <x v="15"/>
  </r>
  <r>
    <x v="523"/>
    <x v="523"/>
    <x v="269"/>
    <x v="70"/>
    <x v="462"/>
    <x v="851"/>
    <x v="4"/>
    <x v="55"/>
    <x v="11"/>
    <x v="12"/>
    <x v="20"/>
    <x v="15"/>
    <x v="12"/>
    <x v="6"/>
    <x v="3"/>
    <x v="15"/>
  </r>
  <r>
    <x v="523"/>
    <x v="523"/>
    <x v="269"/>
    <x v="70"/>
    <x v="462"/>
    <x v="107"/>
    <x v="4"/>
    <x v="55"/>
    <x v="11"/>
    <x v="12"/>
    <x v="20"/>
    <x v="15"/>
    <x v="12"/>
    <x v="6"/>
    <x v="3"/>
    <x v="15"/>
  </r>
  <r>
    <x v="523"/>
    <x v="523"/>
    <x v="269"/>
    <x v="70"/>
    <x v="462"/>
    <x v="1558"/>
    <x v="4"/>
    <x v="55"/>
    <x v="11"/>
    <x v="12"/>
    <x v="20"/>
    <x v="15"/>
    <x v="12"/>
    <x v="6"/>
    <x v="3"/>
    <x v="15"/>
  </r>
  <r>
    <x v="523"/>
    <x v="523"/>
    <x v="269"/>
    <x v="70"/>
    <x v="462"/>
    <x v="608"/>
    <x v="4"/>
    <x v="55"/>
    <x v="11"/>
    <x v="12"/>
    <x v="20"/>
    <x v="15"/>
    <x v="12"/>
    <x v="6"/>
    <x v="3"/>
    <x v="15"/>
  </r>
  <r>
    <x v="523"/>
    <x v="523"/>
    <x v="269"/>
    <x v="70"/>
    <x v="462"/>
    <x v="75"/>
    <x v="4"/>
    <x v="55"/>
    <x v="11"/>
    <x v="12"/>
    <x v="20"/>
    <x v="15"/>
    <x v="12"/>
    <x v="6"/>
    <x v="3"/>
    <x v="15"/>
  </r>
  <r>
    <x v="523"/>
    <x v="523"/>
    <x v="269"/>
    <x v="70"/>
    <x v="462"/>
    <x v="362"/>
    <x v="4"/>
    <x v="55"/>
    <x v="11"/>
    <x v="12"/>
    <x v="20"/>
    <x v="15"/>
    <x v="12"/>
    <x v="6"/>
    <x v="3"/>
    <x v="15"/>
  </r>
  <r>
    <x v="523"/>
    <x v="523"/>
    <x v="269"/>
    <x v="70"/>
    <x v="462"/>
    <x v="130"/>
    <x v="4"/>
    <x v="55"/>
    <x v="11"/>
    <x v="12"/>
    <x v="20"/>
    <x v="15"/>
    <x v="12"/>
    <x v="6"/>
    <x v="3"/>
    <x v="15"/>
  </r>
  <r>
    <x v="523"/>
    <x v="523"/>
    <x v="269"/>
    <x v="70"/>
    <x v="462"/>
    <x v="131"/>
    <x v="4"/>
    <x v="55"/>
    <x v="11"/>
    <x v="12"/>
    <x v="20"/>
    <x v="15"/>
    <x v="12"/>
    <x v="6"/>
    <x v="3"/>
    <x v="15"/>
  </r>
  <r>
    <x v="523"/>
    <x v="523"/>
    <x v="269"/>
    <x v="70"/>
    <x v="462"/>
    <x v="903"/>
    <x v="4"/>
    <x v="55"/>
    <x v="11"/>
    <x v="12"/>
    <x v="20"/>
    <x v="15"/>
    <x v="12"/>
    <x v="6"/>
    <x v="3"/>
    <x v="15"/>
  </r>
  <r>
    <x v="523"/>
    <x v="523"/>
    <x v="269"/>
    <x v="70"/>
    <x v="462"/>
    <x v="1378"/>
    <x v="4"/>
    <x v="55"/>
    <x v="11"/>
    <x v="12"/>
    <x v="20"/>
    <x v="15"/>
    <x v="12"/>
    <x v="6"/>
    <x v="3"/>
    <x v="15"/>
  </r>
  <r>
    <x v="523"/>
    <x v="523"/>
    <x v="269"/>
    <x v="70"/>
    <x v="462"/>
    <x v="1497"/>
    <x v="4"/>
    <x v="55"/>
    <x v="11"/>
    <x v="12"/>
    <x v="20"/>
    <x v="15"/>
    <x v="12"/>
    <x v="6"/>
    <x v="3"/>
    <x v="15"/>
  </r>
  <r>
    <x v="523"/>
    <x v="523"/>
    <x v="269"/>
    <x v="70"/>
    <x v="462"/>
    <x v="1550"/>
    <x v="4"/>
    <x v="55"/>
    <x v="11"/>
    <x v="12"/>
    <x v="20"/>
    <x v="15"/>
    <x v="12"/>
    <x v="6"/>
    <x v="3"/>
    <x v="15"/>
  </r>
  <r>
    <x v="523"/>
    <x v="523"/>
    <x v="269"/>
    <x v="70"/>
    <x v="462"/>
    <x v="1058"/>
    <x v="4"/>
    <x v="55"/>
    <x v="11"/>
    <x v="12"/>
    <x v="20"/>
    <x v="15"/>
    <x v="12"/>
    <x v="6"/>
    <x v="3"/>
    <x v="15"/>
  </r>
  <r>
    <x v="523"/>
    <x v="523"/>
    <x v="269"/>
    <x v="70"/>
    <x v="462"/>
    <x v="984"/>
    <x v="4"/>
    <x v="55"/>
    <x v="11"/>
    <x v="12"/>
    <x v="20"/>
    <x v="15"/>
    <x v="12"/>
    <x v="6"/>
    <x v="3"/>
    <x v="15"/>
  </r>
  <r>
    <x v="523"/>
    <x v="523"/>
    <x v="269"/>
    <x v="70"/>
    <x v="462"/>
    <x v="949"/>
    <x v="4"/>
    <x v="55"/>
    <x v="11"/>
    <x v="12"/>
    <x v="20"/>
    <x v="15"/>
    <x v="12"/>
    <x v="6"/>
    <x v="3"/>
    <x v="15"/>
  </r>
  <r>
    <x v="523"/>
    <x v="523"/>
    <x v="269"/>
    <x v="70"/>
    <x v="462"/>
    <x v="1356"/>
    <x v="4"/>
    <x v="55"/>
    <x v="11"/>
    <x v="12"/>
    <x v="20"/>
    <x v="15"/>
    <x v="12"/>
    <x v="6"/>
    <x v="3"/>
    <x v="15"/>
  </r>
  <r>
    <x v="523"/>
    <x v="523"/>
    <x v="269"/>
    <x v="70"/>
    <x v="462"/>
    <x v="1349"/>
    <x v="4"/>
    <x v="55"/>
    <x v="11"/>
    <x v="12"/>
    <x v="20"/>
    <x v="15"/>
    <x v="12"/>
    <x v="6"/>
    <x v="3"/>
    <x v="15"/>
  </r>
  <r>
    <x v="523"/>
    <x v="523"/>
    <x v="269"/>
    <x v="70"/>
    <x v="462"/>
    <x v="39"/>
    <x v="4"/>
    <x v="55"/>
    <x v="11"/>
    <x v="12"/>
    <x v="20"/>
    <x v="15"/>
    <x v="12"/>
    <x v="6"/>
    <x v="3"/>
    <x v="15"/>
  </r>
  <r>
    <x v="523"/>
    <x v="523"/>
    <x v="269"/>
    <x v="70"/>
    <x v="462"/>
    <x v="92"/>
    <x v="4"/>
    <x v="55"/>
    <x v="11"/>
    <x v="12"/>
    <x v="20"/>
    <x v="15"/>
    <x v="12"/>
    <x v="6"/>
    <x v="3"/>
    <x v="15"/>
  </r>
  <r>
    <x v="523"/>
    <x v="523"/>
    <x v="269"/>
    <x v="70"/>
    <x v="462"/>
    <x v="1051"/>
    <x v="4"/>
    <x v="55"/>
    <x v="11"/>
    <x v="12"/>
    <x v="20"/>
    <x v="15"/>
    <x v="12"/>
    <x v="6"/>
    <x v="3"/>
    <x v="15"/>
  </r>
  <r>
    <x v="523"/>
    <x v="523"/>
    <x v="269"/>
    <x v="70"/>
    <x v="462"/>
    <x v="398"/>
    <x v="4"/>
    <x v="55"/>
    <x v="11"/>
    <x v="12"/>
    <x v="20"/>
    <x v="15"/>
    <x v="12"/>
    <x v="6"/>
    <x v="3"/>
    <x v="15"/>
  </r>
  <r>
    <x v="523"/>
    <x v="523"/>
    <x v="269"/>
    <x v="70"/>
    <x v="462"/>
    <x v="583"/>
    <x v="4"/>
    <x v="55"/>
    <x v="11"/>
    <x v="12"/>
    <x v="20"/>
    <x v="15"/>
    <x v="12"/>
    <x v="6"/>
    <x v="3"/>
    <x v="15"/>
  </r>
  <r>
    <x v="523"/>
    <x v="523"/>
    <x v="269"/>
    <x v="70"/>
    <x v="462"/>
    <x v="929"/>
    <x v="4"/>
    <x v="55"/>
    <x v="11"/>
    <x v="12"/>
    <x v="20"/>
    <x v="15"/>
    <x v="12"/>
    <x v="6"/>
    <x v="3"/>
    <x v="15"/>
  </r>
  <r>
    <x v="523"/>
    <x v="523"/>
    <x v="269"/>
    <x v="70"/>
    <x v="462"/>
    <x v="845"/>
    <x v="4"/>
    <x v="55"/>
    <x v="11"/>
    <x v="12"/>
    <x v="20"/>
    <x v="15"/>
    <x v="12"/>
    <x v="6"/>
    <x v="3"/>
    <x v="15"/>
  </r>
  <r>
    <x v="523"/>
    <x v="523"/>
    <x v="269"/>
    <x v="70"/>
    <x v="462"/>
    <x v="1057"/>
    <x v="4"/>
    <x v="55"/>
    <x v="11"/>
    <x v="12"/>
    <x v="20"/>
    <x v="15"/>
    <x v="12"/>
    <x v="6"/>
    <x v="3"/>
    <x v="15"/>
  </r>
  <r>
    <x v="523"/>
    <x v="523"/>
    <x v="269"/>
    <x v="70"/>
    <x v="462"/>
    <x v="939"/>
    <x v="4"/>
    <x v="55"/>
    <x v="11"/>
    <x v="12"/>
    <x v="20"/>
    <x v="15"/>
    <x v="12"/>
    <x v="6"/>
    <x v="3"/>
    <x v="15"/>
  </r>
  <r>
    <x v="523"/>
    <x v="523"/>
    <x v="269"/>
    <x v="70"/>
    <x v="462"/>
    <x v="115"/>
    <x v="4"/>
    <x v="55"/>
    <x v="11"/>
    <x v="12"/>
    <x v="20"/>
    <x v="15"/>
    <x v="12"/>
    <x v="6"/>
    <x v="3"/>
    <x v="15"/>
  </r>
  <r>
    <x v="523"/>
    <x v="523"/>
    <x v="269"/>
    <x v="70"/>
    <x v="462"/>
    <x v="1157"/>
    <x v="4"/>
    <x v="55"/>
    <x v="11"/>
    <x v="12"/>
    <x v="20"/>
    <x v="15"/>
    <x v="12"/>
    <x v="6"/>
    <x v="3"/>
    <x v="15"/>
  </r>
  <r>
    <x v="523"/>
    <x v="523"/>
    <x v="269"/>
    <x v="70"/>
    <x v="462"/>
    <x v="585"/>
    <x v="4"/>
    <x v="55"/>
    <x v="11"/>
    <x v="12"/>
    <x v="20"/>
    <x v="15"/>
    <x v="12"/>
    <x v="6"/>
    <x v="3"/>
    <x v="15"/>
  </r>
  <r>
    <x v="523"/>
    <x v="523"/>
    <x v="269"/>
    <x v="70"/>
    <x v="462"/>
    <x v="538"/>
    <x v="4"/>
    <x v="55"/>
    <x v="11"/>
    <x v="12"/>
    <x v="20"/>
    <x v="15"/>
    <x v="12"/>
    <x v="6"/>
    <x v="3"/>
    <x v="15"/>
  </r>
  <r>
    <x v="523"/>
    <x v="523"/>
    <x v="269"/>
    <x v="70"/>
    <x v="462"/>
    <x v="1384"/>
    <x v="4"/>
    <x v="55"/>
    <x v="11"/>
    <x v="12"/>
    <x v="20"/>
    <x v="15"/>
    <x v="12"/>
    <x v="6"/>
    <x v="3"/>
    <x v="15"/>
  </r>
  <r>
    <x v="523"/>
    <x v="523"/>
    <x v="269"/>
    <x v="70"/>
    <x v="462"/>
    <x v="443"/>
    <x v="4"/>
    <x v="55"/>
    <x v="11"/>
    <x v="12"/>
    <x v="20"/>
    <x v="15"/>
    <x v="12"/>
    <x v="6"/>
    <x v="3"/>
    <x v="15"/>
  </r>
  <r>
    <x v="523"/>
    <x v="523"/>
    <x v="269"/>
    <x v="70"/>
    <x v="462"/>
    <x v="293"/>
    <x v="4"/>
    <x v="55"/>
    <x v="11"/>
    <x v="12"/>
    <x v="20"/>
    <x v="15"/>
    <x v="12"/>
    <x v="6"/>
    <x v="3"/>
    <x v="15"/>
  </r>
  <r>
    <x v="523"/>
    <x v="523"/>
    <x v="269"/>
    <x v="70"/>
    <x v="462"/>
    <x v="158"/>
    <x v="4"/>
    <x v="55"/>
    <x v="11"/>
    <x v="12"/>
    <x v="20"/>
    <x v="15"/>
    <x v="12"/>
    <x v="6"/>
    <x v="3"/>
    <x v="15"/>
  </r>
  <r>
    <x v="523"/>
    <x v="523"/>
    <x v="269"/>
    <x v="70"/>
    <x v="462"/>
    <x v="244"/>
    <x v="4"/>
    <x v="55"/>
    <x v="11"/>
    <x v="12"/>
    <x v="20"/>
    <x v="15"/>
    <x v="12"/>
    <x v="6"/>
    <x v="3"/>
    <x v="15"/>
  </r>
  <r>
    <x v="523"/>
    <x v="523"/>
    <x v="269"/>
    <x v="70"/>
    <x v="462"/>
    <x v="1194"/>
    <x v="4"/>
    <x v="55"/>
    <x v="11"/>
    <x v="12"/>
    <x v="20"/>
    <x v="15"/>
    <x v="12"/>
    <x v="6"/>
    <x v="3"/>
    <x v="15"/>
  </r>
  <r>
    <x v="523"/>
    <x v="523"/>
    <x v="269"/>
    <x v="70"/>
    <x v="462"/>
    <x v="896"/>
    <x v="4"/>
    <x v="55"/>
    <x v="11"/>
    <x v="12"/>
    <x v="20"/>
    <x v="15"/>
    <x v="12"/>
    <x v="6"/>
    <x v="3"/>
    <x v="15"/>
  </r>
  <r>
    <x v="523"/>
    <x v="523"/>
    <x v="269"/>
    <x v="70"/>
    <x v="462"/>
    <x v="1036"/>
    <x v="4"/>
    <x v="55"/>
    <x v="11"/>
    <x v="12"/>
    <x v="20"/>
    <x v="15"/>
    <x v="12"/>
    <x v="6"/>
    <x v="3"/>
    <x v="15"/>
  </r>
  <r>
    <x v="523"/>
    <x v="523"/>
    <x v="269"/>
    <x v="70"/>
    <x v="462"/>
    <x v="752"/>
    <x v="4"/>
    <x v="55"/>
    <x v="11"/>
    <x v="12"/>
    <x v="20"/>
    <x v="15"/>
    <x v="12"/>
    <x v="6"/>
    <x v="3"/>
    <x v="15"/>
  </r>
  <r>
    <x v="523"/>
    <x v="523"/>
    <x v="269"/>
    <x v="70"/>
    <x v="462"/>
    <x v="684"/>
    <x v="4"/>
    <x v="55"/>
    <x v="11"/>
    <x v="12"/>
    <x v="20"/>
    <x v="15"/>
    <x v="12"/>
    <x v="6"/>
    <x v="3"/>
    <x v="15"/>
  </r>
  <r>
    <x v="523"/>
    <x v="523"/>
    <x v="269"/>
    <x v="70"/>
    <x v="462"/>
    <x v="700"/>
    <x v="4"/>
    <x v="55"/>
    <x v="11"/>
    <x v="12"/>
    <x v="20"/>
    <x v="15"/>
    <x v="12"/>
    <x v="6"/>
    <x v="3"/>
    <x v="15"/>
  </r>
  <r>
    <x v="523"/>
    <x v="523"/>
    <x v="269"/>
    <x v="70"/>
    <x v="462"/>
    <x v="634"/>
    <x v="4"/>
    <x v="55"/>
    <x v="11"/>
    <x v="12"/>
    <x v="20"/>
    <x v="15"/>
    <x v="12"/>
    <x v="6"/>
    <x v="3"/>
    <x v="15"/>
  </r>
  <r>
    <x v="523"/>
    <x v="523"/>
    <x v="269"/>
    <x v="70"/>
    <x v="462"/>
    <x v="1351"/>
    <x v="4"/>
    <x v="55"/>
    <x v="11"/>
    <x v="12"/>
    <x v="20"/>
    <x v="15"/>
    <x v="12"/>
    <x v="6"/>
    <x v="3"/>
    <x v="15"/>
  </r>
  <r>
    <x v="523"/>
    <x v="523"/>
    <x v="269"/>
    <x v="70"/>
    <x v="462"/>
    <x v="537"/>
    <x v="4"/>
    <x v="55"/>
    <x v="11"/>
    <x v="12"/>
    <x v="20"/>
    <x v="15"/>
    <x v="12"/>
    <x v="6"/>
    <x v="3"/>
    <x v="15"/>
  </r>
  <r>
    <x v="523"/>
    <x v="523"/>
    <x v="269"/>
    <x v="70"/>
    <x v="462"/>
    <x v="1405"/>
    <x v="4"/>
    <x v="55"/>
    <x v="11"/>
    <x v="12"/>
    <x v="20"/>
    <x v="15"/>
    <x v="12"/>
    <x v="6"/>
    <x v="3"/>
    <x v="15"/>
  </r>
  <r>
    <x v="523"/>
    <x v="523"/>
    <x v="269"/>
    <x v="70"/>
    <x v="462"/>
    <x v="124"/>
    <x v="4"/>
    <x v="55"/>
    <x v="11"/>
    <x v="12"/>
    <x v="20"/>
    <x v="15"/>
    <x v="12"/>
    <x v="6"/>
    <x v="3"/>
    <x v="15"/>
  </r>
  <r>
    <x v="523"/>
    <x v="523"/>
    <x v="269"/>
    <x v="70"/>
    <x v="462"/>
    <x v="219"/>
    <x v="4"/>
    <x v="55"/>
    <x v="11"/>
    <x v="12"/>
    <x v="20"/>
    <x v="15"/>
    <x v="12"/>
    <x v="6"/>
    <x v="3"/>
    <x v="15"/>
  </r>
  <r>
    <x v="523"/>
    <x v="523"/>
    <x v="269"/>
    <x v="70"/>
    <x v="462"/>
    <x v="57"/>
    <x v="4"/>
    <x v="55"/>
    <x v="11"/>
    <x v="12"/>
    <x v="20"/>
    <x v="15"/>
    <x v="12"/>
    <x v="6"/>
    <x v="3"/>
    <x v="15"/>
  </r>
  <r>
    <x v="523"/>
    <x v="523"/>
    <x v="269"/>
    <x v="70"/>
    <x v="462"/>
    <x v="463"/>
    <x v="4"/>
    <x v="55"/>
    <x v="11"/>
    <x v="12"/>
    <x v="20"/>
    <x v="15"/>
    <x v="12"/>
    <x v="6"/>
    <x v="3"/>
    <x v="15"/>
  </r>
  <r>
    <x v="523"/>
    <x v="523"/>
    <x v="269"/>
    <x v="70"/>
    <x v="462"/>
    <x v="384"/>
    <x v="4"/>
    <x v="55"/>
    <x v="11"/>
    <x v="12"/>
    <x v="20"/>
    <x v="15"/>
    <x v="12"/>
    <x v="6"/>
    <x v="3"/>
    <x v="15"/>
  </r>
  <r>
    <x v="523"/>
    <x v="523"/>
    <x v="269"/>
    <x v="70"/>
    <x v="462"/>
    <x v="1472"/>
    <x v="4"/>
    <x v="55"/>
    <x v="11"/>
    <x v="12"/>
    <x v="20"/>
    <x v="15"/>
    <x v="12"/>
    <x v="6"/>
    <x v="3"/>
    <x v="15"/>
  </r>
  <r>
    <x v="523"/>
    <x v="523"/>
    <x v="269"/>
    <x v="70"/>
    <x v="462"/>
    <x v="1555"/>
    <x v="4"/>
    <x v="55"/>
    <x v="11"/>
    <x v="12"/>
    <x v="20"/>
    <x v="15"/>
    <x v="12"/>
    <x v="6"/>
    <x v="3"/>
    <x v="15"/>
  </r>
  <r>
    <x v="523"/>
    <x v="523"/>
    <x v="269"/>
    <x v="70"/>
    <x v="462"/>
    <x v="647"/>
    <x v="4"/>
    <x v="55"/>
    <x v="11"/>
    <x v="12"/>
    <x v="20"/>
    <x v="15"/>
    <x v="12"/>
    <x v="6"/>
    <x v="3"/>
    <x v="15"/>
  </r>
  <r>
    <x v="523"/>
    <x v="523"/>
    <x v="269"/>
    <x v="70"/>
    <x v="462"/>
    <x v="1516"/>
    <x v="4"/>
    <x v="55"/>
    <x v="11"/>
    <x v="12"/>
    <x v="20"/>
    <x v="15"/>
    <x v="12"/>
    <x v="6"/>
    <x v="3"/>
    <x v="15"/>
  </r>
  <r>
    <x v="523"/>
    <x v="523"/>
    <x v="269"/>
    <x v="70"/>
    <x v="462"/>
    <x v="118"/>
    <x v="4"/>
    <x v="55"/>
    <x v="11"/>
    <x v="12"/>
    <x v="20"/>
    <x v="15"/>
    <x v="12"/>
    <x v="6"/>
    <x v="3"/>
    <x v="15"/>
  </r>
  <r>
    <x v="523"/>
    <x v="523"/>
    <x v="269"/>
    <x v="70"/>
    <x v="462"/>
    <x v="746"/>
    <x v="4"/>
    <x v="55"/>
    <x v="11"/>
    <x v="12"/>
    <x v="20"/>
    <x v="15"/>
    <x v="12"/>
    <x v="6"/>
    <x v="3"/>
    <x v="15"/>
  </r>
  <r>
    <x v="523"/>
    <x v="523"/>
    <x v="269"/>
    <x v="70"/>
    <x v="462"/>
    <x v="1409"/>
    <x v="4"/>
    <x v="55"/>
    <x v="11"/>
    <x v="12"/>
    <x v="20"/>
    <x v="15"/>
    <x v="12"/>
    <x v="6"/>
    <x v="3"/>
    <x v="15"/>
  </r>
  <r>
    <x v="523"/>
    <x v="523"/>
    <x v="269"/>
    <x v="70"/>
    <x v="462"/>
    <x v="980"/>
    <x v="4"/>
    <x v="55"/>
    <x v="11"/>
    <x v="12"/>
    <x v="20"/>
    <x v="15"/>
    <x v="12"/>
    <x v="6"/>
    <x v="3"/>
    <x v="15"/>
  </r>
  <r>
    <x v="523"/>
    <x v="523"/>
    <x v="269"/>
    <x v="70"/>
    <x v="462"/>
    <x v="809"/>
    <x v="4"/>
    <x v="55"/>
    <x v="11"/>
    <x v="12"/>
    <x v="20"/>
    <x v="15"/>
    <x v="12"/>
    <x v="6"/>
    <x v="3"/>
    <x v="15"/>
  </r>
  <r>
    <x v="523"/>
    <x v="523"/>
    <x v="269"/>
    <x v="70"/>
    <x v="462"/>
    <x v="207"/>
    <x v="4"/>
    <x v="55"/>
    <x v="11"/>
    <x v="12"/>
    <x v="20"/>
    <x v="15"/>
    <x v="12"/>
    <x v="6"/>
    <x v="3"/>
    <x v="15"/>
  </r>
  <r>
    <x v="523"/>
    <x v="523"/>
    <x v="269"/>
    <x v="70"/>
    <x v="462"/>
    <x v="1386"/>
    <x v="4"/>
    <x v="55"/>
    <x v="11"/>
    <x v="12"/>
    <x v="20"/>
    <x v="15"/>
    <x v="12"/>
    <x v="6"/>
    <x v="3"/>
    <x v="15"/>
  </r>
  <r>
    <x v="523"/>
    <x v="523"/>
    <x v="269"/>
    <x v="70"/>
    <x v="462"/>
    <x v="1023"/>
    <x v="4"/>
    <x v="55"/>
    <x v="11"/>
    <x v="12"/>
    <x v="20"/>
    <x v="15"/>
    <x v="12"/>
    <x v="6"/>
    <x v="3"/>
    <x v="15"/>
  </r>
  <r>
    <x v="523"/>
    <x v="523"/>
    <x v="269"/>
    <x v="70"/>
    <x v="462"/>
    <x v="1026"/>
    <x v="4"/>
    <x v="55"/>
    <x v="11"/>
    <x v="12"/>
    <x v="20"/>
    <x v="15"/>
    <x v="12"/>
    <x v="6"/>
    <x v="3"/>
    <x v="15"/>
  </r>
  <r>
    <x v="523"/>
    <x v="523"/>
    <x v="269"/>
    <x v="70"/>
    <x v="462"/>
    <x v="1219"/>
    <x v="4"/>
    <x v="55"/>
    <x v="11"/>
    <x v="12"/>
    <x v="20"/>
    <x v="15"/>
    <x v="12"/>
    <x v="6"/>
    <x v="3"/>
    <x v="15"/>
  </r>
  <r>
    <x v="523"/>
    <x v="523"/>
    <x v="269"/>
    <x v="70"/>
    <x v="462"/>
    <x v="1450"/>
    <x v="4"/>
    <x v="55"/>
    <x v="11"/>
    <x v="12"/>
    <x v="20"/>
    <x v="15"/>
    <x v="12"/>
    <x v="6"/>
    <x v="3"/>
    <x v="15"/>
  </r>
  <r>
    <x v="523"/>
    <x v="523"/>
    <x v="269"/>
    <x v="70"/>
    <x v="462"/>
    <x v="297"/>
    <x v="4"/>
    <x v="55"/>
    <x v="11"/>
    <x v="12"/>
    <x v="20"/>
    <x v="15"/>
    <x v="12"/>
    <x v="6"/>
    <x v="3"/>
    <x v="15"/>
  </r>
  <r>
    <x v="523"/>
    <x v="523"/>
    <x v="269"/>
    <x v="70"/>
    <x v="462"/>
    <x v="478"/>
    <x v="4"/>
    <x v="55"/>
    <x v="11"/>
    <x v="12"/>
    <x v="20"/>
    <x v="15"/>
    <x v="12"/>
    <x v="6"/>
    <x v="3"/>
    <x v="15"/>
  </r>
  <r>
    <x v="523"/>
    <x v="523"/>
    <x v="269"/>
    <x v="70"/>
    <x v="462"/>
    <x v="1035"/>
    <x v="4"/>
    <x v="55"/>
    <x v="11"/>
    <x v="12"/>
    <x v="20"/>
    <x v="15"/>
    <x v="12"/>
    <x v="6"/>
    <x v="3"/>
    <x v="15"/>
  </r>
  <r>
    <x v="523"/>
    <x v="523"/>
    <x v="269"/>
    <x v="70"/>
    <x v="462"/>
    <x v="1327"/>
    <x v="4"/>
    <x v="55"/>
    <x v="11"/>
    <x v="12"/>
    <x v="20"/>
    <x v="15"/>
    <x v="12"/>
    <x v="6"/>
    <x v="3"/>
    <x v="15"/>
  </r>
  <r>
    <x v="523"/>
    <x v="523"/>
    <x v="269"/>
    <x v="70"/>
    <x v="462"/>
    <x v="894"/>
    <x v="4"/>
    <x v="55"/>
    <x v="11"/>
    <x v="12"/>
    <x v="20"/>
    <x v="15"/>
    <x v="12"/>
    <x v="6"/>
    <x v="3"/>
    <x v="15"/>
  </r>
  <r>
    <x v="523"/>
    <x v="523"/>
    <x v="269"/>
    <x v="70"/>
    <x v="462"/>
    <x v="525"/>
    <x v="4"/>
    <x v="55"/>
    <x v="11"/>
    <x v="12"/>
    <x v="20"/>
    <x v="15"/>
    <x v="12"/>
    <x v="6"/>
    <x v="3"/>
    <x v="15"/>
  </r>
  <r>
    <x v="523"/>
    <x v="523"/>
    <x v="269"/>
    <x v="70"/>
    <x v="462"/>
    <x v="1557"/>
    <x v="4"/>
    <x v="55"/>
    <x v="11"/>
    <x v="12"/>
    <x v="20"/>
    <x v="15"/>
    <x v="12"/>
    <x v="6"/>
    <x v="3"/>
    <x v="15"/>
  </r>
  <r>
    <x v="523"/>
    <x v="523"/>
    <x v="269"/>
    <x v="70"/>
    <x v="462"/>
    <x v="1191"/>
    <x v="4"/>
    <x v="55"/>
    <x v="11"/>
    <x v="12"/>
    <x v="20"/>
    <x v="15"/>
    <x v="12"/>
    <x v="6"/>
    <x v="3"/>
    <x v="15"/>
  </r>
  <r>
    <x v="523"/>
    <x v="523"/>
    <x v="269"/>
    <x v="70"/>
    <x v="462"/>
    <x v="615"/>
    <x v="4"/>
    <x v="55"/>
    <x v="11"/>
    <x v="12"/>
    <x v="20"/>
    <x v="15"/>
    <x v="12"/>
    <x v="6"/>
    <x v="3"/>
    <x v="15"/>
  </r>
  <r>
    <x v="523"/>
    <x v="523"/>
    <x v="269"/>
    <x v="70"/>
    <x v="462"/>
    <x v="1455"/>
    <x v="4"/>
    <x v="55"/>
    <x v="11"/>
    <x v="12"/>
    <x v="20"/>
    <x v="15"/>
    <x v="12"/>
    <x v="6"/>
    <x v="3"/>
    <x v="15"/>
  </r>
  <r>
    <x v="523"/>
    <x v="523"/>
    <x v="269"/>
    <x v="70"/>
    <x v="462"/>
    <x v="230"/>
    <x v="4"/>
    <x v="55"/>
    <x v="11"/>
    <x v="12"/>
    <x v="20"/>
    <x v="15"/>
    <x v="12"/>
    <x v="6"/>
    <x v="3"/>
    <x v="15"/>
  </r>
  <r>
    <x v="523"/>
    <x v="523"/>
    <x v="269"/>
    <x v="70"/>
    <x v="462"/>
    <x v="498"/>
    <x v="4"/>
    <x v="55"/>
    <x v="11"/>
    <x v="12"/>
    <x v="20"/>
    <x v="15"/>
    <x v="12"/>
    <x v="6"/>
    <x v="3"/>
    <x v="15"/>
  </r>
  <r>
    <x v="523"/>
    <x v="523"/>
    <x v="269"/>
    <x v="70"/>
    <x v="462"/>
    <x v="239"/>
    <x v="4"/>
    <x v="55"/>
    <x v="11"/>
    <x v="12"/>
    <x v="20"/>
    <x v="15"/>
    <x v="12"/>
    <x v="6"/>
    <x v="3"/>
    <x v="15"/>
  </r>
  <r>
    <x v="523"/>
    <x v="523"/>
    <x v="269"/>
    <x v="70"/>
    <x v="462"/>
    <x v="505"/>
    <x v="4"/>
    <x v="55"/>
    <x v="11"/>
    <x v="12"/>
    <x v="20"/>
    <x v="15"/>
    <x v="12"/>
    <x v="6"/>
    <x v="3"/>
    <x v="15"/>
  </r>
  <r>
    <x v="523"/>
    <x v="523"/>
    <x v="269"/>
    <x v="70"/>
    <x v="462"/>
    <x v="482"/>
    <x v="4"/>
    <x v="55"/>
    <x v="11"/>
    <x v="12"/>
    <x v="20"/>
    <x v="15"/>
    <x v="12"/>
    <x v="6"/>
    <x v="3"/>
    <x v="15"/>
  </r>
  <r>
    <x v="523"/>
    <x v="523"/>
    <x v="269"/>
    <x v="70"/>
    <x v="462"/>
    <x v="671"/>
    <x v="4"/>
    <x v="55"/>
    <x v="11"/>
    <x v="12"/>
    <x v="20"/>
    <x v="15"/>
    <x v="12"/>
    <x v="6"/>
    <x v="3"/>
    <x v="15"/>
  </r>
  <r>
    <x v="523"/>
    <x v="523"/>
    <x v="269"/>
    <x v="70"/>
    <x v="462"/>
    <x v="773"/>
    <x v="4"/>
    <x v="55"/>
    <x v="11"/>
    <x v="12"/>
    <x v="20"/>
    <x v="15"/>
    <x v="12"/>
    <x v="6"/>
    <x v="3"/>
    <x v="15"/>
  </r>
  <r>
    <x v="523"/>
    <x v="523"/>
    <x v="269"/>
    <x v="70"/>
    <x v="462"/>
    <x v="678"/>
    <x v="4"/>
    <x v="55"/>
    <x v="11"/>
    <x v="12"/>
    <x v="20"/>
    <x v="15"/>
    <x v="12"/>
    <x v="6"/>
    <x v="3"/>
    <x v="15"/>
  </r>
  <r>
    <x v="523"/>
    <x v="523"/>
    <x v="269"/>
    <x v="70"/>
    <x v="462"/>
    <x v="761"/>
    <x v="4"/>
    <x v="55"/>
    <x v="11"/>
    <x v="12"/>
    <x v="20"/>
    <x v="15"/>
    <x v="12"/>
    <x v="6"/>
    <x v="3"/>
    <x v="15"/>
  </r>
  <r>
    <x v="523"/>
    <x v="523"/>
    <x v="269"/>
    <x v="70"/>
    <x v="462"/>
    <x v="1421"/>
    <x v="4"/>
    <x v="55"/>
    <x v="11"/>
    <x v="12"/>
    <x v="20"/>
    <x v="15"/>
    <x v="12"/>
    <x v="6"/>
    <x v="3"/>
    <x v="15"/>
  </r>
  <r>
    <x v="523"/>
    <x v="523"/>
    <x v="269"/>
    <x v="70"/>
    <x v="462"/>
    <x v="1077"/>
    <x v="4"/>
    <x v="55"/>
    <x v="11"/>
    <x v="12"/>
    <x v="20"/>
    <x v="15"/>
    <x v="12"/>
    <x v="6"/>
    <x v="3"/>
    <x v="15"/>
  </r>
  <r>
    <x v="523"/>
    <x v="523"/>
    <x v="269"/>
    <x v="70"/>
    <x v="462"/>
    <x v="725"/>
    <x v="4"/>
    <x v="55"/>
    <x v="11"/>
    <x v="12"/>
    <x v="20"/>
    <x v="15"/>
    <x v="12"/>
    <x v="6"/>
    <x v="3"/>
    <x v="15"/>
  </r>
  <r>
    <x v="523"/>
    <x v="523"/>
    <x v="269"/>
    <x v="70"/>
    <x v="462"/>
    <x v="282"/>
    <x v="4"/>
    <x v="55"/>
    <x v="11"/>
    <x v="12"/>
    <x v="20"/>
    <x v="15"/>
    <x v="12"/>
    <x v="6"/>
    <x v="3"/>
    <x v="15"/>
  </r>
  <r>
    <x v="523"/>
    <x v="523"/>
    <x v="269"/>
    <x v="70"/>
    <x v="462"/>
    <x v="1094"/>
    <x v="4"/>
    <x v="55"/>
    <x v="11"/>
    <x v="12"/>
    <x v="20"/>
    <x v="15"/>
    <x v="12"/>
    <x v="6"/>
    <x v="3"/>
    <x v="15"/>
  </r>
  <r>
    <x v="523"/>
    <x v="523"/>
    <x v="269"/>
    <x v="70"/>
    <x v="462"/>
    <x v="250"/>
    <x v="4"/>
    <x v="55"/>
    <x v="11"/>
    <x v="12"/>
    <x v="20"/>
    <x v="15"/>
    <x v="12"/>
    <x v="6"/>
    <x v="3"/>
    <x v="15"/>
  </r>
  <r>
    <x v="523"/>
    <x v="523"/>
    <x v="269"/>
    <x v="70"/>
    <x v="462"/>
    <x v="456"/>
    <x v="4"/>
    <x v="55"/>
    <x v="11"/>
    <x v="12"/>
    <x v="20"/>
    <x v="15"/>
    <x v="12"/>
    <x v="6"/>
    <x v="3"/>
    <x v="15"/>
  </r>
  <r>
    <x v="523"/>
    <x v="523"/>
    <x v="269"/>
    <x v="70"/>
    <x v="462"/>
    <x v="1505"/>
    <x v="4"/>
    <x v="55"/>
    <x v="11"/>
    <x v="12"/>
    <x v="20"/>
    <x v="15"/>
    <x v="12"/>
    <x v="6"/>
    <x v="3"/>
    <x v="15"/>
  </r>
  <r>
    <x v="523"/>
    <x v="523"/>
    <x v="269"/>
    <x v="70"/>
    <x v="462"/>
    <x v="178"/>
    <x v="4"/>
    <x v="55"/>
    <x v="11"/>
    <x v="12"/>
    <x v="20"/>
    <x v="15"/>
    <x v="12"/>
    <x v="6"/>
    <x v="3"/>
    <x v="15"/>
  </r>
  <r>
    <x v="523"/>
    <x v="523"/>
    <x v="269"/>
    <x v="70"/>
    <x v="462"/>
    <x v="1213"/>
    <x v="4"/>
    <x v="55"/>
    <x v="11"/>
    <x v="12"/>
    <x v="20"/>
    <x v="15"/>
    <x v="12"/>
    <x v="6"/>
    <x v="3"/>
    <x v="15"/>
  </r>
  <r>
    <x v="523"/>
    <x v="523"/>
    <x v="269"/>
    <x v="70"/>
    <x v="462"/>
    <x v="392"/>
    <x v="4"/>
    <x v="55"/>
    <x v="11"/>
    <x v="12"/>
    <x v="20"/>
    <x v="15"/>
    <x v="12"/>
    <x v="6"/>
    <x v="3"/>
    <x v="15"/>
  </r>
  <r>
    <x v="523"/>
    <x v="523"/>
    <x v="269"/>
    <x v="70"/>
    <x v="462"/>
    <x v="102"/>
    <x v="4"/>
    <x v="55"/>
    <x v="11"/>
    <x v="12"/>
    <x v="20"/>
    <x v="15"/>
    <x v="12"/>
    <x v="6"/>
    <x v="3"/>
    <x v="15"/>
  </r>
  <r>
    <x v="523"/>
    <x v="523"/>
    <x v="269"/>
    <x v="70"/>
    <x v="462"/>
    <x v="704"/>
    <x v="4"/>
    <x v="55"/>
    <x v="11"/>
    <x v="12"/>
    <x v="20"/>
    <x v="15"/>
    <x v="12"/>
    <x v="6"/>
    <x v="3"/>
    <x v="15"/>
  </r>
  <r>
    <x v="523"/>
    <x v="523"/>
    <x v="269"/>
    <x v="70"/>
    <x v="462"/>
    <x v="1513"/>
    <x v="4"/>
    <x v="55"/>
    <x v="11"/>
    <x v="12"/>
    <x v="20"/>
    <x v="15"/>
    <x v="12"/>
    <x v="6"/>
    <x v="3"/>
    <x v="15"/>
  </r>
  <r>
    <x v="523"/>
    <x v="523"/>
    <x v="269"/>
    <x v="70"/>
    <x v="462"/>
    <x v="469"/>
    <x v="4"/>
    <x v="55"/>
    <x v="11"/>
    <x v="12"/>
    <x v="20"/>
    <x v="15"/>
    <x v="12"/>
    <x v="6"/>
    <x v="3"/>
    <x v="15"/>
  </r>
  <r>
    <x v="523"/>
    <x v="523"/>
    <x v="269"/>
    <x v="70"/>
    <x v="462"/>
    <x v="1543"/>
    <x v="4"/>
    <x v="55"/>
    <x v="11"/>
    <x v="12"/>
    <x v="20"/>
    <x v="15"/>
    <x v="12"/>
    <x v="6"/>
    <x v="3"/>
    <x v="15"/>
  </r>
  <r>
    <x v="523"/>
    <x v="523"/>
    <x v="269"/>
    <x v="70"/>
    <x v="462"/>
    <x v="365"/>
    <x v="4"/>
    <x v="55"/>
    <x v="11"/>
    <x v="12"/>
    <x v="20"/>
    <x v="15"/>
    <x v="12"/>
    <x v="6"/>
    <x v="3"/>
    <x v="15"/>
  </r>
  <r>
    <x v="523"/>
    <x v="523"/>
    <x v="269"/>
    <x v="70"/>
    <x v="462"/>
    <x v="689"/>
    <x v="4"/>
    <x v="55"/>
    <x v="11"/>
    <x v="12"/>
    <x v="20"/>
    <x v="15"/>
    <x v="12"/>
    <x v="6"/>
    <x v="3"/>
    <x v="15"/>
  </r>
  <r>
    <x v="523"/>
    <x v="523"/>
    <x v="269"/>
    <x v="70"/>
    <x v="462"/>
    <x v="1263"/>
    <x v="4"/>
    <x v="55"/>
    <x v="11"/>
    <x v="12"/>
    <x v="20"/>
    <x v="15"/>
    <x v="12"/>
    <x v="6"/>
    <x v="3"/>
    <x v="15"/>
  </r>
  <r>
    <x v="523"/>
    <x v="523"/>
    <x v="269"/>
    <x v="70"/>
    <x v="462"/>
    <x v="1500"/>
    <x v="4"/>
    <x v="55"/>
    <x v="11"/>
    <x v="12"/>
    <x v="20"/>
    <x v="15"/>
    <x v="12"/>
    <x v="6"/>
    <x v="3"/>
    <x v="15"/>
  </r>
  <r>
    <x v="523"/>
    <x v="523"/>
    <x v="269"/>
    <x v="70"/>
    <x v="462"/>
    <x v="646"/>
    <x v="4"/>
    <x v="55"/>
    <x v="11"/>
    <x v="12"/>
    <x v="20"/>
    <x v="15"/>
    <x v="12"/>
    <x v="6"/>
    <x v="3"/>
    <x v="15"/>
  </r>
  <r>
    <x v="523"/>
    <x v="523"/>
    <x v="269"/>
    <x v="70"/>
    <x v="462"/>
    <x v="252"/>
    <x v="4"/>
    <x v="55"/>
    <x v="11"/>
    <x v="12"/>
    <x v="20"/>
    <x v="15"/>
    <x v="12"/>
    <x v="6"/>
    <x v="3"/>
    <x v="15"/>
  </r>
  <r>
    <x v="523"/>
    <x v="523"/>
    <x v="269"/>
    <x v="70"/>
    <x v="462"/>
    <x v="305"/>
    <x v="4"/>
    <x v="55"/>
    <x v="11"/>
    <x v="12"/>
    <x v="20"/>
    <x v="15"/>
    <x v="12"/>
    <x v="6"/>
    <x v="3"/>
    <x v="15"/>
  </r>
  <r>
    <x v="523"/>
    <x v="523"/>
    <x v="269"/>
    <x v="70"/>
    <x v="462"/>
    <x v="568"/>
    <x v="4"/>
    <x v="55"/>
    <x v="11"/>
    <x v="12"/>
    <x v="20"/>
    <x v="15"/>
    <x v="12"/>
    <x v="6"/>
    <x v="3"/>
    <x v="15"/>
  </r>
  <r>
    <x v="523"/>
    <x v="523"/>
    <x v="269"/>
    <x v="70"/>
    <x v="462"/>
    <x v="859"/>
    <x v="4"/>
    <x v="55"/>
    <x v="11"/>
    <x v="12"/>
    <x v="20"/>
    <x v="15"/>
    <x v="12"/>
    <x v="6"/>
    <x v="3"/>
    <x v="15"/>
  </r>
  <r>
    <x v="523"/>
    <x v="523"/>
    <x v="269"/>
    <x v="70"/>
    <x v="462"/>
    <x v="202"/>
    <x v="4"/>
    <x v="55"/>
    <x v="11"/>
    <x v="12"/>
    <x v="20"/>
    <x v="15"/>
    <x v="12"/>
    <x v="6"/>
    <x v="3"/>
    <x v="15"/>
  </r>
  <r>
    <x v="523"/>
    <x v="523"/>
    <x v="269"/>
    <x v="70"/>
    <x v="462"/>
    <x v="542"/>
    <x v="4"/>
    <x v="55"/>
    <x v="11"/>
    <x v="12"/>
    <x v="20"/>
    <x v="15"/>
    <x v="12"/>
    <x v="6"/>
    <x v="3"/>
    <x v="15"/>
  </r>
  <r>
    <x v="523"/>
    <x v="523"/>
    <x v="269"/>
    <x v="70"/>
    <x v="462"/>
    <x v="856"/>
    <x v="4"/>
    <x v="55"/>
    <x v="11"/>
    <x v="12"/>
    <x v="20"/>
    <x v="15"/>
    <x v="12"/>
    <x v="6"/>
    <x v="3"/>
    <x v="15"/>
  </r>
  <r>
    <x v="523"/>
    <x v="523"/>
    <x v="269"/>
    <x v="70"/>
    <x v="462"/>
    <x v="1260"/>
    <x v="4"/>
    <x v="55"/>
    <x v="11"/>
    <x v="12"/>
    <x v="20"/>
    <x v="15"/>
    <x v="12"/>
    <x v="6"/>
    <x v="3"/>
    <x v="15"/>
  </r>
  <r>
    <x v="523"/>
    <x v="523"/>
    <x v="269"/>
    <x v="70"/>
    <x v="462"/>
    <x v="1539"/>
    <x v="4"/>
    <x v="55"/>
    <x v="11"/>
    <x v="12"/>
    <x v="20"/>
    <x v="15"/>
    <x v="12"/>
    <x v="6"/>
    <x v="3"/>
    <x v="15"/>
  </r>
  <r>
    <x v="523"/>
    <x v="523"/>
    <x v="269"/>
    <x v="70"/>
    <x v="462"/>
    <x v="272"/>
    <x v="4"/>
    <x v="55"/>
    <x v="11"/>
    <x v="12"/>
    <x v="20"/>
    <x v="15"/>
    <x v="12"/>
    <x v="6"/>
    <x v="3"/>
    <x v="15"/>
  </r>
  <r>
    <x v="523"/>
    <x v="523"/>
    <x v="269"/>
    <x v="70"/>
    <x v="462"/>
    <x v="246"/>
    <x v="4"/>
    <x v="55"/>
    <x v="11"/>
    <x v="12"/>
    <x v="20"/>
    <x v="15"/>
    <x v="12"/>
    <x v="6"/>
    <x v="3"/>
    <x v="15"/>
  </r>
  <r>
    <x v="523"/>
    <x v="523"/>
    <x v="269"/>
    <x v="70"/>
    <x v="462"/>
    <x v="1310"/>
    <x v="4"/>
    <x v="55"/>
    <x v="11"/>
    <x v="12"/>
    <x v="20"/>
    <x v="15"/>
    <x v="12"/>
    <x v="6"/>
    <x v="3"/>
    <x v="15"/>
  </r>
  <r>
    <x v="523"/>
    <x v="523"/>
    <x v="269"/>
    <x v="70"/>
    <x v="462"/>
    <x v="630"/>
    <x v="4"/>
    <x v="55"/>
    <x v="11"/>
    <x v="12"/>
    <x v="20"/>
    <x v="15"/>
    <x v="12"/>
    <x v="6"/>
    <x v="3"/>
    <x v="15"/>
  </r>
  <r>
    <x v="523"/>
    <x v="523"/>
    <x v="269"/>
    <x v="70"/>
    <x v="462"/>
    <x v="1154"/>
    <x v="4"/>
    <x v="55"/>
    <x v="11"/>
    <x v="12"/>
    <x v="20"/>
    <x v="15"/>
    <x v="12"/>
    <x v="6"/>
    <x v="3"/>
    <x v="15"/>
  </r>
  <r>
    <x v="523"/>
    <x v="523"/>
    <x v="269"/>
    <x v="70"/>
    <x v="462"/>
    <x v="564"/>
    <x v="4"/>
    <x v="55"/>
    <x v="11"/>
    <x v="12"/>
    <x v="20"/>
    <x v="15"/>
    <x v="12"/>
    <x v="6"/>
    <x v="3"/>
    <x v="15"/>
  </r>
  <r>
    <x v="523"/>
    <x v="523"/>
    <x v="269"/>
    <x v="70"/>
    <x v="462"/>
    <x v="717"/>
    <x v="4"/>
    <x v="55"/>
    <x v="11"/>
    <x v="12"/>
    <x v="20"/>
    <x v="15"/>
    <x v="12"/>
    <x v="6"/>
    <x v="3"/>
    <x v="15"/>
  </r>
  <r>
    <x v="523"/>
    <x v="523"/>
    <x v="269"/>
    <x v="70"/>
    <x v="462"/>
    <x v="316"/>
    <x v="4"/>
    <x v="55"/>
    <x v="11"/>
    <x v="12"/>
    <x v="20"/>
    <x v="15"/>
    <x v="12"/>
    <x v="6"/>
    <x v="3"/>
    <x v="15"/>
  </r>
  <r>
    <x v="523"/>
    <x v="523"/>
    <x v="269"/>
    <x v="70"/>
    <x v="462"/>
    <x v="788"/>
    <x v="4"/>
    <x v="55"/>
    <x v="11"/>
    <x v="12"/>
    <x v="20"/>
    <x v="15"/>
    <x v="12"/>
    <x v="6"/>
    <x v="3"/>
    <x v="15"/>
  </r>
  <r>
    <x v="523"/>
    <x v="523"/>
    <x v="269"/>
    <x v="70"/>
    <x v="462"/>
    <x v="971"/>
    <x v="4"/>
    <x v="55"/>
    <x v="11"/>
    <x v="12"/>
    <x v="20"/>
    <x v="15"/>
    <x v="12"/>
    <x v="6"/>
    <x v="3"/>
    <x v="15"/>
  </r>
  <r>
    <x v="523"/>
    <x v="523"/>
    <x v="269"/>
    <x v="70"/>
    <x v="462"/>
    <x v="323"/>
    <x v="4"/>
    <x v="55"/>
    <x v="11"/>
    <x v="12"/>
    <x v="20"/>
    <x v="15"/>
    <x v="12"/>
    <x v="6"/>
    <x v="3"/>
    <x v="15"/>
  </r>
  <r>
    <x v="523"/>
    <x v="523"/>
    <x v="269"/>
    <x v="70"/>
    <x v="462"/>
    <x v="1112"/>
    <x v="4"/>
    <x v="55"/>
    <x v="11"/>
    <x v="12"/>
    <x v="20"/>
    <x v="15"/>
    <x v="12"/>
    <x v="6"/>
    <x v="3"/>
    <x v="15"/>
  </r>
  <r>
    <x v="523"/>
    <x v="523"/>
    <x v="269"/>
    <x v="70"/>
    <x v="462"/>
    <x v="1361"/>
    <x v="4"/>
    <x v="55"/>
    <x v="11"/>
    <x v="12"/>
    <x v="20"/>
    <x v="15"/>
    <x v="12"/>
    <x v="6"/>
    <x v="3"/>
    <x v="15"/>
  </r>
  <r>
    <x v="523"/>
    <x v="523"/>
    <x v="269"/>
    <x v="70"/>
    <x v="462"/>
    <x v="451"/>
    <x v="4"/>
    <x v="55"/>
    <x v="11"/>
    <x v="12"/>
    <x v="20"/>
    <x v="15"/>
    <x v="12"/>
    <x v="6"/>
    <x v="3"/>
    <x v="15"/>
  </r>
  <r>
    <x v="523"/>
    <x v="523"/>
    <x v="269"/>
    <x v="70"/>
    <x v="462"/>
    <x v="1306"/>
    <x v="4"/>
    <x v="55"/>
    <x v="11"/>
    <x v="12"/>
    <x v="20"/>
    <x v="15"/>
    <x v="12"/>
    <x v="6"/>
    <x v="3"/>
    <x v="15"/>
  </r>
  <r>
    <x v="523"/>
    <x v="523"/>
    <x v="269"/>
    <x v="70"/>
    <x v="462"/>
    <x v="1069"/>
    <x v="4"/>
    <x v="55"/>
    <x v="11"/>
    <x v="12"/>
    <x v="20"/>
    <x v="15"/>
    <x v="12"/>
    <x v="6"/>
    <x v="3"/>
    <x v="15"/>
  </r>
  <r>
    <x v="523"/>
    <x v="523"/>
    <x v="269"/>
    <x v="70"/>
    <x v="462"/>
    <x v="274"/>
    <x v="4"/>
    <x v="55"/>
    <x v="11"/>
    <x v="12"/>
    <x v="20"/>
    <x v="15"/>
    <x v="12"/>
    <x v="6"/>
    <x v="3"/>
    <x v="15"/>
  </r>
  <r>
    <x v="523"/>
    <x v="523"/>
    <x v="269"/>
    <x v="70"/>
    <x v="462"/>
    <x v="1283"/>
    <x v="4"/>
    <x v="55"/>
    <x v="11"/>
    <x v="12"/>
    <x v="20"/>
    <x v="15"/>
    <x v="12"/>
    <x v="6"/>
    <x v="3"/>
    <x v="15"/>
  </r>
  <r>
    <x v="523"/>
    <x v="523"/>
    <x v="269"/>
    <x v="70"/>
    <x v="462"/>
    <x v="1244"/>
    <x v="4"/>
    <x v="55"/>
    <x v="11"/>
    <x v="12"/>
    <x v="20"/>
    <x v="15"/>
    <x v="12"/>
    <x v="6"/>
    <x v="3"/>
    <x v="15"/>
  </r>
  <r>
    <x v="523"/>
    <x v="523"/>
    <x v="269"/>
    <x v="70"/>
    <x v="462"/>
    <x v="513"/>
    <x v="4"/>
    <x v="55"/>
    <x v="11"/>
    <x v="12"/>
    <x v="20"/>
    <x v="15"/>
    <x v="12"/>
    <x v="6"/>
    <x v="3"/>
    <x v="15"/>
  </r>
  <r>
    <x v="523"/>
    <x v="523"/>
    <x v="269"/>
    <x v="70"/>
    <x v="462"/>
    <x v="1406"/>
    <x v="4"/>
    <x v="55"/>
    <x v="11"/>
    <x v="12"/>
    <x v="20"/>
    <x v="15"/>
    <x v="12"/>
    <x v="6"/>
    <x v="3"/>
    <x v="15"/>
  </r>
  <r>
    <x v="523"/>
    <x v="523"/>
    <x v="269"/>
    <x v="70"/>
    <x v="462"/>
    <x v="1391"/>
    <x v="4"/>
    <x v="55"/>
    <x v="11"/>
    <x v="12"/>
    <x v="20"/>
    <x v="15"/>
    <x v="12"/>
    <x v="6"/>
    <x v="3"/>
    <x v="15"/>
  </r>
  <r>
    <x v="523"/>
    <x v="523"/>
    <x v="269"/>
    <x v="70"/>
    <x v="462"/>
    <x v="144"/>
    <x v="4"/>
    <x v="55"/>
    <x v="11"/>
    <x v="12"/>
    <x v="20"/>
    <x v="15"/>
    <x v="12"/>
    <x v="6"/>
    <x v="3"/>
    <x v="15"/>
  </r>
  <r>
    <x v="523"/>
    <x v="523"/>
    <x v="269"/>
    <x v="70"/>
    <x v="462"/>
    <x v="760"/>
    <x v="4"/>
    <x v="55"/>
    <x v="11"/>
    <x v="12"/>
    <x v="20"/>
    <x v="15"/>
    <x v="12"/>
    <x v="6"/>
    <x v="3"/>
    <x v="15"/>
  </r>
  <r>
    <x v="523"/>
    <x v="523"/>
    <x v="269"/>
    <x v="70"/>
    <x v="462"/>
    <x v="1119"/>
    <x v="4"/>
    <x v="55"/>
    <x v="11"/>
    <x v="12"/>
    <x v="20"/>
    <x v="15"/>
    <x v="12"/>
    <x v="6"/>
    <x v="3"/>
    <x v="15"/>
  </r>
  <r>
    <x v="523"/>
    <x v="523"/>
    <x v="269"/>
    <x v="70"/>
    <x v="462"/>
    <x v="1462"/>
    <x v="4"/>
    <x v="55"/>
    <x v="11"/>
    <x v="12"/>
    <x v="20"/>
    <x v="15"/>
    <x v="12"/>
    <x v="6"/>
    <x v="3"/>
    <x v="15"/>
  </r>
  <r>
    <x v="523"/>
    <x v="523"/>
    <x v="269"/>
    <x v="70"/>
    <x v="462"/>
    <x v="897"/>
    <x v="4"/>
    <x v="55"/>
    <x v="11"/>
    <x v="12"/>
    <x v="20"/>
    <x v="15"/>
    <x v="12"/>
    <x v="6"/>
    <x v="3"/>
    <x v="15"/>
  </r>
  <r>
    <x v="523"/>
    <x v="523"/>
    <x v="269"/>
    <x v="70"/>
    <x v="462"/>
    <x v="117"/>
    <x v="4"/>
    <x v="55"/>
    <x v="11"/>
    <x v="12"/>
    <x v="20"/>
    <x v="15"/>
    <x v="12"/>
    <x v="6"/>
    <x v="3"/>
    <x v="15"/>
  </r>
  <r>
    <x v="523"/>
    <x v="523"/>
    <x v="269"/>
    <x v="70"/>
    <x v="462"/>
    <x v="1065"/>
    <x v="4"/>
    <x v="55"/>
    <x v="11"/>
    <x v="12"/>
    <x v="20"/>
    <x v="15"/>
    <x v="12"/>
    <x v="6"/>
    <x v="3"/>
    <x v="15"/>
  </r>
  <r>
    <x v="523"/>
    <x v="523"/>
    <x v="269"/>
    <x v="70"/>
    <x v="462"/>
    <x v="1245"/>
    <x v="4"/>
    <x v="55"/>
    <x v="11"/>
    <x v="12"/>
    <x v="20"/>
    <x v="15"/>
    <x v="12"/>
    <x v="6"/>
    <x v="3"/>
    <x v="15"/>
  </r>
  <r>
    <x v="523"/>
    <x v="523"/>
    <x v="269"/>
    <x v="70"/>
    <x v="462"/>
    <x v="1494"/>
    <x v="4"/>
    <x v="55"/>
    <x v="11"/>
    <x v="12"/>
    <x v="20"/>
    <x v="15"/>
    <x v="12"/>
    <x v="6"/>
    <x v="3"/>
    <x v="15"/>
  </r>
  <r>
    <x v="523"/>
    <x v="523"/>
    <x v="269"/>
    <x v="70"/>
    <x v="462"/>
    <x v="1504"/>
    <x v="4"/>
    <x v="55"/>
    <x v="11"/>
    <x v="12"/>
    <x v="20"/>
    <x v="15"/>
    <x v="12"/>
    <x v="6"/>
    <x v="3"/>
    <x v="15"/>
  </r>
  <r>
    <x v="523"/>
    <x v="523"/>
    <x v="269"/>
    <x v="70"/>
    <x v="462"/>
    <x v="1247"/>
    <x v="4"/>
    <x v="55"/>
    <x v="11"/>
    <x v="12"/>
    <x v="20"/>
    <x v="15"/>
    <x v="12"/>
    <x v="6"/>
    <x v="3"/>
    <x v="15"/>
  </r>
  <r>
    <x v="523"/>
    <x v="523"/>
    <x v="269"/>
    <x v="70"/>
    <x v="462"/>
    <x v="1425"/>
    <x v="4"/>
    <x v="55"/>
    <x v="11"/>
    <x v="12"/>
    <x v="20"/>
    <x v="15"/>
    <x v="12"/>
    <x v="6"/>
    <x v="3"/>
    <x v="15"/>
  </r>
  <r>
    <x v="523"/>
    <x v="523"/>
    <x v="269"/>
    <x v="70"/>
    <x v="462"/>
    <x v="60"/>
    <x v="4"/>
    <x v="55"/>
    <x v="11"/>
    <x v="12"/>
    <x v="20"/>
    <x v="15"/>
    <x v="12"/>
    <x v="6"/>
    <x v="3"/>
    <x v="15"/>
  </r>
  <r>
    <x v="523"/>
    <x v="523"/>
    <x v="269"/>
    <x v="70"/>
    <x v="462"/>
    <x v="232"/>
    <x v="4"/>
    <x v="55"/>
    <x v="11"/>
    <x v="12"/>
    <x v="20"/>
    <x v="15"/>
    <x v="12"/>
    <x v="6"/>
    <x v="3"/>
    <x v="15"/>
  </r>
  <r>
    <x v="523"/>
    <x v="523"/>
    <x v="269"/>
    <x v="70"/>
    <x v="462"/>
    <x v="1084"/>
    <x v="4"/>
    <x v="55"/>
    <x v="11"/>
    <x v="12"/>
    <x v="20"/>
    <x v="15"/>
    <x v="12"/>
    <x v="6"/>
    <x v="3"/>
    <x v="15"/>
  </r>
  <r>
    <x v="523"/>
    <x v="523"/>
    <x v="269"/>
    <x v="70"/>
    <x v="462"/>
    <x v="1226"/>
    <x v="4"/>
    <x v="55"/>
    <x v="11"/>
    <x v="12"/>
    <x v="20"/>
    <x v="15"/>
    <x v="12"/>
    <x v="6"/>
    <x v="3"/>
    <x v="15"/>
  </r>
  <r>
    <x v="523"/>
    <x v="523"/>
    <x v="269"/>
    <x v="70"/>
    <x v="462"/>
    <x v="1083"/>
    <x v="4"/>
    <x v="55"/>
    <x v="11"/>
    <x v="12"/>
    <x v="20"/>
    <x v="15"/>
    <x v="12"/>
    <x v="6"/>
    <x v="3"/>
    <x v="15"/>
  </r>
  <r>
    <x v="523"/>
    <x v="523"/>
    <x v="269"/>
    <x v="70"/>
    <x v="462"/>
    <x v="737"/>
    <x v="4"/>
    <x v="55"/>
    <x v="11"/>
    <x v="12"/>
    <x v="20"/>
    <x v="15"/>
    <x v="12"/>
    <x v="6"/>
    <x v="3"/>
    <x v="15"/>
  </r>
  <r>
    <x v="523"/>
    <x v="523"/>
    <x v="269"/>
    <x v="70"/>
    <x v="462"/>
    <x v="41"/>
    <x v="4"/>
    <x v="55"/>
    <x v="11"/>
    <x v="12"/>
    <x v="20"/>
    <x v="15"/>
    <x v="12"/>
    <x v="6"/>
    <x v="3"/>
    <x v="15"/>
  </r>
  <r>
    <x v="523"/>
    <x v="523"/>
    <x v="269"/>
    <x v="70"/>
    <x v="462"/>
    <x v="177"/>
    <x v="4"/>
    <x v="55"/>
    <x v="11"/>
    <x v="12"/>
    <x v="20"/>
    <x v="15"/>
    <x v="12"/>
    <x v="6"/>
    <x v="3"/>
    <x v="15"/>
  </r>
  <r>
    <x v="523"/>
    <x v="523"/>
    <x v="269"/>
    <x v="70"/>
    <x v="462"/>
    <x v="150"/>
    <x v="4"/>
    <x v="55"/>
    <x v="11"/>
    <x v="12"/>
    <x v="20"/>
    <x v="15"/>
    <x v="12"/>
    <x v="6"/>
    <x v="3"/>
    <x v="15"/>
  </r>
  <r>
    <x v="523"/>
    <x v="523"/>
    <x v="269"/>
    <x v="70"/>
    <x v="462"/>
    <x v="327"/>
    <x v="4"/>
    <x v="55"/>
    <x v="11"/>
    <x v="12"/>
    <x v="20"/>
    <x v="15"/>
    <x v="12"/>
    <x v="6"/>
    <x v="3"/>
    <x v="15"/>
  </r>
  <r>
    <x v="523"/>
    <x v="523"/>
    <x v="269"/>
    <x v="70"/>
    <x v="462"/>
    <x v="863"/>
    <x v="4"/>
    <x v="55"/>
    <x v="11"/>
    <x v="12"/>
    <x v="20"/>
    <x v="15"/>
    <x v="12"/>
    <x v="6"/>
    <x v="3"/>
    <x v="15"/>
  </r>
  <r>
    <x v="523"/>
    <x v="523"/>
    <x v="269"/>
    <x v="70"/>
    <x v="462"/>
    <x v="67"/>
    <x v="4"/>
    <x v="55"/>
    <x v="11"/>
    <x v="12"/>
    <x v="20"/>
    <x v="15"/>
    <x v="12"/>
    <x v="6"/>
    <x v="3"/>
    <x v="15"/>
  </r>
  <r>
    <x v="523"/>
    <x v="523"/>
    <x v="269"/>
    <x v="70"/>
    <x v="462"/>
    <x v="54"/>
    <x v="4"/>
    <x v="55"/>
    <x v="11"/>
    <x v="12"/>
    <x v="20"/>
    <x v="15"/>
    <x v="12"/>
    <x v="6"/>
    <x v="3"/>
    <x v="15"/>
  </r>
  <r>
    <x v="523"/>
    <x v="523"/>
    <x v="269"/>
    <x v="70"/>
    <x v="462"/>
    <x v="1068"/>
    <x v="4"/>
    <x v="55"/>
    <x v="11"/>
    <x v="12"/>
    <x v="20"/>
    <x v="15"/>
    <x v="12"/>
    <x v="6"/>
    <x v="3"/>
    <x v="15"/>
  </r>
  <r>
    <x v="523"/>
    <x v="523"/>
    <x v="269"/>
    <x v="70"/>
    <x v="462"/>
    <x v="137"/>
    <x v="4"/>
    <x v="55"/>
    <x v="11"/>
    <x v="12"/>
    <x v="20"/>
    <x v="15"/>
    <x v="12"/>
    <x v="6"/>
    <x v="3"/>
    <x v="15"/>
  </r>
  <r>
    <x v="523"/>
    <x v="523"/>
    <x v="269"/>
    <x v="70"/>
    <x v="462"/>
    <x v="141"/>
    <x v="4"/>
    <x v="55"/>
    <x v="11"/>
    <x v="12"/>
    <x v="20"/>
    <x v="15"/>
    <x v="12"/>
    <x v="6"/>
    <x v="3"/>
    <x v="15"/>
  </r>
  <r>
    <x v="523"/>
    <x v="523"/>
    <x v="269"/>
    <x v="70"/>
    <x v="462"/>
    <x v="480"/>
    <x v="4"/>
    <x v="55"/>
    <x v="11"/>
    <x v="12"/>
    <x v="20"/>
    <x v="15"/>
    <x v="12"/>
    <x v="6"/>
    <x v="3"/>
    <x v="15"/>
  </r>
  <r>
    <x v="523"/>
    <x v="523"/>
    <x v="269"/>
    <x v="70"/>
    <x v="462"/>
    <x v="1311"/>
    <x v="4"/>
    <x v="55"/>
    <x v="11"/>
    <x v="12"/>
    <x v="20"/>
    <x v="15"/>
    <x v="12"/>
    <x v="6"/>
    <x v="3"/>
    <x v="15"/>
  </r>
  <r>
    <x v="523"/>
    <x v="523"/>
    <x v="269"/>
    <x v="70"/>
    <x v="462"/>
    <x v="1132"/>
    <x v="4"/>
    <x v="55"/>
    <x v="11"/>
    <x v="12"/>
    <x v="20"/>
    <x v="15"/>
    <x v="12"/>
    <x v="6"/>
    <x v="3"/>
    <x v="15"/>
  </r>
  <r>
    <x v="523"/>
    <x v="523"/>
    <x v="269"/>
    <x v="70"/>
    <x v="462"/>
    <x v="1096"/>
    <x v="4"/>
    <x v="55"/>
    <x v="11"/>
    <x v="12"/>
    <x v="20"/>
    <x v="15"/>
    <x v="12"/>
    <x v="6"/>
    <x v="3"/>
    <x v="15"/>
  </r>
  <r>
    <x v="523"/>
    <x v="523"/>
    <x v="269"/>
    <x v="70"/>
    <x v="462"/>
    <x v="562"/>
    <x v="4"/>
    <x v="55"/>
    <x v="11"/>
    <x v="12"/>
    <x v="20"/>
    <x v="15"/>
    <x v="12"/>
    <x v="6"/>
    <x v="3"/>
    <x v="15"/>
  </r>
  <r>
    <x v="523"/>
    <x v="523"/>
    <x v="269"/>
    <x v="70"/>
    <x v="462"/>
    <x v="731"/>
    <x v="4"/>
    <x v="55"/>
    <x v="11"/>
    <x v="12"/>
    <x v="20"/>
    <x v="15"/>
    <x v="12"/>
    <x v="6"/>
    <x v="3"/>
    <x v="15"/>
  </r>
  <r>
    <x v="523"/>
    <x v="523"/>
    <x v="269"/>
    <x v="70"/>
    <x v="462"/>
    <x v="764"/>
    <x v="4"/>
    <x v="55"/>
    <x v="11"/>
    <x v="12"/>
    <x v="20"/>
    <x v="15"/>
    <x v="12"/>
    <x v="6"/>
    <x v="3"/>
    <x v="15"/>
  </r>
  <r>
    <x v="523"/>
    <x v="523"/>
    <x v="269"/>
    <x v="70"/>
    <x v="462"/>
    <x v="80"/>
    <x v="4"/>
    <x v="55"/>
    <x v="11"/>
    <x v="12"/>
    <x v="20"/>
    <x v="15"/>
    <x v="12"/>
    <x v="6"/>
    <x v="3"/>
    <x v="15"/>
  </r>
  <r>
    <x v="523"/>
    <x v="523"/>
    <x v="269"/>
    <x v="70"/>
    <x v="462"/>
    <x v="248"/>
    <x v="4"/>
    <x v="55"/>
    <x v="11"/>
    <x v="12"/>
    <x v="20"/>
    <x v="15"/>
    <x v="12"/>
    <x v="6"/>
    <x v="3"/>
    <x v="15"/>
  </r>
  <r>
    <x v="523"/>
    <x v="523"/>
    <x v="269"/>
    <x v="70"/>
    <x v="462"/>
    <x v="673"/>
    <x v="4"/>
    <x v="55"/>
    <x v="11"/>
    <x v="12"/>
    <x v="20"/>
    <x v="15"/>
    <x v="12"/>
    <x v="6"/>
    <x v="3"/>
    <x v="15"/>
  </r>
  <r>
    <x v="523"/>
    <x v="523"/>
    <x v="269"/>
    <x v="70"/>
    <x v="462"/>
    <x v="832"/>
    <x v="4"/>
    <x v="55"/>
    <x v="11"/>
    <x v="12"/>
    <x v="20"/>
    <x v="15"/>
    <x v="12"/>
    <x v="6"/>
    <x v="3"/>
    <x v="15"/>
  </r>
  <r>
    <x v="523"/>
    <x v="523"/>
    <x v="269"/>
    <x v="70"/>
    <x v="462"/>
    <x v="1524"/>
    <x v="4"/>
    <x v="55"/>
    <x v="11"/>
    <x v="12"/>
    <x v="20"/>
    <x v="15"/>
    <x v="12"/>
    <x v="6"/>
    <x v="3"/>
    <x v="15"/>
  </r>
  <r>
    <x v="523"/>
    <x v="523"/>
    <x v="269"/>
    <x v="70"/>
    <x v="462"/>
    <x v="759"/>
    <x v="4"/>
    <x v="55"/>
    <x v="11"/>
    <x v="12"/>
    <x v="20"/>
    <x v="15"/>
    <x v="12"/>
    <x v="6"/>
    <x v="3"/>
    <x v="15"/>
  </r>
  <r>
    <x v="523"/>
    <x v="523"/>
    <x v="269"/>
    <x v="70"/>
    <x v="462"/>
    <x v="825"/>
    <x v="4"/>
    <x v="55"/>
    <x v="11"/>
    <x v="12"/>
    <x v="20"/>
    <x v="15"/>
    <x v="12"/>
    <x v="6"/>
    <x v="3"/>
    <x v="15"/>
  </r>
  <r>
    <x v="523"/>
    <x v="523"/>
    <x v="269"/>
    <x v="70"/>
    <x v="462"/>
    <x v="1257"/>
    <x v="4"/>
    <x v="55"/>
    <x v="11"/>
    <x v="12"/>
    <x v="20"/>
    <x v="15"/>
    <x v="12"/>
    <x v="6"/>
    <x v="3"/>
    <x v="15"/>
  </r>
  <r>
    <x v="523"/>
    <x v="523"/>
    <x v="269"/>
    <x v="70"/>
    <x v="462"/>
    <x v="515"/>
    <x v="4"/>
    <x v="55"/>
    <x v="11"/>
    <x v="12"/>
    <x v="20"/>
    <x v="15"/>
    <x v="12"/>
    <x v="6"/>
    <x v="3"/>
    <x v="15"/>
  </r>
  <r>
    <x v="523"/>
    <x v="523"/>
    <x v="269"/>
    <x v="70"/>
    <x v="462"/>
    <x v="936"/>
    <x v="4"/>
    <x v="55"/>
    <x v="11"/>
    <x v="12"/>
    <x v="20"/>
    <x v="15"/>
    <x v="12"/>
    <x v="6"/>
    <x v="3"/>
    <x v="15"/>
  </r>
  <r>
    <x v="523"/>
    <x v="523"/>
    <x v="269"/>
    <x v="70"/>
    <x v="462"/>
    <x v="1165"/>
    <x v="4"/>
    <x v="55"/>
    <x v="11"/>
    <x v="12"/>
    <x v="20"/>
    <x v="15"/>
    <x v="12"/>
    <x v="6"/>
    <x v="3"/>
    <x v="15"/>
  </r>
  <r>
    <x v="523"/>
    <x v="523"/>
    <x v="269"/>
    <x v="70"/>
    <x v="462"/>
    <x v="823"/>
    <x v="4"/>
    <x v="55"/>
    <x v="11"/>
    <x v="12"/>
    <x v="20"/>
    <x v="15"/>
    <x v="12"/>
    <x v="6"/>
    <x v="3"/>
    <x v="15"/>
  </r>
  <r>
    <x v="523"/>
    <x v="523"/>
    <x v="269"/>
    <x v="70"/>
    <x v="462"/>
    <x v="273"/>
    <x v="4"/>
    <x v="55"/>
    <x v="11"/>
    <x v="12"/>
    <x v="20"/>
    <x v="15"/>
    <x v="12"/>
    <x v="6"/>
    <x v="3"/>
    <x v="15"/>
  </r>
  <r>
    <x v="523"/>
    <x v="523"/>
    <x v="269"/>
    <x v="70"/>
    <x v="462"/>
    <x v="66"/>
    <x v="4"/>
    <x v="55"/>
    <x v="11"/>
    <x v="12"/>
    <x v="20"/>
    <x v="15"/>
    <x v="12"/>
    <x v="6"/>
    <x v="3"/>
    <x v="15"/>
  </r>
  <r>
    <x v="523"/>
    <x v="523"/>
    <x v="269"/>
    <x v="70"/>
    <x v="462"/>
    <x v="791"/>
    <x v="4"/>
    <x v="55"/>
    <x v="11"/>
    <x v="12"/>
    <x v="20"/>
    <x v="15"/>
    <x v="12"/>
    <x v="6"/>
    <x v="3"/>
    <x v="15"/>
  </r>
  <r>
    <x v="523"/>
    <x v="523"/>
    <x v="269"/>
    <x v="70"/>
    <x v="462"/>
    <x v="977"/>
    <x v="4"/>
    <x v="55"/>
    <x v="11"/>
    <x v="12"/>
    <x v="20"/>
    <x v="15"/>
    <x v="12"/>
    <x v="6"/>
    <x v="3"/>
    <x v="15"/>
  </r>
  <r>
    <x v="523"/>
    <x v="523"/>
    <x v="269"/>
    <x v="70"/>
    <x v="462"/>
    <x v="872"/>
    <x v="4"/>
    <x v="55"/>
    <x v="11"/>
    <x v="12"/>
    <x v="20"/>
    <x v="15"/>
    <x v="12"/>
    <x v="6"/>
    <x v="3"/>
    <x v="15"/>
  </r>
  <r>
    <x v="523"/>
    <x v="523"/>
    <x v="269"/>
    <x v="70"/>
    <x v="462"/>
    <x v="366"/>
    <x v="4"/>
    <x v="55"/>
    <x v="11"/>
    <x v="12"/>
    <x v="20"/>
    <x v="15"/>
    <x v="12"/>
    <x v="6"/>
    <x v="3"/>
    <x v="15"/>
  </r>
  <r>
    <x v="523"/>
    <x v="523"/>
    <x v="269"/>
    <x v="70"/>
    <x v="462"/>
    <x v="1218"/>
    <x v="4"/>
    <x v="55"/>
    <x v="11"/>
    <x v="12"/>
    <x v="20"/>
    <x v="15"/>
    <x v="12"/>
    <x v="6"/>
    <x v="3"/>
    <x v="15"/>
  </r>
  <r>
    <x v="523"/>
    <x v="523"/>
    <x v="269"/>
    <x v="70"/>
    <x v="462"/>
    <x v="911"/>
    <x v="4"/>
    <x v="55"/>
    <x v="11"/>
    <x v="12"/>
    <x v="20"/>
    <x v="15"/>
    <x v="12"/>
    <x v="6"/>
    <x v="3"/>
    <x v="15"/>
  </r>
  <r>
    <x v="523"/>
    <x v="523"/>
    <x v="269"/>
    <x v="70"/>
    <x v="462"/>
    <x v="234"/>
    <x v="4"/>
    <x v="55"/>
    <x v="11"/>
    <x v="12"/>
    <x v="20"/>
    <x v="15"/>
    <x v="12"/>
    <x v="6"/>
    <x v="3"/>
    <x v="15"/>
  </r>
  <r>
    <x v="523"/>
    <x v="523"/>
    <x v="269"/>
    <x v="70"/>
    <x v="462"/>
    <x v="96"/>
    <x v="4"/>
    <x v="55"/>
    <x v="11"/>
    <x v="12"/>
    <x v="20"/>
    <x v="15"/>
    <x v="12"/>
    <x v="6"/>
    <x v="3"/>
    <x v="15"/>
  </r>
  <r>
    <x v="523"/>
    <x v="523"/>
    <x v="269"/>
    <x v="70"/>
    <x v="462"/>
    <x v="803"/>
    <x v="4"/>
    <x v="55"/>
    <x v="11"/>
    <x v="12"/>
    <x v="20"/>
    <x v="15"/>
    <x v="12"/>
    <x v="6"/>
    <x v="3"/>
    <x v="15"/>
  </r>
  <r>
    <x v="523"/>
    <x v="523"/>
    <x v="269"/>
    <x v="70"/>
    <x v="462"/>
    <x v="36"/>
    <x v="4"/>
    <x v="55"/>
    <x v="11"/>
    <x v="12"/>
    <x v="20"/>
    <x v="15"/>
    <x v="12"/>
    <x v="6"/>
    <x v="3"/>
    <x v="15"/>
  </r>
  <r>
    <x v="523"/>
    <x v="523"/>
    <x v="269"/>
    <x v="70"/>
    <x v="462"/>
    <x v="695"/>
    <x v="4"/>
    <x v="55"/>
    <x v="11"/>
    <x v="12"/>
    <x v="20"/>
    <x v="15"/>
    <x v="12"/>
    <x v="6"/>
    <x v="3"/>
    <x v="15"/>
  </r>
  <r>
    <x v="523"/>
    <x v="523"/>
    <x v="269"/>
    <x v="70"/>
    <x v="462"/>
    <x v="1225"/>
    <x v="4"/>
    <x v="55"/>
    <x v="11"/>
    <x v="12"/>
    <x v="20"/>
    <x v="15"/>
    <x v="12"/>
    <x v="6"/>
    <x v="3"/>
    <x v="15"/>
  </r>
  <r>
    <x v="523"/>
    <x v="523"/>
    <x v="269"/>
    <x v="70"/>
    <x v="462"/>
    <x v="527"/>
    <x v="4"/>
    <x v="55"/>
    <x v="11"/>
    <x v="12"/>
    <x v="20"/>
    <x v="15"/>
    <x v="12"/>
    <x v="6"/>
    <x v="3"/>
    <x v="15"/>
  </r>
  <r>
    <x v="523"/>
    <x v="523"/>
    <x v="269"/>
    <x v="70"/>
    <x v="462"/>
    <x v="342"/>
    <x v="4"/>
    <x v="55"/>
    <x v="11"/>
    <x v="12"/>
    <x v="20"/>
    <x v="15"/>
    <x v="12"/>
    <x v="6"/>
    <x v="3"/>
    <x v="15"/>
  </r>
  <r>
    <x v="523"/>
    <x v="523"/>
    <x v="269"/>
    <x v="70"/>
    <x v="462"/>
    <x v="853"/>
    <x v="4"/>
    <x v="55"/>
    <x v="11"/>
    <x v="12"/>
    <x v="20"/>
    <x v="15"/>
    <x v="12"/>
    <x v="6"/>
    <x v="3"/>
    <x v="15"/>
  </r>
  <r>
    <x v="523"/>
    <x v="523"/>
    <x v="269"/>
    <x v="70"/>
    <x v="462"/>
    <x v="1526"/>
    <x v="4"/>
    <x v="55"/>
    <x v="11"/>
    <x v="12"/>
    <x v="20"/>
    <x v="15"/>
    <x v="12"/>
    <x v="6"/>
    <x v="3"/>
    <x v="15"/>
  </r>
  <r>
    <x v="523"/>
    <x v="523"/>
    <x v="269"/>
    <x v="70"/>
    <x v="462"/>
    <x v="824"/>
    <x v="4"/>
    <x v="55"/>
    <x v="11"/>
    <x v="12"/>
    <x v="20"/>
    <x v="15"/>
    <x v="12"/>
    <x v="6"/>
    <x v="3"/>
    <x v="15"/>
  </r>
  <r>
    <x v="523"/>
    <x v="523"/>
    <x v="269"/>
    <x v="70"/>
    <x v="462"/>
    <x v="1451"/>
    <x v="4"/>
    <x v="55"/>
    <x v="11"/>
    <x v="12"/>
    <x v="20"/>
    <x v="15"/>
    <x v="12"/>
    <x v="6"/>
    <x v="3"/>
    <x v="15"/>
  </r>
  <r>
    <x v="523"/>
    <x v="523"/>
    <x v="269"/>
    <x v="70"/>
    <x v="462"/>
    <x v="775"/>
    <x v="4"/>
    <x v="55"/>
    <x v="11"/>
    <x v="12"/>
    <x v="20"/>
    <x v="15"/>
    <x v="12"/>
    <x v="6"/>
    <x v="3"/>
    <x v="15"/>
  </r>
  <r>
    <x v="523"/>
    <x v="523"/>
    <x v="269"/>
    <x v="70"/>
    <x v="462"/>
    <x v="1319"/>
    <x v="4"/>
    <x v="55"/>
    <x v="11"/>
    <x v="12"/>
    <x v="20"/>
    <x v="15"/>
    <x v="12"/>
    <x v="6"/>
    <x v="3"/>
    <x v="15"/>
  </r>
  <r>
    <x v="523"/>
    <x v="523"/>
    <x v="269"/>
    <x v="70"/>
    <x v="462"/>
    <x v="503"/>
    <x v="4"/>
    <x v="55"/>
    <x v="11"/>
    <x v="12"/>
    <x v="20"/>
    <x v="15"/>
    <x v="12"/>
    <x v="6"/>
    <x v="3"/>
    <x v="15"/>
  </r>
  <r>
    <x v="523"/>
    <x v="523"/>
    <x v="269"/>
    <x v="70"/>
    <x v="462"/>
    <x v="306"/>
    <x v="4"/>
    <x v="55"/>
    <x v="11"/>
    <x v="12"/>
    <x v="20"/>
    <x v="15"/>
    <x v="12"/>
    <x v="6"/>
    <x v="3"/>
    <x v="15"/>
  </r>
  <r>
    <x v="523"/>
    <x v="523"/>
    <x v="269"/>
    <x v="70"/>
    <x v="462"/>
    <x v="188"/>
    <x v="4"/>
    <x v="55"/>
    <x v="11"/>
    <x v="12"/>
    <x v="20"/>
    <x v="15"/>
    <x v="12"/>
    <x v="6"/>
    <x v="3"/>
    <x v="15"/>
  </r>
  <r>
    <x v="523"/>
    <x v="523"/>
    <x v="269"/>
    <x v="70"/>
    <x v="462"/>
    <x v="1286"/>
    <x v="4"/>
    <x v="55"/>
    <x v="11"/>
    <x v="12"/>
    <x v="20"/>
    <x v="15"/>
    <x v="12"/>
    <x v="6"/>
    <x v="3"/>
    <x v="15"/>
  </r>
  <r>
    <x v="523"/>
    <x v="523"/>
    <x v="269"/>
    <x v="70"/>
    <x v="462"/>
    <x v="477"/>
    <x v="4"/>
    <x v="55"/>
    <x v="11"/>
    <x v="12"/>
    <x v="20"/>
    <x v="15"/>
    <x v="12"/>
    <x v="6"/>
    <x v="3"/>
    <x v="15"/>
  </r>
  <r>
    <x v="523"/>
    <x v="523"/>
    <x v="269"/>
    <x v="70"/>
    <x v="462"/>
    <x v="434"/>
    <x v="4"/>
    <x v="55"/>
    <x v="11"/>
    <x v="12"/>
    <x v="20"/>
    <x v="15"/>
    <x v="12"/>
    <x v="6"/>
    <x v="3"/>
    <x v="15"/>
  </r>
  <r>
    <x v="523"/>
    <x v="523"/>
    <x v="269"/>
    <x v="70"/>
    <x v="462"/>
    <x v="629"/>
    <x v="4"/>
    <x v="55"/>
    <x v="11"/>
    <x v="12"/>
    <x v="20"/>
    <x v="15"/>
    <x v="12"/>
    <x v="6"/>
    <x v="3"/>
    <x v="15"/>
  </r>
  <r>
    <x v="523"/>
    <x v="523"/>
    <x v="269"/>
    <x v="70"/>
    <x v="462"/>
    <x v="416"/>
    <x v="4"/>
    <x v="55"/>
    <x v="11"/>
    <x v="12"/>
    <x v="20"/>
    <x v="15"/>
    <x v="12"/>
    <x v="6"/>
    <x v="3"/>
    <x v="15"/>
  </r>
  <r>
    <x v="523"/>
    <x v="523"/>
    <x v="269"/>
    <x v="70"/>
    <x v="462"/>
    <x v="209"/>
    <x v="4"/>
    <x v="55"/>
    <x v="11"/>
    <x v="12"/>
    <x v="20"/>
    <x v="15"/>
    <x v="12"/>
    <x v="6"/>
    <x v="3"/>
    <x v="15"/>
  </r>
  <r>
    <x v="523"/>
    <x v="523"/>
    <x v="269"/>
    <x v="70"/>
    <x v="462"/>
    <x v="1236"/>
    <x v="4"/>
    <x v="55"/>
    <x v="11"/>
    <x v="12"/>
    <x v="20"/>
    <x v="15"/>
    <x v="12"/>
    <x v="6"/>
    <x v="3"/>
    <x v="15"/>
  </r>
  <r>
    <x v="523"/>
    <x v="523"/>
    <x v="269"/>
    <x v="70"/>
    <x v="462"/>
    <x v="1197"/>
    <x v="4"/>
    <x v="55"/>
    <x v="11"/>
    <x v="12"/>
    <x v="20"/>
    <x v="15"/>
    <x v="12"/>
    <x v="6"/>
    <x v="3"/>
    <x v="15"/>
  </r>
  <r>
    <x v="523"/>
    <x v="523"/>
    <x v="269"/>
    <x v="70"/>
    <x v="462"/>
    <x v="907"/>
    <x v="4"/>
    <x v="55"/>
    <x v="11"/>
    <x v="12"/>
    <x v="20"/>
    <x v="15"/>
    <x v="12"/>
    <x v="6"/>
    <x v="3"/>
    <x v="15"/>
  </r>
  <r>
    <x v="523"/>
    <x v="523"/>
    <x v="269"/>
    <x v="70"/>
    <x v="462"/>
    <x v="947"/>
    <x v="4"/>
    <x v="55"/>
    <x v="11"/>
    <x v="12"/>
    <x v="20"/>
    <x v="15"/>
    <x v="12"/>
    <x v="6"/>
    <x v="3"/>
    <x v="15"/>
  </r>
  <r>
    <x v="523"/>
    <x v="523"/>
    <x v="269"/>
    <x v="70"/>
    <x v="462"/>
    <x v="900"/>
    <x v="4"/>
    <x v="55"/>
    <x v="11"/>
    <x v="12"/>
    <x v="20"/>
    <x v="15"/>
    <x v="12"/>
    <x v="6"/>
    <x v="3"/>
    <x v="15"/>
  </r>
  <r>
    <x v="523"/>
    <x v="523"/>
    <x v="269"/>
    <x v="70"/>
    <x v="462"/>
    <x v="1004"/>
    <x v="4"/>
    <x v="55"/>
    <x v="11"/>
    <x v="12"/>
    <x v="20"/>
    <x v="15"/>
    <x v="12"/>
    <x v="6"/>
    <x v="3"/>
    <x v="15"/>
  </r>
  <r>
    <x v="523"/>
    <x v="523"/>
    <x v="269"/>
    <x v="70"/>
    <x v="462"/>
    <x v="312"/>
    <x v="4"/>
    <x v="55"/>
    <x v="11"/>
    <x v="12"/>
    <x v="20"/>
    <x v="15"/>
    <x v="12"/>
    <x v="6"/>
    <x v="3"/>
    <x v="15"/>
  </r>
  <r>
    <x v="523"/>
    <x v="523"/>
    <x v="269"/>
    <x v="70"/>
    <x v="462"/>
    <x v="922"/>
    <x v="4"/>
    <x v="55"/>
    <x v="11"/>
    <x v="12"/>
    <x v="20"/>
    <x v="15"/>
    <x v="12"/>
    <x v="6"/>
    <x v="3"/>
    <x v="15"/>
  </r>
  <r>
    <x v="523"/>
    <x v="523"/>
    <x v="269"/>
    <x v="70"/>
    <x v="462"/>
    <x v="714"/>
    <x v="4"/>
    <x v="55"/>
    <x v="11"/>
    <x v="12"/>
    <x v="20"/>
    <x v="15"/>
    <x v="12"/>
    <x v="6"/>
    <x v="3"/>
    <x v="15"/>
  </r>
  <r>
    <x v="523"/>
    <x v="523"/>
    <x v="269"/>
    <x v="70"/>
    <x v="462"/>
    <x v="1383"/>
    <x v="4"/>
    <x v="55"/>
    <x v="11"/>
    <x v="12"/>
    <x v="20"/>
    <x v="15"/>
    <x v="12"/>
    <x v="6"/>
    <x v="3"/>
    <x v="15"/>
  </r>
  <r>
    <x v="523"/>
    <x v="523"/>
    <x v="269"/>
    <x v="70"/>
    <x v="462"/>
    <x v="1034"/>
    <x v="4"/>
    <x v="55"/>
    <x v="11"/>
    <x v="12"/>
    <x v="20"/>
    <x v="15"/>
    <x v="12"/>
    <x v="6"/>
    <x v="3"/>
    <x v="15"/>
  </r>
  <r>
    <x v="523"/>
    <x v="523"/>
    <x v="269"/>
    <x v="70"/>
    <x v="462"/>
    <x v="861"/>
    <x v="4"/>
    <x v="55"/>
    <x v="11"/>
    <x v="12"/>
    <x v="20"/>
    <x v="15"/>
    <x v="12"/>
    <x v="6"/>
    <x v="3"/>
    <x v="15"/>
  </r>
  <r>
    <x v="523"/>
    <x v="523"/>
    <x v="269"/>
    <x v="70"/>
    <x v="462"/>
    <x v="728"/>
    <x v="4"/>
    <x v="55"/>
    <x v="11"/>
    <x v="12"/>
    <x v="20"/>
    <x v="15"/>
    <x v="12"/>
    <x v="6"/>
    <x v="3"/>
    <x v="15"/>
  </r>
  <r>
    <x v="523"/>
    <x v="523"/>
    <x v="269"/>
    <x v="70"/>
    <x v="462"/>
    <x v="1316"/>
    <x v="4"/>
    <x v="55"/>
    <x v="11"/>
    <x v="12"/>
    <x v="20"/>
    <x v="15"/>
    <x v="12"/>
    <x v="6"/>
    <x v="3"/>
    <x v="15"/>
  </r>
  <r>
    <x v="523"/>
    <x v="523"/>
    <x v="269"/>
    <x v="70"/>
    <x v="462"/>
    <x v="701"/>
    <x v="4"/>
    <x v="55"/>
    <x v="11"/>
    <x v="12"/>
    <x v="20"/>
    <x v="15"/>
    <x v="12"/>
    <x v="6"/>
    <x v="3"/>
    <x v="15"/>
  </r>
  <r>
    <x v="523"/>
    <x v="523"/>
    <x v="269"/>
    <x v="70"/>
    <x v="462"/>
    <x v="956"/>
    <x v="4"/>
    <x v="55"/>
    <x v="11"/>
    <x v="12"/>
    <x v="20"/>
    <x v="15"/>
    <x v="12"/>
    <x v="6"/>
    <x v="3"/>
    <x v="15"/>
  </r>
  <r>
    <x v="523"/>
    <x v="523"/>
    <x v="269"/>
    <x v="70"/>
    <x v="462"/>
    <x v="442"/>
    <x v="4"/>
    <x v="55"/>
    <x v="11"/>
    <x v="12"/>
    <x v="20"/>
    <x v="15"/>
    <x v="12"/>
    <x v="6"/>
    <x v="3"/>
    <x v="15"/>
  </r>
  <r>
    <x v="523"/>
    <x v="523"/>
    <x v="269"/>
    <x v="70"/>
    <x v="462"/>
    <x v="1352"/>
    <x v="4"/>
    <x v="55"/>
    <x v="11"/>
    <x v="12"/>
    <x v="20"/>
    <x v="15"/>
    <x v="12"/>
    <x v="6"/>
    <x v="3"/>
    <x v="15"/>
  </r>
  <r>
    <x v="523"/>
    <x v="523"/>
    <x v="269"/>
    <x v="70"/>
    <x v="462"/>
    <x v="790"/>
    <x v="4"/>
    <x v="55"/>
    <x v="11"/>
    <x v="12"/>
    <x v="20"/>
    <x v="15"/>
    <x v="12"/>
    <x v="6"/>
    <x v="3"/>
    <x v="15"/>
  </r>
  <r>
    <x v="523"/>
    <x v="523"/>
    <x v="269"/>
    <x v="70"/>
    <x v="462"/>
    <x v="1542"/>
    <x v="4"/>
    <x v="55"/>
    <x v="11"/>
    <x v="12"/>
    <x v="20"/>
    <x v="15"/>
    <x v="12"/>
    <x v="6"/>
    <x v="3"/>
    <x v="15"/>
  </r>
  <r>
    <x v="523"/>
    <x v="523"/>
    <x v="269"/>
    <x v="70"/>
    <x v="462"/>
    <x v="1246"/>
    <x v="4"/>
    <x v="55"/>
    <x v="11"/>
    <x v="12"/>
    <x v="20"/>
    <x v="15"/>
    <x v="12"/>
    <x v="6"/>
    <x v="3"/>
    <x v="15"/>
  </r>
  <r>
    <x v="523"/>
    <x v="523"/>
    <x v="269"/>
    <x v="70"/>
    <x v="462"/>
    <x v="425"/>
    <x v="4"/>
    <x v="55"/>
    <x v="11"/>
    <x v="12"/>
    <x v="20"/>
    <x v="15"/>
    <x v="12"/>
    <x v="6"/>
    <x v="3"/>
    <x v="15"/>
  </r>
  <r>
    <x v="523"/>
    <x v="523"/>
    <x v="269"/>
    <x v="70"/>
    <x v="462"/>
    <x v="11"/>
    <x v="4"/>
    <x v="55"/>
    <x v="11"/>
    <x v="12"/>
    <x v="20"/>
    <x v="15"/>
    <x v="12"/>
    <x v="6"/>
    <x v="3"/>
    <x v="15"/>
  </r>
  <r>
    <x v="523"/>
    <x v="523"/>
    <x v="269"/>
    <x v="70"/>
    <x v="462"/>
    <x v="497"/>
    <x v="4"/>
    <x v="55"/>
    <x v="11"/>
    <x v="12"/>
    <x v="20"/>
    <x v="15"/>
    <x v="12"/>
    <x v="6"/>
    <x v="3"/>
    <x v="15"/>
  </r>
  <r>
    <x v="523"/>
    <x v="523"/>
    <x v="269"/>
    <x v="70"/>
    <x v="462"/>
    <x v="1183"/>
    <x v="4"/>
    <x v="55"/>
    <x v="11"/>
    <x v="12"/>
    <x v="20"/>
    <x v="15"/>
    <x v="12"/>
    <x v="6"/>
    <x v="3"/>
    <x v="15"/>
  </r>
  <r>
    <x v="523"/>
    <x v="523"/>
    <x v="269"/>
    <x v="70"/>
    <x v="462"/>
    <x v="981"/>
    <x v="4"/>
    <x v="55"/>
    <x v="11"/>
    <x v="12"/>
    <x v="20"/>
    <x v="15"/>
    <x v="12"/>
    <x v="6"/>
    <x v="3"/>
    <x v="15"/>
  </r>
  <r>
    <x v="523"/>
    <x v="523"/>
    <x v="269"/>
    <x v="70"/>
    <x v="462"/>
    <x v="433"/>
    <x v="4"/>
    <x v="55"/>
    <x v="11"/>
    <x v="12"/>
    <x v="20"/>
    <x v="15"/>
    <x v="12"/>
    <x v="6"/>
    <x v="3"/>
    <x v="15"/>
  </r>
  <r>
    <x v="523"/>
    <x v="523"/>
    <x v="269"/>
    <x v="70"/>
    <x v="462"/>
    <x v="1553"/>
    <x v="4"/>
    <x v="55"/>
    <x v="11"/>
    <x v="12"/>
    <x v="20"/>
    <x v="15"/>
    <x v="12"/>
    <x v="6"/>
    <x v="3"/>
    <x v="15"/>
  </r>
  <r>
    <x v="523"/>
    <x v="523"/>
    <x v="269"/>
    <x v="70"/>
    <x v="462"/>
    <x v="751"/>
    <x v="4"/>
    <x v="55"/>
    <x v="11"/>
    <x v="12"/>
    <x v="20"/>
    <x v="15"/>
    <x v="12"/>
    <x v="6"/>
    <x v="3"/>
    <x v="15"/>
  </r>
  <r>
    <x v="523"/>
    <x v="523"/>
    <x v="269"/>
    <x v="70"/>
    <x v="462"/>
    <x v="1056"/>
    <x v="4"/>
    <x v="55"/>
    <x v="11"/>
    <x v="12"/>
    <x v="20"/>
    <x v="15"/>
    <x v="12"/>
    <x v="6"/>
    <x v="3"/>
    <x v="15"/>
  </r>
  <r>
    <x v="523"/>
    <x v="523"/>
    <x v="269"/>
    <x v="70"/>
    <x v="462"/>
    <x v="1476"/>
    <x v="4"/>
    <x v="55"/>
    <x v="11"/>
    <x v="12"/>
    <x v="20"/>
    <x v="15"/>
    <x v="12"/>
    <x v="6"/>
    <x v="3"/>
    <x v="15"/>
  </r>
  <r>
    <x v="523"/>
    <x v="523"/>
    <x v="269"/>
    <x v="70"/>
    <x v="462"/>
    <x v="1469"/>
    <x v="4"/>
    <x v="55"/>
    <x v="11"/>
    <x v="12"/>
    <x v="20"/>
    <x v="15"/>
    <x v="12"/>
    <x v="6"/>
    <x v="3"/>
    <x v="15"/>
  </r>
  <r>
    <x v="523"/>
    <x v="523"/>
    <x v="269"/>
    <x v="70"/>
    <x v="462"/>
    <x v="658"/>
    <x v="4"/>
    <x v="55"/>
    <x v="11"/>
    <x v="12"/>
    <x v="20"/>
    <x v="15"/>
    <x v="12"/>
    <x v="6"/>
    <x v="3"/>
    <x v="15"/>
  </r>
  <r>
    <x v="523"/>
    <x v="523"/>
    <x v="269"/>
    <x v="70"/>
    <x v="462"/>
    <x v="985"/>
    <x v="4"/>
    <x v="55"/>
    <x v="11"/>
    <x v="12"/>
    <x v="20"/>
    <x v="15"/>
    <x v="12"/>
    <x v="6"/>
    <x v="3"/>
    <x v="15"/>
  </r>
  <r>
    <x v="523"/>
    <x v="523"/>
    <x v="269"/>
    <x v="70"/>
    <x v="462"/>
    <x v="1181"/>
    <x v="4"/>
    <x v="55"/>
    <x v="11"/>
    <x v="12"/>
    <x v="20"/>
    <x v="15"/>
    <x v="12"/>
    <x v="6"/>
    <x v="3"/>
    <x v="15"/>
  </r>
  <r>
    <x v="523"/>
    <x v="523"/>
    <x v="269"/>
    <x v="70"/>
    <x v="462"/>
    <x v="357"/>
    <x v="4"/>
    <x v="55"/>
    <x v="11"/>
    <x v="12"/>
    <x v="20"/>
    <x v="15"/>
    <x v="12"/>
    <x v="6"/>
    <x v="3"/>
    <x v="15"/>
  </r>
  <r>
    <x v="523"/>
    <x v="523"/>
    <x v="269"/>
    <x v="70"/>
    <x v="462"/>
    <x v="748"/>
    <x v="4"/>
    <x v="55"/>
    <x v="11"/>
    <x v="12"/>
    <x v="20"/>
    <x v="15"/>
    <x v="12"/>
    <x v="6"/>
    <x v="3"/>
    <x v="15"/>
  </r>
  <r>
    <x v="523"/>
    <x v="523"/>
    <x v="269"/>
    <x v="70"/>
    <x v="462"/>
    <x v="407"/>
    <x v="4"/>
    <x v="55"/>
    <x v="11"/>
    <x v="12"/>
    <x v="20"/>
    <x v="15"/>
    <x v="12"/>
    <x v="6"/>
    <x v="3"/>
    <x v="15"/>
  </r>
  <r>
    <x v="523"/>
    <x v="523"/>
    <x v="269"/>
    <x v="70"/>
    <x v="462"/>
    <x v="905"/>
    <x v="4"/>
    <x v="55"/>
    <x v="11"/>
    <x v="12"/>
    <x v="20"/>
    <x v="15"/>
    <x v="12"/>
    <x v="6"/>
    <x v="3"/>
    <x v="15"/>
  </r>
  <r>
    <x v="523"/>
    <x v="523"/>
    <x v="269"/>
    <x v="70"/>
    <x v="462"/>
    <x v="1340"/>
    <x v="4"/>
    <x v="55"/>
    <x v="11"/>
    <x v="12"/>
    <x v="20"/>
    <x v="15"/>
    <x v="12"/>
    <x v="6"/>
    <x v="3"/>
    <x v="15"/>
  </r>
  <r>
    <x v="523"/>
    <x v="523"/>
    <x v="269"/>
    <x v="70"/>
    <x v="462"/>
    <x v="198"/>
    <x v="4"/>
    <x v="55"/>
    <x v="11"/>
    <x v="12"/>
    <x v="20"/>
    <x v="15"/>
    <x v="12"/>
    <x v="6"/>
    <x v="3"/>
    <x v="15"/>
  </r>
  <r>
    <x v="523"/>
    <x v="523"/>
    <x v="269"/>
    <x v="70"/>
    <x v="462"/>
    <x v="1045"/>
    <x v="4"/>
    <x v="55"/>
    <x v="11"/>
    <x v="12"/>
    <x v="20"/>
    <x v="15"/>
    <x v="12"/>
    <x v="6"/>
    <x v="3"/>
    <x v="15"/>
  </r>
  <r>
    <x v="523"/>
    <x v="523"/>
    <x v="269"/>
    <x v="70"/>
    <x v="462"/>
    <x v="677"/>
    <x v="4"/>
    <x v="55"/>
    <x v="11"/>
    <x v="12"/>
    <x v="20"/>
    <x v="15"/>
    <x v="12"/>
    <x v="6"/>
    <x v="3"/>
    <x v="15"/>
  </r>
  <r>
    <x v="523"/>
    <x v="523"/>
    <x v="269"/>
    <x v="70"/>
    <x v="462"/>
    <x v="1456"/>
    <x v="4"/>
    <x v="55"/>
    <x v="11"/>
    <x v="12"/>
    <x v="20"/>
    <x v="15"/>
    <x v="12"/>
    <x v="6"/>
    <x v="3"/>
    <x v="15"/>
  </r>
  <r>
    <x v="523"/>
    <x v="523"/>
    <x v="269"/>
    <x v="70"/>
    <x v="462"/>
    <x v="238"/>
    <x v="4"/>
    <x v="55"/>
    <x v="11"/>
    <x v="12"/>
    <x v="20"/>
    <x v="15"/>
    <x v="12"/>
    <x v="6"/>
    <x v="3"/>
    <x v="15"/>
  </r>
  <r>
    <x v="523"/>
    <x v="523"/>
    <x v="269"/>
    <x v="70"/>
    <x v="462"/>
    <x v="1100"/>
    <x v="4"/>
    <x v="55"/>
    <x v="11"/>
    <x v="12"/>
    <x v="20"/>
    <x v="15"/>
    <x v="12"/>
    <x v="6"/>
    <x v="3"/>
    <x v="15"/>
  </r>
  <r>
    <x v="523"/>
    <x v="523"/>
    <x v="269"/>
    <x v="70"/>
    <x v="462"/>
    <x v="1070"/>
    <x v="4"/>
    <x v="55"/>
    <x v="11"/>
    <x v="12"/>
    <x v="20"/>
    <x v="15"/>
    <x v="12"/>
    <x v="6"/>
    <x v="3"/>
    <x v="15"/>
  </r>
  <r>
    <x v="523"/>
    <x v="523"/>
    <x v="269"/>
    <x v="70"/>
    <x v="462"/>
    <x v="1415"/>
    <x v="4"/>
    <x v="55"/>
    <x v="11"/>
    <x v="12"/>
    <x v="20"/>
    <x v="15"/>
    <x v="12"/>
    <x v="6"/>
    <x v="3"/>
    <x v="15"/>
  </r>
  <r>
    <x v="523"/>
    <x v="523"/>
    <x v="269"/>
    <x v="70"/>
    <x v="462"/>
    <x v="1563"/>
    <x v="4"/>
    <x v="55"/>
    <x v="11"/>
    <x v="12"/>
    <x v="20"/>
    <x v="15"/>
    <x v="12"/>
    <x v="6"/>
    <x v="3"/>
    <x v="15"/>
  </r>
  <r>
    <x v="523"/>
    <x v="523"/>
    <x v="269"/>
    <x v="70"/>
    <x v="462"/>
    <x v="1052"/>
    <x v="4"/>
    <x v="55"/>
    <x v="11"/>
    <x v="12"/>
    <x v="20"/>
    <x v="15"/>
    <x v="12"/>
    <x v="6"/>
    <x v="3"/>
    <x v="15"/>
  </r>
  <r>
    <x v="523"/>
    <x v="523"/>
    <x v="269"/>
    <x v="70"/>
    <x v="462"/>
    <x v="162"/>
    <x v="4"/>
    <x v="55"/>
    <x v="11"/>
    <x v="12"/>
    <x v="20"/>
    <x v="15"/>
    <x v="12"/>
    <x v="6"/>
    <x v="3"/>
    <x v="15"/>
  </r>
  <r>
    <x v="523"/>
    <x v="523"/>
    <x v="269"/>
    <x v="70"/>
    <x v="462"/>
    <x v="969"/>
    <x v="4"/>
    <x v="55"/>
    <x v="11"/>
    <x v="12"/>
    <x v="20"/>
    <x v="15"/>
    <x v="12"/>
    <x v="6"/>
    <x v="3"/>
    <x v="15"/>
  </r>
  <r>
    <x v="523"/>
    <x v="523"/>
    <x v="269"/>
    <x v="70"/>
    <x v="462"/>
    <x v="811"/>
    <x v="4"/>
    <x v="55"/>
    <x v="11"/>
    <x v="12"/>
    <x v="20"/>
    <x v="15"/>
    <x v="12"/>
    <x v="6"/>
    <x v="3"/>
    <x v="15"/>
  </r>
  <r>
    <x v="523"/>
    <x v="523"/>
    <x v="269"/>
    <x v="70"/>
    <x v="462"/>
    <x v="749"/>
    <x v="4"/>
    <x v="55"/>
    <x v="11"/>
    <x v="12"/>
    <x v="20"/>
    <x v="15"/>
    <x v="12"/>
    <x v="6"/>
    <x v="3"/>
    <x v="15"/>
  </r>
  <r>
    <x v="523"/>
    <x v="523"/>
    <x v="269"/>
    <x v="70"/>
    <x v="462"/>
    <x v="1427"/>
    <x v="4"/>
    <x v="55"/>
    <x v="11"/>
    <x v="12"/>
    <x v="20"/>
    <x v="15"/>
    <x v="12"/>
    <x v="6"/>
    <x v="3"/>
    <x v="15"/>
  </r>
  <r>
    <x v="523"/>
    <x v="523"/>
    <x v="269"/>
    <x v="70"/>
    <x v="462"/>
    <x v="1523"/>
    <x v="4"/>
    <x v="55"/>
    <x v="11"/>
    <x v="12"/>
    <x v="20"/>
    <x v="15"/>
    <x v="12"/>
    <x v="6"/>
    <x v="3"/>
    <x v="15"/>
  </r>
  <r>
    <x v="523"/>
    <x v="523"/>
    <x v="269"/>
    <x v="70"/>
    <x v="462"/>
    <x v="611"/>
    <x v="4"/>
    <x v="55"/>
    <x v="11"/>
    <x v="12"/>
    <x v="20"/>
    <x v="15"/>
    <x v="12"/>
    <x v="6"/>
    <x v="3"/>
    <x v="15"/>
  </r>
  <r>
    <x v="523"/>
    <x v="523"/>
    <x v="269"/>
    <x v="70"/>
    <x v="462"/>
    <x v="1174"/>
    <x v="4"/>
    <x v="55"/>
    <x v="11"/>
    <x v="12"/>
    <x v="20"/>
    <x v="15"/>
    <x v="12"/>
    <x v="6"/>
    <x v="3"/>
    <x v="15"/>
  </r>
  <r>
    <x v="523"/>
    <x v="523"/>
    <x v="269"/>
    <x v="70"/>
    <x v="462"/>
    <x v="1144"/>
    <x v="4"/>
    <x v="55"/>
    <x v="11"/>
    <x v="12"/>
    <x v="20"/>
    <x v="15"/>
    <x v="12"/>
    <x v="6"/>
    <x v="3"/>
    <x v="15"/>
  </r>
  <r>
    <x v="523"/>
    <x v="523"/>
    <x v="269"/>
    <x v="70"/>
    <x v="462"/>
    <x v="993"/>
    <x v="4"/>
    <x v="55"/>
    <x v="11"/>
    <x v="12"/>
    <x v="20"/>
    <x v="15"/>
    <x v="12"/>
    <x v="6"/>
    <x v="3"/>
    <x v="15"/>
  </r>
  <r>
    <x v="523"/>
    <x v="523"/>
    <x v="269"/>
    <x v="70"/>
    <x v="462"/>
    <x v="591"/>
    <x v="4"/>
    <x v="55"/>
    <x v="11"/>
    <x v="12"/>
    <x v="20"/>
    <x v="15"/>
    <x v="12"/>
    <x v="6"/>
    <x v="3"/>
    <x v="15"/>
  </r>
  <r>
    <x v="523"/>
    <x v="523"/>
    <x v="269"/>
    <x v="70"/>
    <x v="462"/>
    <x v="1143"/>
    <x v="4"/>
    <x v="55"/>
    <x v="11"/>
    <x v="12"/>
    <x v="20"/>
    <x v="15"/>
    <x v="12"/>
    <x v="6"/>
    <x v="3"/>
    <x v="15"/>
  </r>
  <r>
    <x v="523"/>
    <x v="523"/>
    <x v="269"/>
    <x v="70"/>
    <x v="462"/>
    <x v="508"/>
    <x v="4"/>
    <x v="55"/>
    <x v="11"/>
    <x v="12"/>
    <x v="20"/>
    <x v="15"/>
    <x v="12"/>
    <x v="6"/>
    <x v="3"/>
    <x v="15"/>
  </r>
  <r>
    <x v="523"/>
    <x v="523"/>
    <x v="269"/>
    <x v="70"/>
    <x v="462"/>
    <x v="1314"/>
    <x v="4"/>
    <x v="55"/>
    <x v="11"/>
    <x v="12"/>
    <x v="20"/>
    <x v="15"/>
    <x v="12"/>
    <x v="6"/>
    <x v="3"/>
    <x v="15"/>
  </r>
  <r>
    <x v="523"/>
    <x v="523"/>
    <x v="269"/>
    <x v="70"/>
    <x v="462"/>
    <x v="998"/>
    <x v="4"/>
    <x v="55"/>
    <x v="11"/>
    <x v="12"/>
    <x v="20"/>
    <x v="15"/>
    <x v="12"/>
    <x v="6"/>
    <x v="3"/>
    <x v="15"/>
  </r>
  <r>
    <x v="523"/>
    <x v="523"/>
    <x v="269"/>
    <x v="70"/>
    <x v="462"/>
    <x v="1281"/>
    <x v="4"/>
    <x v="55"/>
    <x v="11"/>
    <x v="12"/>
    <x v="20"/>
    <x v="15"/>
    <x v="12"/>
    <x v="6"/>
    <x v="3"/>
    <x v="15"/>
  </r>
  <r>
    <x v="523"/>
    <x v="523"/>
    <x v="269"/>
    <x v="70"/>
    <x v="462"/>
    <x v="1423"/>
    <x v="4"/>
    <x v="55"/>
    <x v="11"/>
    <x v="12"/>
    <x v="20"/>
    <x v="15"/>
    <x v="12"/>
    <x v="6"/>
    <x v="3"/>
    <x v="15"/>
  </r>
  <r>
    <x v="523"/>
    <x v="523"/>
    <x v="269"/>
    <x v="70"/>
    <x v="462"/>
    <x v="1454"/>
    <x v="4"/>
    <x v="55"/>
    <x v="11"/>
    <x v="12"/>
    <x v="20"/>
    <x v="15"/>
    <x v="12"/>
    <x v="6"/>
    <x v="3"/>
    <x v="15"/>
  </r>
  <r>
    <x v="523"/>
    <x v="523"/>
    <x v="269"/>
    <x v="70"/>
    <x v="462"/>
    <x v="857"/>
    <x v="4"/>
    <x v="55"/>
    <x v="11"/>
    <x v="12"/>
    <x v="20"/>
    <x v="15"/>
    <x v="12"/>
    <x v="6"/>
    <x v="3"/>
    <x v="15"/>
  </r>
  <r>
    <x v="523"/>
    <x v="523"/>
    <x v="269"/>
    <x v="70"/>
    <x v="462"/>
    <x v="1525"/>
    <x v="4"/>
    <x v="55"/>
    <x v="11"/>
    <x v="12"/>
    <x v="20"/>
    <x v="15"/>
    <x v="12"/>
    <x v="6"/>
    <x v="3"/>
    <x v="15"/>
  </r>
  <r>
    <x v="523"/>
    <x v="523"/>
    <x v="269"/>
    <x v="70"/>
    <x v="462"/>
    <x v="163"/>
    <x v="4"/>
    <x v="55"/>
    <x v="11"/>
    <x v="12"/>
    <x v="20"/>
    <x v="15"/>
    <x v="12"/>
    <x v="6"/>
    <x v="3"/>
    <x v="15"/>
  </r>
  <r>
    <x v="523"/>
    <x v="523"/>
    <x v="269"/>
    <x v="70"/>
    <x v="462"/>
    <x v="510"/>
    <x v="4"/>
    <x v="55"/>
    <x v="11"/>
    <x v="12"/>
    <x v="20"/>
    <x v="15"/>
    <x v="12"/>
    <x v="6"/>
    <x v="3"/>
    <x v="15"/>
  </r>
  <r>
    <x v="523"/>
    <x v="523"/>
    <x v="269"/>
    <x v="70"/>
    <x v="462"/>
    <x v="418"/>
    <x v="4"/>
    <x v="55"/>
    <x v="11"/>
    <x v="12"/>
    <x v="20"/>
    <x v="15"/>
    <x v="12"/>
    <x v="6"/>
    <x v="3"/>
    <x v="15"/>
  </r>
  <r>
    <x v="523"/>
    <x v="523"/>
    <x v="269"/>
    <x v="70"/>
    <x v="462"/>
    <x v="745"/>
    <x v="4"/>
    <x v="55"/>
    <x v="11"/>
    <x v="12"/>
    <x v="20"/>
    <x v="15"/>
    <x v="12"/>
    <x v="6"/>
    <x v="3"/>
    <x v="15"/>
  </r>
  <r>
    <x v="523"/>
    <x v="523"/>
    <x v="269"/>
    <x v="70"/>
    <x v="462"/>
    <x v="1229"/>
    <x v="4"/>
    <x v="55"/>
    <x v="11"/>
    <x v="12"/>
    <x v="20"/>
    <x v="15"/>
    <x v="12"/>
    <x v="6"/>
    <x v="3"/>
    <x v="15"/>
  </r>
  <r>
    <x v="523"/>
    <x v="523"/>
    <x v="269"/>
    <x v="70"/>
    <x v="462"/>
    <x v="839"/>
    <x v="4"/>
    <x v="55"/>
    <x v="11"/>
    <x v="12"/>
    <x v="20"/>
    <x v="15"/>
    <x v="12"/>
    <x v="6"/>
    <x v="3"/>
    <x v="15"/>
  </r>
  <r>
    <x v="523"/>
    <x v="523"/>
    <x v="269"/>
    <x v="70"/>
    <x v="462"/>
    <x v="140"/>
    <x v="4"/>
    <x v="55"/>
    <x v="11"/>
    <x v="12"/>
    <x v="20"/>
    <x v="15"/>
    <x v="12"/>
    <x v="6"/>
    <x v="3"/>
    <x v="15"/>
  </r>
  <r>
    <x v="523"/>
    <x v="523"/>
    <x v="269"/>
    <x v="70"/>
    <x v="462"/>
    <x v="739"/>
    <x v="4"/>
    <x v="55"/>
    <x v="11"/>
    <x v="12"/>
    <x v="20"/>
    <x v="15"/>
    <x v="12"/>
    <x v="6"/>
    <x v="3"/>
    <x v="15"/>
  </r>
  <r>
    <x v="523"/>
    <x v="523"/>
    <x v="269"/>
    <x v="70"/>
    <x v="462"/>
    <x v="921"/>
    <x v="4"/>
    <x v="55"/>
    <x v="11"/>
    <x v="12"/>
    <x v="20"/>
    <x v="15"/>
    <x v="12"/>
    <x v="6"/>
    <x v="3"/>
    <x v="15"/>
  </r>
  <r>
    <x v="523"/>
    <x v="523"/>
    <x v="269"/>
    <x v="70"/>
    <x v="462"/>
    <x v="726"/>
    <x v="4"/>
    <x v="55"/>
    <x v="11"/>
    <x v="12"/>
    <x v="20"/>
    <x v="15"/>
    <x v="12"/>
    <x v="6"/>
    <x v="3"/>
    <x v="15"/>
  </r>
  <r>
    <x v="523"/>
    <x v="523"/>
    <x v="269"/>
    <x v="70"/>
    <x v="462"/>
    <x v="1156"/>
    <x v="4"/>
    <x v="55"/>
    <x v="11"/>
    <x v="12"/>
    <x v="20"/>
    <x v="15"/>
    <x v="12"/>
    <x v="6"/>
    <x v="3"/>
    <x v="15"/>
  </r>
  <r>
    <x v="523"/>
    <x v="523"/>
    <x v="269"/>
    <x v="70"/>
    <x v="462"/>
    <x v="1293"/>
    <x v="4"/>
    <x v="55"/>
    <x v="11"/>
    <x v="12"/>
    <x v="20"/>
    <x v="15"/>
    <x v="12"/>
    <x v="6"/>
    <x v="3"/>
    <x v="15"/>
  </r>
  <r>
    <x v="523"/>
    <x v="523"/>
    <x v="269"/>
    <x v="70"/>
    <x v="462"/>
    <x v="1564"/>
    <x v="4"/>
    <x v="55"/>
    <x v="11"/>
    <x v="12"/>
    <x v="20"/>
    <x v="15"/>
    <x v="12"/>
    <x v="6"/>
    <x v="3"/>
    <x v="15"/>
  </r>
  <r>
    <x v="523"/>
    <x v="523"/>
    <x v="269"/>
    <x v="70"/>
    <x v="462"/>
    <x v="1018"/>
    <x v="4"/>
    <x v="55"/>
    <x v="11"/>
    <x v="12"/>
    <x v="20"/>
    <x v="15"/>
    <x v="12"/>
    <x v="6"/>
    <x v="3"/>
    <x v="15"/>
  </r>
  <r>
    <x v="523"/>
    <x v="523"/>
    <x v="269"/>
    <x v="70"/>
    <x v="462"/>
    <x v="719"/>
    <x v="4"/>
    <x v="55"/>
    <x v="11"/>
    <x v="12"/>
    <x v="20"/>
    <x v="15"/>
    <x v="12"/>
    <x v="6"/>
    <x v="3"/>
    <x v="15"/>
  </r>
  <r>
    <x v="523"/>
    <x v="523"/>
    <x v="269"/>
    <x v="70"/>
    <x v="462"/>
    <x v="266"/>
    <x v="4"/>
    <x v="55"/>
    <x v="11"/>
    <x v="12"/>
    <x v="20"/>
    <x v="15"/>
    <x v="12"/>
    <x v="6"/>
    <x v="3"/>
    <x v="15"/>
  </r>
  <r>
    <x v="523"/>
    <x v="523"/>
    <x v="269"/>
    <x v="70"/>
    <x v="462"/>
    <x v="660"/>
    <x v="4"/>
    <x v="55"/>
    <x v="11"/>
    <x v="12"/>
    <x v="20"/>
    <x v="15"/>
    <x v="12"/>
    <x v="6"/>
    <x v="3"/>
    <x v="15"/>
  </r>
  <r>
    <x v="523"/>
    <x v="523"/>
    <x v="269"/>
    <x v="70"/>
    <x v="462"/>
    <x v="1039"/>
    <x v="4"/>
    <x v="55"/>
    <x v="11"/>
    <x v="12"/>
    <x v="20"/>
    <x v="15"/>
    <x v="12"/>
    <x v="6"/>
    <x v="3"/>
    <x v="15"/>
  </r>
  <r>
    <x v="523"/>
    <x v="523"/>
    <x v="269"/>
    <x v="70"/>
    <x v="462"/>
    <x v="33"/>
    <x v="4"/>
    <x v="55"/>
    <x v="11"/>
    <x v="12"/>
    <x v="20"/>
    <x v="15"/>
    <x v="12"/>
    <x v="6"/>
    <x v="3"/>
    <x v="15"/>
  </r>
  <r>
    <x v="523"/>
    <x v="523"/>
    <x v="269"/>
    <x v="70"/>
    <x v="462"/>
    <x v="940"/>
    <x v="4"/>
    <x v="55"/>
    <x v="11"/>
    <x v="12"/>
    <x v="20"/>
    <x v="15"/>
    <x v="12"/>
    <x v="6"/>
    <x v="3"/>
    <x v="15"/>
  </r>
  <r>
    <x v="523"/>
    <x v="523"/>
    <x v="269"/>
    <x v="70"/>
    <x v="462"/>
    <x v="1546"/>
    <x v="4"/>
    <x v="55"/>
    <x v="11"/>
    <x v="12"/>
    <x v="20"/>
    <x v="15"/>
    <x v="12"/>
    <x v="6"/>
    <x v="3"/>
    <x v="15"/>
  </r>
  <r>
    <x v="523"/>
    <x v="523"/>
    <x v="269"/>
    <x v="70"/>
    <x v="462"/>
    <x v="340"/>
    <x v="4"/>
    <x v="55"/>
    <x v="11"/>
    <x v="12"/>
    <x v="20"/>
    <x v="15"/>
    <x v="12"/>
    <x v="6"/>
    <x v="3"/>
    <x v="15"/>
  </r>
  <r>
    <x v="523"/>
    <x v="523"/>
    <x v="269"/>
    <x v="70"/>
    <x v="462"/>
    <x v="291"/>
    <x v="4"/>
    <x v="55"/>
    <x v="11"/>
    <x v="12"/>
    <x v="20"/>
    <x v="15"/>
    <x v="12"/>
    <x v="6"/>
    <x v="3"/>
    <x v="15"/>
  </r>
  <r>
    <x v="523"/>
    <x v="523"/>
    <x v="269"/>
    <x v="70"/>
    <x v="462"/>
    <x v="1196"/>
    <x v="4"/>
    <x v="55"/>
    <x v="11"/>
    <x v="12"/>
    <x v="20"/>
    <x v="15"/>
    <x v="12"/>
    <x v="6"/>
    <x v="3"/>
    <x v="15"/>
  </r>
  <r>
    <x v="523"/>
    <x v="523"/>
    <x v="269"/>
    <x v="70"/>
    <x v="462"/>
    <x v="465"/>
    <x v="4"/>
    <x v="55"/>
    <x v="11"/>
    <x v="12"/>
    <x v="20"/>
    <x v="15"/>
    <x v="12"/>
    <x v="6"/>
    <x v="3"/>
    <x v="15"/>
  </r>
  <r>
    <x v="523"/>
    <x v="523"/>
    <x v="269"/>
    <x v="70"/>
    <x v="462"/>
    <x v="136"/>
    <x v="4"/>
    <x v="55"/>
    <x v="11"/>
    <x v="12"/>
    <x v="20"/>
    <x v="15"/>
    <x v="12"/>
    <x v="6"/>
    <x v="3"/>
    <x v="15"/>
  </r>
  <r>
    <x v="523"/>
    <x v="523"/>
    <x v="269"/>
    <x v="70"/>
    <x v="462"/>
    <x v="1136"/>
    <x v="4"/>
    <x v="55"/>
    <x v="11"/>
    <x v="12"/>
    <x v="20"/>
    <x v="15"/>
    <x v="12"/>
    <x v="6"/>
    <x v="3"/>
    <x v="15"/>
  </r>
  <r>
    <x v="523"/>
    <x v="523"/>
    <x v="269"/>
    <x v="70"/>
    <x v="462"/>
    <x v="52"/>
    <x v="4"/>
    <x v="55"/>
    <x v="11"/>
    <x v="12"/>
    <x v="20"/>
    <x v="15"/>
    <x v="12"/>
    <x v="6"/>
    <x v="3"/>
    <x v="15"/>
  </r>
  <r>
    <x v="523"/>
    <x v="523"/>
    <x v="269"/>
    <x v="70"/>
    <x v="462"/>
    <x v="345"/>
    <x v="4"/>
    <x v="55"/>
    <x v="11"/>
    <x v="12"/>
    <x v="20"/>
    <x v="15"/>
    <x v="12"/>
    <x v="6"/>
    <x v="3"/>
    <x v="15"/>
  </r>
  <r>
    <x v="523"/>
    <x v="523"/>
    <x v="269"/>
    <x v="70"/>
    <x v="462"/>
    <x v="504"/>
    <x v="4"/>
    <x v="55"/>
    <x v="11"/>
    <x v="12"/>
    <x v="20"/>
    <x v="15"/>
    <x v="12"/>
    <x v="6"/>
    <x v="3"/>
    <x v="15"/>
  </r>
  <r>
    <x v="523"/>
    <x v="523"/>
    <x v="269"/>
    <x v="70"/>
    <x v="462"/>
    <x v="687"/>
    <x v="4"/>
    <x v="55"/>
    <x v="11"/>
    <x v="12"/>
    <x v="20"/>
    <x v="15"/>
    <x v="12"/>
    <x v="6"/>
    <x v="3"/>
    <x v="15"/>
  </r>
  <r>
    <x v="523"/>
    <x v="523"/>
    <x v="269"/>
    <x v="70"/>
    <x v="462"/>
    <x v="1483"/>
    <x v="4"/>
    <x v="55"/>
    <x v="11"/>
    <x v="12"/>
    <x v="20"/>
    <x v="15"/>
    <x v="12"/>
    <x v="6"/>
    <x v="3"/>
    <x v="15"/>
  </r>
  <r>
    <x v="523"/>
    <x v="523"/>
    <x v="269"/>
    <x v="70"/>
    <x v="462"/>
    <x v="304"/>
    <x v="4"/>
    <x v="55"/>
    <x v="11"/>
    <x v="12"/>
    <x v="20"/>
    <x v="15"/>
    <x v="12"/>
    <x v="6"/>
    <x v="3"/>
    <x v="15"/>
  </r>
  <r>
    <x v="523"/>
    <x v="523"/>
    <x v="269"/>
    <x v="70"/>
    <x v="462"/>
    <x v="812"/>
    <x v="4"/>
    <x v="55"/>
    <x v="11"/>
    <x v="12"/>
    <x v="20"/>
    <x v="15"/>
    <x v="12"/>
    <x v="6"/>
    <x v="3"/>
    <x v="15"/>
  </r>
  <r>
    <x v="523"/>
    <x v="523"/>
    <x v="269"/>
    <x v="70"/>
    <x v="462"/>
    <x v="1422"/>
    <x v="4"/>
    <x v="55"/>
    <x v="11"/>
    <x v="12"/>
    <x v="20"/>
    <x v="15"/>
    <x v="12"/>
    <x v="6"/>
    <x v="3"/>
    <x v="15"/>
  </r>
  <r>
    <x v="523"/>
    <x v="523"/>
    <x v="269"/>
    <x v="70"/>
    <x v="462"/>
    <x v="13"/>
    <x v="4"/>
    <x v="55"/>
    <x v="11"/>
    <x v="12"/>
    <x v="20"/>
    <x v="15"/>
    <x v="12"/>
    <x v="6"/>
    <x v="3"/>
    <x v="15"/>
  </r>
  <r>
    <x v="523"/>
    <x v="523"/>
    <x v="269"/>
    <x v="70"/>
    <x v="462"/>
    <x v="1189"/>
    <x v="4"/>
    <x v="55"/>
    <x v="11"/>
    <x v="12"/>
    <x v="20"/>
    <x v="15"/>
    <x v="12"/>
    <x v="6"/>
    <x v="3"/>
    <x v="15"/>
  </r>
  <r>
    <x v="523"/>
    <x v="523"/>
    <x v="269"/>
    <x v="70"/>
    <x v="462"/>
    <x v="79"/>
    <x v="4"/>
    <x v="55"/>
    <x v="11"/>
    <x v="12"/>
    <x v="20"/>
    <x v="15"/>
    <x v="12"/>
    <x v="6"/>
    <x v="3"/>
    <x v="15"/>
  </r>
  <r>
    <x v="523"/>
    <x v="523"/>
    <x v="269"/>
    <x v="70"/>
    <x v="462"/>
    <x v="1017"/>
    <x v="4"/>
    <x v="55"/>
    <x v="11"/>
    <x v="12"/>
    <x v="20"/>
    <x v="15"/>
    <x v="12"/>
    <x v="6"/>
    <x v="3"/>
    <x v="15"/>
  </r>
  <r>
    <x v="523"/>
    <x v="523"/>
    <x v="269"/>
    <x v="70"/>
    <x v="462"/>
    <x v="511"/>
    <x v="4"/>
    <x v="55"/>
    <x v="11"/>
    <x v="12"/>
    <x v="20"/>
    <x v="15"/>
    <x v="12"/>
    <x v="6"/>
    <x v="3"/>
    <x v="15"/>
  </r>
  <r>
    <x v="523"/>
    <x v="523"/>
    <x v="269"/>
    <x v="70"/>
    <x v="462"/>
    <x v="344"/>
    <x v="4"/>
    <x v="55"/>
    <x v="11"/>
    <x v="12"/>
    <x v="20"/>
    <x v="15"/>
    <x v="12"/>
    <x v="6"/>
    <x v="3"/>
    <x v="15"/>
  </r>
  <r>
    <x v="523"/>
    <x v="523"/>
    <x v="269"/>
    <x v="70"/>
    <x v="462"/>
    <x v="439"/>
    <x v="4"/>
    <x v="55"/>
    <x v="11"/>
    <x v="12"/>
    <x v="20"/>
    <x v="15"/>
    <x v="12"/>
    <x v="6"/>
    <x v="3"/>
    <x v="15"/>
  </r>
  <r>
    <x v="523"/>
    <x v="523"/>
    <x v="269"/>
    <x v="70"/>
    <x v="462"/>
    <x v="1416"/>
    <x v="4"/>
    <x v="55"/>
    <x v="11"/>
    <x v="12"/>
    <x v="20"/>
    <x v="15"/>
    <x v="12"/>
    <x v="6"/>
    <x v="3"/>
    <x v="15"/>
  </r>
  <r>
    <x v="523"/>
    <x v="523"/>
    <x v="269"/>
    <x v="70"/>
    <x v="462"/>
    <x v="321"/>
    <x v="4"/>
    <x v="55"/>
    <x v="11"/>
    <x v="12"/>
    <x v="20"/>
    <x v="15"/>
    <x v="12"/>
    <x v="6"/>
    <x v="3"/>
    <x v="15"/>
  </r>
  <r>
    <x v="523"/>
    <x v="523"/>
    <x v="269"/>
    <x v="70"/>
    <x v="462"/>
    <x v="28"/>
    <x v="4"/>
    <x v="55"/>
    <x v="11"/>
    <x v="12"/>
    <x v="20"/>
    <x v="15"/>
    <x v="12"/>
    <x v="6"/>
    <x v="3"/>
    <x v="15"/>
  </r>
  <r>
    <x v="523"/>
    <x v="523"/>
    <x v="269"/>
    <x v="70"/>
    <x v="462"/>
    <x v="965"/>
    <x v="4"/>
    <x v="55"/>
    <x v="11"/>
    <x v="12"/>
    <x v="20"/>
    <x v="15"/>
    <x v="12"/>
    <x v="6"/>
    <x v="3"/>
    <x v="15"/>
  </r>
  <r>
    <x v="523"/>
    <x v="523"/>
    <x v="269"/>
    <x v="70"/>
    <x v="462"/>
    <x v="174"/>
    <x v="4"/>
    <x v="55"/>
    <x v="11"/>
    <x v="12"/>
    <x v="20"/>
    <x v="15"/>
    <x v="12"/>
    <x v="6"/>
    <x v="3"/>
    <x v="15"/>
  </r>
  <r>
    <x v="523"/>
    <x v="523"/>
    <x v="269"/>
    <x v="70"/>
    <x v="462"/>
    <x v="819"/>
    <x v="4"/>
    <x v="55"/>
    <x v="11"/>
    <x v="12"/>
    <x v="20"/>
    <x v="15"/>
    <x v="12"/>
    <x v="6"/>
    <x v="3"/>
    <x v="15"/>
  </r>
  <r>
    <x v="523"/>
    <x v="523"/>
    <x v="269"/>
    <x v="70"/>
    <x v="462"/>
    <x v="681"/>
    <x v="4"/>
    <x v="55"/>
    <x v="11"/>
    <x v="12"/>
    <x v="20"/>
    <x v="15"/>
    <x v="12"/>
    <x v="6"/>
    <x v="3"/>
    <x v="15"/>
  </r>
  <r>
    <x v="523"/>
    <x v="523"/>
    <x v="269"/>
    <x v="70"/>
    <x v="462"/>
    <x v="258"/>
    <x v="4"/>
    <x v="55"/>
    <x v="11"/>
    <x v="12"/>
    <x v="20"/>
    <x v="15"/>
    <x v="12"/>
    <x v="6"/>
    <x v="3"/>
    <x v="15"/>
  </r>
  <r>
    <x v="523"/>
    <x v="523"/>
    <x v="269"/>
    <x v="70"/>
    <x v="462"/>
    <x v="55"/>
    <x v="4"/>
    <x v="55"/>
    <x v="11"/>
    <x v="12"/>
    <x v="20"/>
    <x v="15"/>
    <x v="12"/>
    <x v="6"/>
    <x v="3"/>
    <x v="15"/>
  </r>
  <r>
    <x v="523"/>
    <x v="523"/>
    <x v="269"/>
    <x v="70"/>
    <x v="462"/>
    <x v="142"/>
    <x v="4"/>
    <x v="55"/>
    <x v="11"/>
    <x v="12"/>
    <x v="20"/>
    <x v="15"/>
    <x v="12"/>
    <x v="6"/>
    <x v="3"/>
    <x v="15"/>
  </r>
  <r>
    <x v="523"/>
    <x v="523"/>
    <x v="269"/>
    <x v="70"/>
    <x v="462"/>
    <x v="427"/>
    <x v="4"/>
    <x v="55"/>
    <x v="11"/>
    <x v="12"/>
    <x v="20"/>
    <x v="15"/>
    <x v="12"/>
    <x v="6"/>
    <x v="3"/>
    <x v="15"/>
  </r>
  <r>
    <x v="523"/>
    <x v="523"/>
    <x v="269"/>
    <x v="70"/>
    <x v="462"/>
    <x v="1095"/>
    <x v="4"/>
    <x v="55"/>
    <x v="11"/>
    <x v="12"/>
    <x v="20"/>
    <x v="15"/>
    <x v="12"/>
    <x v="6"/>
    <x v="3"/>
    <x v="15"/>
  </r>
  <r>
    <x v="523"/>
    <x v="523"/>
    <x v="269"/>
    <x v="70"/>
    <x v="462"/>
    <x v="1493"/>
    <x v="4"/>
    <x v="55"/>
    <x v="11"/>
    <x v="12"/>
    <x v="20"/>
    <x v="15"/>
    <x v="12"/>
    <x v="6"/>
    <x v="3"/>
    <x v="15"/>
  </r>
  <r>
    <x v="523"/>
    <x v="523"/>
    <x v="269"/>
    <x v="70"/>
    <x v="462"/>
    <x v="901"/>
    <x v="4"/>
    <x v="55"/>
    <x v="11"/>
    <x v="12"/>
    <x v="20"/>
    <x v="15"/>
    <x v="12"/>
    <x v="6"/>
    <x v="3"/>
    <x v="15"/>
  </r>
  <r>
    <x v="523"/>
    <x v="523"/>
    <x v="269"/>
    <x v="70"/>
    <x v="462"/>
    <x v="955"/>
    <x v="4"/>
    <x v="55"/>
    <x v="11"/>
    <x v="12"/>
    <x v="20"/>
    <x v="15"/>
    <x v="12"/>
    <x v="6"/>
    <x v="3"/>
    <x v="15"/>
  </r>
  <r>
    <x v="523"/>
    <x v="523"/>
    <x v="269"/>
    <x v="70"/>
    <x v="462"/>
    <x v="1129"/>
    <x v="4"/>
    <x v="55"/>
    <x v="11"/>
    <x v="12"/>
    <x v="20"/>
    <x v="15"/>
    <x v="12"/>
    <x v="6"/>
    <x v="3"/>
    <x v="15"/>
  </r>
  <r>
    <x v="523"/>
    <x v="523"/>
    <x v="269"/>
    <x v="70"/>
    <x v="462"/>
    <x v="16"/>
    <x v="4"/>
    <x v="55"/>
    <x v="11"/>
    <x v="12"/>
    <x v="20"/>
    <x v="15"/>
    <x v="12"/>
    <x v="6"/>
    <x v="3"/>
    <x v="15"/>
  </r>
  <r>
    <x v="523"/>
    <x v="523"/>
    <x v="269"/>
    <x v="70"/>
    <x v="462"/>
    <x v="1566"/>
    <x v="4"/>
    <x v="55"/>
    <x v="11"/>
    <x v="12"/>
    <x v="20"/>
    <x v="15"/>
    <x v="12"/>
    <x v="6"/>
    <x v="3"/>
    <x v="15"/>
  </r>
  <r>
    <x v="523"/>
    <x v="523"/>
    <x v="269"/>
    <x v="70"/>
    <x v="462"/>
    <x v="800"/>
    <x v="4"/>
    <x v="55"/>
    <x v="11"/>
    <x v="12"/>
    <x v="20"/>
    <x v="15"/>
    <x v="12"/>
    <x v="6"/>
    <x v="3"/>
    <x v="15"/>
  </r>
  <r>
    <x v="523"/>
    <x v="523"/>
    <x v="269"/>
    <x v="70"/>
    <x v="462"/>
    <x v="171"/>
    <x v="4"/>
    <x v="55"/>
    <x v="11"/>
    <x v="12"/>
    <x v="20"/>
    <x v="15"/>
    <x v="12"/>
    <x v="6"/>
    <x v="3"/>
    <x v="15"/>
  </r>
  <r>
    <x v="523"/>
    <x v="523"/>
    <x v="269"/>
    <x v="70"/>
    <x v="462"/>
    <x v="187"/>
    <x v="4"/>
    <x v="55"/>
    <x v="11"/>
    <x v="12"/>
    <x v="20"/>
    <x v="15"/>
    <x v="12"/>
    <x v="6"/>
    <x v="3"/>
    <x v="15"/>
  </r>
  <r>
    <x v="523"/>
    <x v="523"/>
    <x v="269"/>
    <x v="70"/>
    <x v="462"/>
    <x v="419"/>
    <x v="4"/>
    <x v="55"/>
    <x v="11"/>
    <x v="12"/>
    <x v="20"/>
    <x v="15"/>
    <x v="12"/>
    <x v="6"/>
    <x v="3"/>
    <x v="15"/>
  </r>
  <r>
    <x v="523"/>
    <x v="523"/>
    <x v="269"/>
    <x v="70"/>
    <x v="462"/>
    <x v="1413"/>
    <x v="4"/>
    <x v="55"/>
    <x v="11"/>
    <x v="12"/>
    <x v="20"/>
    <x v="15"/>
    <x v="12"/>
    <x v="6"/>
    <x v="3"/>
    <x v="15"/>
  </r>
  <r>
    <x v="523"/>
    <x v="523"/>
    <x v="269"/>
    <x v="70"/>
    <x v="462"/>
    <x v="468"/>
    <x v="4"/>
    <x v="55"/>
    <x v="11"/>
    <x v="12"/>
    <x v="20"/>
    <x v="15"/>
    <x v="12"/>
    <x v="6"/>
    <x v="3"/>
    <x v="15"/>
  </r>
  <r>
    <x v="523"/>
    <x v="523"/>
    <x v="269"/>
    <x v="70"/>
    <x v="462"/>
    <x v="185"/>
    <x v="4"/>
    <x v="55"/>
    <x v="11"/>
    <x v="12"/>
    <x v="20"/>
    <x v="15"/>
    <x v="12"/>
    <x v="6"/>
    <x v="3"/>
    <x v="15"/>
  </r>
  <r>
    <x v="523"/>
    <x v="523"/>
    <x v="269"/>
    <x v="70"/>
    <x v="462"/>
    <x v="1092"/>
    <x v="4"/>
    <x v="55"/>
    <x v="11"/>
    <x v="12"/>
    <x v="20"/>
    <x v="15"/>
    <x v="12"/>
    <x v="6"/>
    <x v="3"/>
    <x v="15"/>
  </r>
  <r>
    <x v="523"/>
    <x v="523"/>
    <x v="269"/>
    <x v="70"/>
    <x v="462"/>
    <x v="72"/>
    <x v="4"/>
    <x v="55"/>
    <x v="11"/>
    <x v="12"/>
    <x v="20"/>
    <x v="15"/>
    <x v="12"/>
    <x v="6"/>
    <x v="3"/>
    <x v="15"/>
  </r>
  <r>
    <x v="523"/>
    <x v="523"/>
    <x v="269"/>
    <x v="70"/>
    <x v="462"/>
    <x v="1400"/>
    <x v="4"/>
    <x v="55"/>
    <x v="11"/>
    <x v="12"/>
    <x v="20"/>
    <x v="15"/>
    <x v="12"/>
    <x v="6"/>
    <x v="3"/>
    <x v="15"/>
  </r>
  <r>
    <x v="523"/>
    <x v="523"/>
    <x v="269"/>
    <x v="70"/>
    <x v="462"/>
    <x v="787"/>
    <x v="4"/>
    <x v="55"/>
    <x v="11"/>
    <x v="12"/>
    <x v="20"/>
    <x v="15"/>
    <x v="12"/>
    <x v="6"/>
    <x v="3"/>
    <x v="15"/>
  </r>
  <r>
    <x v="523"/>
    <x v="523"/>
    <x v="269"/>
    <x v="70"/>
    <x v="462"/>
    <x v="37"/>
    <x v="4"/>
    <x v="55"/>
    <x v="11"/>
    <x v="12"/>
    <x v="20"/>
    <x v="15"/>
    <x v="12"/>
    <x v="6"/>
    <x v="3"/>
    <x v="15"/>
  </r>
  <r>
    <x v="523"/>
    <x v="523"/>
    <x v="269"/>
    <x v="70"/>
    <x v="462"/>
    <x v="848"/>
    <x v="4"/>
    <x v="55"/>
    <x v="11"/>
    <x v="12"/>
    <x v="20"/>
    <x v="15"/>
    <x v="12"/>
    <x v="6"/>
    <x v="3"/>
    <x v="15"/>
  </r>
  <r>
    <x v="523"/>
    <x v="523"/>
    <x v="269"/>
    <x v="70"/>
    <x v="462"/>
    <x v="565"/>
    <x v="4"/>
    <x v="55"/>
    <x v="11"/>
    <x v="12"/>
    <x v="20"/>
    <x v="15"/>
    <x v="12"/>
    <x v="6"/>
    <x v="3"/>
    <x v="15"/>
  </r>
  <r>
    <x v="523"/>
    <x v="523"/>
    <x v="269"/>
    <x v="70"/>
    <x v="462"/>
    <x v="910"/>
    <x v="4"/>
    <x v="55"/>
    <x v="11"/>
    <x v="12"/>
    <x v="20"/>
    <x v="15"/>
    <x v="12"/>
    <x v="6"/>
    <x v="3"/>
    <x v="15"/>
  </r>
  <r>
    <x v="523"/>
    <x v="523"/>
    <x v="269"/>
    <x v="70"/>
    <x v="462"/>
    <x v="1284"/>
    <x v="4"/>
    <x v="55"/>
    <x v="11"/>
    <x v="12"/>
    <x v="20"/>
    <x v="15"/>
    <x v="12"/>
    <x v="6"/>
    <x v="3"/>
    <x v="15"/>
  </r>
  <r>
    <x v="523"/>
    <x v="523"/>
    <x v="269"/>
    <x v="70"/>
    <x v="462"/>
    <x v="1228"/>
    <x v="4"/>
    <x v="55"/>
    <x v="11"/>
    <x v="12"/>
    <x v="20"/>
    <x v="15"/>
    <x v="12"/>
    <x v="6"/>
    <x v="3"/>
    <x v="15"/>
  </r>
  <r>
    <x v="523"/>
    <x v="523"/>
    <x v="269"/>
    <x v="70"/>
    <x v="462"/>
    <x v="105"/>
    <x v="4"/>
    <x v="55"/>
    <x v="11"/>
    <x v="12"/>
    <x v="20"/>
    <x v="15"/>
    <x v="12"/>
    <x v="6"/>
    <x v="3"/>
    <x v="15"/>
  </r>
  <r>
    <x v="523"/>
    <x v="523"/>
    <x v="269"/>
    <x v="70"/>
    <x v="462"/>
    <x v="723"/>
    <x v="4"/>
    <x v="55"/>
    <x v="11"/>
    <x v="12"/>
    <x v="20"/>
    <x v="15"/>
    <x v="12"/>
    <x v="6"/>
    <x v="3"/>
    <x v="15"/>
  </r>
  <r>
    <x v="523"/>
    <x v="523"/>
    <x v="269"/>
    <x v="70"/>
    <x v="462"/>
    <x v="517"/>
    <x v="4"/>
    <x v="55"/>
    <x v="11"/>
    <x v="12"/>
    <x v="20"/>
    <x v="15"/>
    <x v="12"/>
    <x v="6"/>
    <x v="3"/>
    <x v="15"/>
  </r>
  <r>
    <x v="523"/>
    <x v="523"/>
    <x v="269"/>
    <x v="70"/>
    <x v="462"/>
    <x v="1186"/>
    <x v="4"/>
    <x v="55"/>
    <x v="11"/>
    <x v="12"/>
    <x v="20"/>
    <x v="15"/>
    <x v="12"/>
    <x v="6"/>
    <x v="3"/>
    <x v="15"/>
  </r>
  <r>
    <x v="523"/>
    <x v="523"/>
    <x v="269"/>
    <x v="70"/>
    <x v="462"/>
    <x v="1313"/>
    <x v="4"/>
    <x v="55"/>
    <x v="11"/>
    <x v="12"/>
    <x v="20"/>
    <x v="15"/>
    <x v="12"/>
    <x v="6"/>
    <x v="3"/>
    <x v="15"/>
  </r>
  <r>
    <x v="523"/>
    <x v="523"/>
    <x v="269"/>
    <x v="70"/>
    <x v="462"/>
    <x v="655"/>
    <x v="4"/>
    <x v="55"/>
    <x v="11"/>
    <x v="12"/>
    <x v="20"/>
    <x v="15"/>
    <x v="12"/>
    <x v="6"/>
    <x v="3"/>
    <x v="15"/>
  </r>
  <r>
    <x v="523"/>
    <x v="523"/>
    <x v="269"/>
    <x v="70"/>
    <x v="462"/>
    <x v="1556"/>
    <x v="4"/>
    <x v="55"/>
    <x v="11"/>
    <x v="12"/>
    <x v="20"/>
    <x v="15"/>
    <x v="12"/>
    <x v="6"/>
    <x v="3"/>
    <x v="15"/>
  </r>
  <r>
    <x v="523"/>
    <x v="523"/>
    <x v="269"/>
    <x v="70"/>
    <x v="462"/>
    <x v="850"/>
    <x v="4"/>
    <x v="55"/>
    <x v="11"/>
    <x v="12"/>
    <x v="20"/>
    <x v="15"/>
    <x v="12"/>
    <x v="6"/>
    <x v="3"/>
    <x v="15"/>
  </r>
  <r>
    <x v="523"/>
    <x v="523"/>
    <x v="269"/>
    <x v="70"/>
    <x v="462"/>
    <x v="815"/>
    <x v="4"/>
    <x v="55"/>
    <x v="11"/>
    <x v="12"/>
    <x v="20"/>
    <x v="15"/>
    <x v="12"/>
    <x v="6"/>
    <x v="3"/>
    <x v="15"/>
  </r>
  <r>
    <x v="523"/>
    <x v="523"/>
    <x v="269"/>
    <x v="70"/>
    <x v="462"/>
    <x v="10"/>
    <x v="4"/>
    <x v="55"/>
    <x v="11"/>
    <x v="12"/>
    <x v="20"/>
    <x v="15"/>
    <x v="12"/>
    <x v="6"/>
    <x v="3"/>
    <x v="15"/>
  </r>
  <r>
    <x v="523"/>
    <x v="523"/>
    <x v="269"/>
    <x v="70"/>
    <x v="462"/>
    <x v="821"/>
    <x v="4"/>
    <x v="55"/>
    <x v="11"/>
    <x v="12"/>
    <x v="20"/>
    <x v="15"/>
    <x v="12"/>
    <x v="6"/>
    <x v="3"/>
    <x v="15"/>
  </r>
  <r>
    <x v="523"/>
    <x v="523"/>
    <x v="269"/>
    <x v="70"/>
    <x v="462"/>
    <x v="884"/>
    <x v="4"/>
    <x v="55"/>
    <x v="11"/>
    <x v="12"/>
    <x v="20"/>
    <x v="15"/>
    <x v="12"/>
    <x v="6"/>
    <x v="3"/>
    <x v="15"/>
  </r>
  <r>
    <x v="523"/>
    <x v="523"/>
    <x v="269"/>
    <x v="70"/>
    <x v="462"/>
    <x v="1009"/>
    <x v="4"/>
    <x v="55"/>
    <x v="11"/>
    <x v="12"/>
    <x v="20"/>
    <x v="15"/>
    <x v="12"/>
    <x v="6"/>
    <x v="3"/>
    <x v="15"/>
  </r>
  <r>
    <x v="523"/>
    <x v="523"/>
    <x v="269"/>
    <x v="70"/>
    <x v="462"/>
    <x v="1362"/>
    <x v="4"/>
    <x v="55"/>
    <x v="11"/>
    <x v="12"/>
    <x v="20"/>
    <x v="15"/>
    <x v="12"/>
    <x v="6"/>
    <x v="3"/>
    <x v="15"/>
  </r>
  <r>
    <x v="523"/>
    <x v="523"/>
    <x v="269"/>
    <x v="70"/>
    <x v="462"/>
    <x v="692"/>
    <x v="4"/>
    <x v="55"/>
    <x v="11"/>
    <x v="12"/>
    <x v="20"/>
    <x v="15"/>
    <x v="12"/>
    <x v="6"/>
    <x v="3"/>
    <x v="15"/>
  </r>
  <r>
    <x v="523"/>
    <x v="523"/>
    <x v="269"/>
    <x v="70"/>
    <x v="462"/>
    <x v="181"/>
    <x v="4"/>
    <x v="55"/>
    <x v="11"/>
    <x v="12"/>
    <x v="20"/>
    <x v="15"/>
    <x v="12"/>
    <x v="6"/>
    <x v="3"/>
    <x v="15"/>
  </r>
  <r>
    <x v="523"/>
    <x v="523"/>
    <x v="269"/>
    <x v="70"/>
    <x v="462"/>
    <x v="1086"/>
    <x v="4"/>
    <x v="55"/>
    <x v="11"/>
    <x v="12"/>
    <x v="20"/>
    <x v="15"/>
    <x v="12"/>
    <x v="6"/>
    <x v="3"/>
    <x v="15"/>
  </r>
  <r>
    <x v="523"/>
    <x v="523"/>
    <x v="269"/>
    <x v="70"/>
    <x v="462"/>
    <x v="793"/>
    <x v="4"/>
    <x v="55"/>
    <x v="11"/>
    <x v="12"/>
    <x v="20"/>
    <x v="15"/>
    <x v="12"/>
    <x v="6"/>
    <x v="3"/>
    <x v="15"/>
  </r>
  <r>
    <x v="523"/>
    <x v="523"/>
    <x v="269"/>
    <x v="70"/>
    <x v="462"/>
    <x v="680"/>
    <x v="4"/>
    <x v="55"/>
    <x v="11"/>
    <x v="12"/>
    <x v="20"/>
    <x v="15"/>
    <x v="12"/>
    <x v="6"/>
    <x v="3"/>
    <x v="15"/>
  </r>
  <r>
    <x v="523"/>
    <x v="523"/>
    <x v="269"/>
    <x v="70"/>
    <x v="462"/>
    <x v="1046"/>
    <x v="4"/>
    <x v="55"/>
    <x v="11"/>
    <x v="12"/>
    <x v="20"/>
    <x v="15"/>
    <x v="12"/>
    <x v="6"/>
    <x v="3"/>
    <x v="15"/>
  </r>
  <r>
    <x v="523"/>
    <x v="523"/>
    <x v="269"/>
    <x v="70"/>
    <x v="462"/>
    <x v="458"/>
    <x v="4"/>
    <x v="55"/>
    <x v="11"/>
    <x v="12"/>
    <x v="20"/>
    <x v="15"/>
    <x v="12"/>
    <x v="6"/>
    <x v="3"/>
    <x v="15"/>
  </r>
  <r>
    <x v="523"/>
    <x v="523"/>
    <x v="269"/>
    <x v="70"/>
    <x v="462"/>
    <x v="1252"/>
    <x v="4"/>
    <x v="55"/>
    <x v="11"/>
    <x v="12"/>
    <x v="20"/>
    <x v="15"/>
    <x v="12"/>
    <x v="6"/>
    <x v="3"/>
    <x v="15"/>
  </r>
  <r>
    <x v="523"/>
    <x v="523"/>
    <x v="269"/>
    <x v="70"/>
    <x v="462"/>
    <x v="576"/>
    <x v="4"/>
    <x v="55"/>
    <x v="11"/>
    <x v="12"/>
    <x v="20"/>
    <x v="15"/>
    <x v="12"/>
    <x v="6"/>
    <x v="3"/>
    <x v="15"/>
  </r>
  <r>
    <x v="523"/>
    <x v="523"/>
    <x v="269"/>
    <x v="70"/>
    <x v="462"/>
    <x v="1309"/>
    <x v="4"/>
    <x v="55"/>
    <x v="11"/>
    <x v="12"/>
    <x v="20"/>
    <x v="15"/>
    <x v="12"/>
    <x v="6"/>
    <x v="3"/>
    <x v="15"/>
  </r>
  <r>
    <x v="523"/>
    <x v="523"/>
    <x v="269"/>
    <x v="70"/>
    <x v="462"/>
    <x v="820"/>
    <x v="4"/>
    <x v="55"/>
    <x v="11"/>
    <x v="12"/>
    <x v="20"/>
    <x v="15"/>
    <x v="12"/>
    <x v="6"/>
    <x v="3"/>
    <x v="15"/>
  </r>
  <r>
    <x v="523"/>
    <x v="523"/>
    <x v="269"/>
    <x v="70"/>
    <x v="462"/>
    <x v="967"/>
    <x v="4"/>
    <x v="55"/>
    <x v="11"/>
    <x v="12"/>
    <x v="20"/>
    <x v="15"/>
    <x v="12"/>
    <x v="6"/>
    <x v="3"/>
    <x v="15"/>
  </r>
  <r>
    <x v="523"/>
    <x v="523"/>
    <x v="269"/>
    <x v="70"/>
    <x v="462"/>
    <x v="1465"/>
    <x v="4"/>
    <x v="55"/>
    <x v="11"/>
    <x v="12"/>
    <x v="20"/>
    <x v="15"/>
    <x v="12"/>
    <x v="6"/>
    <x v="3"/>
    <x v="15"/>
  </r>
  <r>
    <x v="523"/>
    <x v="523"/>
    <x v="269"/>
    <x v="70"/>
    <x v="462"/>
    <x v="572"/>
    <x v="4"/>
    <x v="55"/>
    <x v="11"/>
    <x v="12"/>
    <x v="20"/>
    <x v="15"/>
    <x v="12"/>
    <x v="6"/>
    <x v="3"/>
    <x v="15"/>
  </r>
  <r>
    <x v="523"/>
    <x v="523"/>
    <x v="269"/>
    <x v="70"/>
    <x v="462"/>
    <x v="906"/>
    <x v="4"/>
    <x v="55"/>
    <x v="11"/>
    <x v="12"/>
    <x v="20"/>
    <x v="15"/>
    <x v="12"/>
    <x v="6"/>
    <x v="3"/>
    <x v="15"/>
  </r>
  <r>
    <x v="523"/>
    <x v="523"/>
    <x v="269"/>
    <x v="70"/>
    <x v="462"/>
    <x v="758"/>
    <x v="4"/>
    <x v="55"/>
    <x v="11"/>
    <x v="12"/>
    <x v="20"/>
    <x v="15"/>
    <x v="12"/>
    <x v="6"/>
    <x v="3"/>
    <x v="15"/>
  </r>
  <r>
    <x v="523"/>
    <x v="523"/>
    <x v="269"/>
    <x v="70"/>
    <x v="462"/>
    <x v="1287"/>
    <x v="4"/>
    <x v="55"/>
    <x v="11"/>
    <x v="12"/>
    <x v="20"/>
    <x v="15"/>
    <x v="12"/>
    <x v="6"/>
    <x v="3"/>
    <x v="15"/>
  </r>
  <r>
    <x v="523"/>
    <x v="523"/>
    <x v="269"/>
    <x v="70"/>
    <x v="462"/>
    <x v="540"/>
    <x v="4"/>
    <x v="55"/>
    <x v="11"/>
    <x v="12"/>
    <x v="20"/>
    <x v="15"/>
    <x v="12"/>
    <x v="6"/>
    <x v="3"/>
    <x v="15"/>
  </r>
  <r>
    <x v="523"/>
    <x v="523"/>
    <x v="269"/>
    <x v="70"/>
    <x v="462"/>
    <x v="91"/>
    <x v="4"/>
    <x v="55"/>
    <x v="11"/>
    <x v="12"/>
    <x v="20"/>
    <x v="15"/>
    <x v="12"/>
    <x v="6"/>
    <x v="3"/>
    <x v="15"/>
  </r>
  <r>
    <x v="523"/>
    <x v="523"/>
    <x v="269"/>
    <x v="70"/>
    <x v="462"/>
    <x v="1333"/>
    <x v="4"/>
    <x v="55"/>
    <x v="11"/>
    <x v="12"/>
    <x v="20"/>
    <x v="15"/>
    <x v="12"/>
    <x v="6"/>
    <x v="3"/>
    <x v="15"/>
  </r>
  <r>
    <x v="523"/>
    <x v="523"/>
    <x v="269"/>
    <x v="70"/>
    <x v="462"/>
    <x v="1334"/>
    <x v="4"/>
    <x v="55"/>
    <x v="11"/>
    <x v="12"/>
    <x v="20"/>
    <x v="15"/>
    <x v="12"/>
    <x v="6"/>
    <x v="3"/>
    <x v="15"/>
  </r>
  <r>
    <x v="523"/>
    <x v="523"/>
    <x v="269"/>
    <x v="70"/>
    <x v="462"/>
    <x v="733"/>
    <x v="4"/>
    <x v="55"/>
    <x v="11"/>
    <x v="12"/>
    <x v="20"/>
    <x v="15"/>
    <x v="12"/>
    <x v="6"/>
    <x v="3"/>
    <x v="15"/>
  </r>
  <r>
    <x v="523"/>
    <x v="523"/>
    <x v="269"/>
    <x v="70"/>
    <x v="462"/>
    <x v="1484"/>
    <x v="4"/>
    <x v="55"/>
    <x v="11"/>
    <x v="12"/>
    <x v="20"/>
    <x v="15"/>
    <x v="12"/>
    <x v="6"/>
    <x v="3"/>
    <x v="15"/>
  </r>
  <r>
    <x v="523"/>
    <x v="523"/>
    <x v="269"/>
    <x v="70"/>
    <x v="462"/>
    <x v="1014"/>
    <x v="4"/>
    <x v="55"/>
    <x v="11"/>
    <x v="12"/>
    <x v="20"/>
    <x v="15"/>
    <x v="12"/>
    <x v="6"/>
    <x v="3"/>
    <x v="15"/>
  </r>
  <r>
    <x v="523"/>
    <x v="523"/>
    <x v="269"/>
    <x v="70"/>
    <x v="462"/>
    <x v="798"/>
    <x v="4"/>
    <x v="55"/>
    <x v="11"/>
    <x v="12"/>
    <x v="20"/>
    <x v="15"/>
    <x v="12"/>
    <x v="6"/>
    <x v="3"/>
    <x v="15"/>
  </r>
  <r>
    <x v="523"/>
    <x v="523"/>
    <x v="269"/>
    <x v="70"/>
    <x v="462"/>
    <x v="339"/>
    <x v="4"/>
    <x v="55"/>
    <x v="11"/>
    <x v="12"/>
    <x v="20"/>
    <x v="15"/>
    <x v="12"/>
    <x v="6"/>
    <x v="3"/>
    <x v="15"/>
  </r>
  <r>
    <x v="523"/>
    <x v="523"/>
    <x v="269"/>
    <x v="70"/>
    <x v="462"/>
    <x v="1347"/>
    <x v="4"/>
    <x v="55"/>
    <x v="11"/>
    <x v="12"/>
    <x v="20"/>
    <x v="15"/>
    <x v="12"/>
    <x v="6"/>
    <x v="3"/>
    <x v="15"/>
  </r>
  <r>
    <x v="523"/>
    <x v="523"/>
    <x v="269"/>
    <x v="70"/>
    <x v="462"/>
    <x v="587"/>
    <x v="4"/>
    <x v="55"/>
    <x v="11"/>
    <x v="12"/>
    <x v="20"/>
    <x v="15"/>
    <x v="12"/>
    <x v="6"/>
    <x v="3"/>
    <x v="15"/>
  </r>
  <r>
    <x v="523"/>
    <x v="523"/>
    <x v="269"/>
    <x v="70"/>
    <x v="462"/>
    <x v="1353"/>
    <x v="4"/>
    <x v="55"/>
    <x v="11"/>
    <x v="12"/>
    <x v="20"/>
    <x v="15"/>
    <x v="12"/>
    <x v="6"/>
    <x v="3"/>
    <x v="15"/>
  </r>
  <r>
    <x v="523"/>
    <x v="523"/>
    <x v="269"/>
    <x v="70"/>
    <x v="462"/>
    <x v="1081"/>
    <x v="4"/>
    <x v="55"/>
    <x v="11"/>
    <x v="12"/>
    <x v="20"/>
    <x v="15"/>
    <x v="12"/>
    <x v="6"/>
    <x v="3"/>
    <x v="15"/>
  </r>
  <r>
    <x v="523"/>
    <x v="523"/>
    <x v="269"/>
    <x v="70"/>
    <x v="462"/>
    <x v="909"/>
    <x v="4"/>
    <x v="55"/>
    <x v="11"/>
    <x v="12"/>
    <x v="20"/>
    <x v="15"/>
    <x v="12"/>
    <x v="6"/>
    <x v="3"/>
    <x v="15"/>
  </r>
  <r>
    <x v="523"/>
    <x v="523"/>
    <x v="269"/>
    <x v="70"/>
    <x v="462"/>
    <x v="1401"/>
    <x v="4"/>
    <x v="55"/>
    <x v="11"/>
    <x v="12"/>
    <x v="20"/>
    <x v="15"/>
    <x v="12"/>
    <x v="6"/>
    <x v="3"/>
    <x v="15"/>
  </r>
  <r>
    <x v="523"/>
    <x v="523"/>
    <x v="269"/>
    <x v="70"/>
    <x v="462"/>
    <x v="1554"/>
    <x v="4"/>
    <x v="55"/>
    <x v="11"/>
    <x v="12"/>
    <x v="20"/>
    <x v="15"/>
    <x v="12"/>
    <x v="6"/>
    <x v="3"/>
    <x v="15"/>
  </r>
  <r>
    <x v="523"/>
    <x v="523"/>
    <x v="269"/>
    <x v="70"/>
    <x v="462"/>
    <x v="218"/>
    <x v="4"/>
    <x v="55"/>
    <x v="11"/>
    <x v="12"/>
    <x v="20"/>
    <x v="15"/>
    <x v="12"/>
    <x v="6"/>
    <x v="3"/>
    <x v="15"/>
  </r>
  <r>
    <x v="523"/>
    <x v="523"/>
    <x v="269"/>
    <x v="70"/>
    <x v="462"/>
    <x v="134"/>
    <x v="4"/>
    <x v="55"/>
    <x v="11"/>
    <x v="12"/>
    <x v="20"/>
    <x v="15"/>
    <x v="12"/>
    <x v="6"/>
    <x v="3"/>
    <x v="15"/>
  </r>
  <r>
    <x v="523"/>
    <x v="523"/>
    <x v="269"/>
    <x v="70"/>
    <x v="462"/>
    <x v="1155"/>
    <x v="4"/>
    <x v="55"/>
    <x v="11"/>
    <x v="12"/>
    <x v="20"/>
    <x v="15"/>
    <x v="12"/>
    <x v="6"/>
    <x v="3"/>
    <x v="15"/>
  </r>
  <r>
    <x v="523"/>
    <x v="523"/>
    <x v="269"/>
    <x v="70"/>
    <x v="462"/>
    <x v="690"/>
    <x v="4"/>
    <x v="55"/>
    <x v="11"/>
    <x v="12"/>
    <x v="20"/>
    <x v="15"/>
    <x v="12"/>
    <x v="6"/>
    <x v="3"/>
    <x v="15"/>
  </r>
  <r>
    <x v="523"/>
    <x v="523"/>
    <x v="269"/>
    <x v="70"/>
    <x v="462"/>
    <x v="1538"/>
    <x v="4"/>
    <x v="55"/>
    <x v="11"/>
    <x v="12"/>
    <x v="20"/>
    <x v="15"/>
    <x v="12"/>
    <x v="6"/>
    <x v="3"/>
    <x v="15"/>
  </r>
  <r>
    <x v="523"/>
    <x v="523"/>
    <x v="269"/>
    <x v="70"/>
    <x v="462"/>
    <x v="1488"/>
    <x v="4"/>
    <x v="55"/>
    <x v="11"/>
    <x v="12"/>
    <x v="20"/>
    <x v="15"/>
    <x v="12"/>
    <x v="6"/>
    <x v="3"/>
    <x v="15"/>
  </r>
  <r>
    <x v="523"/>
    <x v="523"/>
    <x v="269"/>
    <x v="70"/>
    <x v="462"/>
    <x v="1475"/>
    <x v="4"/>
    <x v="55"/>
    <x v="11"/>
    <x v="12"/>
    <x v="20"/>
    <x v="15"/>
    <x v="12"/>
    <x v="6"/>
    <x v="3"/>
    <x v="15"/>
  </r>
  <r>
    <x v="523"/>
    <x v="523"/>
    <x v="269"/>
    <x v="70"/>
    <x v="462"/>
    <x v="242"/>
    <x v="4"/>
    <x v="55"/>
    <x v="11"/>
    <x v="12"/>
    <x v="20"/>
    <x v="15"/>
    <x v="12"/>
    <x v="6"/>
    <x v="3"/>
    <x v="15"/>
  </r>
  <r>
    <x v="523"/>
    <x v="523"/>
    <x v="269"/>
    <x v="70"/>
    <x v="462"/>
    <x v="1295"/>
    <x v="4"/>
    <x v="55"/>
    <x v="11"/>
    <x v="12"/>
    <x v="20"/>
    <x v="15"/>
    <x v="12"/>
    <x v="6"/>
    <x v="3"/>
    <x v="15"/>
  </r>
  <r>
    <x v="523"/>
    <x v="523"/>
    <x v="269"/>
    <x v="70"/>
    <x v="462"/>
    <x v="801"/>
    <x v="4"/>
    <x v="55"/>
    <x v="11"/>
    <x v="12"/>
    <x v="20"/>
    <x v="15"/>
    <x v="12"/>
    <x v="6"/>
    <x v="3"/>
    <x v="15"/>
  </r>
  <r>
    <x v="523"/>
    <x v="523"/>
    <x v="269"/>
    <x v="70"/>
    <x v="462"/>
    <x v="667"/>
    <x v="4"/>
    <x v="55"/>
    <x v="11"/>
    <x v="12"/>
    <x v="20"/>
    <x v="15"/>
    <x v="12"/>
    <x v="6"/>
    <x v="3"/>
    <x v="15"/>
  </r>
  <r>
    <x v="523"/>
    <x v="523"/>
    <x v="269"/>
    <x v="70"/>
    <x v="462"/>
    <x v="1483"/>
    <x v="4"/>
    <x v="55"/>
    <x v="11"/>
    <x v="12"/>
    <x v="20"/>
    <x v="15"/>
    <x v="12"/>
    <x v="6"/>
    <x v="3"/>
    <x v="15"/>
  </r>
  <r>
    <x v="523"/>
    <x v="523"/>
    <x v="269"/>
    <x v="70"/>
    <x v="462"/>
    <x v="519"/>
    <x v="4"/>
    <x v="55"/>
    <x v="11"/>
    <x v="12"/>
    <x v="20"/>
    <x v="15"/>
    <x v="12"/>
    <x v="6"/>
    <x v="3"/>
    <x v="15"/>
  </r>
  <r>
    <x v="523"/>
    <x v="523"/>
    <x v="269"/>
    <x v="70"/>
    <x v="462"/>
    <x v="149"/>
    <x v="4"/>
    <x v="55"/>
    <x v="11"/>
    <x v="12"/>
    <x v="20"/>
    <x v="15"/>
    <x v="12"/>
    <x v="6"/>
    <x v="3"/>
    <x v="15"/>
  </r>
  <r>
    <x v="523"/>
    <x v="523"/>
    <x v="269"/>
    <x v="70"/>
    <x v="462"/>
    <x v="890"/>
    <x v="4"/>
    <x v="55"/>
    <x v="11"/>
    <x v="12"/>
    <x v="20"/>
    <x v="15"/>
    <x v="12"/>
    <x v="6"/>
    <x v="3"/>
    <x v="15"/>
  </r>
  <r>
    <x v="523"/>
    <x v="523"/>
    <x v="269"/>
    <x v="70"/>
    <x v="462"/>
    <x v="1003"/>
    <x v="4"/>
    <x v="55"/>
    <x v="11"/>
    <x v="12"/>
    <x v="20"/>
    <x v="15"/>
    <x v="12"/>
    <x v="6"/>
    <x v="3"/>
    <x v="15"/>
  </r>
  <r>
    <x v="523"/>
    <x v="523"/>
    <x v="269"/>
    <x v="70"/>
    <x v="462"/>
    <x v="1464"/>
    <x v="4"/>
    <x v="55"/>
    <x v="11"/>
    <x v="12"/>
    <x v="20"/>
    <x v="15"/>
    <x v="12"/>
    <x v="6"/>
    <x v="3"/>
    <x v="15"/>
  </r>
  <r>
    <x v="523"/>
    <x v="523"/>
    <x v="269"/>
    <x v="70"/>
    <x v="462"/>
    <x v="1370"/>
    <x v="4"/>
    <x v="55"/>
    <x v="11"/>
    <x v="12"/>
    <x v="20"/>
    <x v="15"/>
    <x v="12"/>
    <x v="6"/>
    <x v="3"/>
    <x v="15"/>
  </r>
  <r>
    <x v="523"/>
    <x v="523"/>
    <x v="269"/>
    <x v="70"/>
    <x v="462"/>
    <x v="536"/>
    <x v="4"/>
    <x v="55"/>
    <x v="11"/>
    <x v="12"/>
    <x v="20"/>
    <x v="15"/>
    <x v="12"/>
    <x v="6"/>
    <x v="3"/>
    <x v="15"/>
  </r>
  <r>
    <x v="523"/>
    <x v="523"/>
    <x v="269"/>
    <x v="70"/>
    <x v="462"/>
    <x v="1060"/>
    <x v="4"/>
    <x v="55"/>
    <x v="11"/>
    <x v="12"/>
    <x v="20"/>
    <x v="15"/>
    <x v="12"/>
    <x v="6"/>
    <x v="3"/>
    <x v="15"/>
  </r>
  <r>
    <x v="523"/>
    <x v="523"/>
    <x v="269"/>
    <x v="70"/>
    <x v="462"/>
    <x v="662"/>
    <x v="4"/>
    <x v="55"/>
    <x v="11"/>
    <x v="12"/>
    <x v="20"/>
    <x v="15"/>
    <x v="12"/>
    <x v="6"/>
    <x v="3"/>
    <x v="15"/>
  </r>
  <r>
    <x v="523"/>
    <x v="523"/>
    <x v="269"/>
    <x v="70"/>
    <x v="462"/>
    <x v="1565"/>
    <x v="4"/>
    <x v="55"/>
    <x v="11"/>
    <x v="12"/>
    <x v="20"/>
    <x v="15"/>
    <x v="12"/>
    <x v="6"/>
    <x v="3"/>
    <x v="15"/>
  </r>
  <r>
    <x v="523"/>
    <x v="523"/>
    <x v="269"/>
    <x v="70"/>
    <x v="462"/>
    <x v="1288"/>
    <x v="4"/>
    <x v="55"/>
    <x v="11"/>
    <x v="12"/>
    <x v="20"/>
    <x v="15"/>
    <x v="12"/>
    <x v="6"/>
    <x v="3"/>
    <x v="15"/>
  </r>
  <r>
    <x v="523"/>
    <x v="523"/>
    <x v="269"/>
    <x v="70"/>
    <x v="462"/>
    <x v="259"/>
    <x v="4"/>
    <x v="55"/>
    <x v="11"/>
    <x v="12"/>
    <x v="20"/>
    <x v="15"/>
    <x v="12"/>
    <x v="6"/>
    <x v="3"/>
    <x v="15"/>
  </r>
  <r>
    <x v="523"/>
    <x v="523"/>
    <x v="269"/>
    <x v="70"/>
    <x v="462"/>
    <x v="343"/>
    <x v="4"/>
    <x v="55"/>
    <x v="11"/>
    <x v="12"/>
    <x v="20"/>
    <x v="15"/>
    <x v="12"/>
    <x v="6"/>
    <x v="3"/>
    <x v="15"/>
  </r>
  <r>
    <x v="523"/>
    <x v="523"/>
    <x v="269"/>
    <x v="70"/>
    <x v="462"/>
    <x v="876"/>
    <x v="4"/>
    <x v="55"/>
    <x v="11"/>
    <x v="12"/>
    <x v="20"/>
    <x v="15"/>
    <x v="12"/>
    <x v="6"/>
    <x v="3"/>
    <x v="15"/>
  </r>
  <r>
    <x v="523"/>
    <x v="523"/>
    <x v="269"/>
    <x v="70"/>
    <x v="462"/>
    <x v="1348"/>
    <x v="4"/>
    <x v="55"/>
    <x v="11"/>
    <x v="12"/>
    <x v="20"/>
    <x v="15"/>
    <x v="12"/>
    <x v="6"/>
    <x v="3"/>
    <x v="15"/>
  </r>
  <r>
    <x v="523"/>
    <x v="523"/>
    <x v="269"/>
    <x v="70"/>
    <x v="462"/>
    <x v="1188"/>
    <x v="4"/>
    <x v="55"/>
    <x v="11"/>
    <x v="12"/>
    <x v="20"/>
    <x v="15"/>
    <x v="12"/>
    <x v="6"/>
    <x v="3"/>
    <x v="15"/>
  </r>
  <r>
    <x v="523"/>
    <x v="523"/>
    <x v="269"/>
    <x v="70"/>
    <x v="462"/>
    <x v="830"/>
    <x v="4"/>
    <x v="55"/>
    <x v="11"/>
    <x v="12"/>
    <x v="20"/>
    <x v="15"/>
    <x v="12"/>
    <x v="6"/>
    <x v="3"/>
    <x v="15"/>
  </r>
  <r>
    <x v="523"/>
    <x v="523"/>
    <x v="269"/>
    <x v="70"/>
    <x v="462"/>
    <x v="1366"/>
    <x v="4"/>
    <x v="55"/>
    <x v="11"/>
    <x v="12"/>
    <x v="20"/>
    <x v="15"/>
    <x v="12"/>
    <x v="6"/>
    <x v="3"/>
    <x v="15"/>
  </r>
  <r>
    <x v="523"/>
    <x v="523"/>
    <x v="269"/>
    <x v="70"/>
    <x v="462"/>
    <x v="336"/>
    <x v="4"/>
    <x v="55"/>
    <x v="11"/>
    <x v="12"/>
    <x v="20"/>
    <x v="15"/>
    <x v="12"/>
    <x v="6"/>
    <x v="3"/>
    <x v="15"/>
  </r>
  <r>
    <x v="523"/>
    <x v="523"/>
    <x v="269"/>
    <x v="70"/>
    <x v="462"/>
    <x v="1318"/>
    <x v="4"/>
    <x v="55"/>
    <x v="11"/>
    <x v="12"/>
    <x v="20"/>
    <x v="15"/>
    <x v="12"/>
    <x v="6"/>
    <x v="3"/>
    <x v="15"/>
  </r>
  <r>
    <x v="523"/>
    <x v="523"/>
    <x v="269"/>
    <x v="70"/>
    <x v="462"/>
    <x v="930"/>
    <x v="4"/>
    <x v="55"/>
    <x v="11"/>
    <x v="12"/>
    <x v="20"/>
    <x v="15"/>
    <x v="12"/>
    <x v="6"/>
    <x v="3"/>
    <x v="15"/>
  </r>
  <r>
    <x v="523"/>
    <x v="523"/>
    <x v="269"/>
    <x v="70"/>
    <x v="462"/>
    <x v="264"/>
    <x v="4"/>
    <x v="55"/>
    <x v="11"/>
    <x v="12"/>
    <x v="20"/>
    <x v="15"/>
    <x v="12"/>
    <x v="6"/>
    <x v="3"/>
    <x v="15"/>
  </r>
  <r>
    <x v="523"/>
    <x v="523"/>
    <x v="269"/>
    <x v="70"/>
    <x v="462"/>
    <x v="445"/>
    <x v="4"/>
    <x v="55"/>
    <x v="11"/>
    <x v="12"/>
    <x v="20"/>
    <x v="15"/>
    <x v="12"/>
    <x v="6"/>
    <x v="3"/>
    <x v="15"/>
  </r>
  <r>
    <x v="523"/>
    <x v="523"/>
    <x v="269"/>
    <x v="70"/>
    <x v="462"/>
    <x v="606"/>
    <x v="4"/>
    <x v="55"/>
    <x v="11"/>
    <x v="12"/>
    <x v="20"/>
    <x v="15"/>
    <x v="12"/>
    <x v="6"/>
    <x v="3"/>
    <x v="15"/>
  </r>
  <r>
    <x v="523"/>
    <x v="523"/>
    <x v="269"/>
    <x v="70"/>
    <x v="462"/>
    <x v="1473"/>
    <x v="4"/>
    <x v="55"/>
    <x v="11"/>
    <x v="12"/>
    <x v="20"/>
    <x v="15"/>
    <x v="12"/>
    <x v="6"/>
    <x v="3"/>
    <x v="15"/>
  </r>
  <r>
    <x v="523"/>
    <x v="523"/>
    <x v="269"/>
    <x v="70"/>
    <x v="462"/>
    <x v="375"/>
    <x v="4"/>
    <x v="55"/>
    <x v="11"/>
    <x v="12"/>
    <x v="20"/>
    <x v="15"/>
    <x v="12"/>
    <x v="6"/>
    <x v="3"/>
    <x v="15"/>
  </r>
  <r>
    <x v="523"/>
    <x v="523"/>
    <x v="269"/>
    <x v="70"/>
    <x v="462"/>
    <x v="703"/>
    <x v="4"/>
    <x v="55"/>
    <x v="11"/>
    <x v="12"/>
    <x v="20"/>
    <x v="15"/>
    <x v="12"/>
    <x v="6"/>
    <x v="3"/>
    <x v="15"/>
  </r>
  <r>
    <x v="523"/>
    <x v="523"/>
    <x v="269"/>
    <x v="70"/>
    <x v="462"/>
    <x v="1133"/>
    <x v="4"/>
    <x v="55"/>
    <x v="11"/>
    <x v="12"/>
    <x v="20"/>
    <x v="15"/>
    <x v="12"/>
    <x v="6"/>
    <x v="3"/>
    <x v="15"/>
  </r>
  <r>
    <x v="523"/>
    <x v="523"/>
    <x v="269"/>
    <x v="70"/>
    <x v="462"/>
    <x v="982"/>
    <x v="4"/>
    <x v="55"/>
    <x v="11"/>
    <x v="12"/>
    <x v="20"/>
    <x v="15"/>
    <x v="12"/>
    <x v="6"/>
    <x v="3"/>
    <x v="15"/>
  </r>
  <r>
    <x v="523"/>
    <x v="523"/>
    <x v="269"/>
    <x v="70"/>
    <x v="462"/>
    <x v="1198"/>
    <x v="4"/>
    <x v="55"/>
    <x v="11"/>
    <x v="12"/>
    <x v="20"/>
    <x v="15"/>
    <x v="12"/>
    <x v="6"/>
    <x v="3"/>
    <x v="15"/>
  </r>
  <r>
    <x v="523"/>
    <x v="523"/>
    <x v="269"/>
    <x v="70"/>
    <x v="462"/>
    <x v="20"/>
    <x v="4"/>
    <x v="55"/>
    <x v="11"/>
    <x v="12"/>
    <x v="20"/>
    <x v="15"/>
    <x v="12"/>
    <x v="6"/>
    <x v="3"/>
    <x v="15"/>
  </r>
  <r>
    <x v="523"/>
    <x v="523"/>
    <x v="269"/>
    <x v="70"/>
    <x v="462"/>
    <x v="1217"/>
    <x v="4"/>
    <x v="55"/>
    <x v="11"/>
    <x v="12"/>
    <x v="20"/>
    <x v="15"/>
    <x v="12"/>
    <x v="6"/>
    <x v="3"/>
    <x v="15"/>
  </r>
  <r>
    <x v="523"/>
    <x v="523"/>
    <x v="269"/>
    <x v="70"/>
    <x v="462"/>
    <x v="973"/>
    <x v="4"/>
    <x v="55"/>
    <x v="11"/>
    <x v="12"/>
    <x v="20"/>
    <x v="15"/>
    <x v="12"/>
    <x v="6"/>
    <x v="3"/>
    <x v="15"/>
  </r>
  <r>
    <x v="523"/>
    <x v="523"/>
    <x v="269"/>
    <x v="70"/>
    <x v="462"/>
    <x v="1041"/>
    <x v="4"/>
    <x v="55"/>
    <x v="11"/>
    <x v="12"/>
    <x v="20"/>
    <x v="15"/>
    <x v="12"/>
    <x v="6"/>
    <x v="3"/>
    <x v="15"/>
  </r>
  <r>
    <x v="523"/>
    <x v="523"/>
    <x v="269"/>
    <x v="70"/>
    <x v="462"/>
    <x v="1064"/>
    <x v="4"/>
    <x v="55"/>
    <x v="11"/>
    <x v="12"/>
    <x v="20"/>
    <x v="15"/>
    <x v="12"/>
    <x v="6"/>
    <x v="3"/>
    <x v="15"/>
  </r>
  <r>
    <x v="523"/>
    <x v="523"/>
    <x v="269"/>
    <x v="70"/>
    <x v="462"/>
    <x v="1221"/>
    <x v="4"/>
    <x v="55"/>
    <x v="11"/>
    <x v="12"/>
    <x v="20"/>
    <x v="15"/>
    <x v="12"/>
    <x v="6"/>
    <x v="3"/>
    <x v="15"/>
  </r>
  <r>
    <x v="523"/>
    <x v="523"/>
    <x v="269"/>
    <x v="70"/>
    <x v="462"/>
    <x v="125"/>
    <x v="4"/>
    <x v="55"/>
    <x v="11"/>
    <x v="12"/>
    <x v="20"/>
    <x v="15"/>
    <x v="12"/>
    <x v="6"/>
    <x v="3"/>
    <x v="15"/>
  </r>
  <r>
    <x v="523"/>
    <x v="523"/>
    <x v="269"/>
    <x v="70"/>
    <x v="462"/>
    <x v="1541"/>
    <x v="4"/>
    <x v="55"/>
    <x v="11"/>
    <x v="12"/>
    <x v="20"/>
    <x v="15"/>
    <x v="12"/>
    <x v="6"/>
    <x v="3"/>
    <x v="15"/>
  </r>
  <r>
    <x v="523"/>
    <x v="523"/>
    <x v="269"/>
    <x v="70"/>
    <x v="462"/>
    <x v="1159"/>
    <x v="4"/>
    <x v="55"/>
    <x v="11"/>
    <x v="12"/>
    <x v="20"/>
    <x v="15"/>
    <x v="12"/>
    <x v="6"/>
    <x v="3"/>
    <x v="15"/>
  </r>
  <r>
    <x v="523"/>
    <x v="523"/>
    <x v="269"/>
    <x v="70"/>
    <x v="462"/>
    <x v="1460"/>
    <x v="4"/>
    <x v="55"/>
    <x v="11"/>
    <x v="12"/>
    <x v="20"/>
    <x v="15"/>
    <x v="12"/>
    <x v="6"/>
    <x v="3"/>
    <x v="15"/>
  </r>
  <r>
    <x v="523"/>
    <x v="523"/>
    <x v="269"/>
    <x v="70"/>
    <x v="462"/>
    <x v="962"/>
    <x v="4"/>
    <x v="55"/>
    <x v="11"/>
    <x v="12"/>
    <x v="20"/>
    <x v="15"/>
    <x v="12"/>
    <x v="6"/>
    <x v="3"/>
    <x v="15"/>
  </r>
  <r>
    <x v="523"/>
    <x v="523"/>
    <x v="269"/>
    <x v="70"/>
    <x v="462"/>
    <x v="1518"/>
    <x v="4"/>
    <x v="55"/>
    <x v="11"/>
    <x v="12"/>
    <x v="20"/>
    <x v="15"/>
    <x v="12"/>
    <x v="6"/>
    <x v="3"/>
    <x v="15"/>
  </r>
  <r>
    <x v="523"/>
    <x v="523"/>
    <x v="269"/>
    <x v="70"/>
    <x v="462"/>
    <x v="582"/>
    <x v="4"/>
    <x v="55"/>
    <x v="11"/>
    <x v="12"/>
    <x v="20"/>
    <x v="15"/>
    <x v="12"/>
    <x v="6"/>
    <x v="3"/>
    <x v="15"/>
  </r>
  <r>
    <x v="523"/>
    <x v="523"/>
    <x v="269"/>
    <x v="70"/>
    <x v="462"/>
    <x v="1377"/>
    <x v="4"/>
    <x v="55"/>
    <x v="11"/>
    <x v="12"/>
    <x v="20"/>
    <x v="15"/>
    <x v="12"/>
    <x v="6"/>
    <x v="3"/>
    <x v="15"/>
  </r>
  <r>
    <x v="523"/>
    <x v="523"/>
    <x v="269"/>
    <x v="70"/>
    <x v="462"/>
    <x v="1508"/>
    <x v="4"/>
    <x v="55"/>
    <x v="11"/>
    <x v="12"/>
    <x v="20"/>
    <x v="15"/>
    <x v="12"/>
    <x v="6"/>
    <x v="3"/>
    <x v="15"/>
  </r>
  <r>
    <x v="523"/>
    <x v="523"/>
    <x v="269"/>
    <x v="70"/>
    <x v="462"/>
    <x v="1150"/>
    <x v="4"/>
    <x v="55"/>
    <x v="11"/>
    <x v="12"/>
    <x v="20"/>
    <x v="15"/>
    <x v="12"/>
    <x v="6"/>
    <x v="3"/>
    <x v="15"/>
  </r>
  <r>
    <x v="523"/>
    <x v="523"/>
    <x v="269"/>
    <x v="70"/>
    <x v="462"/>
    <x v="1177"/>
    <x v="4"/>
    <x v="55"/>
    <x v="11"/>
    <x v="12"/>
    <x v="20"/>
    <x v="15"/>
    <x v="12"/>
    <x v="6"/>
    <x v="3"/>
    <x v="15"/>
  </r>
  <r>
    <x v="523"/>
    <x v="523"/>
    <x v="269"/>
    <x v="70"/>
    <x v="462"/>
    <x v="387"/>
    <x v="4"/>
    <x v="55"/>
    <x v="11"/>
    <x v="12"/>
    <x v="20"/>
    <x v="15"/>
    <x v="12"/>
    <x v="6"/>
    <x v="3"/>
    <x v="15"/>
  </r>
  <r>
    <x v="523"/>
    <x v="523"/>
    <x v="269"/>
    <x v="70"/>
    <x v="462"/>
    <x v="254"/>
    <x v="4"/>
    <x v="55"/>
    <x v="11"/>
    <x v="12"/>
    <x v="20"/>
    <x v="15"/>
    <x v="12"/>
    <x v="6"/>
    <x v="3"/>
    <x v="15"/>
  </r>
  <r>
    <x v="523"/>
    <x v="523"/>
    <x v="269"/>
    <x v="70"/>
    <x v="462"/>
    <x v="160"/>
    <x v="4"/>
    <x v="55"/>
    <x v="11"/>
    <x v="12"/>
    <x v="20"/>
    <x v="15"/>
    <x v="12"/>
    <x v="6"/>
    <x v="3"/>
    <x v="15"/>
  </r>
  <r>
    <x v="523"/>
    <x v="523"/>
    <x v="269"/>
    <x v="70"/>
    <x v="462"/>
    <x v="999"/>
    <x v="4"/>
    <x v="55"/>
    <x v="11"/>
    <x v="12"/>
    <x v="20"/>
    <x v="15"/>
    <x v="12"/>
    <x v="6"/>
    <x v="3"/>
    <x v="15"/>
  </r>
  <r>
    <x v="523"/>
    <x v="523"/>
    <x v="269"/>
    <x v="70"/>
    <x v="462"/>
    <x v="1515"/>
    <x v="4"/>
    <x v="55"/>
    <x v="11"/>
    <x v="12"/>
    <x v="20"/>
    <x v="15"/>
    <x v="12"/>
    <x v="6"/>
    <x v="3"/>
    <x v="15"/>
  </r>
  <r>
    <x v="523"/>
    <x v="523"/>
    <x v="269"/>
    <x v="70"/>
    <x v="462"/>
    <x v="959"/>
    <x v="4"/>
    <x v="55"/>
    <x v="11"/>
    <x v="12"/>
    <x v="20"/>
    <x v="15"/>
    <x v="12"/>
    <x v="6"/>
    <x v="3"/>
    <x v="15"/>
  </r>
  <r>
    <x v="523"/>
    <x v="523"/>
    <x v="269"/>
    <x v="70"/>
    <x v="462"/>
    <x v="1548"/>
    <x v="4"/>
    <x v="55"/>
    <x v="11"/>
    <x v="12"/>
    <x v="20"/>
    <x v="15"/>
    <x v="12"/>
    <x v="6"/>
    <x v="3"/>
    <x v="15"/>
  </r>
  <r>
    <x v="523"/>
    <x v="523"/>
    <x v="269"/>
    <x v="70"/>
    <x v="462"/>
    <x v="278"/>
    <x v="4"/>
    <x v="55"/>
    <x v="11"/>
    <x v="12"/>
    <x v="20"/>
    <x v="15"/>
    <x v="12"/>
    <x v="6"/>
    <x v="3"/>
    <x v="15"/>
  </r>
  <r>
    <x v="523"/>
    <x v="523"/>
    <x v="269"/>
    <x v="70"/>
    <x v="462"/>
    <x v="783"/>
    <x v="4"/>
    <x v="55"/>
    <x v="11"/>
    <x v="12"/>
    <x v="20"/>
    <x v="15"/>
    <x v="12"/>
    <x v="6"/>
    <x v="3"/>
    <x v="15"/>
  </r>
  <r>
    <x v="523"/>
    <x v="523"/>
    <x v="269"/>
    <x v="70"/>
    <x v="462"/>
    <x v="1098"/>
    <x v="4"/>
    <x v="55"/>
    <x v="11"/>
    <x v="12"/>
    <x v="20"/>
    <x v="15"/>
    <x v="12"/>
    <x v="6"/>
    <x v="3"/>
    <x v="15"/>
  </r>
  <r>
    <x v="523"/>
    <x v="523"/>
    <x v="269"/>
    <x v="70"/>
    <x v="462"/>
    <x v="388"/>
    <x v="4"/>
    <x v="55"/>
    <x v="11"/>
    <x v="12"/>
    <x v="20"/>
    <x v="15"/>
    <x v="12"/>
    <x v="6"/>
    <x v="3"/>
    <x v="15"/>
  </r>
  <r>
    <x v="523"/>
    <x v="523"/>
    <x v="269"/>
    <x v="70"/>
    <x v="462"/>
    <x v="742"/>
    <x v="4"/>
    <x v="55"/>
    <x v="11"/>
    <x v="12"/>
    <x v="20"/>
    <x v="15"/>
    <x v="12"/>
    <x v="6"/>
    <x v="3"/>
    <x v="15"/>
  </r>
  <r>
    <x v="523"/>
    <x v="523"/>
    <x v="269"/>
    <x v="70"/>
    <x v="462"/>
    <x v="1312"/>
    <x v="4"/>
    <x v="55"/>
    <x v="11"/>
    <x v="12"/>
    <x v="20"/>
    <x v="15"/>
    <x v="12"/>
    <x v="6"/>
    <x v="3"/>
    <x v="15"/>
  </r>
  <r>
    <x v="523"/>
    <x v="523"/>
    <x v="269"/>
    <x v="70"/>
    <x v="462"/>
    <x v="215"/>
    <x v="4"/>
    <x v="55"/>
    <x v="11"/>
    <x v="12"/>
    <x v="20"/>
    <x v="15"/>
    <x v="12"/>
    <x v="6"/>
    <x v="3"/>
    <x v="15"/>
  </r>
  <r>
    <x v="523"/>
    <x v="523"/>
    <x v="269"/>
    <x v="70"/>
    <x v="462"/>
    <x v="1420"/>
    <x v="4"/>
    <x v="55"/>
    <x v="11"/>
    <x v="12"/>
    <x v="20"/>
    <x v="15"/>
    <x v="12"/>
    <x v="6"/>
    <x v="3"/>
    <x v="15"/>
  </r>
  <r>
    <x v="523"/>
    <x v="523"/>
    <x v="269"/>
    <x v="70"/>
    <x v="462"/>
    <x v="255"/>
    <x v="4"/>
    <x v="55"/>
    <x v="11"/>
    <x v="12"/>
    <x v="20"/>
    <x v="15"/>
    <x v="12"/>
    <x v="6"/>
    <x v="3"/>
    <x v="15"/>
  </r>
  <r>
    <x v="523"/>
    <x v="523"/>
    <x v="269"/>
    <x v="70"/>
    <x v="462"/>
    <x v="974"/>
    <x v="4"/>
    <x v="55"/>
    <x v="11"/>
    <x v="12"/>
    <x v="20"/>
    <x v="15"/>
    <x v="12"/>
    <x v="6"/>
    <x v="3"/>
    <x v="15"/>
  </r>
  <r>
    <x v="523"/>
    <x v="523"/>
    <x v="269"/>
    <x v="70"/>
    <x v="462"/>
    <x v="1134"/>
    <x v="4"/>
    <x v="55"/>
    <x v="11"/>
    <x v="12"/>
    <x v="20"/>
    <x v="15"/>
    <x v="12"/>
    <x v="6"/>
    <x v="3"/>
    <x v="15"/>
  </r>
  <r>
    <x v="523"/>
    <x v="523"/>
    <x v="269"/>
    <x v="70"/>
    <x v="462"/>
    <x v="1545"/>
    <x v="4"/>
    <x v="55"/>
    <x v="11"/>
    <x v="12"/>
    <x v="20"/>
    <x v="15"/>
    <x v="12"/>
    <x v="6"/>
    <x v="3"/>
    <x v="15"/>
  </r>
  <r>
    <x v="523"/>
    <x v="523"/>
    <x v="269"/>
    <x v="70"/>
    <x v="462"/>
    <x v="71"/>
    <x v="4"/>
    <x v="55"/>
    <x v="11"/>
    <x v="12"/>
    <x v="20"/>
    <x v="15"/>
    <x v="12"/>
    <x v="6"/>
    <x v="3"/>
    <x v="15"/>
  </r>
  <r>
    <x v="523"/>
    <x v="523"/>
    <x v="269"/>
    <x v="70"/>
    <x v="462"/>
    <x v="1167"/>
    <x v="4"/>
    <x v="55"/>
    <x v="11"/>
    <x v="12"/>
    <x v="20"/>
    <x v="15"/>
    <x v="12"/>
    <x v="6"/>
    <x v="3"/>
    <x v="15"/>
  </r>
  <r>
    <x v="523"/>
    <x v="523"/>
    <x v="269"/>
    <x v="70"/>
    <x v="462"/>
    <x v="738"/>
    <x v="4"/>
    <x v="55"/>
    <x v="11"/>
    <x v="12"/>
    <x v="20"/>
    <x v="15"/>
    <x v="12"/>
    <x v="6"/>
    <x v="3"/>
    <x v="15"/>
  </r>
  <r>
    <x v="523"/>
    <x v="523"/>
    <x v="269"/>
    <x v="70"/>
    <x v="462"/>
    <x v="1402"/>
    <x v="4"/>
    <x v="55"/>
    <x v="11"/>
    <x v="12"/>
    <x v="20"/>
    <x v="15"/>
    <x v="12"/>
    <x v="6"/>
    <x v="3"/>
    <x v="15"/>
  </r>
  <r>
    <x v="523"/>
    <x v="523"/>
    <x v="269"/>
    <x v="70"/>
    <x v="462"/>
    <x v="295"/>
    <x v="4"/>
    <x v="55"/>
    <x v="11"/>
    <x v="12"/>
    <x v="20"/>
    <x v="15"/>
    <x v="12"/>
    <x v="6"/>
    <x v="3"/>
    <x v="15"/>
  </r>
  <r>
    <x v="523"/>
    <x v="523"/>
    <x v="269"/>
    <x v="70"/>
    <x v="462"/>
    <x v="288"/>
    <x v="4"/>
    <x v="55"/>
    <x v="11"/>
    <x v="12"/>
    <x v="20"/>
    <x v="15"/>
    <x v="12"/>
    <x v="6"/>
    <x v="3"/>
    <x v="15"/>
  </r>
  <r>
    <x v="523"/>
    <x v="523"/>
    <x v="269"/>
    <x v="70"/>
    <x v="462"/>
    <x v="495"/>
    <x v="4"/>
    <x v="55"/>
    <x v="11"/>
    <x v="12"/>
    <x v="20"/>
    <x v="15"/>
    <x v="12"/>
    <x v="6"/>
    <x v="3"/>
    <x v="15"/>
  </r>
  <r>
    <x v="523"/>
    <x v="523"/>
    <x v="269"/>
    <x v="70"/>
    <x v="462"/>
    <x v="953"/>
    <x v="4"/>
    <x v="55"/>
    <x v="11"/>
    <x v="12"/>
    <x v="20"/>
    <x v="15"/>
    <x v="12"/>
    <x v="6"/>
    <x v="3"/>
    <x v="15"/>
  </r>
  <r>
    <x v="523"/>
    <x v="523"/>
    <x v="269"/>
    <x v="70"/>
    <x v="462"/>
    <x v="1163"/>
    <x v="4"/>
    <x v="55"/>
    <x v="11"/>
    <x v="12"/>
    <x v="20"/>
    <x v="15"/>
    <x v="12"/>
    <x v="6"/>
    <x v="3"/>
    <x v="15"/>
  </r>
  <r>
    <x v="523"/>
    <x v="523"/>
    <x v="269"/>
    <x v="70"/>
    <x v="462"/>
    <x v="410"/>
    <x v="4"/>
    <x v="55"/>
    <x v="11"/>
    <x v="12"/>
    <x v="20"/>
    <x v="15"/>
    <x v="12"/>
    <x v="6"/>
    <x v="3"/>
    <x v="15"/>
  </r>
  <r>
    <x v="523"/>
    <x v="523"/>
    <x v="269"/>
    <x v="70"/>
    <x v="462"/>
    <x v="544"/>
    <x v="4"/>
    <x v="55"/>
    <x v="11"/>
    <x v="12"/>
    <x v="20"/>
    <x v="15"/>
    <x v="12"/>
    <x v="6"/>
    <x v="3"/>
    <x v="15"/>
  </r>
  <r>
    <x v="523"/>
    <x v="523"/>
    <x v="269"/>
    <x v="70"/>
    <x v="462"/>
    <x v="865"/>
    <x v="4"/>
    <x v="55"/>
    <x v="11"/>
    <x v="12"/>
    <x v="20"/>
    <x v="15"/>
    <x v="12"/>
    <x v="6"/>
    <x v="3"/>
    <x v="15"/>
  </r>
  <r>
    <x v="523"/>
    <x v="523"/>
    <x v="269"/>
    <x v="70"/>
    <x v="462"/>
    <x v="1292"/>
    <x v="4"/>
    <x v="55"/>
    <x v="11"/>
    <x v="12"/>
    <x v="20"/>
    <x v="15"/>
    <x v="12"/>
    <x v="6"/>
    <x v="3"/>
    <x v="15"/>
  </r>
  <r>
    <x v="523"/>
    <x v="523"/>
    <x v="269"/>
    <x v="70"/>
    <x v="462"/>
    <x v="1085"/>
    <x v="4"/>
    <x v="55"/>
    <x v="11"/>
    <x v="12"/>
    <x v="20"/>
    <x v="15"/>
    <x v="12"/>
    <x v="6"/>
    <x v="3"/>
    <x v="15"/>
  </r>
  <r>
    <x v="523"/>
    <x v="523"/>
    <x v="269"/>
    <x v="70"/>
    <x v="462"/>
    <x v="1178"/>
    <x v="4"/>
    <x v="55"/>
    <x v="11"/>
    <x v="12"/>
    <x v="20"/>
    <x v="15"/>
    <x v="12"/>
    <x v="6"/>
    <x v="3"/>
    <x v="15"/>
  </r>
  <r>
    <x v="523"/>
    <x v="523"/>
    <x v="269"/>
    <x v="70"/>
    <x v="462"/>
    <x v="156"/>
    <x v="4"/>
    <x v="55"/>
    <x v="11"/>
    <x v="12"/>
    <x v="20"/>
    <x v="15"/>
    <x v="12"/>
    <x v="6"/>
    <x v="3"/>
    <x v="15"/>
  </r>
  <r>
    <x v="523"/>
    <x v="523"/>
    <x v="269"/>
    <x v="70"/>
    <x v="462"/>
    <x v="1560"/>
    <x v="4"/>
    <x v="55"/>
    <x v="11"/>
    <x v="12"/>
    <x v="20"/>
    <x v="15"/>
    <x v="12"/>
    <x v="6"/>
    <x v="3"/>
    <x v="15"/>
  </r>
  <r>
    <x v="523"/>
    <x v="523"/>
    <x v="269"/>
    <x v="70"/>
    <x v="462"/>
    <x v="657"/>
    <x v="4"/>
    <x v="55"/>
    <x v="11"/>
    <x v="12"/>
    <x v="20"/>
    <x v="15"/>
    <x v="12"/>
    <x v="6"/>
    <x v="3"/>
    <x v="15"/>
  </r>
  <r>
    <x v="523"/>
    <x v="523"/>
    <x v="269"/>
    <x v="70"/>
    <x v="462"/>
    <x v="1076"/>
    <x v="4"/>
    <x v="55"/>
    <x v="11"/>
    <x v="12"/>
    <x v="20"/>
    <x v="15"/>
    <x v="12"/>
    <x v="6"/>
    <x v="3"/>
    <x v="15"/>
  </r>
  <r>
    <x v="523"/>
    <x v="523"/>
    <x v="269"/>
    <x v="70"/>
    <x v="462"/>
    <x v="601"/>
    <x v="4"/>
    <x v="55"/>
    <x v="11"/>
    <x v="12"/>
    <x v="20"/>
    <x v="15"/>
    <x v="12"/>
    <x v="6"/>
    <x v="3"/>
    <x v="15"/>
  </r>
  <r>
    <x v="523"/>
    <x v="523"/>
    <x v="269"/>
    <x v="70"/>
    <x v="462"/>
    <x v="710"/>
    <x v="4"/>
    <x v="55"/>
    <x v="11"/>
    <x v="12"/>
    <x v="20"/>
    <x v="15"/>
    <x v="12"/>
    <x v="6"/>
    <x v="3"/>
    <x v="15"/>
  </r>
  <r>
    <x v="523"/>
    <x v="523"/>
    <x v="269"/>
    <x v="70"/>
    <x v="462"/>
    <x v="649"/>
    <x v="4"/>
    <x v="55"/>
    <x v="11"/>
    <x v="12"/>
    <x v="20"/>
    <x v="15"/>
    <x v="12"/>
    <x v="6"/>
    <x v="3"/>
    <x v="15"/>
  </r>
  <r>
    <x v="523"/>
    <x v="523"/>
    <x v="269"/>
    <x v="70"/>
    <x v="462"/>
    <x v="499"/>
    <x v="4"/>
    <x v="55"/>
    <x v="11"/>
    <x v="12"/>
    <x v="20"/>
    <x v="15"/>
    <x v="12"/>
    <x v="6"/>
    <x v="3"/>
    <x v="15"/>
  </r>
  <r>
    <x v="523"/>
    <x v="523"/>
    <x v="269"/>
    <x v="70"/>
    <x v="462"/>
    <x v="674"/>
    <x v="4"/>
    <x v="55"/>
    <x v="11"/>
    <x v="12"/>
    <x v="20"/>
    <x v="15"/>
    <x v="12"/>
    <x v="6"/>
    <x v="3"/>
    <x v="15"/>
  </r>
  <r>
    <x v="523"/>
    <x v="523"/>
    <x v="269"/>
    <x v="70"/>
    <x v="462"/>
    <x v="944"/>
    <x v="4"/>
    <x v="55"/>
    <x v="11"/>
    <x v="12"/>
    <x v="20"/>
    <x v="15"/>
    <x v="12"/>
    <x v="6"/>
    <x v="3"/>
    <x v="15"/>
  </r>
  <r>
    <x v="523"/>
    <x v="523"/>
    <x v="269"/>
    <x v="70"/>
    <x v="462"/>
    <x v="879"/>
    <x v="4"/>
    <x v="55"/>
    <x v="11"/>
    <x v="12"/>
    <x v="20"/>
    <x v="15"/>
    <x v="12"/>
    <x v="6"/>
    <x v="3"/>
    <x v="15"/>
  </r>
  <r>
    <x v="523"/>
    <x v="523"/>
    <x v="269"/>
    <x v="70"/>
    <x v="462"/>
    <x v="841"/>
    <x v="4"/>
    <x v="55"/>
    <x v="11"/>
    <x v="12"/>
    <x v="20"/>
    <x v="15"/>
    <x v="12"/>
    <x v="6"/>
    <x v="3"/>
    <x v="15"/>
  </r>
  <r>
    <x v="523"/>
    <x v="523"/>
    <x v="269"/>
    <x v="70"/>
    <x v="462"/>
    <x v="960"/>
    <x v="4"/>
    <x v="55"/>
    <x v="11"/>
    <x v="12"/>
    <x v="20"/>
    <x v="15"/>
    <x v="12"/>
    <x v="6"/>
    <x v="3"/>
    <x v="15"/>
  </r>
  <r>
    <x v="523"/>
    <x v="523"/>
    <x v="269"/>
    <x v="70"/>
    <x v="462"/>
    <x v="1511"/>
    <x v="4"/>
    <x v="55"/>
    <x v="11"/>
    <x v="12"/>
    <x v="20"/>
    <x v="15"/>
    <x v="12"/>
    <x v="6"/>
    <x v="3"/>
    <x v="15"/>
  </r>
  <r>
    <x v="523"/>
    <x v="523"/>
    <x v="269"/>
    <x v="70"/>
    <x v="462"/>
    <x v="164"/>
    <x v="4"/>
    <x v="55"/>
    <x v="11"/>
    <x v="12"/>
    <x v="20"/>
    <x v="15"/>
    <x v="12"/>
    <x v="6"/>
    <x v="3"/>
    <x v="15"/>
  </r>
  <r>
    <x v="523"/>
    <x v="523"/>
    <x v="269"/>
    <x v="70"/>
    <x v="462"/>
    <x v="766"/>
    <x v="4"/>
    <x v="55"/>
    <x v="11"/>
    <x v="12"/>
    <x v="20"/>
    <x v="15"/>
    <x v="12"/>
    <x v="6"/>
    <x v="3"/>
    <x v="15"/>
  </r>
  <r>
    <x v="523"/>
    <x v="523"/>
    <x v="269"/>
    <x v="70"/>
    <x v="462"/>
    <x v="240"/>
    <x v="4"/>
    <x v="55"/>
    <x v="11"/>
    <x v="12"/>
    <x v="20"/>
    <x v="15"/>
    <x v="12"/>
    <x v="6"/>
    <x v="3"/>
    <x v="15"/>
  </r>
  <r>
    <x v="523"/>
    <x v="523"/>
    <x v="269"/>
    <x v="70"/>
    <x v="462"/>
    <x v="1250"/>
    <x v="4"/>
    <x v="55"/>
    <x v="11"/>
    <x v="12"/>
    <x v="20"/>
    <x v="15"/>
    <x v="12"/>
    <x v="6"/>
    <x v="3"/>
    <x v="15"/>
  </r>
  <r>
    <x v="523"/>
    <x v="523"/>
    <x v="269"/>
    <x v="70"/>
    <x v="462"/>
    <x v="636"/>
    <x v="4"/>
    <x v="55"/>
    <x v="11"/>
    <x v="12"/>
    <x v="20"/>
    <x v="15"/>
    <x v="12"/>
    <x v="6"/>
    <x v="3"/>
    <x v="15"/>
  </r>
  <r>
    <x v="523"/>
    <x v="523"/>
    <x v="269"/>
    <x v="70"/>
    <x v="462"/>
    <x v="868"/>
    <x v="4"/>
    <x v="55"/>
    <x v="11"/>
    <x v="12"/>
    <x v="20"/>
    <x v="15"/>
    <x v="12"/>
    <x v="6"/>
    <x v="3"/>
    <x v="15"/>
  </r>
  <r>
    <x v="523"/>
    <x v="523"/>
    <x v="269"/>
    <x v="70"/>
    <x v="462"/>
    <x v="620"/>
    <x v="4"/>
    <x v="55"/>
    <x v="11"/>
    <x v="12"/>
    <x v="20"/>
    <x v="15"/>
    <x v="12"/>
    <x v="6"/>
    <x v="3"/>
    <x v="15"/>
  </r>
  <r>
    <x v="523"/>
    <x v="523"/>
    <x v="269"/>
    <x v="70"/>
    <x v="462"/>
    <x v="1137"/>
    <x v="4"/>
    <x v="55"/>
    <x v="11"/>
    <x v="12"/>
    <x v="20"/>
    <x v="15"/>
    <x v="12"/>
    <x v="6"/>
    <x v="3"/>
    <x v="15"/>
  </r>
  <r>
    <x v="523"/>
    <x v="523"/>
    <x v="269"/>
    <x v="70"/>
    <x v="462"/>
    <x v="1274"/>
    <x v="4"/>
    <x v="55"/>
    <x v="11"/>
    <x v="12"/>
    <x v="20"/>
    <x v="15"/>
    <x v="12"/>
    <x v="6"/>
    <x v="3"/>
    <x v="15"/>
  </r>
  <r>
    <x v="523"/>
    <x v="523"/>
    <x v="269"/>
    <x v="70"/>
    <x v="462"/>
    <x v="19"/>
    <x v="4"/>
    <x v="55"/>
    <x v="11"/>
    <x v="12"/>
    <x v="20"/>
    <x v="15"/>
    <x v="12"/>
    <x v="6"/>
    <x v="3"/>
    <x v="15"/>
  </r>
  <r>
    <x v="523"/>
    <x v="523"/>
    <x v="269"/>
    <x v="70"/>
    <x v="462"/>
    <x v="665"/>
    <x v="4"/>
    <x v="55"/>
    <x v="11"/>
    <x v="12"/>
    <x v="20"/>
    <x v="15"/>
    <x v="12"/>
    <x v="6"/>
    <x v="3"/>
    <x v="15"/>
  </r>
  <r>
    <x v="523"/>
    <x v="523"/>
    <x v="269"/>
    <x v="70"/>
    <x v="462"/>
    <x v="270"/>
    <x v="4"/>
    <x v="55"/>
    <x v="11"/>
    <x v="12"/>
    <x v="20"/>
    <x v="15"/>
    <x v="12"/>
    <x v="6"/>
    <x v="3"/>
    <x v="15"/>
  </r>
  <r>
    <x v="523"/>
    <x v="523"/>
    <x v="269"/>
    <x v="70"/>
    <x v="462"/>
    <x v="487"/>
    <x v="4"/>
    <x v="55"/>
    <x v="11"/>
    <x v="12"/>
    <x v="20"/>
    <x v="15"/>
    <x v="12"/>
    <x v="6"/>
    <x v="3"/>
    <x v="15"/>
  </r>
  <r>
    <x v="523"/>
    <x v="523"/>
    <x v="269"/>
    <x v="70"/>
    <x v="462"/>
    <x v="835"/>
    <x v="4"/>
    <x v="55"/>
    <x v="11"/>
    <x v="12"/>
    <x v="20"/>
    <x v="15"/>
    <x v="12"/>
    <x v="6"/>
    <x v="3"/>
    <x v="15"/>
  </r>
  <r>
    <x v="523"/>
    <x v="523"/>
    <x v="269"/>
    <x v="70"/>
    <x v="462"/>
    <x v="869"/>
    <x v="4"/>
    <x v="55"/>
    <x v="11"/>
    <x v="12"/>
    <x v="20"/>
    <x v="15"/>
    <x v="12"/>
    <x v="6"/>
    <x v="3"/>
    <x v="15"/>
  </r>
  <r>
    <x v="523"/>
    <x v="523"/>
    <x v="269"/>
    <x v="70"/>
    <x v="462"/>
    <x v="402"/>
    <x v="4"/>
    <x v="55"/>
    <x v="11"/>
    <x v="12"/>
    <x v="20"/>
    <x v="15"/>
    <x v="12"/>
    <x v="6"/>
    <x v="3"/>
    <x v="15"/>
  </r>
  <r>
    <x v="523"/>
    <x v="523"/>
    <x v="269"/>
    <x v="70"/>
    <x v="462"/>
    <x v="424"/>
    <x v="4"/>
    <x v="55"/>
    <x v="11"/>
    <x v="12"/>
    <x v="20"/>
    <x v="15"/>
    <x v="12"/>
    <x v="6"/>
    <x v="3"/>
    <x v="15"/>
  </r>
  <r>
    <x v="523"/>
    <x v="523"/>
    <x v="269"/>
    <x v="70"/>
    <x v="462"/>
    <x v="642"/>
    <x v="4"/>
    <x v="55"/>
    <x v="11"/>
    <x v="12"/>
    <x v="20"/>
    <x v="15"/>
    <x v="12"/>
    <x v="6"/>
    <x v="3"/>
    <x v="15"/>
  </r>
  <r>
    <x v="523"/>
    <x v="523"/>
    <x v="269"/>
    <x v="70"/>
    <x v="462"/>
    <x v="35"/>
    <x v="4"/>
    <x v="55"/>
    <x v="11"/>
    <x v="12"/>
    <x v="20"/>
    <x v="15"/>
    <x v="12"/>
    <x v="6"/>
    <x v="3"/>
    <x v="15"/>
  </r>
  <r>
    <x v="523"/>
    <x v="523"/>
    <x v="269"/>
    <x v="70"/>
    <x v="462"/>
    <x v="686"/>
    <x v="4"/>
    <x v="55"/>
    <x v="11"/>
    <x v="12"/>
    <x v="20"/>
    <x v="15"/>
    <x v="12"/>
    <x v="6"/>
    <x v="3"/>
    <x v="15"/>
  </r>
  <r>
    <x v="523"/>
    <x v="523"/>
    <x v="269"/>
    <x v="70"/>
    <x v="462"/>
    <x v="204"/>
    <x v="4"/>
    <x v="55"/>
    <x v="11"/>
    <x v="12"/>
    <x v="20"/>
    <x v="15"/>
    <x v="12"/>
    <x v="6"/>
    <x v="3"/>
    <x v="15"/>
  </r>
  <r>
    <x v="523"/>
    <x v="523"/>
    <x v="269"/>
    <x v="70"/>
    <x v="462"/>
    <x v="904"/>
    <x v="4"/>
    <x v="55"/>
    <x v="11"/>
    <x v="12"/>
    <x v="20"/>
    <x v="15"/>
    <x v="12"/>
    <x v="6"/>
    <x v="3"/>
    <x v="15"/>
  </r>
  <r>
    <x v="523"/>
    <x v="523"/>
    <x v="269"/>
    <x v="70"/>
    <x v="462"/>
    <x v="521"/>
    <x v="4"/>
    <x v="55"/>
    <x v="11"/>
    <x v="12"/>
    <x v="20"/>
    <x v="15"/>
    <x v="12"/>
    <x v="6"/>
    <x v="3"/>
    <x v="15"/>
  </r>
  <r>
    <x v="523"/>
    <x v="523"/>
    <x v="269"/>
    <x v="70"/>
    <x v="462"/>
    <x v="682"/>
    <x v="4"/>
    <x v="55"/>
    <x v="11"/>
    <x v="12"/>
    <x v="20"/>
    <x v="15"/>
    <x v="12"/>
    <x v="6"/>
    <x v="3"/>
    <x v="15"/>
  </r>
  <r>
    <x v="523"/>
    <x v="523"/>
    <x v="269"/>
    <x v="70"/>
    <x v="462"/>
    <x v="1059"/>
    <x v="4"/>
    <x v="55"/>
    <x v="11"/>
    <x v="12"/>
    <x v="20"/>
    <x v="15"/>
    <x v="12"/>
    <x v="6"/>
    <x v="3"/>
    <x v="15"/>
  </r>
  <r>
    <x v="523"/>
    <x v="523"/>
    <x v="269"/>
    <x v="70"/>
    <x v="462"/>
    <x v="123"/>
    <x v="4"/>
    <x v="55"/>
    <x v="11"/>
    <x v="12"/>
    <x v="20"/>
    <x v="15"/>
    <x v="12"/>
    <x v="6"/>
    <x v="3"/>
    <x v="15"/>
  </r>
  <r>
    <x v="523"/>
    <x v="523"/>
    <x v="269"/>
    <x v="70"/>
    <x v="462"/>
    <x v="1336"/>
    <x v="4"/>
    <x v="55"/>
    <x v="11"/>
    <x v="12"/>
    <x v="20"/>
    <x v="15"/>
    <x v="12"/>
    <x v="6"/>
    <x v="3"/>
    <x v="15"/>
  </r>
  <r>
    <x v="523"/>
    <x v="523"/>
    <x v="269"/>
    <x v="70"/>
    <x v="462"/>
    <x v="1365"/>
    <x v="4"/>
    <x v="55"/>
    <x v="11"/>
    <x v="12"/>
    <x v="20"/>
    <x v="15"/>
    <x v="12"/>
    <x v="6"/>
    <x v="3"/>
    <x v="15"/>
  </r>
  <r>
    <x v="523"/>
    <x v="523"/>
    <x v="269"/>
    <x v="70"/>
    <x v="462"/>
    <x v="666"/>
    <x v="4"/>
    <x v="55"/>
    <x v="11"/>
    <x v="12"/>
    <x v="20"/>
    <x v="15"/>
    <x v="12"/>
    <x v="6"/>
    <x v="3"/>
    <x v="15"/>
  </r>
  <r>
    <x v="523"/>
    <x v="523"/>
    <x v="269"/>
    <x v="70"/>
    <x v="462"/>
    <x v="179"/>
    <x v="4"/>
    <x v="55"/>
    <x v="11"/>
    <x v="12"/>
    <x v="20"/>
    <x v="15"/>
    <x v="12"/>
    <x v="6"/>
    <x v="3"/>
    <x v="15"/>
  </r>
  <r>
    <x v="523"/>
    <x v="523"/>
    <x v="269"/>
    <x v="70"/>
    <x v="462"/>
    <x v="1289"/>
    <x v="4"/>
    <x v="55"/>
    <x v="11"/>
    <x v="12"/>
    <x v="20"/>
    <x v="15"/>
    <x v="12"/>
    <x v="6"/>
    <x v="3"/>
    <x v="15"/>
  </r>
  <r>
    <x v="523"/>
    <x v="523"/>
    <x v="269"/>
    <x v="70"/>
    <x v="462"/>
    <x v="1172"/>
    <x v="4"/>
    <x v="55"/>
    <x v="11"/>
    <x v="12"/>
    <x v="20"/>
    <x v="15"/>
    <x v="12"/>
    <x v="6"/>
    <x v="3"/>
    <x v="15"/>
  </r>
  <r>
    <x v="523"/>
    <x v="523"/>
    <x v="269"/>
    <x v="70"/>
    <x v="462"/>
    <x v="1037"/>
    <x v="4"/>
    <x v="55"/>
    <x v="11"/>
    <x v="12"/>
    <x v="20"/>
    <x v="15"/>
    <x v="12"/>
    <x v="6"/>
    <x v="3"/>
    <x v="15"/>
  </r>
  <r>
    <x v="523"/>
    <x v="523"/>
    <x v="269"/>
    <x v="70"/>
    <x v="462"/>
    <x v="1212"/>
    <x v="4"/>
    <x v="55"/>
    <x v="11"/>
    <x v="12"/>
    <x v="20"/>
    <x v="15"/>
    <x v="12"/>
    <x v="6"/>
    <x v="3"/>
    <x v="15"/>
  </r>
  <r>
    <x v="523"/>
    <x v="523"/>
    <x v="269"/>
    <x v="70"/>
    <x v="462"/>
    <x v="586"/>
    <x v="4"/>
    <x v="55"/>
    <x v="11"/>
    <x v="12"/>
    <x v="20"/>
    <x v="15"/>
    <x v="12"/>
    <x v="6"/>
    <x v="3"/>
    <x v="15"/>
  </r>
  <r>
    <x v="523"/>
    <x v="523"/>
    <x v="269"/>
    <x v="70"/>
    <x v="462"/>
    <x v="1300"/>
    <x v="4"/>
    <x v="55"/>
    <x v="11"/>
    <x v="12"/>
    <x v="20"/>
    <x v="15"/>
    <x v="12"/>
    <x v="6"/>
    <x v="3"/>
    <x v="15"/>
  </r>
  <r>
    <x v="523"/>
    <x v="523"/>
    <x v="269"/>
    <x v="70"/>
    <x v="462"/>
    <x v="111"/>
    <x v="4"/>
    <x v="55"/>
    <x v="11"/>
    <x v="12"/>
    <x v="20"/>
    <x v="15"/>
    <x v="12"/>
    <x v="6"/>
    <x v="3"/>
    <x v="15"/>
  </r>
  <r>
    <x v="523"/>
    <x v="523"/>
    <x v="269"/>
    <x v="70"/>
    <x v="462"/>
    <x v="1291"/>
    <x v="4"/>
    <x v="55"/>
    <x v="11"/>
    <x v="12"/>
    <x v="20"/>
    <x v="15"/>
    <x v="12"/>
    <x v="6"/>
    <x v="3"/>
    <x v="15"/>
  </r>
  <r>
    <x v="523"/>
    <x v="523"/>
    <x v="269"/>
    <x v="70"/>
    <x v="462"/>
    <x v="600"/>
    <x v="4"/>
    <x v="55"/>
    <x v="11"/>
    <x v="12"/>
    <x v="20"/>
    <x v="15"/>
    <x v="12"/>
    <x v="6"/>
    <x v="3"/>
    <x v="15"/>
  </r>
  <r>
    <x v="523"/>
    <x v="523"/>
    <x v="269"/>
    <x v="70"/>
    <x v="462"/>
    <x v="449"/>
    <x v="4"/>
    <x v="55"/>
    <x v="11"/>
    <x v="12"/>
    <x v="20"/>
    <x v="15"/>
    <x v="12"/>
    <x v="6"/>
    <x v="3"/>
    <x v="15"/>
  </r>
  <r>
    <x v="523"/>
    <x v="523"/>
    <x v="269"/>
    <x v="70"/>
    <x v="462"/>
    <x v="1368"/>
    <x v="4"/>
    <x v="55"/>
    <x v="11"/>
    <x v="12"/>
    <x v="20"/>
    <x v="15"/>
    <x v="12"/>
    <x v="6"/>
    <x v="3"/>
    <x v="15"/>
  </r>
  <r>
    <x v="523"/>
    <x v="523"/>
    <x v="269"/>
    <x v="70"/>
    <x v="462"/>
    <x v="1395"/>
    <x v="4"/>
    <x v="55"/>
    <x v="11"/>
    <x v="12"/>
    <x v="20"/>
    <x v="15"/>
    <x v="12"/>
    <x v="6"/>
    <x v="3"/>
    <x v="15"/>
  </r>
  <r>
    <x v="523"/>
    <x v="523"/>
    <x v="269"/>
    <x v="70"/>
    <x v="462"/>
    <x v="908"/>
    <x v="4"/>
    <x v="55"/>
    <x v="11"/>
    <x v="12"/>
    <x v="20"/>
    <x v="15"/>
    <x v="12"/>
    <x v="6"/>
    <x v="3"/>
    <x v="15"/>
  </r>
  <r>
    <x v="523"/>
    <x v="523"/>
    <x v="269"/>
    <x v="70"/>
    <x v="462"/>
    <x v="1201"/>
    <x v="4"/>
    <x v="55"/>
    <x v="11"/>
    <x v="12"/>
    <x v="20"/>
    <x v="15"/>
    <x v="12"/>
    <x v="6"/>
    <x v="3"/>
    <x v="15"/>
  </r>
  <r>
    <x v="523"/>
    <x v="523"/>
    <x v="269"/>
    <x v="70"/>
    <x v="462"/>
    <x v="887"/>
    <x v="4"/>
    <x v="55"/>
    <x v="11"/>
    <x v="12"/>
    <x v="20"/>
    <x v="15"/>
    <x v="12"/>
    <x v="6"/>
    <x v="3"/>
    <x v="15"/>
  </r>
  <r>
    <x v="523"/>
    <x v="523"/>
    <x v="269"/>
    <x v="70"/>
    <x v="462"/>
    <x v="197"/>
    <x v="4"/>
    <x v="55"/>
    <x v="11"/>
    <x v="12"/>
    <x v="20"/>
    <x v="15"/>
    <x v="12"/>
    <x v="6"/>
    <x v="3"/>
    <x v="15"/>
  </r>
  <r>
    <x v="523"/>
    <x v="523"/>
    <x v="269"/>
    <x v="70"/>
    <x v="462"/>
    <x v="1320"/>
    <x v="4"/>
    <x v="55"/>
    <x v="11"/>
    <x v="12"/>
    <x v="20"/>
    <x v="15"/>
    <x v="12"/>
    <x v="6"/>
    <x v="3"/>
    <x v="15"/>
  </r>
  <r>
    <x v="523"/>
    <x v="523"/>
    <x v="269"/>
    <x v="70"/>
    <x v="462"/>
    <x v="265"/>
    <x v="4"/>
    <x v="55"/>
    <x v="11"/>
    <x v="12"/>
    <x v="20"/>
    <x v="15"/>
    <x v="12"/>
    <x v="6"/>
    <x v="3"/>
    <x v="15"/>
  </r>
  <r>
    <x v="523"/>
    <x v="523"/>
    <x v="269"/>
    <x v="70"/>
    <x v="462"/>
    <x v="82"/>
    <x v="4"/>
    <x v="55"/>
    <x v="11"/>
    <x v="12"/>
    <x v="20"/>
    <x v="15"/>
    <x v="12"/>
    <x v="6"/>
    <x v="3"/>
    <x v="15"/>
  </r>
  <r>
    <x v="523"/>
    <x v="523"/>
    <x v="269"/>
    <x v="70"/>
    <x v="462"/>
    <x v="332"/>
    <x v="4"/>
    <x v="55"/>
    <x v="11"/>
    <x v="12"/>
    <x v="20"/>
    <x v="15"/>
    <x v="12"/>
    <x v="6"/>
    <x v="3"/>
    <x v="15"/>
  </r>
  <r>
    <x v="523"/>
    <x v="523"/>
    <x v="269"/>
    <x v="70"/>
    <x v="462"/>
    <x v="1369"/>
    <x v="4"/>
    <x v="55"/>
    <x v="11"/>
    <x v="12"/>
    <x v="20"/>
    <x v="15"/>
    <x v="12"/>
    <x v="6"/>
    <x v="3"/>
    <x v="15"/>
  </r>
  <r>
    <x v="523"/>
    <x v="523"/>
    <x v="269"/>
    <x v="70"/>
    <x v="462"/>
    <x v="651"/>
    <x v="4"/>
    <x v="55"/>
    <x v="11"/>
    <x v="12"/>
    <x v="20"/>
    <x v="15"/>
    <x v="12"/>
    <x v="6"/>
    <x v="3"/>
    <x v="15"/>
  </r>
  <r>
    <x v="523"/>
    <x v="523"/>
    <x v="269"/>
    <x v="70"/>
    <x v="462"/>
    <x v="983"/>
    <x v="4"/>
    <x v="55"/>
    <x v="11"/>
    <x v="12"/>
    <x v="20"/>
    <x v="15"/>
    <x v="12"/>
    <x v="6"/>
    <x v="3"/>
    <x v="15"/>
  </r>
  <r>
    <x v="523"/>
    <x v="523"/>
    <x v="269"/>
    <x v="70"/>
    <x v="462"/>
    <x v="814"/>
    <x v="4"/>
    <x v="55"/>
    <x v="11"/>
    <x v="12"/>
    <x v="20"/>
    <x v="15"/>
    <x v="12"/>
    <x v="6"/>
    <x v="3"/>
    <x v="15"/>
  </r>
  <r>
    <x v="523"/>
    <x v="523"/>
    <x v="269"/>
    <x v="70"/>
    <x v="462"/>
    <x v="846"/>
    <x v="4"/>
    <x v="55"/>
    <x v="11"/>
    <x v="12"/>
    <x v="20"/>
    <x v="15"/>
    <x v="12"/>
    <x v="6"/>
    <x v="3"/>
    <x v="15"/>
  </r>
  <r>
    <x v="523"/>
    <x v="523"/>
    <x v="269"/>
    <x v="70"/>
    <x v="462"/>
    <x v="1114"/>
    <x v="4"/>
    <x v="55"/>
    <x v="11"/>
    <x v="12"/>
    <x v="20"/>
    <x v="15"/>
    <x v="12"/>
    <x v="6"/>
    <x v="3"/>
    <x v="15"/>
  </r>
  <r>
    <x v="523"/>
    <x v="523"/>
    <x v="269"/>
    <x v="70"/>
    <x v="462"/>
    <x v="226"/>
    <x v="4"/>
    <x v="55"/>
    <x v="11"/>
    <x v="12"/>
    <x v="20"/>
    <x v="15"/>
    <x v="12"/>
    <x v="6"/>
    <x v="3"/>
    <x v="15"/>
  </r>
  <r>
    <x v="523"/>
    <x v="523"/>
    <x v="269"/>
    <x v="70"/>
    <x v="462"/>
    <x v="1485"/>
    <x v="4"/>
    <x v="55"/>
    <x v="11"/>
    <x v="12"/>
    <x v="20"/>
    <x v="15"/>
    <x v="12"/>
    <x v="6"/>
    <x v="3"/>
    <x v="15"/>
  </r>
  <r>
    <x v="523"/>
    <x v="523"/>
    <x v="269"/>
    <x v="70"/>
    <x v="462"/>
    <x v="1448"/>
    <x v="4"/>
    <x v="55"/>
    <x v="11"/>
    <x v="12"/>
    <x v="20"/>
    <x v="15"/>
    <x v="12"/>
    <x v="6"/>
    <x v="3"/>
    <x v="15"/>
  </r>
  <r>
    <x v="523"/>
    <x v="523"/>
    <x v="269"/>
    <x v="70"/>
    <x v="462"/>
    <x v="1380"/>
    <x v="4"/>
    <x v="55"/>
    <x v="11"/>
    <x v="12"/>
    <x v="20"/>
    <x v="15"/>
    <x v="12"/>
    <x v="6"/>
    <x v="3"/>
    <x v="15"/>
  </r>
  <r>
    <x v="523"/>
    <x v="523"/>
    <x v="269"/>
    <x v="70"/>
    <x v="462"/>
    <x v="917"/>
    <x v="4"/>
    <x v="55"/>
    <x v="11"/>
    <x v="12"/>
    <x v="20"/>
    <x v="15"/>
    <x v="12"/>
    <x v="6"/>
    <x v="3"/>
    <x v="15"/>
  </r>
  <r>
    <x v="523"/>
    <x v="523"/>
    <x v="269"/>
    <x v="70"/>
    <x v="462"/>
    <x v="1339"/>
    <x v="4"/>
    <x v="55"/>
    <x v="11"/>
    <x v="12"/>
    <x v="20"/>
    <x v="15"/>
    <x v="12"/>
    <x v="6"/>
    <x v="3"/>
    <x v="15"/>
  </r>
  <r>
    <x v="523"/>
    <x v="523"/>
    <x v="269"/>
    <x v="70"/>
    <x v="462"/>
    <x v="1146"/>
    <x v="4"/>
    <x v="55"/>
    <x v="11"/>
    <x v="12"/>
    <x v="20"/>
    <x v="15"/>
    <x v="12"/>
    <x v="6"/>
    <x v="3"/>
    <x v="15"/>
  </r>
  <r>
    <x v="523"/>
    <x v="523"/>
    <x v="269"/>
    <x v="70"/>
    <x v="462"/>
    <x v="679"/>
    <x v="4"/>
    <x v="55"/>
    <x v="11"/>
    <x v="12"/>
    <x v="20"/>
    <x v="15"/>
    <x v="12"/>
    <x v="6"/>
    <x v="3"/>
    <x v="15"/>
  </r>
  <r>
    <x v="523"/>
    <x v="523"/>
    <x v="269"/>
    <x v="70"/>
    <x v="462"/>
    <x v="1141"/>
    <x v="4"/>
    <x v="55"/>
    <x v="11"/>
    <x v="12"/>
    <x v="20"/>
    <x v="15"/>
    <x v="12"/>
    <x v="6"/>
    <x v="3"/>
    <x v="15"/>
  </r>
  <r>
    <x v="523"/>
    <x v="523"/>
    <x v="269"/>
    <x v="70"/>
    <x v="462"/>
    <x v="1108"/>
    <x v="4"/>
    <x v="55"/>
    <x v="11"/>
    <x v="12"/>
    <x v="20"/>
    <x v="15"/>
    <x v="12"/>
    <x v="6"/>
    <x v="3"/>
    <x v="15"/>
  </r>
  <r>
    <x v="523"/>
    <x v="523"/>
    <x v="269"/>
    <x v="70"/>
    <x v="462"/>
    <x v="979"/>
    <x v="4"/>
    <x v="55"/>
    <x v="11"/>
    <x v="12"/>
    <x v="20"/>
    <x v="15"/>
    <x v="12"/>
    <x v="6"/>
    <x v="3"/>
    <x v="15"/>
  </r>
  <r>
    <x v="523"/>
    <x v="523"/>
    <x v="269"/>
    <x v="70"/>
    <x v="462"/>
    <x v="211"/>
    <x v="4"/>
    <x v="55"/>
    <x v="11"/>
    <x v="12"/>
    <x v="20"/>
    <x v="15"/>
    <x v="12"/>
    <x v="6"/>
    <x v="3"/>
    <x v="15"/>
  </r>
  <r>
    <x v="523"/>
    <x v="523"/>
    <x v="269"/>
    <x v="70"/>
    <x v="462"/>
    <x v="972"/>
    <x v="4"/>
    <x v="55"/>
    <x v="11"/>
    <x v="12"/>
    <x v="20"/>
    <x v="15"/>
    <x v="12"/>
    <x v="6"/>
    <x v="3"/>
    <x v="15"/>
  </r>
  <r>
    <x v="523"/>
    <x v="523"/>
    <x v="269"/>
    <x v="70"/>
    <x v="462"/>
    <x v="1138"/>
    <x v="4"/>
    <x v="55"/>
    <x v="11"/>
    <x v="12"/>
    <x v="20"/>
    <x v="15"/>
    <x v="12"/>
    <x v="6"/>
    <x v="3"/>
    <x v="15"/>
  </r>
  <r>
    <x v="523"/>
    <x v="523"/>
    <x v="269"/>
    <x v="70"/>
    <x v="462"/>
    <x v="1101"/>
    <x v="4"/>
    <x v="55"/>
    <x v="11"/>
    <x v="12"/>
    <x v="20"/>
    <x v="15"/>
    <x v="12"/>
    <x v="6"/>
    <x v="3"/>
    <x v="15"/>
  </r>
  <r>
    <x v="523"/>
    <x v="523"/>
    <x v="269"/>
    <x v="70"/>
    <x v="462"/>
    <x v="735"/>
    <x v="4"/>
    <x v="55"/>
    <x v="11"/>
    <x v="12"/>
    <x v="20"/>
    <x v="15"/>
    <x v="12"/>
    <x v="6"/>
    <x v="3"/>
    <x v="15"/>
  </r>
  <r>
    <x v="523"/>
    <x v="523"/>
    <x v="269"/>
    <x v="70"/>
    <x v="462"/>
    <x v="1013"/>
    <x v="4"/>
    <x v="55"/>
    <x v="11"/>
    <x v="12"/>
    <x v="20"/>
    <x v="15"/>
    <x v="12"/>
    <x v="6"/>
    <x v="3"/>
    <x v="15"/>
  </r>
  <r>
    <x v="523"/>
    <x v="523"/>
    <x v="269"/>
    <x v="70"/>
    <x v="462"/>
    <x v="1"/>
    <x v="4"/>
    <x v="55"/>
    <x v="11"/>
    <x v="12"/>
    <x v="20"/>
    <x v="15"/>
    <x v="12"/>
    <x v="6"/>
    <x v="3"/>
    <x v="15"/>
  </r>
  <r>
    <x v="523"/>
    <x v="523"/>
    <x v="269"/>
    <x v="70"/>
    <x v="462"/>
    <x v="938"/>
    <x v="4"/>
    <x v="55"/>
    <x v="11"/>
    <x v="12"/>
    <x v="20"/>
    <x v="15"/>
    <x v="12"/>
    <x v="6"/>
    <x v="3"/>
    <x v="15"/>
  </r>
  <r>
    <x v="523"/>
    <x v="523"/>
    <x v="269"/>
    <x v="70"/>
    <x v="462"/>
    <x v="1441"/>
    <x v="4"/>
    <x v="55"/>
    <x v="11"/>
    <x v="12"/>
    <x v="20"/>
    <x v="15"/>
    <x v="12"/>
    <x v="6"/>
    <x v="3"/>
    <x v="15"/>
  </r>
  <r>
    <x v="523"/>
    <x v="523"/>
    <x v="269"/>
    <x v="70"/>
    <x v="462"/>
    <x v="772"/>
    <x v="4"/>
    <x v="55"/>
    <x v="11"/>
    <x v="12"/>
    <x v="20"/>
    <x v="15"/>
    <x v="12"/>
    <x v="6"/>
    <x v="3"/>
    <x v="15"/>
  </r>
  <r>
    <x v="523"/>
    <x v="523"/>
    <x v="269"/>
    <x v="70"/>
    <x v="462"/>
    <x v="1452"/>
    <x v="4"/>
    <x v="55"/>
    <x v="11"/>
    <x v="12"/>
    <x v="20"/>
    <x v="15"/>
    <x v="12"/>
    <x v="6"/>
    <x v="3"/>
    <x v="15"/>
  </r>
  <r>
    <x v="523"/>
    <x v="523"/>
    <x v="269"/>
    <x v="70"/>
    <x v="462"/>
    <x v="1562"/>
    <x v="4"/>
    <x v="55"/>
    <x v="11"/>
    <x v="12"/>
    <x v="20"/>
    <x v="15"/>
    <x v="12"/>
    <x v="6"/>
    <x v="3"/>
    <x v="15"/>
  </r>
  <r>
    <x v="523"/>
    <x v="523"/>
    <x v="269"/>
    <x v="70"/>
    <x v="462"/>
    <x v="1435"/>
    <x v="4"/>
    <x v="55"/>
    <x v="11"/>
    <x v="12"/>
    <x v="20"/>
    <x v="15"/>
    <x v="12"/>
    <x v="6"/>
    <x v="3"/>
    <x v="15"/>
  </r>
  <r>
    <x v="523"/>
    <x v="523"/>
    <x v="269"/>
    <x v="70"/>
    <x v="462"/>
    <x v="1280"/>
    <x v="4"/>
    <x v="55"/>
    <x v="11"/>
    <x v="12"/>
    <x v="20"/>
    <x v="15"/>
    <x v="12"/>
    <x v="6"/>
    <x v="3"/>
    <x v="15"/>
  </r>
  <r>
    <x v="523"/>
    <x v="523"/>
    <x v="269"/>
    <x v="70"/>
    <x v="462"/>
    <x v="389"/>
    <x v="4"/>
    <x v="55"/>
    <x v="11"/>
    <x v="12"/>
    <x v="20"/>
    <x v="15"/>
    <x v="12"/>
    <x v="6"/>
    <x v="3"/>
    <x v="15"/>
  </r>
  <r>
    <x v="523"/>
    <x v="523"/>
    <x v="269"/>
    <x v="70"/>
    <x v="462"/>
    <x v="531"/>
    <x v="4"/>
    <x v="55"/>
    <x v="11"/>
    <x v="12"/>
    <x v="20"/>
    <x v="15"/>
    <x v="12"/>
    <x v="6"/>
    <x v="3"/>
    <x v="15"/>
  </r>
  <r>
    <x v="523"/>
    <x v="523"/>
    <x v="269"/>
    <x v="70"/>
    <x v="462"/>
    <x v="347"/>
    <x v="4"/>
    <x v="55"/>
    <x v="11"/>
    <x v="12"/>
    <x v="20"/>
    <x v="15"/>
    <x v="12"/>
    <x v="6"/>
    <x v="3"/>
    <x v="15"/>
  </r>
  <r>
    <x v="523"/>
    <x v="523"/>
    <x v="269"/>
    <x v="70"/>
    <x v="462"/>
    <x v="431"/>
    <x v="4"/>
    <x v="55"/>
    <x v="11"/>
    <x v="12"/>
    <x v="20"/>
    <x v="15"/>
    <x v="12"/>
    <x v="6"/>
    <x v="3"/>
    <x v="15"/>
  </r>
  <r>
    <x v="523"/>
    <x v="523"/>
    <x v="269"/>
    <x v="70"/>
    <x v="462"/>
    <x v="491"/>
    <x v="4"/>
    <x v="55"/>
    <x v="11"/>
    <x v="12"/>
    <x v="20"/>
    <x v="15"/>
    <x v="12"/>
    <x v="6"/>
    <x v="3"/>
    <x v="15"/>
  </r>
  <r>
    <x v="523"/>
    <x v="523"/>
    <x v="269"/>
    <x v="70"/>
    <x v="462"/>
    <x v="653"/>
    <x v="4"/>
    <x v="55"/>
    <x v="11"/>
    <x v="12"/>
    <x v="20"/>
    <x v="15"/>
    <x v="12"/>
    <x v="6"/>
    <x v="3"/>
    <x v="15"/>
  </r>
  <r>
    <x v="523"/>
    <x v="523"/>
    <x v="269"/>
    <x v="70"/>
    <x v="462"/>
    <x v="945"/>
    <x v="4"/>
    <x v="55"/>
    <x v="11"/>
    <x v="12"/>
    <x v="20"/>
    <x v="15"/>
    <x v="12"/>
    <x v="6"/>
    <x v="3"/>
    <x v="15"/>
  </r>
  <r>
    <x v="523"/>
    <x v="523"/>
    <x v="269"/>
    <x v="70"/>
    <x v="462"/>
    <x v="1399"/>
    <x v="4"/>
    <x v="55"/>
    <x v="11"/>
    <x v="12"/>
    <x v="20"/>
    <x v="15"/>
    <x v="12"/>
    <x v="6"/>
    <x v="3"/>
    <x v="15"/>
  </r>
  <r>
    <x v="523"/>
    <x v="523"/>
    <x v="269"/>
    <x v="70"/>
    <x v="462"/>
    <x v="882"/>
    <x v="4"/>
    <x v="55"/>
    <x v="11"/>
    <x v="12"/>
    <x v="20"/>
    <x v="15"/>
    <x v="12"/>
    <x v="6"/>
    <x v="3"/>
    <x v="15"/>
  </r>
  <r>
    <x v="523"/>
    <x v="523"/>
    <x v="269"/>
    <x v="70"/>
    <x v="462"/>
    <x v="414"/>
    <x v="4"/>
    <x v="55"/>
    <x v="11"/>
    <x v="12"/>
    <x v="20"/>
    <x v="15"/>
    <x v="12"/>
    <x v="6"/>
    <x v="3"/>
    <x v="15"/>
  </r>
  <r>
    <x v="523"/>
    <x v="523"/>
    <x v="269"/>
    <x v="70"/>
    <x v="462"/>
    <x v="373"/>
    <x v="4"/>
    <x v="55"/>
    <x v="11"/>
    <x v="12"/>
    <x v="20"/>
    <x v="15"/>
    <x v="12"/>
    <x v="6"/>
    <x v="3"/>
    <x v="15"/>
  </r>
  <r>
    <x v="523"/>
    <x v="523"/>
    <x v="269"/>
    <x v="70"/>
    <x v="462"/>
    <x v="395"/>
    <x v="4"/>
    <x v="55"/>
    <x v="11"/>
    <x v="12"/>
    <x v="20"/>
    <x v="15"/>
    <x v="12"/>
    <x v="6"/>
    <x v="3"/>
    <x v="15"/>
  </r>
  <r>
    <x v="523"/>
    <x v="523"/>
    <x v="269"/>
    <x v="70"/>
    <x v="462"/>
    <x v="34"/>
    <x v="4"/>
    <x v="55"/>
    <x v="11"/>
    <x v="12"/>
    <x v="20"/>
    <x v="15"/>
    <x v="12"/>
    <x v="6"/>
    <x v="3"/>
    <x v="15"/>
  </r>
  <r>
    <x v="523"/>
    <x v="523"/>
    <x v="269"/>
    <x v="70"/>
    <x v="462"/>
    <x v="688"/>
    <x v="4"/>
    <x v="55"/>
    <x v="11"/>
    <x v="12"/>
    <x v="20"/>
    <x v="15"/>
    <x v="12"/>
    <x v="6"/>
    <x v="3"/>
    <x v="15"/>
  </r>
  <r>
    <x v="523"/>
    <x v="523"/>
    <x v="269"/>
    <x v="70"/>
    <x v="462"/>
    <x v="429"/>
    <x v="4"/>
    <x v="55"/>
    <x v="11"/>
    <x v="12"/>
    <x v="20"/>
    <x v="15"/>
    <x v="12"/>
    <x v="6"/>
    <x v="3"/>
    <x v="15"/>
  </r>
  <r>
    <x v="523"/>
    <x v="523"/>
    <x v="269"/>
    <x v="70"/>
    <x v="462"/>
    <x v="1131"/>
    <x v="4"/>
    <x v="55"/>
    <x v="11"/>
    <x v="12"/>
    <x v="20"/>
    <x v="15"/>
    <x v="12"/>
    <x v="6"/>
    <x v="3"/>
    <x v="15"/>
  </r>
  <r>
    <x v="523"/>
    <x v="523"/>
    <x v="269"/>
    <x v="70"/>
    <x v="462"/>
    <x v="1431"/>
    <x v="4"/>
    <x v="55"/>
    <x v="11"/>
    <x v="12"/>
    <x v="20"/>
    <x v="15"/>
    <x v="12"/>
    <x v="6"/>
    <x v="3"/>
    <x v="15"/>
  </r>
  <r>
    <x v="523"/>
    <x v="523"/>
    <x v="269"/>
    <x v="70"/>
    <x v="462"/>
    <x v="635"/>
    <x v="4"/>
    <x v="55"/>
    <x v="11"/>
    <x v="12"/>
    <x v="20"/>
    <x v="15"/>
    <x v="12"/>
    <x v="6"/>
    <x v="3"/>
    <x v="15"/>
  </r>
  <r>
    <x v="523"/>
    <x v="523"/>
    <x v="269"/>
    <x v="70"/>
    <x v="462"/>
    <x v="1444"/>
    <x v="4"/>
    <x v="55"/>
    <x v="11"/>
    <x v="12"/>
    <x v="20"/>
    <x v="15"/>
    <x v="12"/>
    <x v="6"/>
    <x v="3"/>
    <x v="15"/>
  </r>
  <r>
    <x v="523"/>
    <x v="523"/>
    <x v="269"/>
    <x v="70"/>
    <x v="462"/>
    <x v="263"/>
    <x v="4"/>
    <x v="55"/>
    <x v="11"/>
    <x v="12"/>
    <x v="20"/>
    <x v="15"/>
    <x v="12"/>
    <x v="6"/>
    <x v="3"/>
    <x v="15"/>
  </r>
  <r>
    <x v="523"/>
    <x v="523"/>
    <x v="269"/>
    <x v="70"/>
    <x v="462"/>
    <x v="777"/>
    <x v="4"/>
    <x v="55"/>
    <x v="11"/>
    <x v="12"/>
    <x v="20"/>
    <x v="15"/>
    <x v="12"/>
    <x v="6"/>
    <x v="3"/>
    <x v="15"/>
  </r>
  <r>
    <x v="523"/>
    <x v="523"/>
    <x v="269"/>
    <x v="70"/>
    <x v="462"/>
    <x v="893"/>
    <x v="4"/>
    <x v="55"/>
    <x v="11"/>
    <x v="12"/>
    <x v="20"/>
    <x v="15"/>
    <x v="12"/>
    <x v="6"/>
    <x v="3"/>
    <x v="15"/>
  </r>
  <r>
    <x v="523"/>
    <x v="523"/>
    <x v="269"/>
    <x v="70"/>
    <x v="462"/>
    <x v="1324"/>
    <x v="4"/>
    <x v="55"/>
    <x v="11"/>
    <x v="12"/>
    <x v="20"/>
    <x v="15"/>
    <x v="12"/>
    <x v="6"/>
    <x v="3"/>
    <x v="15"/>
  </r>
  <r>
    <x v="523"/>
    <x v="523"/>
    <x v="269"/>
    <x v="70"/>
    <x v="462"/>
    <x v="1522"/>
    <x v="4"/>
    <x v="55"/>
    <x v="11"/>
    <x v="12"/>
    <x v="20"/>
    <x v="15"/>
    <x v="12"/>
    <x v="6"/>
    <x v="3"/>
    <x v="15"/>
  </r>
  <r>
    <x v="523"/>
    <x v="523"/>
    <x v="269"/>
    <x v="70"/>
    <x v="462"/>
    <x v="1337"/>
    <x v="4"/>
    <x v="55"/>
    <x v="11"/>
    <x v="12"/>
    <x v="20"/>
    <x v="15"/>
    <x v="12"/>
    <x v="6"/>
    <x v="3"/>
    <x v="15"/>
  </r>
  <r>
    <x v="523"/>
    <x v="523"/>
    <x v="269"/>
    <x v="70"/>
    <x v="462"/>
    <x v="1021"/>
    <x v="4"/>
    <x v="55"/>
    <x v="11"/>
    <x v="12"/>
    <x v="20"/>
    <x v="15"/>
    <x v="12"/>
    <x v="6"/>
    <x v="3"/>
    <x v="15"/>
  </r>
  <r>
    <x v="523"/>
    <x v="523"/>
    <x v="269"/>
    <x v="70"/>
    <x v="462"/>
    <x v="143"/>
    <x v="4"/>
    <x v="55"/>
    <x v="11"/>
    <x v="12"/>
    <x v="20"/>
    <x v="15"/>
    <x v="12"/>
    <x v="6"/>
    <x v="3"/>
    <x v="15"/>
  </r>
  <r>
    <x v="523"/>
    <x v="523"/>
    <x v="269"/>
    <x v="70"/>
    <x v="462"/>
    <x v="1075"/>
    <x v="4"/>
    <x v="55"/>
    <x v="11"/>
    <x v="12"/>
    <x v="20"/>
    <x v="15"/>
    <x v="12"/>
    <x v="6"/>
    <x v="3"/>
    <x v="15"/>
  </r>
  <r>
    <x v="523"/>
    <x v="523"/>
    <x v="269"/>
    <x v="70"/>
    <x v="462"/>
    <x v="74"/>
    <x v="4"/>
    <x v="55"/>
    <x v="11"/>
    <x v="12"/>
    <x v="20"/>
    <x v="15"/>
    <x v="12"/>
    <x v="6"/>
    <x v="3"/>
    <x v="15"/>
  </r>
  <r>
    <x v="523"/>
    <x v="523"/>
    <x v="269"/>
    <x v="70"/>
    <x v="462"/>
    <x v="880"/>
    <x v="4"/>
    <x v="55"/>
    <x v="11"/>
    <x v="12"/>
    <x v="20"/>
    <x v="15"/>
    <x v="12"/>
    <x v="6"/>
    <x v="3"/>
    <x v="15"/>
  </r>
  <r>
    <x v="523"/>
    <x v="523"/>
    <x v="269"/>
    <x v="70"/>
    <x v="462"/>
    <x v="466"/>
    <x v="4"/>
    <x v="55"/>
    <x v="11"/>
    <x v="12"/>
    <x v="20"/>
    <x v="15"/>
    <x v="12"/>
    <x v="6"/>
    <x v="3"/>
    <x v="15"/>
  </r>
  <r>
    <x v="523"/>
    <x v="523"/>
    <x v="269"/>
    <x v="70"/>
    <x v="462"/>
    <x v="1346"/>
    <x v="4"/>
    <x v="55"/>
    <x v="11"/>
    <x v="12"/>
    <x v="20"/>
    <x v="15"/>
    <x v="12"/>
    <x v="6"/>
    <x v="3"/>
    <x v="15"/>
  </r>
  <r>
    <x v="523"/>
    <x v="523"/>
    <x v="269"/>
    <x v="70"/>
    <x v="462"/>
    <x v="970"/>
    <x v="4"/>
    <x v="55"/>
    <x v="11"/>
    <x v="12"/>
    <x v="20"/>
    <x v="15"/>
    <x v="12"/>
    <x v="6"/>
    <x v="3"/>
    <x v="15"/>
  </r>
  <r>
    <x v="523"/>
    <x v="523"/>
    <x v="269"/>
    <x v="70"/>
    <x v="462"/>
    <x v="269"/>
    <x v="4"/>
    <x v="55"/>
    <x v="11"/>
    <x v="12"/>
    <x v="20"/>
    <x v="15"/>
    <x v="12"/>
    <x v="6"/>
    <x v="3"/>
    <x v="15"/>
  </r>
  <r>
    <x v="523"/>
    <x v="523"/>
    <x v="269"/>
    <x v="70"/>
    <x v="462"/>
    <x v="767"/>
    <x v="4"/>
    <x v="55"/>
    <x v="11"/>
    <x v="12"/>
    <x v="20"/>
    <x v="15"/>
    <x v="12"/>
    <x v="6"/>
    <x v="3"/>
    <x v="15"/>
  </r>
  <r>
    <x v="523"/>
    <x v="523"/>
    <x v="269"/>
    <x v="70"/>
    <x v="462"/>
    <x v="1335"/>
    <x v="4"/>
    <x v="55"/>
    <x v="11"/>
    <x v="12"/>
    <x v="20"/>
    <x v="15"/>
    <x v="12"/>
    <x v="6"/>
    <x v="3"/>
    <x v="15"/>
  </r>
  <r>
    <x v="523"/>
    <x v="523"/>
    <x v="269"/>
    <x v="70"/>
    <x v="462"/>
    <x v="268"/>
    <x v="4"/>
    <x v="55"/>
    <x v="11"/>
    <x v="12"/>
    <x v="20"/>
    <x v="15"/>
    <x v="12"/>
    <x v="6"/>
    <x v="3"/>
    <x v="15"/>
  </r>
  <r>
    <x v="523"/>
    <x v="523"/>
    <x v="269"/>
    <x v="70"/>
    <x v="462"/>
    <x v="233"/>
    <x v="4"/>
    <x v="55"/>
    <x v="11"/>
    <x v="12"/>
    <x v="20"/>
    <x v="15"/>
    <x v="12"/>
    <x v="6"/>
    <x v="3"/>
    <x v="15"/>
  </r>
  <r>
    <x v="523"/>
    <x v="523"/>
    <x v="269"/>
    <x v="70"/>
    <x v="462"/>
    <x v="135"/>
    <x v="4"/>
    <x v="55"/>
    <x v="11"/>
    <x v="12"/>
    <x v="20"/>
    <x v="15"/>
    <x v="12"/>
    <x v="6"/>
    <x v="3"/>
    <x v="15"/>
  </r>
  <r>
    <x v="523"/>
    <x v="523"/>
    <x v="269"/>
    <x v="70"/>
    <x v="462"/>
    <x v="756"/>
    <x v="4"/>
    <x v="55"/>
    <x v="11"/>
    <x v="12"/>
    <x v="20"/>
    <x v="15"/>
    <x v="12"/>
    <x v="6"/>
    <x v="3"/>
    <x v="15"/>
  </r>
  <r>
    <x v="523"/>
    <x v="523"/>
    <x v="269"/>
    <x v="70"/>
    <x v="462"/>
    <x v="372"/>
    <x v="4"/>
    <x v="55"/>
    <x v="11"/>
    <x v="12"/>
    <x v="20"/>
    <x v="15"/>
    <x v="12"/>
    <x v="6"/>
    <x v="3"/>
    <x v="15"/>
  </r>
  <r>
    <x v="523"/>
    <x v="523"/>
    <x v="269"/>
    <x v="70"/>
    <x v="462"/>
    <x v="599"/>
    <x v="4"/>
    <x v="55"/>
    <x v="11"/>
    <x v="12"/>
    <x v="20"/>
    <x v="15"/>
    <x v="12"/>
    <x v="6"/>
    <x v="3"/>
    <x v="15"/>
  </r>
  <r>
    <x v="523"/>
    <x v="523"/>
    <x v="269"/>
    <x v="70"/>
    <x v="462"/>
    <x v="1367"/>
    <x v="4"/>
    <x v="55"/>
    <x v="11"/>
    <x v="12"/>
    <x v="20"/>
    <x v="15"/>
    <x v="12"/>
    <x v="6"/>
    <x v="3"/>
    <x v="15"/>
  </r>
  <r>
    <x v="523"/>
    <x v="523"/>
    <x v="269"/>
    <x v="70"/>
    <x v="462"/>
    <x v="287"/>
    <x v="4"/>
    <x v="55"/>
    <x v="11"/>
    <x v="12"/>
    <x v="20"/>
    <x v="15"/>
    <x v="12"/>
    <x v="6"/>
    <x v="3"/>
    <x v="15"/>
  </r>
  <r>
    <x v="523"/>
    <x v="523"/>
    <x v="269"/>
    <x v="70"/>
    <x v="462"/>
    <x v="501"/>
    <x v="4"/>
    <x v="55"/>
    <x v="11"/>
    <x v="12"/>
    <x v="20"/>
    <x v="15"/>
    <x v="12"/>
    <x v="6"/>
    <x v="3"/>
    <x v="15"/>
  </r>
  <r>
    <x v="523"/>
    <x v="523"/>
    <x v="269"/>
    <x v="70"/>
    <x v="462"/>
    <x v="256"/>
    <x v="4"/>
    <x v="55"/>
    <x v="11"/>
    <x v="12"/>
    <x v="20"/>
    <x v="15"/>
    <x v="12"/>
    <x v="6"/>
    <x v="3"/>
    <x v="15"/>
  </r>
  <r>
    <x v="523"/>
    <x v="523"/>
    <x v="269"/>
    <x v="70"/>
    <x v="462"/>
    <x v="822"/>
    <x v="4"/>
    <x v="55"/>
    <x v="11"/>
    <x v="12"/>
    <x v="20"/>
    <x v="15"/>
    <x v="12"/>
    <x v="6"/>
    <x v="3"/>
    <x v="15"/>
  </r>
  <r>
    <x v="523"/>
    <x v="523"/>
    <x v="269"/>
    <x v="70"/>
    <x v="462"/>
    <x v="192"/>
    <x v="4"/>
    <x v="55"/>
    <x v="11"/>
    <x v="12"/>
    <x v="20"/>
    <x v="15"/>
    <x v="12"/>
    <x v="6"/>
    <x v="3"/>
    <x v="15"/>
  </r>
  <r>
    <x v="523"/>
    <x v="523"/>
    <x v="269"/>
    <x v="70"/>
    <x v="462"/>
    <x v="575"/>
    <x v="4"/>
    <x v="55"/>
    <x v="11"/>
    <x v="12"/>
    <x v="20"/>
    <x v="15"/>
    <x v="12"/>
    <x v="6"/>
    <x v="3"/>
    <x v="15"/>
  </r>
  <r>
    <x v="523"/>
    <x v="523"/>
    <x v="269"/>
    <x v="70"/>
    <x v="462"/>
    <x v="320"/>
    <x v="4"/>
    <x v="55"/>
    <x v="11"/>
    <x v="12"/>
    <x v="20"/>
    <x v="15"/>
    <x v="12"/>
    <x v="6"/>
    <x v="3"/>
    <x v="15"/>
  </r>
  <r>
    <x v="523"/>
    <x v="523"/>
    <x v="269"/>
    <x v="70"/>
    <x v="462"/>
    <x v="1240"/>
    <x v="4"/>
    <x v="55"/>
    <x v="11"/>
    <x v="12"/>
    <x v="20"/>
    <x v="15"/>
    <x v="12"/>
    <x v="6"/>
    <x v="3"/>
    <x v="15"/>
  </r>
  <r>
    <x v="523"/>
    <x v="523"/>
    <x v="269"/>
    <x v="70"/>
    <x v="462"/>
    <x v="702"/>
    <x v="4"/>
    <x v="55"/>
    <x v="11"/>
    <x v="12"/>
    <x v="20"/>
    <x v="15"/>
    <x v="12"/>
    <x v="6"/>
    <x v="3"/>
    <x v="15"/>
  </r>
  <r>
    <x v="523"/>
    <x v="523"/>
    <x v="269"/>
    <x v="70"/>
    <x v="462"/>
    <x v="661"/>
    <x v="4"/>
    <x v="55"/>
    <x v="11"/>
    <x v="12"/>
    <x v="20"/>
    <x v="15"/>
    <x v="12"/>
    <x v="6"/>
    <x v="3"/>
    <x v="15"/>
  </r>
  <r>
    <x v="523"/>
    <x v="523"/>
    <x v="269"/>
    <x v="70"/>
    <x v="462"/>
    <x v="727"/>
    <x v="4"/>
    <x v="55"/>
    <x v="11"/>
    <x v="12"/>
    <x v="20"/>
    <x v="15"/>
    <x v="12"/>
    <x v="6"/>
    <x v="3"/>
    <x v="15"/>
  </r>
  <r>
    <x v="523"/>
    <x v="523"/>
    <x v="269"/>
    <x v="70"/>
    <x v="462"/>
    <x v="1074"/>
    <x v="4"/>
    <x v="55"/>
    <x v="11"/>
    <x v="12"/>
    <x v="20"/>
    <x v="15"/>
    <x v="12"/>
    <x v="6"/>
    <x v="3"/>
    <x v="15"/>
  </r>
  <r>
    <x v="523"/>
    <x v="523"/>
    <x v="269"/>
    <x v="70"/>
    <x v="462"/>
    <x v="816"/>
    <x v="4"/>
    <x v="55"/>
    <x v="11"/>
    <x v="12"/>
    <x v="20"/>
    <x v="15"/>
    <x v="12"/>
    <x v="6"/>
    <x v="3"/>
    <x v="15"/>
  </r>
  <r>
    <x v="523"/>
    <x v="523"/>
    <x v="269"/>
    <x v="70"/>
    <x v="462"/>
    <x v="548"/>
    <x v="4"/>
    <x v="55"/>
    <x v="11"/>
    <x v="12"/>
    <x v="20"/>
    <x v="15"/>
    <x v="12"/>
    <x v="6"/>
    <x v="3"/>
    <x v="15"/>
  </r>
  <r>
    <x v="523"/>
    <x v="523"/>
    <x v="269"/>
    <x v="70"/>
    <x v="462"/>
    <x v="296"/>
    <x v="4"/>
    <x v="55"/>
    <x v="11"/>
    <x v="12"/>
    <x v="20"/>
    <x v="15"/>
    <x v="12"/>
    <x v="6"/>
    <x v="3"/>
    <x v="15"/>
  </r>
  <r>
    <x v="523"/>
    <x v="523"/>
    <x v="269"/>
    <x v="70"/>
    <x v="462"/>
    <x v="1569"/>
    <x v="4"/>
    <x v="55"/>
    <x v="11"/>
    <x v="12"/>
    <x v="20"/>
    <x v="15"/>
    <x v="12"/>
    <x v="6"/>
    <x v="3"/>
    <x v="15"/>
  </r>
  <r>
    <x v="523"/>
    <x v="523"/>
    <x v="269"/>
    <x v="70"/>
    <x v="462"/>
    <x v="860"/>
    <x v="4"/>
    <x v="55"/>
    <x v="11"/>
    <x v="12"/>
    <x v="20"/>
    <x v="15"/>
    <x v="12"/>
    <x v="6"/>
    <x v="3"/>
    <x v="15"/>
  </r>
  <r>
    <x v="523"/>
    <x v="523"/>
    <x v="269"/>
    <x v="70"/>
    <x v="462"/>
    <x v="986"/>
    <x v="4"/>
    <x v="55"/>
    <x v="11"/>
    <x v="12"/>
    <x v="20"/>
    <x v="15"/>
    <x v="12"/>
    <x v="6"/>
    <x v="3"/>
    <x v="15"/>
  </r>
  <r>
    <x v="523"/>
    <x v="523"/>
    <x v="269"/>
    <x v="70"/>
    <x v="462"/>
    <x v="236"/>
    <x v="4"/>
    <x v="55"/>
    <x v="11"/>
    <x v="12"/>
    <x v="20"/>
    <x v="15"/>
    <x v="12"/>
    <x v="6"/>
    <x v="3"/>
    <x v="15"/>
  </r>
  <r>
    <x v="523"/>
    <x v="523"/>
    <x v="269"/>
    <x v="70"/>
    <x v="462"/>
    <x v="1233"/>
    <x v="4"/>
    <x v="55"/>
    <x v="11"/>
    <x v="12"/>
    <x v="20"/>
    <x v="15"/>
    <x v="12"/>
    <x v="6"/>
    <x v="3"/>
    <x v="15"/>
  </r>
  <r>
    <x v="523"/>
    <x v="523"/>
    <x v="269"/>
    <x v="70"/>
    <x v="462"/>
    <x v="847"/>
    <x v="4"/>
    <x v="55"/>
    <x v="11"/>
    <x v="12"/>
    <x v="20"/>
    <x v="15"/>
    <x v="12"/>
    <x v="6"/>
    <x v="3"/>
    <x v="15"/>
  </r>
  <r>
    <x v="523"/>
    <x v="523"/>
    <x v="269"/>
    <x v="70"/>
    <x v="462"/>
    <x v="1276"/>
    <x v="4"/>
    <x v="55"/>
    <x v="11"/>
    <x v="12"/>
    <x v="20"/>
    <x v="15"/>
    <x v="12"/>
    <x v="6"/>
    <x v="3"/>
    <x v="15"/>
  </r>
  <r>
    <x v="523"/>
    <x v="523"/>
    <x v="269"/>
    <x v="70"/>
    <x v="462"/>
    <x v="93"/>
    <x v="4"/>
    <x v="55"/>
    <x v="11"/>
    <x v="12"/>
    <x v="20"/>
    <x v="15"/>
    <x v="12"/>
    <x v="6"/>
    <x v="3"/>
    <x v="15"/>
  </r>
  <r>
    <x v="523"/>
    <x v="523"/>
    <x v="269"/>
    <x v="70"/>
    <x v="462"/>
    <x v="1290"/>
    <x v="4"/>
    <x v="55"/>
    <x v="11"/>
    <x v="12"/>
    <x v="20"/>
    <x v="15"/>
    <x v="12"/>
    <x v="6"/>
    <x v="3"/>
    <x v="15"/>
  </r>
  <r>
    <x v="523"/>
    <x v="523"/>
    <x v="269"/>
    <x v="70"/>
    <x v="462"/>
    <x v="1000"/>
    <x v="4"/>
    <x v="55"/>
    <x v="11"/>
    <x v="12"/>
    <x v="20"/>
    <x v="15"/>
    <x v="12"/>
    <x v="6"/>
    <x v="3"/>
    <x v="15"/>
  </r>
  <r>
    <x v="523"/>
    <x v="523"/>
    <x v="269"/>
    <x v="70"/>
    <x v="462"/>
    <x v="146"/>
    <x v="4"/>
    <x v="55"/>
    <x v="11"/>
    <x v="12"/>
    <x v="20"/>
    <x v="15"/>
    <x v="12"/>
    <x v="6"/>
    <x v="3"/>
    <x v="15"/>
  </r>
  <r>
    <x v="523"/>
    <x v="523"/>
    <x v="269"/>
    <x v="70"/>
    <x v="462"/>
    <x v="1393"/>
    <x v="4"/>
    <x v="55"/>
    <x v="11"/>
    <x v="12"/>
    <x v="20"/>
    <x v="15"/>
    <x v="12"/>
    <x v="6"/>
    <x v="3"/>
    <x v="15"/>
  </r>
  <r>
    <x v="523"/>
    <x v="523"/>
    <x v="269"/>
    <x v="70"/>
    <x v="462"/>
    <x v="1457"/>
    <x v="4"/>
    <x v="55"/>
    <x v="11"/>
    <x v="12"/>
    <x v="20"/>
    <x v="15"/>
    <x v="12"/>
    <x v="6"/>
    <x v="3"/>
    <x v="15"/>
  </r>
  <r>
    <x v="523"/>
    <x v="523"/>
    <x v="269"/>
    <x v="70"/>
    <x v="462"/>
    <x v="1010"/>
    <x v="4"/>
    <x v="55"/>
    <x v="11"/>
    <x v="12"/>
    <x v="20"/>
    <x v="15"/>
    <x v="12"/>
    <x v="6"/>
    <x v="3"/>
    <x v="15"/>
  </r>
  <r>
    <x v="523"/>
    <x v="523"/>
    <x v="269"/>
    <x v="70"/>
    <x v="462"/>
    <x v="69"/>
    <x v="4"/>
    <x v="55"/>
    <x v="11"/>
    <x v="12"/>
    <x v="20"/>
    <x v="15"/>
    <x v="12"/>
    <x v="6"/>
    <x v="3"/>
    <x v="15"/>
  </r>
  <r>
    <x v="523"/>
    <x v="523"/>
    <x v="269"/>
    <x v="70"/>
    <x v="462"/>
    <x v="1106"/>
    <x v="4"/>
    <x v="55"/>
    <x v="11"/>
    <x v="12"/>
    <x v="20"/>
    <x v="15"/>
    <x v="12"/>
    <x v="6"/>
    <x v="3"/>
    <x v="15"/>
  </r>
  <r>
    <x v="523"/>
    <x v="523"/>
    <x v="269"/>
    <x v="70"/>
    <x v="462"/>
    <x v="1193"/>
    <x v="4"/>
    <x v="55"/>
    <x v="11"/>
    <x v="12"/>
    <x v="20"/>
    <x v="15"/>
    <x v="12"/>
    <x v="6"/>
    <x v="3"/>
    <x v="15"/>
  </r>
  <r>
    <x v="523"/>
    <x v="523"/>
    <x v="269"/>
    <x v="70"/>
    <x v="462"/>
    <x v="991"/>
    <x v="4"/>
    <x v="55"/>
    <x v="11"/>
    <x v="12"/>
    <x v="20"/>
    <x v="15"/>
    <x v="12"/>
    <x v="6"/>
    <x v="3"/>
    <x v="15"/>
  </r>
  <r>
    <x v="523"/>
    <x v="523"/>
    <x v="269"/>
    <x v="70"/>
    <x v="462"/>
    <x v="1267"/>
    <x v="4"/>
    <x v="55"/>
    <x v="11"/>
    <x v="12"/>
    <x v="20"/>
    <x v="15"/>
    <x v="12"/>
    <x v="6"/>
    <x v="3"/>
    <x v="15"/>
  </r>
  <r>
    <x v="523"/>
    <x v="523"/>
    <x v="269"/>
    <x v="70"/>
    <x v="462"/>
    <x v="1482"/>
    <x v="4"/>
    <x v="55"/>
    <x v="11"/>
    <x v="12"/>
    <x v="20"/>
    <x v="15"/>
    <x v="12"/>
    <x v="6"/>
    <x v="3"/>
    <x v="15"/>
  </r>
  <r>
    <x v="523"/>
    <x v="523"/>
    <x v="269"/>
    <x v="70"/>
    <x v="462"/>
    <x v="881"/>
    <x v="4"/>
    <x v="55"/>
    <x v="11"/>
    <x v="12"/>
    <x v="20"/>
    <x v="15"/>
    <x v="12"/>
    <x v="6"/>
    <x v="3"/>
    <x v="15"/>
  </r>
  <r>
    <x v="523"/>
    <x v="523"/>
    <x v="269"/>
    <x v="70"/>
    <x v="462"/>
    <x v="625"/>
    <x v="4"/>
    <x v="55"/>
    <x v="11"/>
    <x v="12"/>
    <x v="20"/>
    <x v="15"/>
    <x v="12"/>
    <x v="6"/>
    <x v="3"/>
    <x v="15"/>
  </r>
  <r>
    <x v="523"/>
    <x v="523"/>
    <x v="269"/>
    <x v="70"/>
    <x v="462"/>
    <x v="346"/>
    <x v="4"/>
    <x v="55"/>
    <x v="11"/>
    <x v="12"/>
    <x v="20"/>
    <x v="15"/>
    <x v="12"/>
    <x v="6"/>
    <x v="3"/>
    <x v="15"/>
  </r>
  <r>
    <x v="523"/>
    <x v="523"/>
    <x v="269"/>
    <x v="70"/>
    <x v="462"/>
    <x v="614"/>
    <x v="4"/>
    <x v="55"/>
    <x v="11"/>
    <x v="12"/>
    <x v="20"/>
    <x v="15"/>
    <x v="12"/>
    <x v="6"/>
    <x v="3"/>
    <x v="15"/>
  </r>
  <r>
    <x v="523"/>
    <x v="523"/>
    <x v="269"/>
    <x v="70"/>
    <x v="462"/>
    <x v="1110"/>
    <x v="4"/>
    <x v="55"/>
    <x v="11"/>
    <x v="12"/>
    <x v="20"/>
    <x v="15"/>
    <x v="12"/>
    <x v="6"/>
    <x v="3"/>
    <x v="15"/>
  </r>
  <r>
    <x v="523"/>
    <x v="523"/>
    <x v="269"/>
    <x v="70"/>
    <x v="462"/>
    <x v="1042"/>
    <x v="4"/>
    <x v="55"/>
    <x v="11"/>
    <x v="12"/>
    <x v="20"/>
    <x v="15"/>
    <x v="12"/>
    <x v="6"/>
    <x v="3"/>
    <x v="15"/>
  </r>
  <r>
    <x v="523"/>
    <x v="523"/>
    <x v="269"/>
    <x v="70"/>
    <x v="462"/>
    <x v="104"/>
    <x v="4"/>
    <x v="55"/>
    <x v="11"/>
    <x v="12"/>
    <x v="20"/>
    <x v="15"/>
    <x v="12"/>
    <x v="6"/>
    <x v="3"/>
    <x v="15"/>
  </r>
  <r>
    <x v="523"/>
    <x v="523"/>
    <x v="269"/>
    <x v="70"/>
    <x v="462"/>
    <x v="1343"/>
    <x v="4"/>
    <x v="55"/>
    <x v="11"/>
    <x v="12"/>
    <x v="20"/>
    <x v="15"/>
    <x v="12"/>
    <x v="6"/>
    <x v="3"/>
    <x v="15"/>
  </r>
  <r>
    <x v="523"/>
    <x v="523"/>
    <x v="269"/>
    <x v="70"/>
    <x v="462"/>
    <x v="99"/>
    <x v="4"/>
    <x v="55"/>
    <x v="11"/>
    <x v="12"/>
    <x v="20"/>
    <x v="15"/>
    <x v="12"/>
    <x v="6"/>
    <x v="3"/>
    <x v="15"/>
  </r>
  <r>
    <x v="523"/>
    <x v="523"/>
    <x v="269"/>
    <x v="70"/>
    <x v="462"/>
    <x v="27"/>
    <x v="4"/>
    <x v="55"/>
    <x v="11"/>
    <x v="12"/>
    <x v="20"/>
    <x v="15"/>
    <x v="12"/>
    <x v="6"/>
    <x v="3"/>
    <x v="15"/>
  </r>
  <r>
    <x v="523"/>
    <x v="523"/>
    <x v="269"/>
    <x v="70"/>
    <x v="462"/>
    <x v="333"/>
    <x v="4"/>
    <x v="55"/>
    <x v="11"/>
    <x v="12"/>
    <x v="20"/>
    <x v="15"/>
    <x v="12"/>
    <x v="6"/>
    <x v="3"/>
    <x v="15"/>
  </r>
  <r>
    <x v="523"/>
    <x v="523"/>
    <x v="269"/>
    <x v="70"/>
    <x v="462"/>
    <x v="668"/>
    <x v="4"/>
    <x v="55"/>
    <x v="11"/>
    <x v="12"/>
    <x v="20"/>
    <x v="15"/>
    <x v="12"/>
    <x v="6"/>
    <x v="3"/>
    <x v="15"/>
  </r>
  <r>
    <x v="523"/>
    <x v="523"/>
    <x v="269"/>
    <x v="70"/>
    <x v="462"/>
    <x v="191"/>
    <x v="4"/>
    <x v="55"/>
    <x v="11"/>
    <x v="12"/>
    <x v="20"/>
    <x v="15"/>
    <x v="12"/>
    <x v="6"/>
    <x v="3"/>
    <x v="15"/>
  </r>
  <r>
    <x v="523"/>
    <x v="523"/>
    <x v="269"/>
    <x v="70"/>
    <x v="462"/>
    <x v="918"/>
    <x v="4"/>
    <x v="55"/>
    <x v="11"/>
    <x v="12"/>
    <x v="20"/>
    <x v="15"/>
    <x v="12"/>
    <x v="6"/>
    <x v="3"/>
    <x v="15"/>
  </r>
  <r>
    <x v="523"/>
    <x v="523"/>
    <x v="269"/>
    <x v="70"/>
    <x v="462"/>
    <x v="828"/>
    <x v="4"/>
    <x v="55"/>
    <x v="11"/>
    <x v="12"/>
    <x v="20"/>
    <x v="15"/>
    <x v="12"/>
    <x v="6"/>
    <x v="3"/>
    <x v="15"/>
  </r>
  <r>
    <x v="523"/>
    <x v="523"/>
    <x v="269"/>
    <x v="70"/>
    <x v="462"/>
    <x v="314"/>
    <x v="4"/>
    <x v="55"/>
    <x v="11"/>
    <x v="12"/>
    <x v="20"/>
    <x v="15"/>
    <x v="12"/>
    <x v="6"/>
    <x v="3"/>
    <x v="15"/>
  </r>
  <r>
    <x v="523"/>
    <x v="523"/>
    <x v="269"/>
    <x v="70"/>
    <x v="462"/>
    <x v="990"/>
    <x v="4"/>
    <x v="55"/>
    <x v="11"/>
    <x v="12"/>
    <x v="20"/>
    <x v="15"/>
    <x v="12"/>
    <x v="6"/>
    <x v="3"/>
    <x v="15"/>
  </r>
  <r>
    <x v="523"/>
    <x v="523"/>
    <x v="269"/>
    <x v="70"/>
    <x v="462"/>
    <x v="271"/>
    <x v="4"/>
    <x v="55"/>
    <x v="11"/>
    <x v="12"/>
    <x v="20"/>
    <x v="15"/>
    <x v="12"/>
    <x v="6"/>
    <x v="3"/>
    <x v="15"/>
  </r>
  <r>
    <x v="523"/>
    <x v="523"/>
    <x v="269"/>
    <x v="70"/>
    <x v="462"/>
    <x v="920"/>
    <x v="4"/>
    <x v="55"/>
    <x v="11"/>
    <x v="12"/>
    <x v="20"/>
    <x v="15"/>
    <x v="12"/>
    <x v="6"/>
    <x v="3"/>
    <x v="15"/>
  </r>
  <r>
    <x v="523"/>
    <x v="523"/>
    <x v="269"/>
    <x v="70"/>
    <x v="462"/>
    <x v="778"/>
    <x v="4"/>
    <x v="55"/>
    <x v="11"/>
    <x v="12"/>
    <x v="20"/>
    <x v="15"/>
    <x v="12"/>
    <x v="6"/>
    <x v="3"/>
    <x v="15"/>
  </r>
  <r>
    <x v="523"/>
    <x v="523"/>
    <x v="269"/>
    <x v="70"/>
    <x v="462"/>
    <x v="1329"/>
    <x v="4"/>
    <x v="55"/>
    <x v="11"/>
    <x v="12"/>
    <x v="20"/>
    <x v="15"/>
    <x v="12"/>
    <x v="6"/>
    <x v="3"/>
    <x v="15"/>
  </r>
  <r>
    <x v="523"/>
    <x v="523"/>
    <x v="269"/>
    <x v="70"/>
    <x v="462"/>
    <x v="53"/>
    <x v="4"/>
    <x v="55"/>
    <x v="11"/>
    <x v="12"/>
    <x v="20"/>
    <x v="15"/>
    <x v="12"/>
    <x v="6"/>
    <x v="3"/>
    <x v="15"/>
  </r>
  <r>
    <x v="523"/>
    <x v="523"/>
    <x v="269"/>
    <x v="70"/>
    <x v="462"/>
    <x v="380"/>
    <x v="4"/>
    <x v="55"/>
    <x v="11"/>
    <x v="12"/>
    <x v="20"/>
    <x v="15"/>
    <x v="12"/>
    <x v="6"/>
    <x v="3"/>
    <x v="15"/>
  </r>
  <r>
    <x v="523"/>
    <x v="523"/>
    <x v="269"/>
    <x v="70"/>
    <x v="462"/>
    <x v="352"/>
    <x v="4"/>
    <x v="55"/>
    <x v="11"/>
    <x v="12"/>
    <x v="20"/>
    <x v="15"/>
    <x v="12"/>
    <x v="6"/>
    <x v="3"/>
    <x v="15"/>
  </r>
  <r>
    <x v="523"/>
    <x v="523"/>
    <x v="269"/>
    <x v="70"/>
    <x v="462"/>
    <x v="928"/>
    <x v="4"/>
    <x v="55"/>
    <x v="11"/>
    <x v="12"/>
    <x v="20"/>
    <x v="15"/>
    <x v="12"/>
    <x v="6"/>
    <x v="3"/>
    <x v="15"/>
  </r>
  <r>
    <x v="523"/>
    <x v="523"/>
    <x v="269"/>
    <x v="70"/>
    <x v="462"/>
    <x v="1099"/>
    <x v="4"/>
    <x v="55"/>
    <x v="11"/>
    <x v="12"/>
    <x v="20"/>
    <x v="15"/>
    <x v="12"/>
    <x v="6"/>
    <x v="3"/>
    <x v="15"/>
  </r>
  <r>
    <x v="523"/>
    <x v="523"/>
    <x v="269"/>
    <x v="70"/>
    <x v="462"/>
    <x v="1109"/>
    <x v="4"/>
    <x v="55"/>
    <x v="11"/>
    <x v="12"/>
    <x v="20"/>
    <x v="15"/>
    <x v="12"/>
    <x v="6"/>
    <x v="3"/>
    <x v="15"/>
  </r>
  <r>
    <x v="523"/>
    <x v="523"/>
    <x v="269"/>
    <x v="70"/>
    <x v="462"/>
    <x v="1410"/>
    <x v="4"/>
    <x v="55"/>
    <x v="11"/>
    <x v="12"/>
    <x v="20"/>
    <x v="15"/>
    <x v="12"/>
    <x v="6"/>
    <x v="3"/>
    <x v="15"/>
  </r>
  <r>
    <x v="523"/>
    <x v="523"/>
    <x v="269"/>
    <x v="70"/>
    <x v="462"/>
    <x v="806"/>
    <x v="4"/>
    <x v="55"/>
    <x v="11"/>
    <x v="12"/>
    <x v="20"/>
    <x v="15"/>
    <x v="12"/>
    <x v="6"/>
    <x v="3"/>
    <x v="15"/>
  </r>
  <r>
    <x v="523"/>
    <x v="523"/>
    <x v="269"/>
    <x v="70"/>
    <x v="462"/>
    <x v="261"/>
    <x v="4"/>
    <x v="55"/>
    <x v="11"/>
    <x v="12"/>
    <x v="20"/>
    <x v="15"/>
    <x v="12"/>
    <x v="6"/>
    <x v="3"/>
    <x v="15"/>
  </r>
  <r>
    <x v="523"/>
    <x v="523"/>
    <x v="269"/>
    <x v="70"/>
    <x v="462"/>
    <x v="166"/>
    <x v="4"/>
    <x v="55"/>
    <x v="11"/>
    <x v="12"/>
    <x v="20"/>
    <x v="15"/>
    <x v="12"/>
    <x v="6"/>
    <x v="3"/>
    <x v="15"/>
  </r>
  <r>
    <x v="523"/>
    <x v="523"/>
    <x v="269"/>
    <x v="70"/>
    <x v="462"/>
    <x v="927"/>
    <x v="4"/>
    <x v="55"/>
    <x v="11"/>
    <x v="12"/>
    <x v="20"/>
    <x v="15"/>
    <x v="12"/>
    <x v="6"/>
    <x v="3"/>
    <x v="15"/>
  </r>
  <r>
    <x v="523"/>
    <x v="523"/>
    <x v="269"/>
    <x v="70"/>
    <x v="462"/>
    <x v="914"/>
    <x v="4"/>
    <x v="55"/>
    <x v="11"/>
    <x v="12"/>
    <x v="20"/>
    <x v="15"/>
    <x v="12"/>
    <x v="6"/>
    <x v="3"/>
    <x v="15"/>
  </r>
  <r>
    <x v="523"/>
    <x v="523"/>
    <x v="269"/>
    <x v="70"/>
    <x v="462"/>
    <x v="895"/>
    <x v="4"/>
    <x v="55"/>
    <x v="11"/>
    <x v="12"/>
    <x v="20"/>
    <x v="15"/>
    <x v="12"/>
    <x v="6"/>
    <x v="3"/>
    <x v="15"/>
  </r>
  <r>
    <x v="523"/>
    <x v="523"/>
    <x v="269"/>
    <x v="70"/>
    <x v="462"/>
    <x v="496"/>
    <x v="4"/>
    <x v="55"/>
    <x v="11"/>
    <x v="12"/>
    <x v="20"/>
    <x v="15"/>
    <x v="12"/>
    <x v="6"/>
    <x v="3"/>
    <x v="15"/>
  </r>
  <r>
    <x v="523"/>
    <x v="523"/>
    <x v="269"/>
    <x v="70"/>
    <x v="462"/>
    <x v="1164"/>
    <x v="4"/>
    <x v="55"/>
    <x v="11"/>
    <x v="12"/>
    <x v="20"/>
    <x v="15"/>
    <x v="12"/>
    <x v="6"/>
    <x v="3"/>
    <x v="15"/>
  </r>
  <r>
    <x v="523"/>
    <x v="523"/>
    <x v="269"/>
    <x v="70"/>
    <x v="462"/>
    <x v="676"/>
    <x v="4"/>
    <x v="55"/>
    <x v="11"/>
    <x v="12"/>
    <x v="20"/>
    <x v="15"/>
    <x v="12"/>
    <x v="6"/>
    <x v="3"/>
    <x v="15"/>
  </r>
  <r>
    <x v="523"/>
    <x v="523"/>
    <x v="269"/>
    <x v="70"/>
    <x v="462"/>
    <x v="298"/>
    <x v="4"/>
    <x v="55"/>
    <x v="11"/>
    <x v="12"/>
    <x v="20"/>
    <x v="15"/>
    <x v="12"/>
    <x v="6"/>
    <x v="3"/>
    <x v="15"/>
  </r>
  <r>
    <x v="523"/>
    <x v="523"/>
    <x v="269"/>
    <x v="70"/>
    <x v="462"/>
    <x v="603"/>
    <x v="4"/>
    <x v="55"/>
    <x v="11"/>
    <x v="12"/>
    <x v="20"/>
    <x v="15"/>
    <x v="12"/>
    <x v="6"/>
    <x v="3"/>
    <x v="15"/>
  </r>
  <r>
    <x v="523"/>
    <x v="523"/>
    <x v="269"/>
    <x v="70"/>
    <x v="462"/>
    <x v="485"/>
    <x v="4"/>
    <x v="55"/>
    <x v="11"/>
    <x v="12"/>
    <x v="20"/>
    <x v="15"/>
    <x v="12"/>
    <x v="6"/>
    <x v="3"/>
    <x v="15"/>
  </r>
  <r>
    <x v="523"/>
    <x v="523"/>
    <x v="269"/>
    <x v="70"/>
    <x v="462"/>
    <x v="338"/>
    <x v="4"/>
    <x v="55"/>
    <x v="11"/>
    <x v="12"/>
    <x v="20"/>
    <x v="15"/>
    <x v="12"/>
    <x v="6"/>
    <x v="3"/>
    <x v="15"/>
  </r>
  <r>
    <x v="523"/>
    <x v="523"/>
    <x v="269"/>
    <x v="70"/>
    <x v="462"/>
    <x v="422"/>
    <x v="4"/>
    <x v="55"/>
    <x v="11"/>
    <x v="12"/>
    <x v="20"/>
    <x v="15"/>
    <x v="12"/>
    <x v="6"/>
    <x v="3"/>
    <x v="15"/>
  </r>
  <r>
    <x v="523"/>
    <x v="523"/>
    <x v="269"/>
    <x v="70"/>
    <x v="462"/>
    <x v="1436"/>
    <x v="4"/>
    <x v="55"/>
    <x v="11"/>
    <x v="12"/>
    <x v="20"/>
    <x v="15"/>
    <x v="12"/>
    <x v="6"/>
    <x v="3"/>
    <x v="15"/>
  </r>
  <r>
    <x v="523"/>
    <x v="523"/>
    <x v="269"/>
    <x v="70"/>
    <x v="462"/>
    <x v="762"/>
    <x v="4"/>
    <x v="55"/>
    <x v="11"/>
    <x v="12"/>
    <x v="20"/>
    <x v="15"/>
    <x v="12"/>
    <x v="6"/>
    <x v="3"/>
    <x v="15"/>
  </r>
  <r>
    <x v="523"/>
    <x v="523"/>
    <x v="269"/>
    <x v="70"/>
    <x v="462"/>
    <x v="88"/>
    <x v="4"/>
    <x v="55"/>
    <x v="11"/>
    <x v="12"/>
    <x v="20"/>
    <x v="15"/>
    <x v="12"/>
    <x v="6"/>
    <x v="3"/>
    <x v="15"/>
  </r>
  <r>
    <x v="523"/>
    <x v="523"/>
    <x v="269"/>
    <x v="70"/>
    <x v="462"/>
    <x v="891"/>
    <x v="4"/>
    <x v="55"/>
    <x v="11"/>
    <x v="12"/>
    <x v="20"/>
    <x v="15"/>
    <x v="12"/>
    <x v="6"/>
    <x v="3"/>
    <x v="15"/>
  </r>
  <r>
    <x v="523"/>
    <x v="523"/>
    <x v="269"/>
    <x v="70"/>
    <x v="462"/>
    <x v="1180"/>
    <x v="4"/>
    <x v="55"/>
    <x v="11"/>
    <x v="12"/>
    <x v="20"/>
    <x v="15"/>
    <x v="12"/>
    <x v="6"/>
    <x v="3"/>
    <x v="15"/>
  </r>
  <r>
    <x v="523"/>
    <x v="523"/>
    <x v="269"/>
    <x v="70"/>
    <x v="462"/>
    <x v="817"/>
    <x v="4"/>
    <x v="55"/>
    <x v="11"/>
    <x v="12"/>
    <x v="20"/>
    <x v="15"/>
    <x v="12"/>
    <x v="6"/>
    <x v="3"/>
    <x v="15"/>
  </r>
  <r>
    <x v="523"/>
    <x v="523"/>
    <x v="269"/>
    <x v="70"/>
    <x v="462"/>
    <x v="1204"/>
    <x v="4"/>
    <x v="55"/>
    <x v="11"/>
    <x v="12"/>
    <x v="20"/>
    <x v="15"/>
    <x v="12"/>
    <x v="6"/>
    <x v="3"/>
    <x v="15"/>
  </r>
  <r>
    <x v="523"/>
    <x v="523"/>
    <x v="269"/>
    <x v="70"/>
    <x v="462"/>
    <x v="30"/>
    <x v="4"/>
    <x v="55"/>
    <x v="11"/>
    <x v="12"/>
    <x v="20"/>
    <x v="15"/>
    <x v="12"/>
    <x v="6"/>
    <x v="3"/>
    <x v="15"/>
  </r>
  <r>
    <x v="523"/>
    <x v="523"/>
    <x v="269"/>
    <x v="70"/>
    <x v="462"/>
    <x v="423"/>
    <x v="4"/>
    <x v="55"/>
    <x v="11"/>
    <x v="12"/>
    <x v="20"/>
    <x v="15"/>
    <x v="12"/>
    <x v="6"/>
    <x v="3"/>
    <x v="15"/>
  </r>
  <r>
    <x v="523"/>
    <x v="523"/>
    <x v="269"/>
    <x v="70"/>
    <x v="462"/>
    <x v="217"/>
    <x v="4"/>
    <x v="55"/>
    <x v="11"/>
    <x v="12"/>
    <x v="20"/>
    <x v="15"/>
    <x v="12"/>
    <x v="6"/>
    <x v="3"/>
    <x v="15"/>
  </r>
  <r>
    <x v="523"/>
    <x v="523"/>
    <x v="269"/>
    <x v="70"/>
    <x v="462"/>
    <x v="892"/>
    <x v="4"/>
    <x v="55"/>
    <x v="11"/>
    <x v="12"/>
    <x v="20"/>
    <x v="15"/>
    <x v="12"/>
    <x v="6"/>
    <x v="3"/>
    <x v="15"/>
  </r>
  <r>
    <x v="523"/>
    <x v="523"/>
    <x v="269"/>
    <x v="70"/>
    <x v="462"/>
    <x v="919"/>
    <x v="4"/>
    <x v="55"/>
    <x v="11"/>
    <x v="12"/>
    <x v="20"/>
    <x v="15"/>
    <x v="12"/>
    <x v="6"/>
    <x v="3"/>
    <x v="15"/>
  </r>
  <r>
    <x v="523"/>
    <x v="523"/>
    <x v="269"/>
    <x v="70"/>
    <x v="462"/>
    <x v="275"/>
    <x v="4"/>
    <x v="55"/>
    <x v="11"/>
    <x v="12"/>
    <x v="20"/>
    <x v="15"/>
    <x v="12"/>
    <x v="6"/>
    <x v="3"/>
    <x v="15"/>
  </r>
  <r>
    <x v="523"/>
    <x v="523"/>
    <x v="269"/>
    <x v="70"/>
    <x v="462"/>
    <x v="794"/>
    <x v="4"/>
    <x v="55"/>
    <x v="11"/>
    <x v="12"/>
    <x v="20"/>
    <x v="15"/>
    <x v="12"/>
    <x v="6"/>
    <x v="3"/>
    <x v="15"/>
  </r>
  <r>
    <x v="523"/>
    <x v="523"/>
    <x v="269"/>
    <x v="70"/>
    <x v="462"/>
    <x v="829"/>
    <x v="4"/>
    <x v="55"/>
    <x v="11"/>
    <x v="12"/>
    <x v="20"/>
    <x v="15"/>
    <x v="12"/>
    <x v="6"/>
    <x v="3"/>
    <x v="15"/>
  </r>
  <r>
    <x v="523"/>
    <x v="523"/>
    <x v="269"/>
    <x v="70"/>
    <x v="462"/>
    <x v="77"/>
    <x v="4"/>
    <x v="55"/>
    <x v="11"/>
    <x v="12"/>
    <x v="20"/>
    <x v="15"/>
    <x v="12"/>
    <x v="6"/>
    <x v="3"/>
    <x v="15"/>
  </r>
  <r>
    <x v="523"/>
    <x v="523"/>
    <x v="269"/>
    <x v="70"/>
    <x v="462"/>
    <x v="802"/>
    <x v="4"/>
    <x v="55"/>
    <x v="11"/>
    <x v="12"/>
    <x v="20"/>
    <x v="15"/>
    <x v="12"/>
    <x v="6"/>
    <x v="3"/>
    <x v="15"/>
  </r>
  <r>
    <x v="523"/>
    <x v="523"/>
    <x v="269"/>
    <x v="70"/>
    <x v="462"/>
    <x v="348"/>
    <x v="4"/>
    <x v="55"/>
    <x v="11"/>
    <x v="12"/>
    <x v="20"/>
    <x v="15"/>
    <x v="12"/>
    <x v="6"/>
    <x v="3"/>
    <x v="15"/>
  </r>
  <r>
    <x v="523"/>
    <x v="523"/>
    <x v="269"/>
    <x v="70"/>
    <x v="462"/>
    <x v="467"/>
    <x v="4"/>
    <x v="55"/>
    <x v="11"/>
    <x v="12"/>
    <x v="20"/>
    <x v="15"/>
    <x v="12"/>
    <x v="6"/>
    <x v="3"/>
    <x v="15"/>
  </r>
  <r>
    <x v="523"/>
    <x v="523"/>
    <x v="269"/>
    <x v="70"/>
    <x v="462"/>
    <x v="1426"/>
    <x v="4"/>
    <x v="55"/>
    <x v="11"/>
    <x v="12"/>
    <x v="20"/>
    <x v="15"/>
    <x v="12"/>
    <x v="6"/>
    <x v="3"/>
    <x v="15"/>
  </r>
  <r>
    <x v="523"/>
    <x v="523"/>
    <x v="269"/>
    <x v="70"/>
    <x v="462"/>
    <x v="128"/>
    <x v="4"/>
    <x v="55"/>
    <x v="11"/>
    <x v="12"/>
    <x v="20"/>
    <x v="15"/>
    <x v="12"/>
    <x v="6"/>
    <x v="3"/>
    <x v="15"/>
  </r>
  <r>
    <x v="523"/>
    <x v="523"/>
    <x v="269"/>
    <x v="70"/>
    <x v="462"/>
    <x v="43"/>
    <x v="4"/>
    <x v="55"/>
    <x v="11"/>
    <x v="12"/>
    <x v="20"/>
    <x v="15"/>
    <x v="12"/>
    <x v="6"/>
    <x v="3"/>
    <x v="15"/>
  </r>
  <r>
    <x v="523"/>
    <x v="523"/>
    <x v="269"/>
    <x v="70"/>
    <x v="462"/>
    <x v="744"/>
    <x v="4"/>
    <x v="55"/>
    <x v="11"/>
    <x v="12"/>
    <x v="20"/>
    <x v="15"/>
    <x v="12"/>
    <x v="6"/>
    <x v="3"/>
    <x v="15"/>
  </r>
  <r>
    <x v="523"/>
    <x v="523"/>
    <x v="269"/>
    <x v="70"/>
    <x v="462"/>
    <x v="48"/>
    <x v="4"/>
    <x v="55"/>
    <x v="11"/>
    <x v="12"/>
    <x v="20"/>
    <x v="15"/>
    <x v="12"/>
    <x v="6"/>
    <x v="3"/>
    <x v="15"/>
  </r>
  <r>
    <x v="523"/>
    <x v="523"/>
    <x v="269"/>
    <x v="70"/>
    <x v="462"/>
    <x v="549"/>
    <x v="4"/>
    <x v="55"/>
    <x v="11"/>
    <x v="12"/>
    <x v="20"/>
    <x v="15"/>
    <x v="12"/>
    <x v="6"/>
    <x v="3"/>
    <x v="15"/>
  </r>
  <r>
    <x v="523"/>
    <x v="523"/>
    <x v="269"/>
    <x v="70"/>
    <x v="462"/>
    <x v="978"/>
    <x v="4"/>
    <x v="55"/>
    <x v="11"/>
    <x v="12"/>
    <x v="20"/>
    <x v="15"/>
    <x v="12"/>
    <x v="6"/>
    <x v="3"/>
    <x v="15"/>
  </r>
  <r>
    <x v="523"/>
    <x v="523"/>
    <x v="269"/>
    <x v="70"/>
    <x v="462"/>
    <x v="194"/>
    <x v="4"/>
    <x v="55"/>
    <x v="11"/>
    <x v="12"/>
    <x v="20"/>
    <x v="15"/>
    <x v="12"/>
    <x v="6"/>
    <x v="3"/>
    <x v="15"/>
  </r>
  <r>
    <x v="523"/>
    <x v="523"/>
    <x v="269"/>
    <x v="70"/>
    <x v="462"/>
    <x v="356"/>
    <x v="4"/>
    <x v="55"/>
    <x v="11"/>
    <x v="12"/>
    <x v="20"/>
    <x v="15"/>
    <x v="12"/>
    <x v="6"/>
    <x v="3"/>
    <x v="15"/>
  </r>
  <r>
    <x v="523"/>
    <x v="523"/>
    <x v="269"/>
    <x v="70"/>
    <x v="462"/>
    <x v="732"/>
    <x v="4"/>
    <x v="55"/>
    <x v="11"/>
    <x v="12"/>
    <x v="20"/>
    <x v="15"/>
    <x v="12"/>
    <x v="6"/>
    <x v="3"/>
    <x v="15"/>
  </r>
  <r>
    <x v="523"/>
    <x v="523"/>
    <x v="269"/>
    <x v="70"/>
    <x v="462"/>
    <x v="534"/>
    <x v="4"/>
    <x v="55"/>
    <x v="11"/>
    <x v="12"/>
    <x v="20"/>
    <x v="15"/>
    <x v="12"/>
    <x v="6"/>
    <x v="3"/>
    <x v="15"/>
  </r>
  <r>
    <x v="523"/>
    <x v="523"/>
    <x v="269"/>
    <x v="70"/>
    <x v="462"/>
    <x v="1019"/>
    <x v="4"/>
    <x v="55"/>
    <x v="11"/>
    <x v="12"/>
    <x v="20"/>
    <x v="15"/>
    <x v="12"/>
    <x v="6"/>
    <x v="3"/>
    <x v="15"/>
  </r>
  <r>
    <x v="523"/>
    <x v="523"/>
    <x v="269"/>
    <x v="70"/>
    <x v="462"/>
    <x v="1082"/>
    <x v="4"/>
    <x v="55"/>
    <x v="11"/>
    <x v="12"/>
    <x v="20"/>
    <x v="15"/>
    <x v="12"/>
    <x v="6"/>
    <x v="3"/>
    <x v="15"/>
  </r>
  <r>
    <x v="523"/>
    <x v="523"/>
    <x v="269"/>
    <x v="70"/>
    <x v="462"/>
    <x v="409"/>
    <x v="4"/>
    <x v="55"/>
    <x v="11"/>
    <x v="12"/>
    <x v="20"/>
    <x v="15"/>
    <x v="12"/>
    <x v="6"/>
    <x v="3"/>
    <x v="15"/>
  </r>
  <r>
    <x v="523"/>
    <x v="523"/>
    <x v="269"/>
    <x v="70"/>
    <x v="462"/>
    <x v="1079"/>
    <x v="4"/>
    <x v="55"/>
    <x v="11"/>
    <x v="12"/>
    <x v="20"/>
    <x v="15"/>
    <x v="12"/>
    <x v="6"/>
    <x v="3"/>
    <x v="15"/>
  </r>
  <r>
    <x v="523"/>
    <x v="523"/>
    <x v="269"/>
    <x v="70"/>
    <x v="462"/>
    <x v="753"/>
    <x v="4"/>
    <x v="55"/>
    <x v="11"/>
    <x v="12"/>
    <x v="20"/>
    <x v="15"/>
    <x v="12"/>
    <x v="6"/>
    <x v="3"/>
    <x v="15"/>
  </r>
  <r>
    <x v="523"/>
    <x v="523"/>
    <x v="269"/>
    <x v="70"/>
    <x v="462"/>
    <x v="193"/>
    <x v="4"/>
    <x v="55"/>
    <x v="11"/>
    <x v="12"/>
    <x v="20"/>
    <x v="15"/>
    <x v="12"/>
    <x v="6"/>
    <x v="3"/>
    <x v="15"/>
  </r>
  <r>
    <x v="523"/>
    <x v="523"/>
    <x v="269"/>
    <x v="70"/>
    <x v="462"/>
    <x v="294"/>
    <x v="4"/>
    <x v="55"/>
    <x v="11"/>
    <x v="12"/>
    <x v="20"/>
    <x v="15"/>
    <x v="12"/>
    <x v="6"/>
    <x v="3"/>
    <x v="15"/>
  </r>
  <r>
    <x v="523"/>
    <x v="523"/>
    <x v="269"/>
    <x v="70"/>
    <x v="462"/>
    <x v="281"/>
    <x v="4"/>
    <x v="55"/>
    <x v="11"/>
    <x v="12"/>
    <x v="20"/>
    <x v="15"/>
    <x v="12"/>
    <x v="6"/>
    <x v="3"/>
    <x v="15"/>
  </r>
  <r>
    <x v="523"/>
    <x v="523"/>
    <x v="269"/>
    <x v="70"/>
    <x v="462"/>
    <x v="132"/>
    <x v="4"/>
    <x v="55"/>
    <x v="11"/>
    <x v="12"/>
    <x v="20"/>
    <x v="15"/>
    <x v="12"/>
    <x v="6"/>
    <x v="3"/>
    <x v="15"/>
  </r>
  <r>
    <x v="523"/>
    <x v="523"/>
    <x v="269"/>
    <x v="70"/>
    <x v="462"/>
    <x v="1407"/>
    <x v="4"/>
    <x v="55"/>
    <x v="11"/>
    <x v="12"/>
    <x v="20"/>
    <x v="15"/>
    <x v="12"/>
    <x v="6"/>
    <x v="3"/>
    <x v="15"/>
  </r>
  <r>
    <x v="523"/>
    <x v="523"/>
    <x v="269"/>
    <x v="70"/>
    <x v="462"/>
    <x v="157"/>
    <x v="4"/>
    <x v="55"/>
    <x v="11"/>
    <x v="12"/>
    <x v="20"/>
    <x v="15"/>
    <x v="12"/>
    <x v="6"/>
    <x v="3"/>
    <x v="15"/>
  </r>
  <r>
    <x v="523"/>
    <x v="523"/>
    <x v="269"/>
    <x v="70"/>
    <x v="462"/>
    <x v="175"/>
    <x v="4"/>
    <x v="55"/>
    <x v="11"/>
    <x v="12"/>
    <x v="20"/>
    <x v="15"/>
    <x v="12"/>
    <x v="6"/>
    <x v="3"/>
    <x v="15"/>
  </r>
  <r>
    <x v="523"/>
    <x v="523"/>
    <x v="269"/>
    <x v="70"/>
    <x v="462"/>
    <x v="249"/>
    <x v="4"/>
    <x v="55"/>
    <x v="11"/>
    <x v="12"/>
    <x v="20"/>
    <x v="15"/>
    <x v="12"/>
    <x v="6"/>
    <x v="3"/>
    <x v="15"/>
  </r>
  <r>
    <x v="523"/>
    <x v="523"/>
    <x v="269"/>
    <x v="70"/>
    <x v="462"/>
    <x v="650"/>
    <x v="4"/>
    <x v="55"/>
    <x v="11"/>
    <x v="12"/>
    <x v="20"/>
    <x v="15"/>
    <x v="12"/>
    <x v="6"/>
    <x v="3"/>
    <x v="15"/>
  </r>
  <r>
    <x v="523"/>
    <x v="523"/>
    <x v="269"/>
    <x v="70"/>
    <x v="462"/>
    <x v="1279"/>
    <x v="4"/>
    <x v="55"/>
    <x v="11"/>
    <x v="12"/>
    <x v="20"/>
    <x v="15"/>
    <x v="12"/>
    <x v="6"/>
    <x v="3"/>
    <x v="15"/>
  </r>
  <r>
    <x v="523"/>
    <x v="523"/>
    <x v="269"/>
    <x v="70"/>
    <x v="462"/>
    <x v="1262"/>
    <x v="4"/>
    <x v="55"/>
    <x v="11"/>
    <x v="12"/>
    <x v="20"/>
    <x v="15"/>
    <x v="12"/>
    <x v="6"/>
    <x v="3"/>
    <x v="15"/>
  </r>
  <r>
    <x v="523"/>
    <x v="523"/>
    <x v="269"/>
    <x v="70"/>
    <x v="462"/>
    <x v="1477"/>
    <x v="4"/>
    <x v="55"/>
    <x v="11"/>
    <x v="12"/>
    <x v="20"/>
    <x v="15"/>
    <x v="12"/>
    <x v="6"/>
    <x v="3"/>
    <x v="15"/>
  </r>
  <r>
    <x v="523"/>
    <x v="523"/>
    <x v="269"/>
    <x v="70"/>
    <x v="462"/>
    <x v="1224"/>
    <x v="4"/>
    <x v="55"/>
    <x v="11"/>
    <x v="12"/>
    <x v="20"/>
    <x v="15"/>
    <x v="12"/>
    <x v="6"/>
    <x v="3"/>
    <x v="15"/>
  </r>
  <r>
    <x v="523"/>
    <x v="523"/>
    <x v="269"/>
    <x v="70"/>
    <x v="462"/>
    <x v="1379"/>
    <x v="4"/>
    <x v="55"/>
    <x v="11"/>
    <x v="12"/>
    <x v="20"/>
    <x v="15"/>
    <x v="12"/>
    <x v="6"/>
    <x v="3"/>
    <x v="15"/>
  </r>
  <r>
    <x v="523"/>
    <x v="523"/>
    <x v="269"/>
    <x v="70"/>
    <x v="462"/>
    <x v="1249"/>
    <x v="4"/>
    <x v="55"/>
    <x v="11"/>
    <x v="12"/>
    <x v="20"/>
    <x v="15"/>
    <x v="12"/>
    <x v="6"/>
    <x v="3"/>
    <x v="15"/>
  </r>
  <r>
    <x v="523"/>
    <x v="523"/>
    <x v="269"/>
    <x v="70"/>
    <x v="462"/>
    <x v="1049"/>
    <x v="4"/>
    <x v="55"/>
    <x v="11"/>
    <x v="12"/>
    <x v="20"/>
    <x v="15"/>
    <x v="12"/>
    <x v="6"/>
    <x v="3"/>
    <x v="15"/>
  </r>
  <r>
    <x v="523"/>
    <x v="523"/>
    <x v="269"/>
    <x v="70"/>
    <x v="462"/>
    <x v="154"/>
    <x v="4"/>
    <x v="55"/>
    <x v="11"/>
    <x v="12"/>
    <x v="20"/>
    <x v="15"/>
    <x v="12"/>
    <x v="6"/>
    <x v="3"/>
    <x v="15"/>
  </r>
  <r>
    <x v="523"/>
    <x v="523"/>
    <x v="269"/>
    <x v="70"/>
    <x v="462"/>
    <x v="514"/>
    <x v="4"/>
    <x v="55"/>
    <x v="11"/>
    <x v="12"/>
    <x v="20"/>
    <x v="15"/>
    <x v="12"/>
    <x v="6"/>
    <x v="3"/>
    <x v="15"/>
  </r>
  <r>
    <x v="523"/>
    <x v="523"/>
    <x v="269"/>
    <x v="70"/>
    <x v="462"/>
    <x v="1385"/>
    <x v="4"/>
    <x v="55"/>
    <x v="11"/>
    <x v="12"/>
    <x v="20"/>
    <x v="15"/>
    <x v="12"/>
    <x v="6"/>
    <x v="3"/>
    <x v="15"/>
  </r>
  <r>
    <x v="523"/>
    <x v="523"/>
    <x v="269"/>
    <x v="70"/>
    <x v="462"/>
    <x v="415"/>
    <x v="4"/>
    <x v="55"/>
    <x v="11"/>
    <x v="12"/>
    <x v="20"/>
    <x v="15"/>
    <x v="12"/>
    <x v="6"/>
    <x v="3"/>
    <x v="15"/>
  </r>
  <r>
    <x v="523"/>
    <x v="523"/>
    <x v="269"/>
    <x v="70"/>
    <x v="462"/>
    <x v="462"/>
    <x v="4"/>
    <x v="55"/>
    <x v="11"/>
    <x v="12"/>
    <x v="20"/>
    <x v="15"/>
    <x v="12"/>
    <x v="6"/>
    <x v="3"/>
    <x v="15"/>
  </r>
  <r>
    <x v="523"/>
    <x v="523"/>
    <x v="269"/>
    <x v="70"/>
    <x v="462"/>
    <x v="1443"/>
    <x v="4"/>
    <x v="55"/>
    <x v="11"/>
    <x v="12"/>
    <x v="20"/>
    <x v="15"/>
    <x v="12"/>
    <x v="6"/>
    <x v="3"/>
    <x v="15"/>
  </r>
  <r>
    <x v="523"/>
    <x v="523"/>
    <x v="269"/>
    <x v="70"/>
    <x v="462"/>
    <x v="1535"/>
    <x v="4"/>
    <x v="55"/>
    <x v="11"/>
    <x v="12"/>
    <x v="20"/>
    <x v="15"/>
    <x v="12"/>
    <x v="6"/>
    <x v="3"/>
    <x v="15"/>
  </r>
  <r>
    <x v="523"/>
    <x v="523"/>
    <x v="269"/>
    <x v="70"/>
    <x v="462"/>
    <x v="475"/>
    <x v="4"/>
    <x v="55"/>
    <x v="11"/>
    <x v="12"/>
    <x v="20"/>
    <x v="15"/>
    <x v="12"/>
    <x v="6"/>
    <x v="3"/>
    <x v="15"/>
  </r>
  <r>
    <x v="523"/>
    <x v="523"/>
    <x v="269"/>
    <x v="70"/>
    <x v="462"/>
    <x v="18"/>
    <x v="4"/>
    <x v="55"/>
    <x v="11"/>
    <x v="12"/>
    <x v="20"/>
    <x v="15"/>
    <x v="12"/>
    <x v="6"/>
    <x v="3"/>
    <x v="15"/>
  </r>
  <r>
    <x v="523"/>
    <x v="523"/>
    <x v="269"/>
    <x v="70"/>
    <x v="462"/>
    <x v="1303"/>
    <x v="4"/>
    <x v="55"/>
    <x v="11"/>
    <x v="12"/>
    <x v="20"/>
    <x v="15"/>
    <x v="12"/>
    <x v="6"/>
    <x v="3"/>
    <x v="15"/>
  </r>
  <r>
    <x v="523"/>
    <x v="523"/>
    <x v="269"/>
    <x v="70"/>
    <x v="462"/>
    <x v="490"/>
    <x v="4"/>
    <x v="55"/>
    <x v="11"/>
    <x v="12"/>
    <x v="20"/>
    <x v="15"/>
    <x v="12"/>
    <x v="6"/>
    <x v="3"/>
    <x v="15"/>
  </r>
  <r>
    <x v="523"/>
    <x v="523"/>
    <x v="269"/>
    <x v="70"/>
    <x v="462"/>
    <x v="1215"/>
    <x v="4"/>
    <x v="55"/>
    <x v="11"/>
    <x v="12"/>
    <x v="20"/>
    <x v="15"/>
    <x v="12"/>
    <x v="6"/>
    <x v="3"/>
    <x v="15"/>
  </r>
  <r>
    <x v="523"/>
    <x v="523"/>
    <x v="269"/>
    <x v="70"/>
    <x v="462"/>
    <x v="1231"/>
    <x v="4"/>
    <x v="55"/>
    <x v="11"/>
    <x v="12"/>
    <x v="20"/>
    <x v="15"/>
    <x v="12"/>
    <x v="6"/>
    <x v="3"/>
    <x v="15"/>
  </r>
  <r>
    <x v="523"/>
    <x v="523"/>
    <x v="269"/>
    <x v="70"/>
    <x v="462"/>
    <x v="1325"/>
    <x v="4"/>
    <x v="55"/>
    <x v="11"/>
    <x v="12"/>
    <x v="20"/>
    <x v="15"/>
    <x v="12"/>
    <x v="6"/>
    <x v="3"/>
    <x v="15"/>
  </r>
  <r>
    <x v="523"/>
    <x v="523"/>
    <x v="269"/>
    <x v="70"/>
    <x v="462"/>
    <x v="1432"/>
    <x v="4"/>
    <x v="55"/>
    <x v="11"/>
    <x v="12"/>
    <x v="20"/>
    <x v="15"/>
    <x v="12"/>
    <x v="6"/>
    <x v="3"/>
    <x v="15"/>
  </r>
  <r>
    <x v="523"/>
    <x v="523"/>
    <x v="269"/>
    <x v="70"/>
    <x v="462"/>
    <x v="774"/>
    <x v="4"/>
    <x v="55"/>
    <x v="11"/>
    <x v="12"/>
    <x v="20"/>
    <x v="15"/>
    <x v="12"/>
    <x v="6"/>
    <x v="3"/>
    <x v="15"/>
  </r>
  <r>
    <x v="523"/>
    <x v="523"/>
    <x v="269"/>
    <x v="70"/>
    <x v="462"/>
    <x v="1162"/>
    <x v="4"/>
    <x v="55"/>
    <x v="11"/>
    <x v="12"/>
    <x v="20"/>
    <x v="15"/>
    <x v="12"/>
    <x v="6"/>
    <x v="3"/>
    <x v="15"/>
  </r>
  <r>
    <x v="523"/>
    <x v="523"/>
    <x v="269"/>
    <x v="70"/>
    <x v="462"/>
    <x v="229"/>
    <x v="4"/>
    <x v="55"/>
    <x v="11"/>
    <x v="12"/>
    <x v="20"/>
    <x v="15"/>
    <x v="12"/>
    <x v="6"/>
    <x v="3"/>
    <x v="15"/>
  </r>
  <r>
    <x v="523"/>
    <x v="523"/>
    <x v="269"/>
    <x v="70"/>
    <x v="462"/>
    <x v="1107"/>
    <x v="4"/>
    <x v="55"/>
    <x v="11"/>
    <x v="12"/>
    <x v="20"/>
    <x v="15"/>
    <x v="12"/>
    <x v="6"/>
    <x v="3"/>
    <x v="15"/>
  </r>
  <r>
    <x v="523"/>
    <x v="523"/>
    <x v="269"/>
    <x v="70"/>
    <x v="462"/>
    <x v="836"/>
    <x v="4"/>
    <x v="55"/>
    <x v="11"/>
    <x v="12"/>
    <x v="20"/>
    <x v="15"/>
    <x v="12"/>
    <x v="6"/>
    <x v="3"/>
    <x v="15"/>
  </r>
  <r>
    <x v="523"/>
    <x v="523"/>
    <x v="269"/>
    <x v="70"/>
    <x v="462"/>
    <x v="303"/>
    <x v="4"/>
    <x v="55"/>
    <x v="11"/>
    <x v="12"/>
    <x v="20"/>
    <x v="15"/>
    <x v="12"/>
    <x v="6"/>
    <x v="3"/>
    <x v="15"/>
  </r>
  <r>
    <x v="523"/>
    <x v="523"/>
    <x v="269"/>
    <x v="70"/>
    <x v="462"/>
    <x v="656"/>
    <x v="4"/>
    <x v="55"/>
    <x v="11"/>
    <x v="12"/>
    <x v="20"/>
    <x v="15"/>
    <x v="12"/>
    <x v="6"/>
    <x v="3"/>
    <x v="15"/>
  </r>
  <r>
    <x v="523"/>
    <x v="523"/>
    <x v="269"/>
    <x v="70"/>
    <x v="462"/>
    <x v="994"/>
    <x v="4"/>
    <x v="55"/>
    <x v="11"/>
    <x v="12"/>
    <x v="20"/>
    <x v="15"/>
    <x v="12"/>
    <x v="6"/>
    <x v="3"/>
    <x v="15"/>
  </r>
  <r>
    <x v="523"/>
    <x v="523"/>
    <x v="269"/>
    <x v="70"/>
    <x v="462"/>
    <x v="765"/>
    <x v="4"/>
    <x v="55"/>
    <x v="11"/>
    <x v="12"/>
    <x v="20"/>
    <x v="15"/>
    <x v="12"/>
    <x v="6"/>
    <x v="3"/>
    <x v="15"/>
  </r>
  <r>
    <x v="523"/>
    <x v="523"/>
    <x v="269"/>
    <x v="70"/>
    <x v="462"/>
    <x v="341"/>
    <x v="4"/>
    <x v="55"/>
    <x v="11"/>
    <x v="12"/>
    <x v="20"/>
    <x v="15"/>
    <x v="12"/>
    <x v="6"/>
    <x v="3"/>
    <x v="15"/>
  </r>
  <r>
    <x v="523"/>
    <x v="523"/>
    <x v="269"/>
    <x v="70"/>
    <x v="462"/>
    <x v="383"/>
    <x v="4"/>
    <x v="55"/>
    <x v="11"/>
    <x v="12"/>
    <x v="20"/>
    <x v="15"/>
    <x v="12"/>
    <x v="6"/>
    <x v="3"/>
    <x v="15"/>
  </r>
  <r>
    <x v="523"/>
    <x v="523"/>
    <x v="269"/>
    <x v="70"/>
    <x v="462"/>
    <x v="1195"/>
    <x v="4"/>
    <x v="55"/>
    <x v="11"/>
    <x v="12"/>
    <x v="20"/>
    <x v="15"/>
    <x v="12"/>
    <x v="6"/>
    <x v="3"/>
    <x v="15"/>
  </r>
  <r>
    <x v="523"/>
    <x v="523"/>
    <x v="269"/>
    <x v="70"/>
    <x v="462"/>
    <x v="1424"/>
    <x v="4"/>
    <x v="55"/>
    <x v="11"/>
    <x v="12"/>
    <x v="20"/>
    <x v="15"/>
    <x v="12"/>
    <x v="6"/>
    <x v="3"/>
    <x v="15"/>
  </r>
  <r>
    <x v="523"/>
    <x v="523"/>
    <x v="269"/>
    <x v="70"/>
    <x v="462"/>
    <x v="461"/>
    <x v="4"/>
    <x v="55"/>
    <x v="11"/>
    <x v="12"/>
    <x v="20"/>
    <x v="15"/>
    <x v="12"/>
    <x v="6"/>
    <x v="3"/>
    <x v="15"/>
  </r>
  <r>
    <x v="523"/>
    <x v="523"/>
    <x v="269"/>
    <x v="70"/>
    <x v="462"/>
    <x v="637"/>
    <x v="4"/>
    <x v="55"/>
    <x v="11"/>
    <x v="12"/>
    <x v="20"/>
    <x v="15"/>
    <x v="12"/>
    <x v="6"/>
    <x v="3"/>
    <x v="15"/>
  </r>
  <r>
    <x v="523"/>
    <x v="523"/>
    <x v="269"/>
    <x v="70"/>
    <x v="462"/>
    <x v="1199"/>
    <x v="4"/>
    <x v="55"/>
    <x v="11"/>
    <x v="12"/>
    <x v="20"/>
    <x v="15"/>
    <x v="12"/>
    <x v="6"/>
    <x v="3"/>
    <x v="15"/>
  </r>
  <r>
    <x v="523"/>
    <x v="523"/>
    <x v="269"/>
    <x v="70"/>
    <x v="462"/>
    <x v="663"/>
    <x v="4"/>
    <x v="55"/>
    <x v="11"/>
    <x v="12"/>
    <x v="20"/>
    <x v="15"/>
    <x v="12"/>
    <x v="6"/>
    <x v="3"/>
    <x v="15"/>
  </r>
  <r>
    <x v="523"/>
    <x v="523"/>
    <x v="269"/>
    <x v="70"/>
    <x v="462"/>
    <x v="337"/>
    <x v="4"/>
    <x v="55"/>
    <x v="11"/>
    <x v="12"/>
    <x v="20"/>
    <x v="15"/>
    <x v="12"/>
    <x v="6"/>
    <x v="3"/>
    <x v="15"/>
  </r>
  <r>
    <x v="523"/>
    <x v="523"/>
    <x v="269"/>
    <x v="70"/>
    <x v="462"/>
    <x v="849"/>
    <x v="4"/>
    <x v="55"/>
    <x v="11"/>
    <x v="12"/>
    <x v="20"/>
    <x v="15"/>
    <x v="12"/>
    <x v="6"/>
    <x v="3"/>
    <x v="15"/>
  </r>
  <r>
    <x v="523"/>
    <x v="523"/>
    <x v="269"/>
    <x v="70"/>
    <x v="462"/>
    <x v="554"/>
    <x v="4"/>
    <x v="55"/>
    <x v="11"/>
    <x v="12"/>
    <x v="20"/>
    <x v="15"/>
    <x v="12"/>
    <x v="6"/>
    <x v="3"/>
    <x v="15"/>
  </r>
  <r>
    <x v="523"/>
    <x v="523"/>
    <x v="269"/>
    <x v="70"/>
    <x v="462"/>
    <x v="559"/>
    <x v="4"/>
    <x v="55"/>
    <x v="11"/>
    <x v="12"/>
    <x v="20"/>
    <x v="15"/>
    <x v="12"/>
    <x v="6"/>
    <x v="3"/>
    <x v="15"/>
  </r>
  <r>
    <x v="523"/>
    <x v="523"/>
    <x v="269"/>
    <x v="70"/>
    <x v="462"/>
    <x v="951"/>
    <x v="4"/>
    <x v="55"/>
    <x v="11"/>
    <x v="12"/>
    <x v="20"/>
    <x v="15"/>
    <x v="12"/>
    <x v="6"/>
    <x v="3"/>
    <x v="15"/>
  </r>
  <r>
    <x v="523"/>
    <x v="523"/>
    <x v="269"/>
    <x v="70"/>
    <x v="462"/>
    <x v="227"/>
    <x v="4"/>
    <x v="55"/>
    <x v="11"/>
    <x v="12"/>
    <x v="20"/>
    <x v="15"/>
    <x v="12"/>
    <x v="6"/>
    <x v="3"/>
    <x v="15"/>
  </r>
  <r>
    <x v="523"/>
    <x v="523"/>
    <x v="269"/>
    <x v="70"/>
    <x v="462"/>
    <x v="307"/>
    <x v="4"/>
    <x v="55"/>
    <x v="11"/>
    <x v="12"/>
    <x v="20"/>
    <x v="15"/>
    <x v="12"/>
    <x v="6"/>
    <x v="3"/>
    <x v="15"/>
  </r>
  <r>
    <x v="523"/>
    <x v="523"/>
    <x v="269"/>
    <x v="70"/>
    <x v="462"/>
    <x v="1501"/>
    <x v="4"/>
    <x v="55"/>
    <x v="11"/>
    <x v="12"/>
    <x v="20"/>
    <x v="15"/>
    <x v="12"/>
    <x v="6"/>
    <x v="3"/>
    <x v="15"/>
  </r>
  <r>
    <x v="523"/>
    <x v="523"/>
    <x v="269"/>
    <x v="70"/>
    <x v="462"/>
    <x v="2"/>
    <x v="4"/>
    <x v="55"/>
    <x v="11"/>
    <x v="12"/>
    <x v="20"/>
    <x v="15"/>
    <x v="12"/>
    <x v="6"/>
    <x v="3"/>
    <x v="15"/>
  </r>
  <r>
    <x v="523"/>
    <x v="523"/>
    <x v="269"/>
    <x v="70"/>
    <x v="462"/>
    <x v="1301"/>
    <x v="4"/>
    <x v="55"/>
    <x v="11"/>
    <x v="12"/>
    <x v="20"/>
    <x v="15"/>
    <x v="12"/>
    <x v="6"/>
    <x v="3"/>
    <x v="15"/>
  </r>
  <r>
    <x v="523"/>
    <x v="523"/>
    <x v="269"/>
    <x v="70"/>
    <x v="462"/>
    <x v="763"/>
    <x v="4"/>
    <x v="55"/>
    <x v="11"/>
    <x v="12"/>
    <x v="20"/>
    <x v="15"/>
    <x v="12"/>
    <x v="6"/>
    <x v="3"/>
    <x v="15"/>
  </r>
  <r>
    <x v="523"/>
    <x v="523"/>
    <x v="269"/>
    <x v="70"/>
    <x v="462"/>
    <x v="358"/>
    <x v="4"/>
    <x v="55"/>
    <x v="11"/>
    <x v="12"/>
    <x v="20"/>
    <x v="15"/>
    <x v="12"/>
    <x v="6"/>
    <x v="3"/>
    <x v="15"/>
  </r>
  <r>
    <x v="523"/>
    <x v="523"/>
    <x v="269"/>
    <x v="70"/>
    <x v="462"/>
    <x v="390"/>
    <x v="4"/>
    <x v="55"/>
    <x v="11"/>
    <x v="12"/>
    <x v="20"/>
    <x v="15"/>
    <x v="12"/>
    <x v="6"/>
    <x v="3"/>
    <x v="15"/>
  </r>
  <r>
    <x v="523"/>
    <x v="523"/>
    <x v="269"/>
    <x v="70"/>
    <x v="462"/>
    <x v="952"/>
    <x v="4"/>
    <x v="55"/>
    <x v="11"/>
    <x v="12"/>
    <x v="20"/>
    <x v="15"/>
    <x v="12"/>
    <x v="6"/>
    <x v="3"/>
    <x v="15"/>
  </r>
  <r>
    <x v="523"/>
    <x v="523"/>
    <x v="269"/>
    <x v="70"/>
    <x v="462"/>
    <x v="1371"/>
    <x v="4"/>
    <x v="55"/>
    <x v="11"/>
    <x v="12"/>
    <x v="20"/>
    <x v="15"/>
    <x v="12"/>
    <x v="6"/>
    <x v="3"/>
    <x v="15"/>
  </r>
  <r>
    <x v="523"/>
    <x v="523"/>
    <x v="269"/>
    <x v="70"/>
    <x v="462"/>
    <x v="605"/>
    <x v="4"/>
    <x v="55"/>
    <x v="11"/>
    <x v="12"/>
    <x v="20"/>
    <x v="15"/>
    <x v="12"/>
    <x v="6"/>
    <x v="3"/>
    <x v="15"/>
  </r>
  <r>
    <x v="523"/>
    <x v="523"/>
    <x v="269"/>
    <x v="70"/>
    <x v="462"/>
    <x v="61"/>
    <x v="4"/>
    <x v="55"/>
    <x v="11"/>
    <x v="12"/>
    <x v="20"/>
    <x v="15"/>
    <x v="12"/>
    <x v="6"/>
    <x v="3"/>
    <x v="15"/>
  </r>
  <r>
    <x v="523"/>
    <x v="523"/>
    <x v="269"/>
    <x v="70"/>
    <x v="462"/>
    <x v="1445"/>
    <x v="4"/>
    <x v="55"/>
    <x v="11"/>
    <x v="12"/>
    <x v="20"/>
    <x v="15"/>
    <x v="12"/>
    <x v="6"/>
    <x v="3"/>
    <x v="15"/>
  </r>
  <r>
    <x v="523"/>
    <x v="523"/>
    <x v="269"/>
    <x v="70"/>
    <x v="462"/>
    <x v="277"/>
    <x v="4"/>
    <x v="55"/>
    <x v="11"/>
    <x v="12"/>
    <x v="20"/>
    <x v="15"/>
    <x v="12"/>
    <x v="6"/>
    <x v="3"/>
    <x v="15"/>
  </r>
  <r>
    <x v="523"/>
    <x v="523"/>
    <x v="269"/>
    <x v="70"/>
    <x v="462"/>
    <x v="617"/>
    <x v="4"/>
    <x v="55"/>
    <x v="11"/>
    <x v="12"/>
    <x v="20"/>
    <x v="15"/>
    <x v="12"/>
    <x v="6"/>
    <x v="3"/>
    <x v="15"/>
  </r>
  <r>
    <x v="523"/>
    <x v="523"/>
    <x v="269"/>
    <x v="70"/>
    <x v="462"/>
    <x v="654"/>
    <x v="4"/>
    <x v="55"/>
    <x v="11"/>
    <x v="12"/>
    <x v="20"/>
    <x v="15"/>
    <x v="12"/>
    <x v="6"/>
    <x v="3"/>
    <x v="15"/>
  </r>
  <r>
    <x v="523"/>
    <x v="523"/>
    <x v="269"/>
    <x v="70"/>
    <x v="462"/>
    <x v="722"/>
    <x v="4"/>
    <x v="55"/>
    <x v="11"/>
    <x v="12"/>
    <x v="20"/>
    <x v="15"/>
    <x v="12"/>
    <x v="6"/>
    <x v="3"/>
    <x v="15"/>
  </r>
  <r>
    <x v="523"/>
    <x v="523"/>
    <x v="269"/>
    <x v="70"/>
    <x v="462"/>
    <x v="1239"/>
    <x v="4"/>
    <x v="55"/>
    <x v="11"/>
    <x v="12"/>
    <x v="20"/>
    <x v="15"/>
    <x v="12"/>
    <x v="6"/>
    <x v="3"/>
    <x v="15"/>
  </r>
  <r>
    <x v="523"/>
    <x v="523"/>
    <x v="269"/>
    <x v="70"/>
    <x v="462"/>
    <x v="1266"/>
    <x v="4"/>
    <x v="55"/>
    <x v="11"/>
    <x v="12"/>
    <x v="20"/>
    <x v="15"/>
    <x v="12"/>
    <x v="6"/>
    <x v="3"/>
    <x v="15"/>
  </r>
  <r>
    <x v="523"/>
    <x v="523"/>
    <x v="269"/>
    <x v="70"/>
    <x v="462"/>
    <x v="609"/>
    <x v="4"/>
    <x v="55"/>
    <x v="11"/>
    <x v="12"/>
    <x v="20"/>
    <x v="15"/>
    <x v="12"/>
    <x v="6"/>
    <x v="3"/>
    <x v="15"/>
  </r>
  <r>
    <x v="523"/>
    <x v="523"/>
    <x v="269"/>
    <x v="70"/>
    <x v="462"/>
    <x v="120"/>
    <x v="4"/>
    <x v="55"/>
    <x v="11"/>
    <x v="12"/>
    <x v="20"/>
    <x v="15"/>
    <x v="12"/>
    <x v="6"/>
    <x v="3"/>
    <x v="15"/>
  </r>
  <r>
    <x v="523"/>
    <x v="523"/>
    <x v="269"/>
    <x v="70"/>
    <x v="462"/>
    <x v="1044"/>
    <x v="4"/>
    <x v="55"/>
    <x v="11"/>
    <x v="12"/>
    <x v="20"/>
    <x v="15"/>
    <x v="12"/>
    <x v="6"/>
    <x v="3"/>
    <x v="15"/>
  </r>
  <r>
    <x v="523"/>
    <x v="523"/>
    <x v="269"/>
    <x v="70"/>
    <x v="462"/>
    <x v="743"/>
    <x v="4"/>
    <x v="55"/>
    <x v="11"/>
    <x v="12"/>
    <x v="20"/>
    <x v="15"/>
    <x v="12"/>
    <x v="6"/>
    <x v="3"/>
    <x v="15"/>
  </r>
  <r>
    <x v="523"/>
    <x v="523"/>
    <x v="269"/>
    <x v="70"/>
    <x v="462"/>
    <x v="1544"/>
    <x v="4"/>
    <x v="55"/>
    <x v="11"/>
    <x v="12"/>
    <x v="20"/>
    <x v="15"/>
    <x v="12"/>
    <x v="6"/>
    <x v="3"/>
    <x v="15"/>
  </r>
  <r>
    <x v="523"/>
    <x v="523"/>
    <x v="269"/>
    <x v="70"/>
    <x v="462"/>
    <x v="867"/>
    <x v="4"/>
    <x v="55"/>
    <x v="11"/>
    <x v="12"/>
    <x v="20"/>
    <x v="15"/>
    <x v="12"/>
    <x v="6"/>
    <x v="3"/>
    <x v="15"/>
  </r>
  <r>
    <x v="523"/>
    <x v="523"/>
    <x v="269"/>
    <x v="70"/>
    <x v="462"/>
    <x v="1066"/>
    <x v="4"/>
    <x v="55"/>
    <x v="11"/>
    <x v="12"/>
    <x v="20"/>
    <x v="15"/>
    <x v="12"/>
    <x v="6"/>
    <x v="3"/>
    <x v="15"/>
  </r>
  <r>
    <x v="523"/>
    <x v="523"/>
    <x v="269"/>
    <x v="70"/>
    <x v="462"/>
    <x v="1481"/>
    <x v="4"/>
    <x v="55"/>
    <x v="11"/>
    <x v="12"/>
    <x v="20"/>
    <x v="15"/>
    <x v="12"/>
    <x v="6"/>
    <x v="3"/>
    <x v="15"/>
  </r>
  <r>
    <x v="523"/>
    <x v="523"/>
    <x v="269"/>
    <x v="70"/>
    <x v="462"/>
    <x v="633"/>
    <x v="4"/>
    <x v="55"/>
    <x v="11"/>
    <x v="12"/>
    <x v="20"/>
    <x v="15"/>
    <x v="12"/>
    <x v="6"/>
    <x v="3"/>
    <x v="15"/>
  </r>
  <r>
    <x v="523"/>
    <x v="523"/>
    <x v="269"/>
    <x v="70"/>
    <x v="462"/>
    <x v="964"/>
    <x v="4"/>
    <x v="55"/>
    <x v="11"/>
    <x v="12"/>
    <x v="20"/>
    <x v="15"/>
    <x v="12"/>
    <x v="6"/>
    <x v="3"/>
    <x v="15"/>
  </r>
  <r>
    <x v="523"/>
    <x v="523"/>
    <x v="269"/>
    <x v="70"/>
    <x v="462"/>
    <x v="363"/>
    <x v="4"/>
    <x v="55"/>
    <x v="11"/>
    <x v="12"/>
    <x v="20"/>
    <x v="15"/>
    <x v="12"/>
    <x v="6"/>
    <x v="3"/>
    <x v="15"/>
  </r>
  <r>
    <x v="523"/>
    <x v="523"/>
    <x v="269"/>
    <x v="70"/>
    <x v="462"/>
    <x v="659"/>
    <x v="4"/>
    <x v="55"/>
    <x v="11"/>
    <x v="12"/>
    <x v="20"/>
    <x v="15"/>
    <x v="12"/>
    <x v="6"/>
    <x v="3"/>
    <x v="15"/>
  </r>
  <r>
    <x v="523"/>
    <x v="523"/>
    <x v="269"/>
    <x v="70"/>
    <x v="462"/>
    <x v="247"/>
    <x v="4"/>
    <x v="55"/>
    <x v="11"/>
    <x v="12"/>
    <x v="20"/>
    <x v="15"/>
    <x v="12"/>
    <x v="6"/>
    <x v="3"/>
    <x v="15"/>
  </r>
  <r>
    <x v="523"/>
    <x v="523"/>
    <x v="269"/>
    <x v="70"/>
    <x v="462"/>
    <x v="1087"/>
    <x v="4"/>
    <x v="55"/>
    <x v="11"/>
    <x v="12"/>
    <x v="20"/>
    <x v="15"/>
    <x v="12"/>
    <x v="6"/>
    <x v="3"/>
    <x v="15"/>
  </r>
  <r>
    <x v="523"/>
    <x v="523"/>
    <x v="269"/>
    <x v="70"/>
    <x v="462"/>
    <x v="997"/>
    <x v="4"/>
    <x v="55"/>
    <x v="11"/>
    <x v="12"/>
    <x v="20"/>
    <x v="15"/>
    <x v="12"/>
    <x v="6"/>
    <x v="3"/>
    <x v="15"/>
  </r>
  <r>
    <x v="523"/>
    <x v="523"/>
    <x v="269"/>
    <x v="70"/>
    <x v="462"/>
    <x v="1503"/>
    <x v="4"/>
    <x v="55"/>
    <x v="11"/>
    <x v="12"/>
    <x v="20"/>
    <x v="15"/>
    <x v="12"/>
    <x v="6"/>
    <x v="3"/>
    <x v="15"/>
  </r>
  <r>
    <x v="523"/>
    <x v="523"/>
    <x v="269"/>
    <x v="70"/>
    <x v="462"/>
    <x v="1273"/>
    <x v="4"/>
    <x v="55"/>
    <x v="11"/>
    <x v="12"/>
    <x v="20"/>
    <x v="15"/>
    <x v="12"/>
    <x v="6"/>
    <x v="3"/>
    <x v="15"/>
  </r>
  <r>
    <x v="523"/>
    <x v="523"/>
    <x v="269"/>
    <x v="70"/>
    <x v="462"/>
    <x v="1012"/>
    <x v="4"/>
    <x v="55"/>
    <x v="11"/>
    <x v="12"/>
    <x v="20"/>
    <x v="15"/>
    <x v="12"/>
    <x v="6"/>
    <x v="3"/>
    <x v="15"/>
  </r>
  <r>
    <x v="523"/>
    <x v="523"/>
    <x v="269"/>
    <x v="70"/>
    <x v="462"/>
    <x v="1275"/>
    <x v="4"/>
    <x v="55"/>
    <x v="11"/>
    <x v="12"/>
    <x v="20"/>
    <x v="15"/>
    <x v="12"/>
    <x v="6"/>
    <x v="3"/>
    <x v="15"/>
  </r>
  <r>
    <x v="523"/>
    <x v="523"/>
    <x v="269"/>
    <x v="70"/>
    <x v="462"/>
    <x v="1517"/>
    <x v="4"/>
    <x v="55"/>
    <x v="11"/>
    <x v="12"/>
    <x v="20"/>
    <x v="15"/>
    <x v="12"/>
    <x v="6"/>
    <x v="3"/>
    <x v="15"/>
  </r>
  <r>
    <x v="523"/>
    <x v="523"/>
    <x v="269"/>
    <x v="70"/>
    <x v="462"/>
    <x v="622"/>
    <x v="4"/>
    <x v="55"/>
    <x v="11"/>
    <x v="12"/>
    <x v="20"/>
    <x v="15"/>
    <x v="12"/>
    <x v="6"/>
    <x v="3"/>
    <x v="15"/>
  </r>
  <r>
    <x v="523"/>
    <x v="523"/>
    <x v="269"/>
    <x v="70"/>
    <x v="462"/>
    <x v="1237"/>
    <x v="4"/>
    <x v="55"/>
    <x v="11"/>
    <x v="12"/>
    <x v="20"/>
    <x v="15"/>
    <x v="12"/>
    <x v="6"/>
    <x v="3"/>
    <x v="15"/>
  </r>
  <r>
    <x v="523"/>
    <x v="523"/>
    <x v="269"/>
    <x v="70"/>
    <x v="462"/>
    <x v="1408"/>
    <x v="4"/>
    <x v="55"/>
    <x v="11"/>
    <x v="12"/>
    <x v="20"/>
    <x v="15"/>
    <x v="12"/>
    <x v="6"/>
    <x v="3"/>
    <x v="15"/>
  </r>
  <r>
    <x v="523"/>
    <x v="523"/>
    <x v="269"/>
    <x v="70"/>
    <x v="462"/>
    <x v="989"/>
    <x v="4"/>
    <x v="55"/>
    <x v="11"/>
    <x v="12"/>
    <x v="20"/>
    <x v="15"/>
    <x v="12"/>
    <x v="6"/>
    <x v="3"/>
    <x v="15"/>
  </r>
  <r>
    <x v="523"/>
    <x v="523"/>
    <x v="269"/>
    <x v="70"/>
    <x v="462"/>
    <x v="1128"/>
    <x v="4"/>
    <x v="55"/>
    <x v="11"/>
    <x v="12"/>
    <x v="20"/>
    <x v="15"/>
    <x v="12"/>
    <x v="6"/>
    <x v="3"/>
    <x v="15"/>
  </r>
  <r>
    <x v="523"/>
    <x v="523"/>
    <x v="269"/>
    <x v="70"/>
    <x v="462"/>
    <x v="1102"/>
    <x v="4"/>
    <x v="55"/>
    <x v="11"/>
    <x v="12"/>
    <x v="20"/>
    <x v="15"/>
    <x v="12"/>
    <x v="6"/>
    <x v="3"/>
    <x v="15"/>
  </r>
  <r>
    <x v="523"/>
    <x v="523"/>
    <x v="269"/>
    <x v="70"/>
    <x v="462"/>
    <x v="1090"/>
    <x v="4"/>
    <x v="55"/>
    <x v="11"/>
    <x v="12"/>
    <x v="20"/>
    <x v="15"/>
    <x v="12"/>
    <x v="6"/>
    <x v="3"/>
    <x v="15"/>
  </r>
  <r>
    <x v="523"/>
    <x v="523"/>
    <x v="269"/>
    <x v="70"/>
    <x v="462"/>
    <x v="1029"/>
    <x v="4"/>
    <x v="55"/>
    <x v="11"/>
    <x v="12"/>
    <x v="20"/>
    <x v="15"/>
    <x v="12"/>
    <x v="6"/>
    <x v="3"/>
    <x v="15"/>
  </r>
  <r>
    <x v="523"/>
    <x v="523"/>
    <x v="269"/>
    <x v="70"/>
    <x v="462"/>
    <x v="1005"/>
    <x v="4"/>
    <x v="55"/>
    <x v="11"/>
    <x v="12"/>
    <x v="20"/>
    <x v="15"/>
    <x v="12"/>
    <x v="6"/>
    <x v="3"/>
    <x v="15"/>
  </r>
  <r>
    <x v="523"/>
    <x v="523"/>
    <x v="269"/>
    <x v="70"/>
    <x v="462"/>
    <x v="1321"/>
    <x v="4"/>
    <x v="55"/>
    <x v="11"/>
    <x v="12"/>
    <x v="20"/>
    <x v="15"/>
    <x v="12"/>
    <x v="6"/>
    <x v="3"/>
    <x v="15"/>
  </r>
  <r>
    <x v="523"/>
    <x v="523"/>
    <x v="269"/>
    <x v="70"/>
    <x v="462"/>
    <x v="476"/>
    <x v="4"/>
    <x v="55"/>
    <x v="11"/>
    <x v="12"/>
    <x v="20"/>
    <x v="15"/>
    <x v="12"/>
    <x v="6"/>
    <x v="3"/>
    <x v="15"/>
  </r>
  <r>
    <x v="523"/>
    <x v="523"/>
    <x v="269"/>
    <x v="70"/>
    <x v="462"/>
    <x v="1054"/>
    <x v="4"/>
    <x v="55"/>
    <x v="11"/>
    <x v="12"/>
    <x v="20"/>
    <x v="15"/>
    <x v="12"/>
    <x v="6"/>
    <x v="3"/>
    <x v="15"/>
  </r>
  <r>
    <x v="523"/>
    <x v="523"/>
    <x v="269"/>
    <x v="70"/>
    <x v="462"/>
    <x v="324"/>
    <x v="4"/>
    <x v="55"/>
    <x v="11"/>
    <x v="12"/>
    <x v="20"/>
    <x v="15"/>
    <x v="12"/>
    <x v="6"/>
    <x v="3"/>
    <x v="15"/>
  </r>
  <r>
    <x v="523"/>
    <x v="523"/>
    <x v="269"/>
    <x v="70"/>
    <x v="462"/>
    <x v="408"/>
    <x v="4"/>
    <x v="55"/>
    <x v="11"/>
    <x v="12"/>
    <x v="20"/>
    <x v="15"/>
    <x v="12"/>
    <x v="6"/>
    <x v="3"/>
    <x v="15"/>
  </r>
  <r>
    <x v="523"/>
    <x v="523"/>
    <x v="269"/>
    <x v="70"/>
    <x v="462"/>
    <x v="912"/>
    <x v="4"/>
    <x v="55"/>
    <x v="11"/>
    <x v="12"/>
    <x v="20"/>
    <x v="15"/>
    <x v="12"/>
    <x v="6"/>
    <x v="3"/>
    <x v="15"/>
  </r>
  <r>
    <x v="523"/>
    <x v="523"/>
    <x v="269"/>
    <x v="70"/>
    <x v="462"/>
    <x v="1499"/>
    <x v="4"/>
    <x v="55"/>
    <x v="11"/>
    <x v="12"/>
    <x v="20"/>
    <x v="15"/>
    <x v="12"/>
    <x v="6"/>
    <x v="3"/>
    <x v="15"/>
  </r>
  <r>
    <x v="523"/>
    <x v="523"/>
    <x v="269"/>
    <x v="70"/>
    <x v="462"/>
    <x v="711"/>
    <x v="4"/>
    <x v="55"/>
    <x v="11"/>
    <x v="12"/>
    <x v="20"/>
    <x v="15"/>
    <x v="12"/>
    <x v="6"/>
    <x v="3"/>
    <x v="15"/>
  </r>
  <r>
    <x v="523"/>
    <x v="523"/>
    <x v="269"/>
    <x v="70"/>
    <x v="462"/>
    <x v="693"/>
    <x v="4"/>
    <x v="55"/>
    <x v="11"/>
    <x v="12"/>
    <x v="20"/>
    <x v="15"/>
    <x v="12"/>
    <x v="6"/>
    <x v="3"/>
    <x v="15"/>
  </r>
  <r>
    <x v="523"/>
    <x v="523"/>
    <x v="269"/>
    <x v="70"/>
    <x v="462"/>
    <x v="757"/>
    <x v="4"/>
    <x v="55"/>
    <x v="11"/>
    <x v="12"/>
    <x v="20"/>
    <x v="15"/>
    <x v="12"/>
    <x v="6"/>
    <x v="3"/>
    <x v="15"/>
  </r>
  <r>
    <x v="523"/>
    <x v="523"/>
    <x v="269"/>
    <x v="70"/>
    <x v="462"/>
    <x v="858"/>
    <x v="4"/>
    <x v="55"/>
    <x v="11"/>
    <x v="12"/>
    <x v="20"/>
    <x v="15"/>
    <x v="12"/>
    <x v="6"/>
    <x v="3"/>
    <x v="15"/>
  </r>
  <r>
    <x v="523"/>
    <x v="523"/>
    <x v="269"/>
    <x v="70"/>
    <x v="462"/>
    <x v="1470"/>
    <x v="4"/>
    <x v="55"/>
    <x v="11"/>
    <x v="12"/>
    <x v="20"/>
    <x v="15"/>
    <x v="12"/>
    <x v="6"/>
    <x v="3"/>
    <x v="15"/>
  </r>
  <r>
    <x v="523"/>
    <x v="523"/>
    <x v="269"/>
    <x v="70"/>
    <x v="462"/>
    <x v="618"/>
    <x v="4"/>
    <x v="55"/>
    <x v="11"/>
    <x v="12"/>
    <x v="20"/>
    <x v="15"/>
    <x v="12"/>
    <x v="6"/>
    <x v="3"/>
    <x v="15"/>
  </r>
  <r>
    <x v="523"/>
    <x v="523"/>
    <x v="269"/>
    <x v="70"/>
    <x v="462"/>
    <x v="902"/>
    <x v="4"/>
    <x v="55"/>
    <x v="11"/>
    <x v="12"/>
    <x v="20"/>
    <x v="15"/>
    <x v="12"/>
    <x v="6"/>
    <x v="3"/>
    <x v="15"/>
  </r>
  <r>
    <x v="523"/>
    <x v="523"/>
    <x v="269"/>
    <x v="70"/>
    <x v="462"/>
    <x v="1506"/>
    <x v="4"/>
    <x v="55"/>
    <x v="11"/>
    <x v="12"/>
    <x v="20"/>
    <x v="15"/>
    <x v="12"/>
    <x v="6"/>
    <x v="3"/>
    <x v="15"/>
  </r>
  <r>
    <x v="523"/>
    <x v="523"/>
    <x v="269"/>
    <x v="70"/>
    <x v="462"/>
    <x v="76"/>
    <x v="4"/>
    <x v="55"/>
    <x v="11"/>
    <x v="12"/>
    <x v="20"/>
    <x v="15"/>
    <x v="12"/>
    <x v="6"/>
    <x v="3"/>
    <x v="15"/>
  </r>
  <r>
    <x v="523"/>
    <x v="523"/>
    <x v="269"/>
    <x v="70"/>
    <x v="462"/>
    <x v="1139"/>
    <x v="4"/>
    <x v="55"/>
    <x v="11"/>
    <x v="12"/>
    <x v="20"/>
    <x v="15"/>
    <x v="12"/>
    <x v="6"/>
    <x v="3"/>
    <x v="15"/>
  </r>
  <r>
    <x v="523"/>
    <x v="523"/>
    <x v="269"/>
    <x v="70"/>
    <x v="462"/>
    <x v="776"/>
    <x v="4"/>
    <x v="55"/>
    <x v="11"/>
    <x v="12"/>
    <x v="20"/>
    <x v="15"/>
    <x v="12"/>
    <x v="6"/>
    <x v="3"/>
    <x v="15"/>
  </r>
  <r>
    <x v="523"/>
    <x v="523"/>
    <x v="269"/>
    <x v="70"/>
    <x v="462"/>
    <x v="706"/>
    <x v="4"/>
    <x v="55"/>
    <x v="11"/>
    <x v="12"/>
    <x v="20"/>
    <x v="15"/>
    <x v="12"/>
    <x v="6"/>
    <x v="3"/>
    <x v="15"/>
  </r>
  <r>
    <x v="523"/>
    <x v="523"/>
    <x v="269"/>
    <x v="70"/>
    <x v="462"/>
    <x v="25"/>
    <x v="4"/>
    <x v="55"/>
    <x v="11"/>
    <x v="12"/>
    <x v="20"/>
    <x v="15"/>
    <x v="12"/>
    <x v="6"/>
    <x v="3"/>
    <x v="15"/>
  </r>
  <r>
    <x v="523"/>
    <x v="523"/>
    <x v="269"/>
    <x v="70"/>
    <x v="462"/>
    <x v="1345"/>
    <x v="4"/>
    <x v="55"/>
    <x v="11"/>
    <x v="12"/>
    <x v="20"/>
    <x v="15"/>
    <x v="12"/>
    <x v="6"/>
    <x v="3"/>
    <x v="15"/>
  </r>
  <r>
    <x v="523"/>
    <x v="523"/>
    <x v="269"/>
    <x v="70"/>
    <x v="462"/>
    <x v="1211"/>
    <x v="4"/>
    <x v="55"/>
    <x v="11"/>
    <x v="12"/>
    <x v="20"/>
    <x v="15"/>
    <x v="12"/>
    <x v="6"/>
    <x v="3"/>
    <x v="15"/>
  </r>
  <r>
    <x v="523"/>
    <x v="523"/>
    <x v="269"/>
    <x v="70"/>
    <x v="462"/>
    <x v="1437"/>
    <x v="4"/>
    <x v="55"/>
    <x v="11"/>
    <x v="12"/>
    <x v="20"/>
    <x v="15"/>
    <x v="12"/>
    <x v="6"/>
    <x v="3"/>
    <x v="15"/>
  </r>
  <r>
    <x v="523"/>
    <x v="523"/>
    <x v="269"/>
    <x v="70"/>
    <x v="462"/>
    <x v="1403"/>
    <x v="4"/>
    <x v="55"/>
    <x v="11"/>
    <x v="12"/>
    <x v="20"/>
    <x v="15"/>
    <x v="12"/>
    <x v="6"/>
    <x v="3"/>
    <x v="15"/>
  </r>
  <r>
    <x v="523"/>
    <x v="523"/>
    <x v="269"/>
    <x v="70"/>
    <x v="462"/>
    <x v="691"/>
    <x v="4"/>
    <x v="55"/>
    <x v="11"/>
    <x v="12"/>
    <x v="20"/>
    <x v="15"/>
    <x v="12"/>
    <x v="6"/>
    <x v="3"/>
    <x v="15"/>
  </r>
  <r>
    <x v="523"/>
    <x v="523"/>
    <x v="269"/>
    <x v="70"/>
    <x v="462"/>
    <x v="1135"/>
    <x v="4"/>
    <x v="55"/>
    <x v="11"/>
    <x v="12"/>
    <x v="20"/>
    <x v="15"/>
    <x v="12"/>
    <x v="6"/>
    <x v="3"/>
    <x v="15"/>
  </r>
  <r>
    <x v="523"/>
    <x v="523"/>
    <x v="269"/>
    <x v="70"/>
    <x v="462"/>
    <x v="1390"/>
    <x v="4"/>
    <x v="55"/>
    <x v="11"/>
    <x v="12"/>
    <x v="20"/>
    <x v="15"/>
    <x v="12"/>
    <x v="6"/>
    <x v="3"/>
    <x v="15"/>
  </r>
  <r>
    <x v="523"/>
    <x v="523"/>
    <x v="269"/>
    <x v="70"/>
    <x v="462"/>
    <x v="1354"/>
    <x v="4"/>
    <x v="55"/>
    <x v="11"/>
    <x v="12"/>
    <x v="20"/>
    <x v="15"/>
    <x v="12"/>
    <x v="6"/>
    <x v="3"/>
    <x v="15"/>
  </r>
  <r>
    <x v="523"/>
    <x v="523"/>
    <x v="269"/>
    <x v="70"/>
    <x v="462"/>
    <x v="621"/>
    <x v="4"/>
    <x v="55"/>
    <x v="11"/>
    <x v="12"/>
    <x v="20"/>
    <x v="15"/>
    <x v="12"/>
    <x v="6"/>
    <x v="3"/>
    <x v="15"/>
  </r>
  <r>
    <x v="523"/>
    <x v="523"/>
    <x v="269"/>
    <x v="70"/>
    <x v="462"/>
    <x v="51"/>
    <x v="4"/>
    <x v="55"/>
    <x v="11"/>
    <x v="12"/>
    <x v="20"/>
    <x v="15"/>
    <x v="12"/>
    <x v="6"/>
    <x v="3"/>
    <x v="15"/>
  </r>
  <r>
    <x v="523"/>
    <x v="523"/>
    <x v="269"/>
    <x v="70"/>
    <x v="462"/>
    <x v="1256"/>
    <x v="4"/>
    <x v="55"/>
    <x v="11"/>
    <x v="12"/>
    <x v="20"/>
    <x v="15"/>
    <x v="12"/>
    <x v="6"/>
    <x v="3"/>
    <x v="15"/>
  </r>
  <r>
    <x v="523"/>
    <x v="523"/>
    <x v="269"/>
    <x v="70"/>
    <x v="462"/>
    <x v="640"/>
    <x v="4"/>
    <x v="55"/>
    <x v="11"/>
    <x v="12"/>
    <x v="20"/>
    <x v="15"/>
    <x v="12"/>
    <x v="6"/>
    <x v="3"/>
    <x v="15"/>
  </r>
  <r>
    <x v="523"/>
    <x v="523"/>
    <x v="269"/>
    <x v="70"/>
    <x v="462"/>
    <x v="616"/>
    <x v="4"/>
    <x v="55"/>
    <x v="11"/>
    <x v="12"/>
    <x v="20"/>
    <x v="15"/>
    <x v="12"/>
    <x v="6"/>
    <x v="3"/>
    <x v="15"/>
  </r>
  <r>
    <x v="523"/>
    <x v="523"/>
    <x v="269"/>
    <x v="70"/>
    <x v="462"/>
    <x v="176"/>
    <x v="4"/>
    <x v="55"/>
    <x v="11"/>
    <x v="12"/>
    <x v="20"/>
    <x v="15"/>
    <x v="12"/>
    <x v="6"/>
    <x v="3"/>
    <x v="15"/>
  </r>
  <r>
    <x v="523"/>
    <x v="523"/>
    <x v="269"/>
    <x v="70"/>
    <x v="462"/>
    <x v="1364"/>
    <x v="4"/>
    <x v="55"/>
    <x v="11"/>
    <x v="12"/>
    <x v="20"/>
    <x v="15"/>
    <x v="12"/>
    <x v="6"/>
    <x v="3"/>
    <x v="15"/>
  </r>
  <r>
    <x v="523"/>
    <x v="523"/>
    <x v="269"/>
    <x v="70"/>
    <x v="462"/>
    <x v="1016"/>
    <x v="4"/>
    <x v="55"/>
    <x v="11"/>
    <x v="12"/>
    <x v="20"/>
    <x v="15"/>
    <x v="12"/>
    <x v="6"/>
    <x v="3"/>
    <x v="15"/>
  </r>
  <r>
    <x v="523"/>
    <x v="523"/>
    <x v="269"/>
    <x v="70"/>
    <x v="462"/>
    <x v="987"/>
    <x v="4"/>
    <x v="55"/>
    <x v="11"/>
    <x v="12"/>
    <x v="20"/>
    <x v="15"/>
    <x v="12"/>
    <x v="6"/>
    <x v="3"/>
    <x v="15"/>
  </r>
  <r>
    <x v="523"/>
    <x v="523"/>
    <x v="269"/>
    <x v="70"/>
    <x v="462"/>
    <x v="300"/>
    <x v="4"/>
    <x v="55"/>
    <x v="11"/>
    <x v="12"/>
    <x v="20"/>
    <x v="15"/>
    <x v="12"/>
    <x v="6"/>
    <x v="3"/>
    <x v="15"/>
  </r>
  <r>
    <x v="523"/>
    <x v="523"/>
    <x v="269"/>
    <x v="70"/>
    <x v="462"/>
    <x v="1062"/>
    <x v="4"/>
    <x v="55"/>
    <x v="11"/>
    <x v="12"/>
    <x v="20"/>
    <x v="15"/>
    <x v="12"/>
    <x v="6"/>
    <x v="3"/>
    <x v="15"/>
  </r>
  <r>
    <x v="523"/>
    <x v="523"/>
    <x v="269"/>
    <x v="70"/>
    <x v="462"/>
    <x v="474"/>
    <x v="4"/>
    <x v="55"/>
    <x v="11"/>
    <x v="12"/>
    <x v="20"/>
    <x v="15"/>
    <x v="12"/>
    <x v="6"/>
    <x v="3"/>
    <x v="15"/>
  </r>
  <r>
    <x v="523"/>
    <x v="523"/>
    <x v="269"/>
    <x v="70"/>
    <x v="462"/>
    <x v="1510"/>
    <x v="4"/>
    <x v="55"/>
    <x v="11"/>
    <x v="12"/>
    <x v="20"/>
    <x v="15"/>
    <x v="12"/>
    <x v="6"/>
    <x v="3"/>
    <x v="15"/>
  </r>
  <r>
    <x v="523"/>
    <x v="523"/>
    <x v="269"/>
    <x v="70"/>
    <x v="462"/>
    <x v="1520"/>
    <x v="4"/>
    <x v="55"/>
    <x v="11"/>
    <x v="12"/>
    <x v="20"/>
    <x v="15"/>
    <x v="12"/>
    <x v="6"/>
    <x v="3"/>
    <x v="15"/>
  </r>
  <r>
    <x v="523"/>
    <x v="523"/>
    <x v="269"/>
    <x v="70"/>
    <x v="462"/>
    <x v="555"/>
    <x v="4"/>
    <x v="55"/>
    <x v="11"/>
    <x v="12"/>
    <x v="20"/>
    <x v="15"/>
    <x v="12"/>
    <x v="6"/>
    <x v="3"/>
    <x v="15"/>
  </r>
  <r>
    <x v="523"/>
    <x v="523"/>
    <x v="269"/>
    <x v="70"/>
    <x v="462"/>
    <x v="109"/>
    <x v="4"/>
    <x v="55"/>
    <x v="11"/>
    <x v="12"/>
    <x v="20"/>
    <x v="15"/>
    <x v="12"/>
    <x v="6"/>
    <x v="3"/>
    <x v="15"/>
  </r>
  <r>
    <x v="523"/>
    <x v="523"/>
    <x v="269"/>
    <x v="70"/>
    <x v="462"/>
    <x v="961"/>
    <x v="4"/>
    <x v="55"/>
    <x v="11"/>
    <x v="12"/>
    <x v="20"/>
    <x v="15"/>
    <x v="12"/>
    <x v="6"/>
    <x v="3"/>
    <x v="15"/>
  </r>
  <r>
    <x v="523"/>
    <x v="523"/>
    <x v="269"/>
    <x v="70"/>
    <x v="462"/>
    <x v="220"/>
    <x v="4"/>
    <x v="55"/>
    <x v="11"/>
    <x v="12"/>
    <x v="20"/>
    <x v="15"/>
    <x v="12"/>
    <x v="6"/>
    <x v="3"/>
    <x v="15"/>
  </r>
  <r>
    <x v="523"/>
    <x v="523"/>
    <x v="269"/>
    <x v="70"/>
    <x v="462"/>
    <x v="883"/>
    <x v="4"/>
    <x v="55"/>
    <x v="11"/>
    <x v="12"/>
    <x v="20"/>
    <x v="15"/>
    <x v="12"/>
    <x v="6"/>
    <x v="3"/>
    <x v="15"/>
  </r>
  <r>
    <x v="523"/>
    <x v="523"/>
    <x v="269"/>
    <x v="70"/>
    <x v="462"/>
    <x v="1447"/>
    <x v="4"/>
    <x v="55"/>
    <x v="11"/>
    <x v="12"/>
    <x v="20"/>
    <x v="15"/>
    <x v="12"/>
    <x v="6"/>
    <x v="3"/>
    <x v="15"/>
  </r>
  <r>
    <x v="523"/>
    <x v="523"/>
    <x v="269"/>
    <x v="70"/>
    <x v="462"/>
    <x v="924"/>
    <x v="4"/>
    <x v="55"/>
    <x v="11"/>
    <x v="12"/>
    <x v="20"/>
    <x v="15"/>
    <x v="12"/>
    <x v="6"/>
    <x v="3"/>
    <x v="15"/>
  </r>
  <r>
    <x v="523"/>
    <x v="523"/>
    <x v="269"/>
    <x v="70"/>
    <x v="462"/>
    <x v="699"/>
    <x v="4"/>
    <x v="55"/>
    <x v="11"/>
    <x v="12"/>
    <x v="20"/>
    <x v="15"/>
    <x v="12"/>
    <x v="6"/>
    <x v="3"/>
    <x v="15"/>
  </r>
  <r>
    <x v="523"/>
    <x v="523"/>
    <x v="269"/>
    <x v="70"/>
    <x v="462"/>
    <x v="147"/>
    <x v="4"/>
    <x v="55"/>
    <x v="11"/>
    <x v="12"/>
    <x v="20"/>
    <x v="15"/>
    <x v="12"/>
    <x v="6"/>
    <x v="3"/>
    <x v="15"/>
  </r>
  <r>
    <x v="523"/>
    <x v="523"/>
    <x v="269"/>
    <x v="70"/>
    <x v="462"/>
    <x v="518"/>
    <x v="4"/>
    <x v="55"/>
    <x v="11"/>
    <x v="12"/>
    <x v="20"/>
    <x v="15"/>
    <x v="12"/>
    <x v="6"/>
    <x v="3"/>
    <x v="15"/>
  </r>
  <r>
    <x v="523"/>
    <x v="523"/>
    <x v="269"/>
    <x v="70"/>
    <x v="462"/>
    <x v="1223"/>
    <x v="4"/>
    <x v="55"/>
    <x v="11"/>
    <x v="12"/>
    <x v="20"/>
    <x v="15"/>
    <x v="12"/>
    <x v="6"/>
    <x v="3"/>
    <x v="15"/>
  </r>
  <r>
    <x v="523"/>
    <x v="523"/>
    <x v="269"/>
    <x v="70"/>
    <x v="462"/>
    <x v="145"/>
    <x v="4"/>
    <x v="55"/>
    <x v="11"/>
    <x v="12"/>
    <x v="20"/>
    <x v="15"/>
    <x v="12"/>
    <x v="6"/>
    <x v="3"/>
    <x v="15"/>
  </r>
  <r>
    <x v="523"/>
    <x v="523"/>
    <x v="269"/>
    <x v="70"/>
    <x v="462"/>
    <x v="412"/>
    <x v="4"/>
    <x v="55"/>
    <x v="11"/>
    <x v="12"/>
    <x v="20"/>
    <x v="15"/>
    <x v="12"/>
    <x v="6"/>
    <x v="3"/>
    <x v="15"/>
  </r>
  <r>
    <x v="523"/>
    <x v="523"/>
    <x v="269"/>
    <x v="70"/>
    <x v="462"/>
    <x v="0"/>
    <x v="4"/>
    <x v="55"/>
    <x v="11"/>
    <x v="12"/>
    <x v="20"/>
    <x v="15"/>
    <x v="12"/>
    <x v="6"/>
    <x v="3"/>
    <x v="15"/>
  </r>
  <r>
    <x v="523"/>
    <x v="523"/>
    <x v="269"/>
    <x v="70"/>
    <x v="462"/>
    <x v="926"/>
    <x v="4"/>
    <x v="55"/>
    <x v="11"/>
    <x v="12"/>
    <x v="20"/>
    <x v="15"/>
    <x v="12"/>
    <x v="6"/>
    <x v="3"/>
    <x v="15"/>
  </r>
  <r>
    <x v="523"/>
    <x v="523"/>
    <x v="269"/>
    <x v="70"/>
    <x v="462"/>
    <x v="1220"/>
    <x v="4"/>
    <x v="55"/>
    <x v="11"/>
    <x v="12"/>
    <x v="20"/>
    <x v="15"/>
    <x v="12"/>
    <x v="6"/>
    <x v="3"/>
    <x v="15"/>
  </r>
  <r>
    <x v="523"/>
    <x v="523"/>
    <x v="269"/>
    <x v="70"/>
    <x v="462"/>
    <x v="70"/>
    <x v="4"/>
    <x v="55"/>
    <x v="11"/>
    <x v="12"/>
    <x v="20"/>
    <x v="15"/>
    <x v="12"/>
    <x v="6"/>
    <x v="3"/>
    <x v="15"/>
  </r>
  <r>
    <x v="523"/>
    <x v="523"/>
    <x v="269"/>
    <x v="70"/>
    <x v="462"/>
    <x v="5"/>
    <x v="4"/>
    <x v="55"/>
    <x v="11"/>
    <x v="12"/>
    <x v="20"/>
    <x v="15"/>
    <x v="12"/>
    <x v="6"/>
    <x v="3"/>
    <x v="15"/>
  </r>
  <r>
    <x v="523"/>
    <x v="523"/>
    <x v="269"/>
    <x v="70"/>
    <x v="462"/>
    <x v="1376"/>
    <x v="4"/>
    <x v="55"/>
    <x v="11"/>
    <x v="12"/>
    <x v="20"/>
    <x v="15"/>
    <x v="12"/>
    <x v="6"/>
    <x v="3"/>
    <x v="15"/>
  </r>
  <r>
    <x v="523"/>
    <x v="523"/>
    <x v="269"/>
    <x v="70"/>
    <x v="462"/>
    <x v="1322"/>
    <x v="4"/>
    <x v="55"/>
    <x v="11"/>
    <x v="12"/>
    <x v="20"/>
    <x v="15"/>
    <x v="12"/>
    <x v="6"/>
    <x v="3"/>
    <x v="15"/>
  </r>
  <r>
    <x v="523"/>
    <x v="523"/>
    <x v="269"/>
    <x v="70"/>
    <x v="462"/>
    <x v="1389"/>
    <x v="4"/>
    <x v="55"/>
    <x v="11"/>
    <x v="12"/>
    <x v="20"/>
    <x v="15"/>
    <x v="12"/>
    <x v="6"/>
    <x v="3"/>
    <x v="15"/>
  </r>
  <r>
    <x v="523"/>
    <x v="523"/>
    <x v="269"/>
    <x v="70"/>
    <x v="462"/>
    <x v="50"/>
    <x v="4"/>
    <x v="55"/>
    <x v="11"/>
    <x v="12"/>
    <x v="20"/>
    <x v="15"/>
    <x v="12"/>
    <x v="6"/>
    <x v="3"/>
    <x v="15"/>
  </r>
  <r>
    <x v="523"/>
    <x v="523"/>
    <x v="269"/>
    <x v="70"/>
    <x v="462"/>
    <x v="784"/>
    <x v="4"/>
    <x v="55"/>
    <x v="11"/>
    <x v="12"/>
    <x v="20"/>
    <x v="15"/>
    <x v="12"/>
    <x v="6"/>
    <x v="3"/>
    <x v="15"/>
  </r>
  <r>
    <x v="523"/>
    <x v="523"/>
    <x v="269"/>
    <x v="70"/>
    <x v="462"/>
    <x v="58"/>
    <x v="4"/>
    <x v="55"/>
    <x v="11"/>
    <x v="12"/>
    <x v="20"/>
    <x v="15"/>
    <x v="12"/>
    <x v="6"/>
    <x v="3"/>
    <x v="15"/>
  </r>
  <r>
    <x v="523"/>
    <x v="523"/>
    <x v="269"/>
    <x v="70"/>
    <x v="462"/>
    <x v="670"/>
    <x v="4"/>
    <x v="55"/>
    <x v="11"/>
    <x v="12"/>
    <x v="20"/>
    <x v="15"/>
    <x v="12"/>
    <x v="6"/>
    <x v="3"/>
    <x v="15"/>
  </r>
  <r>
    <x v="523"/>
    <x v="523"/>
    <x v="269"/>
    <x v="70"/>
    <x v="462"/>
    <x v="885"/>
    <x v="4"/>
    <x v="55"/>
    <x v="11"/>
    <x v="12"/>
    <x v="20"/>
    <x v="15"/>
    <x v="12"/>
    <x v="6"/>
    <x v="3"/>
    <x v="15"/>
  </r>
  <r>
    <x v="523"/>
    <x v="523"/>
    <x v="269"/>
    <x v="70"/>
    <x v="462"/>
    <x v="59"/>
    <x v="4"/>
    <x v="55"/>
    <x v="11"/>
    <x v="12"/>
    <x v="20"/>
    <x v="15"/>
    <x v="12"/>
    <x v="6"/>
    <x v="3"/>
    <x v="15"/>
  </r>
  <r>
    <x v="523"/>
    <x v="523"/>
    <x v="269"/>
    <x v="70"/>
    <x v="462"/>
    <x v="369"/>
    <x v="4"/>
    <x v="55"/>
    <x v="11"/>
    <x v="12"/>
    <x v="20"/>
    <x v="15"/>
    <x v="12"/>
    <x v="6"/>
    <x v="3"/>
    <x v="15"/>
  </r>
  <r>
    <x v="523"/>
    <x v="523"/>
    <x v="269"/>
    <x v="70"/>
    <x v="462"/>
    <x v="1536"/>
    <x v="4"/>
    <x v="55"/>
    <x v="11"/>
    <x v="12"/>
    <x v="20"/>
    <x v="15"/>
    <x v="12"/>
    <x v="6"/>
    <x v="3"/>
    <x v="15"/>
  </r>
  <r>
    <x v="523"/>
    <x v="523"/>
    <x v="269"/>
    <x v="70"/>
    <x v="462"/>
    <x v="854"/>
    <x v="4"/>
    <x v="55"/>
    <x v="11"/>
    <x v="12"/>
    <x v="20"/>
    <x v="15"/>
    <x v="12"/>
    <x v="6"/>
    <x v="3"/>
    <x v="15"/>
  </r>
  <r>
    <x v="523"/>
    <x v="523"/>
    <x v="269"/>
    <x v="70"/>
    <x v="462"/>
    <x v="1161"/>
    <x v="4"/>
    <x v="55"/>
    <x v="11"/>
    <x v="12"/>
    <x v="20"/>
    <x v="15"/>
    <x v="12"/>
    <x v="6"/>
    <x v="3"/>
    <x v="15"/>
  </r>
  <r>
    <x v="523"/>
    <x v="523"/>
    <x v="269"/>
    <x v="70"/>
    <x v="462"/>
    <x v="1020"/>
    <x v="4"/>
    <x v="55"/>
    <x v="11"/>
    <x v="12"/>
    <x v="20"/>
    <x v="15"/>
    <x v="12"/>
    <x v="6"/>
    <x v="3"/>
    <x v="15"/>
  </r>
  <r>
    <x v="523"/>
    <x v="523"/>
    <x v="269"/>
    <x v="70"/>
    <x v="462"/>
    <x v="56"/>
    <x v="4"/>
    <x v="55"/>
    <x v="11"/>
    <x v="12"/>
    <x v="20"/>
    <x v="15"/>
    <x v="12"/>
    <x v="6"/>
    <x v="3"/>
    <x v="15"/>
  </r>
  <r>
    <x v="523"/>
    <x v="523"/>
    <x v="269"/>
    <x v="70"/>
    <x v="462"/>
    <x v="1561"/>
    <x v="4"/>
    <x v="55"/>
    <x v="11"/>
    <x v="12"/>
    <x v="20"/>
    <x v="15"/>
    <x v="12"/>
    <x v="6"/>
    <x v="3"/>
    <x v="15"/>
  </r>
  <r>
    <x v="523"/>
    <x v="523"/>
    <x v="269"/>
    <x v="70"/>
    <x v="462"/>
    <x v="1305"/>
    <x v="4"/>
    <x v="55"/>
    <x v="11"/>
    <x v="12"/>
    <x v="20"/>
    <x v="15"/>
    <x v="12"/>
    <x v="6"/>
    <x v="3"/>
    <x v="15"/>
  </r>
  <r>
    <x v="523"/>
    <x v="523"/>
    <x v="269"/>
    <x v="70"/>
    <x v="462"/>
    <x v="1521"/>
    <x v="4"/>
    <x v="55"/>
    <x v="11"/>
    <x v="12"/>
    <x v="20"/>
    <x v="15"/>
    <x v="12"/>
    <x v="6"/>
    <x v="3"/>
    <x v="15"/>
  </r>
  <r>
    <x v="523"/>
    <x v="523"/>
    <x v="269"/>
    <x v="70"/>
    <x v="462"/>
    <x v="1047"/>
    <x v="4"/>
    <x v="55"/>
    <x v="11"/>
    <x v="12"/>
    <x v="20"/>
    <x v="15"/>
    <x v="12"/>
    <x v="6"/>
    <x v="3"/>
    <x v="15"/>
  </r>
  <r>
    <x v="523"/>
    <x v="523"/>
    <x v="269"/>
    <x v="70"/>
    <x v="462"/>
    <x v="946"/>
    <x v="4"/>
    <x v="55"/>
    <x v="11"/>
    <x v="12"/>
    <x v="20"/>
    <x v="15"/>
    <x v="12"/>
    <x v="6"/>
    <x v="3"/>
    <x v="15"/>
  </r>
  <r>
    <x v="523"/>
    <x v="523"/>
    <x v="269"/>
    <x v="70"/>
    <x v="462"/>
    <x v="464"/>
    <x v="4"/>
    <x v="55"/>
    <x v="11"/>
    <x v="12"/>
    <x v="20"/>
    <x v="15"/>
    <x v="12"/>
    <x v="6"/>
    <x v="3"/>
    <x v="15"/>
  </r>
  <r>
    <x v="523"/>
    <x v="523"/>
    <x v="269"/>
    <x v="70"/>
    <x v="462"/>
    <x v="988"/>
    <x v="4"/>
    <x v="55"/>
    <x v="11"/>
    <x v="12"/>
    <x v="20"/>
    <x v="15"/>
    <x v="12"/>
    <x v="6"/>
    <x v="3"/>
    <x v="15"/>
  </r>
  <r>
    <x v="523"/>
    <x v="523"/>
    <x v="269"/>
    <x v="70"/>
    <x v="462"/>
    <x v="241"/>
    <x v="4"/>
    <x v="55"/>
    <x v="11"/>
    <x v="12"/>
    <x v="20"/>
    <x v="15"/>
    <x v="12"/>
    <x v="6"/>
    <x v="3"/>
    <x v="15"/>
  </r>
  <r>
    <x v="523"/>
    <x v="523"/>
    <x v="269"/>
    <x v="70"/>
    <x v="462"/>
    <x v="1446"/>
    <x v="4"/>
    <x v="55"/>
    <x v="11"/>
    <x v="12"/>
    <x v="20"/>
    <x v="15"/>
    <x v="12"/>
    <x v="6"/>
    <x v="3"/>
    <x v="15"/>
  </r>
  <r>
    <x v="523"/>
    <x v="523"/>
    <x v="269"/>
    <x v="70"/>
    <x v="462"/>
    <x v="64"/>
    <x v="4"/>
    <x v="55"/>
    <x v="11"/>
    <x v="12"/>
    <x v="20"/>
    <x v="15"/>
    <x v="12"/>
    <x v="6"/>
    <x v="3"/>
    <x v="15"/>
  </r>
  <r>
    <x v="523"/>
    <x v="523"/>
    <x v="269"/>
    <x v="70"/>
    <x v="462"/>
    <x v="222"/>
    <x v="4"/>
    <x v="55"/>
    <x v="11"/>
    <x v="12"/>
    <x v="20"/>
    <x v="15"/>
    <x v="12"/>
    <x v="6"/>
    <x v="3"/>
    <x v="15"/>
  </r>
  <r>
    <x v="523"/>
    <x v="523"/>
    <x v="269"/>
    <x v="70"/>
    <x v="462"/>
    <x v="805"/>
    <x v="4"/>
    <x v="55"/>
    <x v="11"/>
    <x v="12"/>
    <x v="20"/>
    <x v="15"/>
    <x v="12"/>
    <x v="6"/>
    <x v="3"/>
    <x v="15"/>
  </r>
  <r>
    <x v="523"/>
    <x v="523"/>
    <x v="269"/>
    <x v="70"/>
    <x v="462"/>
    <x v="1007"/>
    <x v="4"/>
    <x v="55"/>
    <x v="11"/>
    <x v="12"/>
    <x v="20"/>
    <x v="15"/>
    <x v="12"/>
    <x v="6"/>
    <x v="3"/>
    <x v="15"/>
  </r>
  <r>
    <x v="523"/>
    <x v="523"/>
    <x v="269"/>
    <x v="70"/>
    <x v="462"/>
    <x v="113"/>
    <x v="4"/>
    <x v="55"/>
    <x v="11"/>
    <x v="12"/>
    <x v="20"/>
    <x v="15"/>
    <x v="12"/>
    <x v="6"/>
    <x v="3"/>
    <x v="15"/>
  </r>
  <r>
    <x v="523"/>
    <x v="523"/>
    <x v="269"/>
    <x v="70"/>
    <x v="462"/>
    <x v="315"/>
    <x v="4"/>
    <x v="55"/>
    <x v="11"/>
    <x v="12"/>
    <x v="20"/>
    <x v="15"/>
    <x v="12"/>
    <x v="6"/>
    <x v="3"/>
    <x v="15"/>
  </r>
  <r>
    <x v="523"/>
    <x v="523"/>
    <x v="269"/>
    <x v="70"/>
    <x v="462"/>
    <x v="1496"/>
    <x v="4"/>
    <x v="55"/>
    <x v="11"/>
    <x v="12"/>
    <x v="20"/>
    <x v="15"/>
    <x v="12"/>
    <x v="6"/>
    <x v="3"/>
    <x v="15"/>
  </r>
  <r>
    <x v="523"/>
    <x v="523"/>
    <x v="269"/>
    <x v="70"/>
    <x v="462"/>
    <x v="1357"/>
    <x v="4"/>
    <x v="55"/>
    <x v="11"/>
    <x v="12"/>
    <x v="20"/>
    <x v="15"/>
    <x v="12"/>
    <x v="6"/>
    <x v="3"/>
    <x v="15"/>
  </r>
  <r>
    <x v="523"/>
    <x v="523"/>
    <x v="269"/>
    <x v="70"/>
    <x v="462"/>
    <x v="1259"/>
    <x v="4"/>
    <x v="55"/>
    <x v="11"/>
    <x v="12"/>
    <x v="20"/>
    <x v="15"/>
    <x v="12"/>
    <x v="6"/>
    <x v="3"/>
    <x v="15"/>
  </r>
  <r>
    <x v="523"/>
    <x v="523"/>
    <x v="269"/>
    <x v="70"/>
    <x v="462"/>
    <x v="545"/>
    <x v="4"/>
    <x v="55"/>
    <x v="11"/>
    <x v="12"/>
    <x v="20"/>
    <x v="15"/>
    <x v="12"/>
    <x v="6"/>
    <x v="3"/>
    <x v="15"/>
  </r>
  <r>
    <x v="523"/>
    <x v="523"/>
    <x v="269"/>
    <x v="70"/>
    <x v="462"/>
    <x v="430"/>
    <x v="4"/>
    <x v="55"/>
    <x v="11"/>
    <x v="12"/>
    <x v="20"/>
    <x v="15"/>
    <x v="12"/>
    <x v="6"/>
    <x v="3"/>
    <x v="15"/>
  </r>
  <r>
    <x v="523"/>
    <x v="523"/>
    <x v="269"/>
    <x v="70"/>
    <x v="462"/>
    <x v="954"/>
    <x v="4"/>
    <x v="55"/>
    <x v="11"/>
    <x v="12"/>
    <x v="20"/>
    <x v="15"/>
    <x v="12"/>
    <x v="6"/>
    <x v="3"/>
    <x v="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4" cacheId="0" applyNumberFormats="0" applyBorderFormats="0" applyFontFormats="0" applyPatternFormats="0" applyAlignmentFormats="0" applyWidthHeightFormats="0" dataCaption="Values" itemPrintTitles="1" indent="0" outline="1" outlineData="1">
  <location ref="A1:B73" firstHeaderRow="1" firstDataRow="1" firstDataCol="1"/>
  <pivotFields count="16">
    <pivotField showAll="0"/>
    <pivotField showAll="0"/>
    <pivotField showAll="0"/>
    <pivotField axis="axisRow" dataField="1" showAll="0">
      <items count="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6" cacheId="0" applyNumberFormats="0" applyBorderFormats="0" applyFontFormats="0" applyPatternFormats="0" applyAlignmentFormats="0" applyWidthHeightFormats="0" dataCaption="Values" itemPrintTitles="1" indent="0" outline="1" outlineData="1">
  <location ref="D1:E272" firstHeaderRow="1" firstDataRow="1" firstDataCol="1"/>
  <pivotFields count="16">
    <pivotField showAll="0"/>
    <pivotField showAll="0"/>
    <pivotField axis="axisRow" dataField="1" showAll="0">
      <items count="2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H29" sqref="H29"/>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37" t="s">
        <v>0</v>
      </c>
      <c r="C2" s="237"/>
      <c r="D2" s="237"/>
    </row>
    <row r="3" spans="2:4" ht="24" customHeight="1" x14ac:dyDescent="0.25">
      <c r="B3" s="238" t="s">
        <v>1</v>
      </c>
      <c r="C3" s="238"/>
      <c r="D3" s="238"/>
    </row>
    <row r="4" spans="2:4" ht="18" customHeight="1" x14ac:dyDescent="0.25">
      <c r="B4" s="239" t="s">
        <v>2</v>
      </c>
      <c r="C4" s="239"/>
      <c r="D4" s="239"/>
    </row>
    <row r="5" spans="2:4" ht="7.5" customHeight="1" x14ac:dyDescent="0.25"/>
    <row r="6" spans="2:4" ht="21.75" customHeight="1" x14ac:dyDescent="0.25">
      <c r="B6" s="2" t="s">
        <v>3</v>
      </c>
      <c r="C6" s="2" t="s">
        <v>4</v>
      </c>
      <c r="D6" s="3" t="s">
        <v>5</v>
      </c>
    </row>
    <row r="7" spans="2:4" ht="21.75" customHeight="1" x14ac:dyDescent="0.25">
      <c r="B7" s="4" t="s">
        <v>6</v>
      </c>
      <c r="C7" s="5">
        <f>COUNTIFS(Başvuru!B:B,"SBA 26/*",Başvuru!F:F,"&lt;&gt;"&amp;"")</f>
        <v>492</v>
      </c>
      <c r="D7" s="6" t="s">
        <v>7</v>
      </c>
    </row>
    <row r="8" spans="2:4" ht="21.75" customHeight="1" x14ac:dyDescent="0.25">
      <c r="B8" s="4" t="s">
        <v>8</v>
      </c>
      <c r="C8" s="5">
        <f>COUNTA(Sayılar!B4:B26)</f>
        <v>11</v>
      </c>
      <c r="D8" s="6" t="s">
        <v>9</v>
      </c>
    </row>
    <row r="9" spans="2:4" ht="6" customHeight="1" x14ac:dyDescent="0.25"/>
    <row r="10" spans="2:4" ht="21.75" customHeight="1" x14ac:dyDescent="0.25">
      <c r="B10" s="7" t="s">
        <v>10</v>
      </c>
      <c r="C10" s="8">
        <f>COUNTIFS(Başvuru!L:L,"DÜZELTME",Başvuru!F:F,"&lt;&gt;"&amp;"")</f>
        <v>168</v>
      </c>
      <c r="D10" s="6" t="s">
        <v>11</v>
      </c>
    </row>
    <row r="11" spans="2:4" ht="6" customHeight="1" x14ac:dyDescent="0.25"/>
    <row r="12" spans="2:4" ht="21.75" customHeight="1" x14ac:dyDescent="0.25">
      <c r="B12" s="9" t="s">
        <v>12</v>
      </c>
      <c r="C12" s="10"/>
      <c r="D12" s="11" t="s">
        <v>13</v>
      </c>
    </row>
    <row r="13" spans="2:4" ht="21.75" customHeight="1" x14ac:dyDescent="0.25">
      <c r="B13" s="12" t="s">
        <v>14</v>
      </c>
      <c r="C13" s="13">
        <f>COUNTIFS(Başvuru!P:P,"ONAY",Başvuru!F:F,"&lt;&gt;"&amp;"")</f>
        <v>387</v>
      </c>
      <c r="D13" s="14" t="s">
        <v>15</v>
      </c>
    </row>
    <row r="14" spans="2:4" ht="21.75" customHeight="1" x14ac:dyDescent="0.25">
      <c r="B14" s="12" t="s">
        <v>16</v>
      </c>
      <c r="C14" s="13">
        <f>COUNTIFS(Başvuru!L:L,"DÜZELTME",Başvuru!M:M,"&lt;&gt;"&amp;"",Başvuru!F:F,"&lt;&gt;"&amp;"")</f>
        <v>118</v>
      </c>
      <c r="D14" s="14" t="s">
        <v>17</v>
      </c>
    </row>
    <row r="15" spans="2:4" ht="21.75" customHeight="1" x14ac:dyDescent="0.25">
      <c r="B15" s="15" t="s">
        <v>18</v>
      </c>
      <c r="C15" s="16">
        <f>COUNTIFS(Başvuru!L:L,"DÜZELTME",Başvuru!M:M,"",Başvuru!F:F,"&lt;&gt;"&amp;"")</f>
        <v>50</v>
      </c>
      <c r="D15" s="14" t="s">
        <v>19</v>
      </c>
    </row>
    <row r="16" spans="2:4" ht="21.75" customHeight="1" x14ac:dyDescent="0.25">
      <c r="B16" s="17" t="s">
        <v>20</v>
      </c>
      <c r="C16" s="18">
        <f>COUNTIFS(Başvuru!L:L,"KAEK",Başvuru!F:F,"&lt;&gt;"&amp;"")</f>
        <v>7</v>
      </c>
      <c r="D16" s="14" t="s">
        <v>21</v>
      </c>
    </row>
    <row r="17" spans="2:4" ht="21.75" customHeight="1" x14ac:dyDescent="0.25">
      <c r="B17" s="19" t="s">
        <v>22</v>
      </c>
      <c r="C17" s="8">
        <f>COUNTIFS(Başvuru!P:P,"KAPSAM DIŞI",Başvuru!F:F,"&lt;&gt;"&amp;"")</f>
        <v>8</v>
      </c>
      <c r="D17" s="14" t="s">
        <v>23</v>
      </c>
    </row>
    <row r="18" spans="2:4" ht="21.75" customHeight="1" x14ac:dyDescent="0.25">
      <c r="B18" s="20" t="s">
        <v>24</v>
      </c>
      <c r="C18" s="21">
        <f>COUNTIFS(Başvuru!P:P,"RET",Başvuru!F:F,"&lt;&gt;"&amp;"")</f>
        <v>14</v>
      </c>
      <c r="D18" s="14" t="s">
        <v>25</v>
      </c>
    </row>
    <row r="19" spans="2:4" ht="21.75" customHeight="1" x14ac:dyDescent="0.25">
      <c r="B19" s="19" t="s">
        <v>26</v>
      </c>
      <c r="C19" s="8">
        <f>COUNTIFS(Başvuru!P:P,"GERİ ÇEKİLDİ",Başvuru!F:F,"&lt;&gt;"&amp;"")</f>
        <v>4</v>
      </c>
      <c r="D19" s="14" t="s">
        <v>27</v>
      </c>
    </row>
    <row r="20" spans="2:4" ht="6" customHeight="1" x14ac:dyDescent="0.25"/>
    <row r="21" spans="2:4" ht="21.75" customHeight="1" x14ac:dyDescent="0.25">
      <c r="B21" s="4" t="s">
        <v>28</v>
      </c>
      <c r="C21" s="5">
        <f>COUNTIFS(Başvuru!L:L,"GÖRÜŞ",Başvuru!F:F,"&lt;&gt;"&amp;"")</f>
        <v>21</v>
      </c>
      <c r="D21" s="6" t="s">
        <v>29</v>
      </c>
    </row>
    <row r="22" spans="2:4" ht="21.75" customHeight="1" x14ac:dyDescent="0.25">
      <c r="B22" s="22" t="s">
        <v>30</v>
      </c>
      <c r="C22" s="16">
        <f>COUNTIFS(Başvuru!L:L,"",Başvuru!J:J,"&lt;&gt;"&amp;"",Başvuru!F:F,"&lt;&gt;"&amp;"")</f>
        <v>8</v>
      </c>
      <c r="D22" s="6" t="s">
        <v>31</v>
      </c>
    </row>
    <row r="23" spans="2:4" ht="6" customHeight="1" x14ac:dyDescent="0.25"/>
    <row r="24" spans="2:4" ht="21.75" customHeight="1" x14ac:dyDescent="0.25">
      <c r="B24" s="9" t="s">
        <v>32</v>
      </c>
      <c r="C24" s="10"/>
      <c r="D24" s="11" t="s">
        <v>33</v>
      </c>
    </row>
    <row r="25" spans="2:4" ht="21.75" customHeight="1" x14ac:dyDescent="0.25">
      <c r="B25" s="23" t="s">
        <v>34</v>
      </c>
      <c r="C25" s="5">
        <f>COUNTIFS(Başvuru!G:G,"Bireysel Araştırma",Başvuru!F:F,"&lt;&gt;"&amp;"")</f>
        <v>366</v>
      </c>
      <c r="D25" s="14"/>
    </row>
    <row r="26" spans="2:4" ht="21.75" customHeight="1" x14ac:dyDescent="0.25">
      <c r="B26" s="23" t="s">
        <v>35</v>
      </c>
      <c r="C26" s="5">
        <f>COUNTIFS(Başvuru!G:G,"Uzmanlık Tezi",Başvuru!F:F,"&lt;&gt;"&amp;"")</f>
        <v>89</v>
      </c>
      <c r="D26" s="14"/>
    </row>
    <row r="27" spans="2:4" ht="21.75" customHeight="1" x14ac:dyDescent="0.25">
      <c r="B27" s="23" t="s">
        <v>36</v>
      </c>
      <c r="C27" s="5">
        <f>COUNTIFS(Başvuru!G:G,"Yüksek Lisans Tezi",Başvuru!F:F,"&lt;&gt;"&amp;"")</f>
        <v>10</v>
      </c>
      <c r="D27" s="14"/>
    </row>
    <row r="28" spans="2:4" ht="21.75" customHeight="1" x14ac:dyDescent="0.25">
      <c r="B28" s="23" t="s">
        <v>37</v>
      </c>
      <c r="C28" s="5">
        <f>COUNTIFS(Başvuru!G:G,"Doktora Tezi",Başvuru!F:F,"&lt;&gt;"&amp;"")</f>
        <v>27</v>
      </c>
      <c r="D28" s="14"/>
    </row>
    <row r="30" spans="2:4" ht="39.75" customHeight="1" x14ac:dyDescent="0.25">
      <c r="B30" s="240" t="s">
        <v>38</v>
      </c>
      <c r="C30" s="240"/>
      <c r="D30" s="240"/>
    </row>
    <row r="32" spans="2:4" ht="18" customHeight="1" x14ac:dyDescent="0.25">
      <c r="B32" s="241">
        <f ca="1">TODAY()</f>
        <v>46175</v>
      </c>
      <c r="C32" s="241"/>
      <c r="D32" s="241"/>
    </row>
  </sheetData>
  <mergeCells count="5">
    <mergeCell ref="B2:D2"/>
    <mergeCell ref="B3:D3"/>
    <mergeCell ref="B4:D4"/>
    <mergeCell ref="B30:D30"/>
    <mergeCell ref="B32:D3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S1609"/>
  <sheetViews>
    <sheetView showZeros="0" tabSelected="1" zoomScale="120" zoomScaleNormal="120" workbookViewId="0">
      <pane xSplit="2" ySplit="1" topLeftCell="L532" activePane="bottomRight" state="frozen"/>
      <selection pane="topRight" activeCell="J1" sqref="J1"/>
      <selection pane="bottomLeft" activeCell="A483" sqref="A483"/>
      <selection pane="bottomRight" activeCell="L539" sqref="L539"/>
    </sheetView>
  </sheetViews>
  <sheetFormatPr defaultColWidth="9.140625" defaultRowHeight="20.25" x14ac:dyDescent="0.25"/>
  <cols>
    <col min="1" max="1" width="6.28515625" style="24" customWidth="1"/>
    <col min="2" max="2" width="18.85546875" style="24" customWidth="1"/>
    <col min="3" max="3" width="48.7109375" style="24" customWidth="1"/>
    <col min="4" max="5" width="60.7109375" style="24" customWidth="1"/>
    <col min="6" max="6" width="50.7109375" style="25" customWidth="1"/>
    <col min="7" max="7" width="18.140625" style="26" customWidth="1"/>
    <col min="8" max="8" width="25.7109375" style="27" customWidth="1"/>
    <col min="9" max="9" width="18.28515625" style="26" customWidth="1"/>
    <col min="10" max="10" width="39.85546875" style="28" customWidth="1"/>
    <col min="11" max="11" width="39.85546875" style="27" customWidth="1"/>
    <col min="12" max="13" width="22" style="26" customWidth="1"/>
    <col min="14" max="15" width="21.140625" style="27" customWidth="1"/>
    <col min="16" max="16" width="20.5703125" style="29" customWidth="1"/>
    <col min="17" max="17" width="39.42578125" style="26" customWidth="1"/>
    <col min="18" max="18" width="17.42578125" style="30" customWidth="1"/>
    <col min="19" max="19" width="20.28515625" style="27" customWidth="1"/>
    <col min="20" max="16384" width="9.140625" style="27"/>
  </cols>
  <sheetData>
    <row r="1" spans="1:19" s="24" customFormat="1" x14ac:dyDescent="0.25">
      <c r="A1" s="31" t="s">
        <v>39</v>
      </c>
      <c r="B1" s="31" t="s">
        <v>40</v>
      </c>
      <c r="C1" s="31" t="s">
        <v>41</v>
      </c>
      <c r="D1" s="31" t="s">
        <v>42</v>
      </c>
      <c r="E1" s="31" t="s">
        <v>43</v>
      </c>
      <c r="F1" s="31" t="s">
        <v>44</v>
      </c>
      <c r="G1" s="31" t="s">
        <v>45</v>
      </c>
      <c r="H1" s="32" t="s">
        <v>46</v>
      </c>
      <c r="I1" s="32" t="s">
        <v>47</v>
      </c>
      <c r="J1" s="31" t="s">
        <v>48</v>
      </c>
      <c r="K1" s="31" t="s">
        <v>49</v>
      </c>
      <c r="L1" s="33" t="s">
        <v>50</v>
      </c>
      <c r="M1" s="34" t="s">
        <v>51</v>
      </c>
      <c r="N1" s="34" t="s">
        <v>52</v>
      </c>
      <c r="O1" s="35" t="s">
        <v>53</v>
      </c>
      <c r="P1" s="34" t="s">
        <v>54</v>
      </c>
      <c r="Q1" s="31" t="s">
        <v>55</v>
      </c>
      <c r="R1" s="30"/>
    </row>
    <row r="2" spans="1:19" ht="63" customHeight="1" x14ac:dyDescent="0.25">
      <c r="A2" s="36" t="s">
        <v>56</v>
      </c>
      <c r="B2" s="36" t="s">
        <v>57</v>
      </c>
      <c r="C2" s="37" t="s">
        <v>58</v>
      </c>
      <c r="D2" s="37" t="s">
        <v>59</v>
      </c>
      <c r="E2" s="38" t="s">
        <v>60</v>
      </c>
      <c r="F2" s="38" t="s">
        <v>61</v>
      </c>
      <c r="G2" s="39" t="s">
        <v>34</v>
      </c>
      <c r="H2" s="40"/>
      <c r="I2" s="41">
        <v>46028</v>
      </c>
      <c r="J2" s="37" t="s">
        <v>62</v>
      </c>
      <c r="K2" s="37" t="s">
        <v>63</v>
      </c>
      <c r="L2" s="42" t="s">
        <v>64</v>
      </c>
      <c r="M2" s="43"/>
      <c r="N2" s="43"/>
      <c r="O2" s="42"/>
      <c r="P2" s="43" t="str">
        <f t="shared" ref="P2:P65" si="0">IF(O2&lt;&gt;"",O2, IF(N2&lt;&gt;"",N2, IF(M2&lt;&gt;"",M2, L2)))</f>
        <v>ONAY</v>
      </c>
      <c r="S2" s="27" t="str">
        <f>IF(AND(P2="", B2&lt;&gt;""), B2, "")</f>
        <v/>
      </c>
    </row>
    <row r="3" spans="1:19" ht="94.5" customHeight="1" x14ac:dyDescent="0.25">
      <c r="A3" s="36" t="s">
        <v>65</v>
      </c>
      <c r="B3" s="36" t="s">
        <v>66</v>
      </c>
      <c r="C3" s="37" t="s">
        <v>67</v>
      </c>
      <c r="D3" s="37" t="s">
        <v>68</v>
      </c>
      <c r="E3" s="38" t="s">
        <v>69</v>
      </c>
      <c r="F3" s="38" t="s">
        <v>70</v>
      </c>
      <c r="G3" s="39" t="s">
        <v>34</v>
      </c>
      <c r="H3" s="40"/>
      <c r="I3" s="41">
        <v>46028</v>
      </c>
      <c r="J3" s="37" t="s">
        <v>63</v>
      </c>
      <c r="K3" s="37" t="s">
        <v>71</v>
      </c>
      <c r="L3" s="42" t="s">
        <v>64</v>
      </c>
      <c r="M3" s="43"/>
      <c r="N3" s="43"/>
      <c r="O3" s="42"/>
      <c r="P3" s="43" t="str">
        <f t="shared" si="0"/>
        <v>ONAY</v>
      </c>
    </row>
    <row r="4" spans="1:19" ht="94.5" customHeight="1" x14ac:dyDescent="0.25">
      <c r="A4" s="36" t="s">
        <v>72</v>
      </c>
      <c r="B4" s="36" t="s">
        <v>73</v>
      </c>
      <c r="C4" s="37" t="s">
        <v>74</v>
      </c>
      <c r="D4" s="37" t="s">
        <v>75</v>
      </c>
      <c r="E4" s="38" t="s">
        <v>76</v>
      </c>
      <c r="F4" s="38" t="s">
        <v>77</v>
      </c>
      <c r="G4" s="39" t="s">
        <v>34</v>
      </c>
      <c r="H4" s="40"/>
      <c r="I4" s="41">
        <v>46028</v>
      </c>
      <c r="J4" s="37" t="s">
        <v>78</v>
      </c>
      <c r="K4" s="37" t="s">
        <v>79</v>
      </c>
      <c r="L4" s="43" t="s">
        <v>64</v>
      </c>
      <c r="M4" s="44"/>
      <c r="N4" s="44"/>
      <c r="O4" s="45"/>
      <c r="P4" s="43" t="str">
        <f t="shared" si="0"/>
        <v>ONAY</v>
      </c>
    </row>
    <row r="5" spans="1:19" ht="78.75" customHeight="1" x14ac:dyDescent="0.25">
      <c r="A5" s="36" t="s">
        <v>80</v>
      </c>
      <c r="B5" s="36" t="s">
        <v>81</v>
      </c>
      <c r="C5" s="37" t="s">
        <v>82</v>
      </c>
      <c r="D5" s="46" t="s">
        <v>83</v>
      </c>
      <c r="E5" s="38" t="s">
        <v>84</v>
      </c>
      <c r="F5" s="38" t="s">
        <v>85</v>
      </c>
      <c r="G5" s="39" t="s">
        <v>37</v>
      </c>
      <c r="H5" s="40"/>
      <c r="I5" s="41">
        <v>46028</v>
      </c>
      <c r="J5" s="37" t="s">
        <v>86</v>
      </c>
      <c r="K5" s="37" t="s">
        <v>87</v>
      </c>
      <c r="L5" s="43" t="s">
        <v>88</v>
      </c>
      <c r="M5" s="43" t="s">
        <v>64</v>
      </c>
      <c r="N5" s="43"/>
      <c r="O5" s="42"/>
      <c r="P5" s="43" t="str">
        <f t="shared" si="0"/>
        <v>ONAY</v>
      </c>
      <c r="Q5" s="26" t="s">
        <v>87</v>
      </c>
    </row>
    <row r="6" spans="1:19" ht="47.25" customHeight="1" x14ac:dyDescent="0.25">
      <c r="A6" s="36" t="s">
        <v>89</v>
      </c>
      <c r="B6" s="36" t="s">
        <v>90</v>
      </c>
      <c r="C6" s="37" t="s">
        <v>91</v>
      </c>
      <c r="D6" s="37" t="s">
        <v>92</v>
      </c>
      <c r="E6" s="38" t="s">
        <v>93</v>
      </c>
      <c r="F6" s="38" t="s">
        <v>94</v>
      </c>
      <c r="G6" s="39" t="s">
        <v>37</v>
      </c>
      <c r="H6" s="40"/>
      <c r="I6" s="41">
        <v>46028</v>
      </c>
      <c r="J6" s="37" t="s">
        <v>95</v>
      </c>
      <c r="K6" s="37" t="s">
        <v>96</v>
      </c>
      <c r="L6" s="43" t="s">
        <v>88</v>
      </c>
      <c r="M6" s="43" t="s">
        <v>64</v>
      </c>
      <c r="N6" s="43"/>
      <c r="O6" s="42"/>
      <c r="P6" s="43" t="str">
        <f t="shared" si="0"/>
        <v>ONAY</v>
      </c>
      <c r="Q6" s="26" t="s">
        <v>96</v>
      </c>
    </row>
    <row r="7" spans="1:19" ht="63" customHeight="1" x14ac:dyDescent="0.25">
      <c r="A7" s="36" t="s">
        <v>97</v>
      </c>
      <c r="B7" s="36" t="s">
        <v>98</v>
      </c>
      <c r="C7" s="37" t="s">
        <v>99</v>
      </c>
      <c r="D7" s="37" t="s">
        <v>100</v>
      </c>
      <c r="E7" s="38" t="s">
        <v>101</v>
      </c>
      <c r="F7" s="38" t="s">
        <v>102</v>
      </c>
      <c r="G7" s="39" t="s">
        <v>34</v>
      </c>
      <c r="H7" s="40"/>
      <c r="I7" s="41">
        <v>46028</v>
      </c>
      <c r="J7" s="37" t="s">
        <v>71</v>
      </c>
      <c r="K7" s="37" t="s">
        <v>103</v>
      </c>
      <c r="L7" s="43" t="s">
        <v>64</v>
      </c>
      <c r="M7" s="43"/>
      <c r="N7" s="43"/>
      <c r="O7" s="42"/>
      <c r="P7" s="43" t="str">
        <f t="shared" si="0"/>
        <v>ONAY</v>
      </c>
    </row>
    <row r="8" spans="1:19" ht="47.25" customHeight="1" x14ac:dyDescent="0.25">
      <c r="A8" s="36" t="s">
        <v>104</v>
      </c>
      <c r="B8" s="36" t="s">
        <v>105</v>
      </c>
      <c r="C8" s="37" t="s">
        <v>106</v>
      </c>
      <c r="D8" s="37" t="s">
        <v>107</v>
      </c>
      <c r="E8" s="38" t="s">
        <v>108</v>
      </c>
      <c r="F8" s="38" t="s">
        <v>109</v>
      </c>
      <c r="G8" s="39" t="s">
        <v>35</v>
      </c>
      <c r="H8" s="40"/>
      <c r="I8" s="41">
        <v>46028</v>
      </c>
      <c r="J8" s="37" t="s">
        <v>110</v>
      </c>
      <c r="K8" s="37" t="s">
        <v>103</v>
      </c>
      <c r="L8" s="43" t="s">
        <v>64</v>
      </c>
      <c r="M8" s="43"/>
      <c r="N8" s="43"/>
      <c r="O8" s="42"/>
      <c r="P8" s="43" t="str">
        <f t="shared" si="0"/>
        <v>ONAY</v>
      </c>
    </row>
    <row r="9" spans="1:19" ht="63" customHeight="1" x14ac:dyDescent="0.25">
      <c r="A9" s="36" t="s">
        <v>111</v>
      </c>
      <c r="B9" s="36" t="s">
        <v>112</v>
      </c>
      <c r="C9" s="37" t="s">
        <v>113</v>
      </c>
      <c r="D9" s="37" t="s">
        <v>100</v>
      </c>
      <c r="E9" s="38" t="s">
        <v>114</v>
      </c>
      <c r="F9" s="38" t="s">
        <v>115</v>
      </c>
      <c r="G9" s="39" t="s">
        <v>35</v>
      </c>
      <c r="H9" s="40"/>
      <c r="I9" s="41">
        <v>46028</v>
      </c>
      <c r="J9" s="37" t="s">
        <v>86</v>
      </c>
      <c r="K9" s="37" t="s">
        <v>116</v>
      </c>
      <c r="L9" s="43" t="s">
        <v>64</v>
      </c>
      <c r="M9" s="43"/>
      <c r="N9" s="43"/>
      <c r="O9" s="42"/>
      <c r="P9" s="43" t="str">
        <f t="shared" si="0"/>
        <v>ONAY</v>
      </c>
    </row>
    <row r="10" spans="1:19" ht="110.25" customHeight="1" x14ac:dyDescent="0.25">
      <c r="A10" s="36" t="s">
        <v>117</v>
      </c>
      <c r="B10" s="36" t="s">
        <v>118</v>
      </c>
      <c r="C10" s="37" t="s">
        <v>119</v>
      </c>
      <c r="D10" s="37" t="s">
        <v>120</v>
      </c>
      <c r="E10" s="38" t="s">
        <v>121</v>
      </c>
      <c r="F10" s="38" t="s">
        <v>122</v>
      </c>
      <c r="G10" s="39" t="s">
        <v>34</v>
      </c>
      <c r="H10" s="40"/>
      <c r="I10" s="41">
        <v>46028</v>
      </c>
      <c r="J10" s="37" t="s">
        <v>87</v>
      </c>
      <c r="K10" s="37" t="s">
        <v>63</v>
      </c>
      <c r="L10" s="43" t="s">
        <v>64</v>
      </c>
      <c r="M10" s="43"/>
      <c r="N10" s="43"/>
      <c r="O10" s="42"/>
      <c r="P10" s="43" t="str">
        <f t="shared" si="0"/>
        <v>ONAY</v>
      </c>
    </row>
    <row r="11" spans="1:19" ht="94.5" customHeight="1" x14ac:dyDescent="0.25">
      <c r="A11" s="36" t="s">
        <v>123</v>
      </c>
      <c r="B11" s="36" t="s">
        <v>124</v>
      </c>
      <c r="C11" s="37" t="s">
        <v>125</v>
      </c>
      <c r="D11" s="37" t="s">
        <v>126</v>
      </c>
      <c r="E11" s="38" t="s">
        <v>127</v>
      </c>
      <c r="F11" s="38" t="s">
        <v>128</v>
      </c>
      <c r="G11" s="39" t="s">
        <v>37</v>
      </c>
      <c r="H11" s="40"/>
      <c r="I11" s="41">
        <v>46028</v>
      </c>
      <c r="J11" s="37" t="s">
        <v>110</v>
      </c>
      <c r="K11" s="37" t="s">
        <v>62</v>
      </c>
      <c r="L11" s="43" t="s">
        <v>88</v>
      </c>
      <c r="M11" s="43" t="s">
        <v>64</v>
      </c>
      <c r="N11" s="43"/>
      <c r="O11" s="42"/>
      <c r="P11" s="43" t="str">
        <f t="shared" si="0"/>
        <v>ONAY</v>
      </c>
      <c r="Q11" s="26" t="s">
        <v>62</v>
      </c>
    </row>
    <row r="12" spans="1:19" ht="78.75" customHeight="1" x14ac:dyDescent="0.25">
      <c r="A12" s="36" t="s">
        <v>129</v>
      </c>
      <c r="B12" s="36" t="s">
        <v>130</v>
      </c>
      <c r="C12" s="37" t="s">
        <v>131</v>
      </c>
      <c r="D12" s="37" t="s">
        <v>100</v>
      </c>
      <c r="E12" s="38" t="s">
        <v>132</v>
      </c>
      <c r="F12" s="38" t="s">
        <v>133</v>
      </c>
      <c r="G12" s="39" t="s">
        <v>34</v>
      </c>
      <c r="H12" s="40"/>
      <c r="I12" s="41">
        <v>46028</v>
      </c>
      <c r="J12" s="37" t="s">
        <v>116</v>
      </c>
      <c r="K12" s="37" t="s">
        <v>95</v>
      </c>
      <c r="L12" s="43" t="s">
        <v>64</v>
      </c>
      <c r="M12" s="43"/>
      <c r="N12" s="43"/>
      <c r="O12" s="42"/>
      <c r="P12" s="43" t="str">
        <f t="shared" si="0"/>
        <v>ONAY</v>
      </c>
    </row>
    <row r="13" spans="1:19" ht="78.75" customHeight="1" x14ac:dyDescent="0.25">
      <c r="A13" s="36" t="s">
        <v>134</v>
      </c>
      <c r="B13" s="36" t="s">
        <v>135</v>
      </c>
      <c r="C13" s="37" t="s">
        <v>136</v>
      </c>
      <c r="D13" s="37" t="s">
        <v>137</v>
      </c>
      <c r="E13" s="38" t="s">
        <v>138</v>
      </c>
      <c r="F13" s="38" t="s">
        <v>139</v>
      </c>
      <c r="G13" s="39" t="s">
        <v>35</v>
      </c>
      <c r="H13" s="40"/>
      <c r="I13" s="41">
        <v>46028</v>
      </c>
      <c r="J13" s="37" t="s">
        <v>79</v>
      </c>
      <c r="K13" s="37" t="s">
        <v>96</v>
      </c>
      <c r="L13" s="43" t="s">
        <v>140</v>
      </c>
      <c r="M13" s="43"/>
      <c r="N13" s="43"/>
      <c r="O13" s="42"/>
      <c r="P13" s="43" t="str">
        <f t="shared" si="0"/>
        <v>KAPSAM DIŞI</v>
      </c>
    </row>
    <row r="14" spans="1:19" ht="63" customHeight="1" x14ac:dyDescent="0.25">
      <c r="A14" s="36" t="s">
        <v>141</v>
      </c>
      <c r="B14" s="36" t="s">
        <v>142</v>
      </c>
      <c r="C14" s="37" t="s">
        <v>143</v>
      </c>
      <c r="D14" s="37" t="s">
        <v>144</v>
      </c>
      <c r="E14" s="38" t="s">
        <v>145</v>
      </c>
      <c r="F14" s="38" t="s">
        <v>146</v>
      </c>
      <c r="G14" s="39" t="s">
        <v>36</v>
      </c>
      <c r="H14" s="40"/>
      <c r="I14" s="41">
        <v>46028</v>
      </c>
      <c r="J14" s="37" t="s">
        <v>78</v>
      </c>
      <c r="K14" s="37" t="s">
        <v>86</v>
      </c>
      <c r="L14" s="43" t="s">
        <v>88</v>
      </c>
      <c r="M14" s="43" t="s">
        <v>64</v>
      </c>
      <c r="N14" s="43"/>
      <c r="O14" s="42"/>
      <c r="P14" s="43" t="str">
        <f t="shared" si="0"/>
        <v>ONAY</v>
      </c>
      <c r="Q14" s="26" t="s">
        <v>78</v>
      </c>
    </row>
    <row r="15" spans="1:19" ht="78.75" customHeight="1" x14ac:dyDescent="0.25">
      <c r="A15" s="36" t="s">
        <v>147</v>
      </c>
      <c r="B15" s="36" t="s">
        <v>148</v>
      </c>
      <c r="C15" s="37" t="s">
        <v>149</v>
      </c>
      <c r="D15" s="37" t="s">
        <v>150</v>
      </c>
      <c r="E15" s="38" t="s">
        <v>151</v>
      </c>
      <c r="F15" s="38" t="s">
        <v>152</v>
      </c>
      <c r="G15" s="39" t="s">
        <v>34</v>
      </c>
      <c r="H15" s="40"/>
      <c r="I15" s="41">
        <v>46028</v>
      </c>
      <c r="J15" s="37" t="s">
        <v>103</v>
      </c>
      <c r="K15" s="37" t="s">
        <v>63</v>
      </c>
      <c r="L15" s="43" t="s">
        <v>64</v>
      </c>
      <c r="M15" s="43"/>
      <c r="N15" s="43"/>
      <c r="O15" s="42"/>
      <c r="P15" s="43" t="str">
        <f t="shared" si="0"/>
        <v>ONAY</v>
      </c>
    </row>
    <row r="16" spans="1:19" ht="94.5" customHeight="1" x14ac:dyDescent="0.25">
      <c r="A16" s="36" t="s">
        <v>153</v>
      </c>
      <c r="B16" s="36" t="s">
        <v>154</v>
      </c>
      <c r="C16" s="37" t="s">
        <v>155</v>
      </c>
      <c r="D16" s="37" t="s">
        <v>156</v>
      </c>
      <c r="E16" s="38" t="s">
        <v>157</v>
      </c>
      <c r="F16" s="38" t="s">
        <v>158</v>
      </c>
      <c r="G16" s="39" t="s">
        <v>34</v>
      </c>
      <c r="H16" s="40"/>
      <c r="I16" s="41">
        <v>46028</v>
      </c>
      <c r="J16" s="37" t="s">
        <v>96</v>
      </c>
      <c r="K16" s="37" t="s">
        <v>71</v>
      </c>
      <c r="L16" s="43" t="s">
        <v>159</v>
      </c>
      <c r="M16" s="43" t="s">
        <v>88</v>
      </c>
      <c r="N16" s="43" t="s">
        <v>88</v>
      </c>
      <c r="O16" s="42"/>
      <c r="P16" s="43" t="str">
        <f t="shared" si="0"/>
        <v>DÜZELTME</v>
      </c>
    </row>
    <row r="17" spans="1:17" ht="94.5" customHeight="1" x14ac:dyDescent="0.25">
      <c r="A17" s="36" t="s">
        <v>160</v>
      </c>
      <c r="B17" s="36" t="s">
        <v>161</v>
      </c>
      <c r="C17" s="37" t="s">
        <v>162</v>
      </c>
      <c r="D17" s="37" t="s">
        <v>156</v>
      </c>
      <c r="E17" s="38" t="s">
        <v>163</v>
      </c>
      <c r="F17" s="38" t="s">
        <v>164</v>
      </c>
      <c r="G17" s="39" t="s">
        <v>34</v>
      </c>
      <c r="H17" s="40"/>
      <c r="I17" s="41">
        <v>46028</v>
      </c>
      <c r="J17" s="37" t="s">
        <v>116</v>
      </c>
      <c r="K17" s="37" t="s">
        <v>95</v>
      </c>
      <c r="L17" s="43" t="s">
        <v>64</v>
      </c>
      <c r="M17" s="43"/>
      <c r="N17" s="43"/>
      <c r="O17" s="42"/>
      <c r="P17" s="43" t="str">
        <f t="shared" si="0"/>
        <v>ONAY</v>
      </c>
    </row>
    <row r="18" spans="1:17" ht="63" customHeight="1" x14ac:dyDescent="0.25">
      <c r="A18" s="36" t="s">
        <v>165</v>
      </c>
      <c r="B18" s="36" t="s">
        <v>166</v>
      </c>
      <c r="C18" s="37" t="s">
        <v>167</v>
      </c>
      <c r="D18" s="37" t="s">
        <v>168</v>
      </c>
      <c r="E18" s="38" t="s">
        <v>169</v>
      </c>
      <c r="F18" s="38" t="s">
        <v>170</v>
      </c>
      <c r="G18" s="39" t="s">
        <v>35</v>
      </c>
      <c r="H18" s="40"/>
      <c r="I18" s="41">
        <v>46028</v>
      </c>
      <c r="J18" s="37" t="s">
        <v>86</v>
      </c>
      <c r="K18" s="37" t="s">
        <v>87</v>
      </c>
      <c r="L18" s="43" t="s">
        <v>88</v>
      </c>
      <c r="M18" s="43" t="s">
        <v>64</v>
      </c>
      <c r="N18" s="43"/>
      <c r="O18" s="42"/>
      <c r="P18" s="43" t="str">
        <f t="shared" si="0"/>
        <v>ONAY</v>
      </c>
      <c r="Q18" s="26" t="s">
        <v>62</v>
      </c>
    </row>
    <row r="19" spans="1:17" ht="63" customHeight="1" x14ac:dyDescent="0.25">
      <c r="A19" s="36" t="s">
        <v>171</v>
      </c>
      <c r="B19" s="36" t="s">
        <v>172</v>
      </c>
      <c r="C19" s="37" t="s">
        <v>173</v>
      </c>
      <c r="D19" s="37" t="s">
        <v>174</v>
      </c>
      <c r="E19" s="38" t="s">
        <v>175</v>
      </c>
      <c r="F19" s="38" t="s">
        <v>176</v>
      </c>
      <c r="G19" s="39" t="s">
        <v>34</v>
      </c>
      <c r="H19" s="40"/>
      <c r="I19" s="41">
        <v>46028</v>
      </c>
      <c r="J19" s="37" t="s">
        <v>62</v>
      </c>
      <c r="K19" s="37" t="s">
        <v>63</v>
      </c>
      <c r="L19" s="43" t="s">
        <v>64</v>
      </c>
      <c r="M19" s="43"/>
      <c r="N19" s="43"/>
      <c r="O19" s="42"/>
      <c r="P19" s="43" t="str">
        <f t="shared" si="0"/>
        <v>ONAY</v>
      </c>
    </row>
    <row r="20" spans="1:17" ht="76.5" customHeight="1" x14ac:dyDescent="0.25">
      <c r="A20" s="36" t="s">
        <v>177</v>
      </c>
      <c r="B20" s="36" t="s">
        <v>178</v>
      </c>
      <c r="C20" s="37" t="s">
        <v>179</v>
      </c>
      <c r="D20" s="37" t="s">
        <v>180</v>
      </c>
      <c r="E20" s="38" t="s">
        <v>181</v>
      </c>
      <c r="F20" s="38" t="s">
        <v>182</v>
      </c>
      <c r="G20" s="39" t="s">
        <v>34</v>
      </c>
      <c r="H20" s="40"/>
      <c r="I20" s="41">
        <v>46028</v>
      </c>
      <c r="J20" s="37" t="s">
        <v>79</v>
      </c>
      <c r="K20" s="37" t="s">
        <v>116</v>
      </c>
      <c r="L20" s="43" t="s">
        <v>64</v>
      </c>
      <c r="M20" s="43"/>
      <c r="N20" s="43"/>
      <c r="O20" s="42"/>
      <c r="P20" s="43" t="str">
        <f t="shared" si="0"/>
        <v>ONAY</v>
      </c>
    </row>
    <row r="21" spans="1:17" ht="80.25" customHeight="1" x14ac:dyDescent="0.25">
      <c r="A21" s="36" t="s">
        <v>183</v>
      </c>
      <c r="B21" s="36" t="s">
        <v>184</v>
      </c>
      <c r="C21" s="37" t="s">
        <v>179</v>
      </c>
      <c r="D21" s="37" t="s">
        <v>180</v>
      </c>
      <c r="E21" s="38" t="s">
        <v>185</v>
      </c>
      <c r="F21" s="38" t="s">
        <v>186</v>
      </c>
      <c r="G21" s="39" t="s">
        <v>34</v>
      </c>
      <c r="H21" s="40"/>
      <c r="I21" s="41">
        <v>46028</v>
      </c>
      <c r="J21" s="37" t="s">
        <v>78</v>
      </c>
      <c r="K21" s="37" t="s">
        <v>95</v>
      </c>
      <c r="L21" s="43" t="s">
        <v>64</v>
      </c>
      <c r="M21" s="43"/>
      <c r="N21" s="43"/>
      <c r="O21" s="42"/>
      <c r="P21" s="43" t="str">
        <f t="shared" si="0"/>
        <v>ONAY</v>
      </c>
    </row>
    <row r="22" spans="1:17" ht="63" customHeight="1" x14ac:dyDescent="0.25">
      <c r="A22" s="36" t="s">
        <v>187</v>
      </c>
      <c r="B22" s="36" t="s">
        <v>188</v>
      </c>
      <c r="C22" s="37" t="s">
        <v>189</v>
      </c>
      <c r="D22" s="37" t="s">
        <v>190</v>
      </c>
      <c r="E22" s="38" t="s">
        <v>191</v>
      </c>
      <c r="F22" s="38" t="s">
        <v>192</v>
      </c>
      <c r="G22" s="39" t="s">
        <v>37</v>
      </c>
      <c r="H22" s="40"/>
      <c r="I22" s="41">
        <v>46028</v>
      </c>
      <c r="J22" s="37" t="s">
        <v>103</v>
      </c>
      <c r="K22" s="37" t="s">
        <v>96</v>
      </c>
      <c r="L22" s="43" t="s">
        <v>88</v>
      </c>
      <c r="M22" s="43" t="s">
        <v>193</v>
      </c>
      <c r="N22" s="43" t="s">
        <v>64</v>
      </c>
      <c r="O22" s="42"/>
      <c r="P22" s="43" t="str">
        <f t="shared" si="0"/>
        <v>ONAY</v>
      </c>
      <c r="Q22" s="26" t="s">
        <v>103</v>
      </c>
    </row>
    <row r="23" spans="1:17" ht="63" customHeight="1" x14ac:dyDescent="0.25">
      <c r="A23" s="36" t="s">
        <v>194</v>
      </c>
      <c r="B23" s="36" t="s">
        <v>195</v>
      </c>
      <c r="C23" s="37" t="s">
        <v>196</v>
      </c>
      <c r="D23" s="37" t="s">
        <v>120</v>
      </c>
      <c r="E23" s="38" t="s">
        <v>197</v>
      </c>
      <c r="F23" s="38" t="s">
        <v>198</v>
      </c>
      <c r="G23" s="39" t="s">
        <v>35</v>
      </c>
      <c r="H23" s="40"/>
      <c r="I23" s="41">
        <v>46028</v>
      </c>
      <c r="J23" s="37" t="s">
        <v>87</v>
      </c>
      <c r="K23" s="37" t="s">
        <v>71</v>
      </c>
      <c r="L23" s="43" t="s">
        <v>88</v>
      </c>
      <c r="M23" s="43" t="s">
        <v>64</v>
      </c>
      <c r="N23" s="43"/>
      <c r="O23" s="42"/>
      <c r="P23" s="43" t="str">
        <f t="shared" si="0"/>
        <v>ONAY</v>
      </c>
      <c r="Q23" s="26" t="s">
        <v>87</v>
      </c>
    </row>
    <row r="24" spans="1:17" ht="78.75" customHeight="1" x14ac:dyDescent="0.25">
      <c r="A24" s="36" t="s">
        <v>199</v>
      </c>
      <c r="B24" s="36" t="s">
        <v>200</v>
      </c>
      <c r="C24" s="37" t="s">
        <v>201</v>
      </c>
      <c r="D24" s="37" t="s">
        <v>202</v>
      </c>
      <c r="E24" s="38" t="s">
        <v>203</v>
      </c>
      <c r="F24" s="38" t="s">
        <v>204</v>
      </c>
      <c r="G24" s="39" t="s">
        <v>34</v>
      </c>
      <c r="H24" s="40"/>
      <c r="I24" s="41">
        <v>46028</v>
      </c>
      <c r="J24" s="37" t="s">
        <v>110</v>
      </c>
      <c r="K24" s="37" t="s">
        <v>79</v>
      </c>
      <c r="L24" s="43" t="s">
        <v>193</v>
      </c>
      <c r="M24" s="43" t="s">
        <v>205</v>
      </c>
      <c r="N24" s="43"/>
      <c r="O24" s="42"/>
      <c r="P24" s="43" t="str">
        <f t="shared" si="0"/>
        <v>KAEK</v>
      </c>
    </row>
    <row r="25" spans="1:17" ht="94.5" customHeight="1" x14ac:dyDescent="0.25">
      <c r="A25" s="36" t="s">
        <v>206</v>
      </c>
      <c r="B25" s="36" t="s">
        <v>207</v>
      </c>
      <c r="C25" s="37" t="s">
        <v>208</v>
      </c>
      <c r="D25" s="37" t="s">
        <v>209</v>
      </c>
      <c r="E25" s="38" t="s">
        <v>210</v>
      </c>
      <c r="F25" s="38" t="s">
        <v>211</v>
      </c>
      <c r="G25" s="39" t="s">
        <v>34</v>
      </c>
      <c r="H25" s="40"/>
      <c r="I25" s="41">
        <v>46028</v>
      </c>
      <c r="J25" s="37" t="s">
        <v>87</v>
      </c>
      <c r="K25" s="37" t="s">
        <v>95</v>
      </c>
      <c r="L25" s="43" t="s">
        <v>193</v>
      </c>
      <c r="M25" s="43" t="s">
        <v>88</v>
      </c>
      <c r="N25" s="43" t="s">
        <v>64</v>
      </c>
      <c r="O25" s="42"/>
      <c r="P25" s="43" t="str">
        <f t="shared" si="0"/>
        <v>ONAY</v>
      </c>
      <c r="Q25" s="26" t="s">
        <v>95</v>
      </c>
    </row>
    <row r="26" spans="1:17" ht="63" customHeight="1" x14ac:dyDescent="0.25">
      <c r="A26" s="36" t="s">
        <v>212</v>
      </c>
      <c r="B26" s="36" t="s">
        <v>213</v>
      </c>
      <c r="C26" s="37" t="s">
        <v>214</v>
      </c>
      <c r="D26" s="37" t="s">
        <v>215</v>
      </c>
      <c r="E26" s="38" t="s">
        <v>216</v>
      </c>
      <c r="F26" s="38" t="s">
        <v>217</v>
      </c>
      <c r="G26" s="39" t="s">
        <v>34</v>
      </c>
      <c r="H26" s="40"/>
      <c r="I26" s="41">
        <v>46028</v>
      </c>
      <c r="J26" s="37" t="s">
        <v>79</v>
      </c>
      <c r="K26" s="37" t="s">
        <v>63</v>
      </c>
      <c r="L26" s="43" t="s">
        <v>64</v>
      </c>
      <c r="M26" s="43"/>
      <c r="N26" s="43"/>
      <c r="O26" s="42"/>
      <c r="P26" s="43" t="str">
        <f t="shared" si="0"/>
        <v>ONAY</v>
      </c>
    </row>
    <row r="27" spans="1:17" ht="63" customHeight="1" x14ac:dyDescent="0.25">
      <c r="A27" s="36" t="s">
        <v>218</v>
      </c>
      <c r="B27" s="36" t="s">
        <v>219</v>
      </c>
      <c r="C27" s="37" t="s">
        <v>220</v>
      </c>
      <c r="D27" s="37" t="s">
        <v>221</v>
      </c>
      <c r="E27" s="38" t="s">
        <v>222</v>
      </c>
      <c r="F27" s="38" t="s">
        <v>223</v>
      </c>
      <c r="G27" s="39" t="s">
        <v>34</v>
      </c>
      <c r="H27" s="40"/>
      <c r="I27" s="41">
        <v>46028</v>
      </c>
      <c r="J27" s="37" t="s">
        <v>78</v>
      </c>
      <c r="K27" s="37" t="s">
        <v>110</v>
      </c>
      <c r="L27" s="43" t="s">
        <v>64</v>
      </c>
      <c r="M27" s="43"/>
      <c r="N27" s="43"/>
      <c r="O27" s="42"/>
      <c r="P27" s="43" t="str">
        <f t="shared" si="0"/>
        <v>ONAY</v>
      </c>
    </row>
    <row r="28" spans="1:17" ht="63" customHeight="1" x14ac:dyDescent="0.25">
      <c r="A28" s="36" t="s">
        <v>224</v>
      </c>
      <c r="B28" s="36" t="s">
        <v>225</v>
      </c>
      <c r="C28" s="37" t="s">
        <v>149</v>
      </c>
      <c r="D28" s="37" t="s">
        <v>150</v>
      </c>
      <c r="E28" s="38" t="s">
        <v>226</v>
      </c>
      <c r="F28" s="38" t="s">
        <v>227</v>
      </c>
      <c r="G28" s="39" t="s">
        <v>34</v>
      </c>
      <c r="H28" s="40"/>
      <c r="I28" s="41">
        <v>46028</v>
      </c>
      <c r="J28" s="37" t="s">
        <v>103</v>
      </c>
      <c r="K28" s="37" t="s">
        <v>86</v>
      </c>
      <c r="L28" s="43" t="s">
        <v>64</v>
      </c>
      <c r="M28" s="43"/>
      <c r="N28" s="43"/>
      <c r="O28" s="42"/>
      <c r="P28" s="43" t="str">
        <f t="shared" si="0"/>
        <v>ONAY</v>
      </c>
    </row>
    <row r="29" spans="1:17" ht="47.25" customHeight="1" x14ac:dyDescent="0.25">
      <c r="A29" s="36" t="s">
        <v>228</v>
      </c>
      <c r="B29" s="36" t="s">
        <v>229</v>
      </c>
      <c r="C29" s="37" t="s">
        <v>230</v>
      </c>
      <c r="D29" s="37" t="s">
        <v>100</v>
      </c>
      <c r="E29" s="38" t="s">
        <v>231</v>
      </c>
      <c r="F29" s="38" t="s">
        <v>232</v>
      </c>
      <c r="G29" s="39" t="s">
        <v>34</v>
      </c>
      <c r="H29" s="40"/>
      <c r="I29" s="41">
        <v>46028</v>
      </c>
      <c r="J29" s="37" t="s">
        <v>79</v>
      </c>
      <c r="K29" s="37" t="s">
        <v>71</v>
      </c>
      <c r="L29" s="43" t="s">
        <v>64</v>
      </c>
      <c r="M29" s="43"/>
      <c r="N29" s="43"/>
      <c r="O29" s="42"/>
      <c r="P29" s="43" t="str">
        <f t="shared" si="0"/>
        <v>ONAY</v>
      </c>
    </row>
    <row r="30" spans="1:17" ht="63" customHeight="1" x14ac:dyDescent="0.25">
      <c r="A30" s="36" t="s">
        <v>233</v>
      </c>
      <c r="B30" s="36" t="s">
        <v>234</v>
      </c>
      <c r="C30" s="37" t="s">
        <v>235</v>
      </c>
      <c r="D30" s="37" t="s">
        <v>221</v>
      </c>
      <c r="E30" s="38" t="s">
        <v>236</v>
      </c>
      <c r="F30" s="38" t="s">
        <v>237</v>
      </c>
      <c r="G30" s="39" t="s">
        <v>34</v>
      </c>
      <c r="H30" s="40">
        <v>46017</v>
      </c>
      <c r="I30" s="41">
        <v>46028</v>
      </c>
      <c r="J30" s="37" t="s">
        <v>96</v>
      </c>
      <c r="K30" s="37" t="s">
        <v>116</v>
      </c>
      <c r="L30" s="43" t="s">
        <v>64</v>
      </c>
      <c r="M30" s="43"/>
      <c r="N30" s="43"/>
      <c r="O30" s="42"/>
      <c r="P30" s="43" t="str">
        <f t="shared" si="0"/>
        <v>ONAY</v>
      </c>
    </row>
    <row r="31" spans="1:17" ht="93.75" customHeight="1" x14ac:dyDescent="0.25">
      <c r="A31" s="36" t="s">
        <v>238</v>
      </c>
      <c r="B31" s="36" t="s">
        <v>239</v>
      </c>
      <c r="C31" s="37" t="s">
        <v>155</v>
      </c>
      <c r="D31" s="37" t="s">
        <v>156</v>
      </c>
      <c r="E31" s="38" t="s">
        <v>240</v>
      </c>
      <c r="F31" s="38" t="s">
        <v>241</v>
      </c>
      <c r="G31" s="39" t="s">
        <v>34</v>
      </c>
      <c r="H31" s="40">
        <v>46017</v>
      </c>
      <c r="I31" s="41">
        <v>46028</v>
      </c>
      <c r="J31" s="37" t="s">
        <v>96</v>
      </c>
      <c r="K31" s="37" t="s">
        <v>63</v>
      </c>
      <c r="L31" s="43" t="s">
        <v>88</v>
      </c>
      <c r="M31" s="43" t="s">
        <v>64</v>
      </c>
      <c r="N31" s="43"/>
      <c r="O31" s="42"/>
      <c r="P31" s="43" t="str">
        <f t="shared" si="0"/>
        <v>ONAY</v>
      </c>
      <c r="Q31" s="26" t="s">
        <v>96</v>
      </c>
    </row>
    <row r="32" spans="1:17" ht="94.5" customHeight="1" x14ac:dyDescent="0.25">
      <c r="A32" s="36" t="s">
        <v>242</v>
      </c>
      <c r="B32" s="36" t="s">
        <v>243</v>
      </c>
      <c r="C32" s="37" t="s">
        <v>155</v>
      </c>
      <c r="D32" s="37" t="s">
        <v>156</v>
      </c>
      <c r="E32" s="38" t="s">
        <v>240</v>
      </c>
      <c r="F32" s="38" t="s">
        <v>244</v>
      </c>
      <c r="G32" s="39" t="s">
        <v>34</v>
      </c>
      <c r="H32" s="40">
        <v>46017</v>
      </c>
      <c r="I32" s="41">
        <v>46028</v>
      </c>
      <c r="J32" s="37" t="s">
        <v>96</v>
      </c>
      <c r="K32" s="37" t="s">
        <v>116</v>
      </c>
      <c r="L32" s="43" t="s">
        <v>88</v>
      </c>
      <c r="M32" s="43"/>
      <c r="N32" s="43"/>
      <c r="O32" s="42"/>
      <c r="P32" s="43" t="str">
        <f t="shared" si="0"/>
        <v>DÜZELTME</v>
      </c>
    </row>
    <row r="33" spans="1:17" ht="94.5" customHeight="1" x14ac:dyDescent="0.25">
      <c r="A33" s="36" t="s">
        <v>245</v>
      </c>
      <c r="B33" s="36" t="s">
        <v>246</v>
      </c>
      <c r="C33" s="37" t="s">
        <v>247</v>
      </c>
      <c r="D33" s="37" t="s">
        <v>156</v>
      </c>
      <c r="E33" s="38" t="s">
        <v>248</v>
      </c>
      <c r="F33" s="38" t="s">
        <v>249</v>
      </c>
      <c r="G33" s="39" t="s">
        <v>34</v>
      </c>
      <c r="H33" s="40">
        <v>46017</v>
      </c>
      <c r="I33" s="41">
        <v>46028</v>
      </c>
      <c r="J33" s="37" t="s">
        <v>116</v>
      </c>
      <c r="K33" s="37" t="s">
        <v>71</v>
      </c>
      <c r="L33" s="43" t="s">
        <v>64</v>
      </c>
      <c r="M33" s="43"/>
      <c r="N33" s="43"/>
      <c r="O33" s="42"/>
      <c r="P33" s="43" t="str">
        <f t="shared" si="0"/>
        <v>ONAY</v>
      </c>
    </row>
    <row r="34" spans="1:17" ht="63" customHeight="1" x14ac:dyDescent="0.25">
      <c r="A34" s="36" t="s">
        <v>250</v>
      </c>
      <c r="B34" s="36" t="s">
        <v>251</v>
      </c>
      <c r="C34" s="37" t="s">
        <v>99</v>
      </c>
      <c r="D34" s="37" t="s">
        <v>100</v>
      </c>
      <c r="E34" s="38" t="s">
        <v>252</v>
      </c>
      <c r="F34" s="38" t="s">
        <v>253</v>
      </c>
      <c r="G34" s="39" t="s">
        <v>35</v>
      </c>
      <c r="H34" s="40">
        <v>46017</v>
      </c>
      <c r="I34" s="41">
        <v>46028</v>
      </c>
      <c r="J34" s="37" t="s">
        <v>86</v>
      </c>
      <c r="K34" s="37" t="s">
        <v>95</v>
      </c>
      <c r="L34" s="43" t="s">
        <v>64</v>
      </c>
      <c r="M34" s="43"/>
      <c r="N34" s="43"/>
      <c r="O34" s="42"/>
      <c r="P34" s="43" t="str">
        <f t="shared" si="0"/>
        <v>ONAY</v>
      </c>
    </row>
    <row r="35" spans="1:17" ht="63" customHeight="1" x14ac:dyDescent="0.25">
      <c r="A35" s="36" t="s">
        <v>254</v>
      </c>
      <c r="B35" s="36" t="s">
        <v>255</v>
      </c>
      <c r="C35" s="37" t="s">
        <v>256</v>
      </c>
      <c r="D35" s="37" t="s">
        <v>257</v>
      </c>
      <c r="E35" s="38" t="s">
        <v>258</v>
      </c>
      <c r="F35" s="38" t="s">
        <v>259</v>
      </c>
      <c r="G35" s="39" t="s">
        <v>34</v>
      </c>
      <c r="H35" s="40">
        <v>46017</v>
      </c>
      <c r="I35" s="41">
        <v>46028</v>
      </c>
      <c r="J35" s="37" t="s">
        <v>110</v>
      </c>
      <c r="K35" s="37" t="s">
        <v>103</v>
      </c>
      <c r="L35" s="43" t="s">
        <v>64</v>
      </c>
      <c r="M35" s="43"/>
      <c r="N35" s="43"/>
      <c r="O35" s="42"/>
      <c r="P35" s="43" t="str">
        <f t="shared" si="0"/>
        <v>ONAY</v>
      </c>
    </row>
    <row r="36" spans="1:17" ht="78.75" customHeight="1" x14ac:dyDescent="0.25">
      <c r="A36" s="36" t="s">
        <v>260</v>
      </c>
      <c r="B36" s="36" t="s">
        <v>261</v>
      </c>
      <c r="C36" s="37" t="s">
        <v>256</v>
      </c>
      <c r="D36" s="37" t="s">
        <v>257</v>
      </c>
      <c r="E36" s="38" t="s">
        <v>262</v>
      </c>
      <c r="F36" s="38" t="s">
        <v>263</v>
      </c>
      <c r="G36" s="39" t="s">
        <v>34</v>
      </c>
      <c r="H36" s="40">
        <v>46017</v>
      </c>
      <c r="I36" s="41">
        <v>46028</v>
      </c>
      <c r="J36" s="37" t="s">
        <v>78</v>
      </c>
      <c r="K36" s="37" t="s">
        <v>103</v>
      </c>
      <c r="L36" s="43" t="s">
        <v>64</v>
      </c>
      <c r="M36" s="43"/>
      <c r="N36" s="43"/>
      <c r="O36" s="42"/>
      <c r="P36" s="43" t="str">
        <f t="shared" si="0"/>
        <v>ONAY</v>
      </c>
    </row>
    <row r="37" spans="1:17" ht="78.75" customHeight="1" x14ac:dyDescent="0.25">
      <c r="A37" s="36" t="s">
        <v>264</v>
      </c>
      <c r="B37" s="36" t="s">
        <v>265</v>
      </c>
      <c r="C37" s="37" t="s">
        <v>266</v>
      </c>
      <c r="D37" s="37" t="s">
        <v>267</v>
      </c>
      <c r="E37" s="38" t="s">
        <v>268</v>
      </c>
      <c r="F37" s="38" t="s">
        <v>269</v>
      </c>
      <c r="G37" s="39" t="s">
        <v>34</v>
      </c>
      <c r="H37" s="40">
        <v>46017</v>
      </c>
      <c r="I37" s="41">
        <v>46028</v>
      </c>
      <c r="J37" s="37" t="s">
        <v>78</v>
      </c>
      <c r="K37" s="37" t="s">
        <v>79</v>
      </c>
      <c r="L37" s="43" t="s">
        <v>64</v>
      </c>
      <c r="M37" s="43"/>
      <c r="N37" s="43"/>
      <c r="O37" s="42"/>
      <c r="P37" s="43" t="str">
        <f t="shared" si="0"/>
        <v>ONAY</v>
      </c>
    </row>
    <row r="38" spans="1:17" ht="63" customHeight="1" x14ac:dyDescent="0.25">
      <c r="A38" s="36" t="s">
        <v>270</v>
      </c>
      <c r="B38" s="36" t="s">
        <v>271</v>
      </c>
      <c r="C38" s="37" t="s">
        <v>272</v>
      </c>
      <c r="D38" s="37" t="s">
        <v>209</v>
      </c>
      <c r="E38" s="38" t="s">
        <v>273</v>
      </c>
      <c r="F38" s="38" t="s">
        <v>274</v>
      </c>
      <c r="G38" s="39" t="s">
        <v>34</v>
      </c>
      <c r="H38" s="40">
        <v>46017</v>
      </c>
      <c r="I38" s="41">
        <v>46028</v>
      </c>
      <c r="J38" s="37" t="s">
        <v>63</v>
      </c>
      <c r="K38" s="37" t="s">
        <v>87</v>
      </c>
      <c r="L38" s="43" t="s">
        <v>64</v>
      </c>
      <c r="M38" s="43"/>
      <c r="N38" s="43"/>
      <c r="O38" s="42"/>
      <c r="P38" s="43" t="str">
        <f t="shared" si="0"/>
        <v>ONAY</v>
      </c>
    </row>
    <row r="39" spans="1:17" ht="63" customHeight="1" x14ac:dyDescent="0.25">
      <c r="A39" s="36" t="s">
        <v>275</v>
      </c>
      <c r="B39" s="36" t="s">
        <v>276</v>
      </c>
      <c r="C39" s="37" t="s">
        <v>277</v>
      </c>
      <c r="D39" s="37" t="s">
        <v>278</v>
      </c>
      <c r="E39" s="38" t="s">
        <v>279</v>
      </c>
      <c r="F39" s="38" t="s">
        <v>280</v>
      </c>
      <c r="G39" s="39" t="s">
        <v>34</v>
      </c>
      <c r="H39" s="40">
        <v>46017</v>
      </c>
      <c r="I39" s="41">
        <v>46028</v>
      </c>
      <c r="J39" s="37" t="s">
        <v>62</v>
      </c>
      <c r="K39" s="37" t="s">
        <v>79</v>
      </c>
      <c r="L39" s="43" t="s">
        <v>193</v>
      </c>
      <c r="M39" s="43" t="s">
        <v>88</v>
      </c>
      <c r="N39" s="43" t="s">
        <v>64</v>
      </c>
      <c r="O39" s="42"/>
      <c r="P39" s="43" t="str">
        <f t="shared" si="0"/>
        <v>ONAY</v>
      </c>
      <c r="Q39" s="26" t="s">
        <v>78</v>
      </c>
    </row>
    <row r="40" spans="1:17" ht="47.25" customHeight="1" x14ac:dyDescent="0.25">
      <c r="A40" s="36" t="s">
        <v>281</v>
      </c>
      <c r="B40" s="36" t="s">
        <v>282</v>
      </c>
      <c r="C40" s="37" t="s">
        <v>283</v>
      </c>
      <c r="D40" s="37" t="s">
        <v>284</v>
      </c>
      <c r="E40" s="38" t="s">
        <v>285</v>
      </c>
      <c r="F40" s="38" t="s">
        <v>286</v>
      </c>
      <c r="G40" s="39" t="s">
        <v>34</v>
      </c>
      <c r="H40" s="40">
        <v>46017</v>
      </c>
      <c r="I40" s="41">
        <v>46028</v>
      </c>
      <c r="J40" s="37" t="s">
        <v>110</v>
      </c>
      <c r="K40" s="37" t="s">
        <v>86</v>
      </c>
      <c r="L40" s="43" t="s">
        <v>159</v>
      </c>
      <c r="M40" s="43" t="s">
        <v>64</v>
      </c>
      <c r="N40" s="43"/>
      <c r="O40" s="42"/>
      <c r="P40" s="43" t="str">
        <f t="shared" si="0"/>
        <v>ONAY</v>
      </c>
    </row>
    <row r="41" spans="1:17" ht="96.75" customHeight="1" x14ac:dyDescent="0.25">
      <c r="A41" s="36" t="s">
        <v>287</v>
      </c>
      <c r="B41" s="36" t="s">
        <v>288</v>
      </c>
      <c r="C41" s="37" t="s">
        <v>289</v>
      </c>
      <c r="D41" s="37" t="s">
        <v>209</v>
      </c>
      <c r="E41" s="38" t="s">
        <v>290</v>
      </c>
      <c r="F41" s="38" t="s">
        <v>291</v>
      </c>
      <c r="G41" s="39" t="s">
        <v>34</v>
      </c>
      <c r="H41" s="40">
        <v>46017</v>
      </c>
      <c r="I41" s="41">
        <v>46028</v>
      </c>
      <c r="J41" s="37" t="s">
        <v>71</v>
      </c>
      <c r="K41" s="37" t="s">
        <v>87</v>
      </c>
      <c r="L41" s="43" t="s">
        <v>64</v>
      </c>
      <c r="M41" s="43"/>
      <c r="N41" s="43"/>
      <c r="O41" s="42"/>
      <c r="P41" s="43" t="str">
        <f t="shared" si="0"/>
        <v>ONAY</v>
      </c>
    </row>
    <row r="42" spans="1:17" ht="78.75" customHeight="1" x14ac:dyDescent="0.25">
      <c r="A42" s="36" t="s">
        <v>292</v>
      </c>
      <c r="B42" s="36" t="s">
        <v>293</v>
      </c>
      <c r="C42" s="37" t="s">
        <v>294</v>
      </c>
      <c r="D42" s="37" t="s">
        <v>221</v>
      </c>
      <c r="E42" s="38" t="s">
        <v>295</v>
      </c>
      <c r="F42" s="38" t="s">
        <v>296</v>
      </c>
      <c r="G42" s="39" t="s">
        <v>35</v>
      </c>
      <c r="H42" s="40">
        <v>46017</v>
      </c>
      <c r="I42" s="41">
        <v>46028</v>
      </c>
      <c r="J42" s="37" t="s">
        <v>95</v>
      </c>
      <c r="K42" s="37" t="s">
        <v>110</v>
      </c>
      <c r="L42" s="43" t="s">
        <v>64</v>
      </c>
      <c r="M42" s="43"/>
      <c r="N42" s="43"/>
      <c r="O42" s="42"/>
      <c r="P42" s="43" t="str">
        <f t="shared" si="0"/>
        <v>ONAY</v>
      </c>
    </row>
    <row r="43" spans="1:17" ht="63" customHeight="1" x14ac:dyDescent="0.25">
      <c r="A43" s="36" t="s">
        <v>297</v>
      </c>
      <c r="B43" s="36" t="s">
        <v>298</v>
      </c>
      <c r="C43" s="37" t="s">
        <v>294</v>
      </c>
      <c r="D43" s="37" t="s">
        <v>221</v>
      </c>
      <c r="E43" s="38" t="s">
        <v>299</v>
      </c>
      <c r="F43" s="38" t="s">
        <v>300</v>
      </c>
      <c r="G43" s="39" t="s">
        <v>34</v>
      </c>
      <c r="H43" s="40">
        <v>46017</v>
      </c>
      <c r="I43" s="41">
        <v>46028</v>
      </c>
      <c r="J43" s="37" t="s">
        <v>96</v>
      </c>
      <c r="K43" s="37" t="s">
        <v>63</v>
      </c>
      <c r="L43" s="43" t="s">
        <v>88</v>
      </c>
      <c r="M43" s="43" t="s">
        <v>193</v>
      </c>
      <c r="N43" s="43" t="s">
        <v>64</v>
      </c>
      <c r="O43" s="42"/>
      <c r="P43" s="43" t="str">
        <f t="shared" si="0"/>
        <v>ONAY</v>
      </c>
      <c r="Q43" s="26" t="s">
        <v>78</v>
      </c>
    </row>
    <row r="44" spans="1:17" ht="63" customHeight="1" x14ac:dyDescent="0.25">
      <c r="A44" s="36" t="s">
        <v>301</v>
      </c>
      <c r="B44" s="36" t="s">
        <v>302</v>
      </c>
      <c r="C44" s="37" t="s">
        <v>294</v>
      </c>
      <c r="D44" s="37" t="s">
        <v>221</v>
      </c>
      <c r="E44" s="38" t="s">
        <v>299</v>
      </c>
      <c r="F44" s="38" t="s">
        <v>303</v>
      </c>
      <c r="G44" s="39" t="s">
        <v>34</v>
      </c>
      <c r="H44" s="40">
        <v>46017</v>
      </c>
      <c r="I44" s="41">
        <v>46028</v>
      </c>
      <c r="J44" s="37" t="s">
        <v>78</v>
      </c>
      <c r="K44" s="37" t="s">
        <v>62</v>
      </c>
      <c r="L44" s="43" t="s">
        <v>64</v>
      </c>
      <c r="M44" s="43"/>
      <c r="N44" s="43"/>
      <c r="O44" s="42"/>
      <c r="P44" s="43" t="str">
        <f t="shared" si="0"/>
        <v>ONAY</v>
      </c>
    </row>
    <row r="45" spans="1:17" ht="98.25" customHeight="1" x14ac:dyDescent="0.25">
      <c r="A45" s="36" t="s">
        <v>304</v>
      </c>
      <c r="B45" s="36" t="s">
        <v>305</v>
      </c>
      <c r="C45" s="37" t="s">
        <v>306</v>
      </c>
      <c r="D45" s="37" t="s">
        <v>100</v>
      </c>
      <c r="E45" s="38" t="s">
        <v>307</v>
      </c>
      <c r="F45" s="38" t="s">
        <v>308</v>
      </c>
      <c r="G45" s="39" t="s">
        <v>34</v>
      </c>
      <c r="H45" s="40">
        <v>46017</v>
      </c>
      <c r="I45" s="41">
        <v>46028</v>
      </c>
      <c r="J45" s="37" t="s">
        <v>62</v>
      </c>
      <c r="K45" s="37" t="s">
        <v>87</v>
      </c>
      <c r="L45" s="43" t="s">
        <v>64</v>
      </c>
      <c r="M45" s="43"/>
      <c r="N45" s="43"/>
      <c r="O45" s="42"/>
      <c r="P45" s="43" t="str">
        <f t="shared" si="0"/>
        <v>ONAY</v>
      </c>
    </row>
    <row r="46" spans="1:17" ht="47.25" customHeight="1" x14ac:dyDescent="0.25">
      <c r="A46" s="36" t="s">
        <v>309</v>
      </c>
      <c r="B46" s="36" t="s">
        <v>310</v>
      </c>
      <c r="C46" s="37" t="s">
        <v>311</v>
      </c>
      <c r="D46" s="37" t="s">
        <v>312</v>
      </c>
      <c r="E46" s="38" t="s">
        <v>313</v>
      </c>
      <c r="F46" s="38" t="s">
        <v>314</v>
      </c>
      <c r="G46" s="39" t="s">
        <v>37</v>
      </c>
      <c r="H46" s="40">
        <v>46017</v>
      </c>
      <c r="I46" s="41">
        <v>46028</v>
      </c>
      <c r="J46" s="37" t="s">
        <v>103</v>
      </c>
      <c r="K46" s="37" t="s">
        <v>78</v>
      </c>
      <c r="L46" s="43" t="s">
        <v>64</v>
      </c>
      <c r="M46" s="43"/>
      <c r="N46" s="43"/>
      <c r="O46" s="42"/>
      <c r="P46" s="43" t="str">
        <f t="shared" si="0"/>
        <v>ONAY</v>
      </c>
    </row>
    <row r="47" spans="1:17" ht="63" customHeight="1" x14ac:dyDescent="0.25">
      <c r="A47" s="36" t="s">
        <v>315</v>
      </c>
      <c r="B47" s="36" t="s">
        <v>316</v>
      </c>
      <c r="C47" s="37" t="s">
        <v>317</v>
      </c>
      <c r="D47" s="37" t="s">
        <v>209</v>
      </c>
      <c r="E47" s="38" t="s">
        <v>318</v>
      </c>
      <c r="F47" s="38" t="s">
        <v>319</v>
      </c>
      <c r="G47" s="39" t="s">
        <v>34</v>
      </c>
      <c r="H47" s="40">
        <v>46017</v>
      </c>
      <c r="I47" s="41">
        <v>46028</v>
      </c>
      <c r="J47" s="37" t="s">
        <v>87</v>
      </c>
      <c r="K47" s="37" t="s">
        <v>86</v>
      </c>
      <c r="L47" s="43" t="s">
        <v>64</v>
      </c>
      <c r="M47" s="43"/>
      <c r="N47" s="43"/>
      <c r="O47" s="42"/>
      <c r="P47" s="43" t="str">
        <f t="shared" si="0"/>
        <v>ONAY</v>
      </c>
    </row>
    <row r="48" spans="1:17" ht="126" customHeight="1" x14ac:dyDescent="0.25">
      <c r="A48" s="36" t="s">
        <v>320</v>
      </c>
      <c r="B48" s="36" t="s">
        <v>321</v>
      </c>
      <c r="C48" s="37" t="s">
        <v>322</v>
      </c>
      <c r="D48" s="37" t="s">
        <v>137</v>
      </c>
      <c r="E48" s="38" t="s">
        <v>323</v>
      </c>
      <c r="F48" s="38" t="s">
        <v>324</v>
      </c>
      <c r="G48" s="39" t="s">
        <v>34</v>
      </c>
      <c r="H48" s="40">
        <v>46017</v>
      </c>
      <c r="I48" s="41">
        <v>46028</v>
      </c>
      <c r="J48" s="37" t="s">
        <v>62</v>
      </c>
      <c r="K48" s="37" t="s">
        <v>95</v>
      </c>
      <c r="L48" s="43" t="s">
        <v>88</v>
      </c>
      <c r="M48" s="43" t="s">
        <v>64</v>
      </c>
      <c r="N48" s="43"/>
      <c r="O48" s="42"/>
      <c r="P48" s="43" t="str">
        <f t="shared" si="0"/>
        <v>ONAY</v>
      </c>
      <c r="Q48" s="26" t="s">
        <v>62</v>
      </c>
    </row>
    <row r="49" spans="1:17" ht="63" customHeight="1" x14ac:dyDescent="0.25">
      <c r="A49" s="36" t="s">
        <v>325</v>
      </c>
      <c r="B49" s="36" t="s">
        <v>326</v>
      </c>
      <c r="C49" s="37" t="s">
        <v>327</v>
      </c>
      <c r="D49" s="37" t="s">
        <v>328</v>
      </c>
      <c r="E49" s="38" t="s">
        <v>329</v>
      </c>
      <c r="F49" s="38" t="s">
        <v>330</v>
      </c>
      <c r="G49" s="39" t="s">
        <v>34</v>
      </c>
      <c r="H49" s="40">
        <v>46017</v>
      </c>
      <c r="I49" s="41">
        <v>46028</v>
      </c>
      <c r="J49" s="37" t="s">
        <v>63</v>
      </c>
      <c r="K49" s="37" t="s">
        <v>79</v>
      </c>
      <c r="L49" s="43" t="s">
        <v>193</v>
      </c>
      <c r="M49" s="43" t="s">
        <v>88</v>
      </c>
      <c r="N49" s="43" t="s">
        <v>64</v>
      </c>
      <c r="O49" s="42"/>
      <c r="P49" s="43" t="str">
        <f t="shared" si="0"/>
        <v>ONAY</v>
      </c>
      <c r="Q49" s="26" t="s">
        <v>78</v>
      </c>
    </row>
    <row r="50" spans="1:17" ht="78.75" customHeight="1" x14ac:dyDescent="0.25">
      <c r="A50" s="36" t="s">
        <v>331</v>
      </c>
      <c r="B50" s="36" t="s">
        <v>332</v>
      </c>
      <c r="C50" s="37" t="s">
        <v>333</v>
      </c>
      <c r="D50" s="37" t="s">
        <v>334</v>
      </c>
      <c r="E50" s="38" t="s">
        <v>335</v>
      </c>
      <c r="F50" s="38" t="s">
        <v>336</v>
      </c>
      <c r="G50" s="39" t="s">
        <v>35</v>
      </c>
      <c r="H50" s="40">
        <v>46020</v>
      </c>
      <c r="I50" s="41">
        <v>46028</v>
      </c>
      <c r="J50" s="37" t="s">
        <v>71</v>
      </c>
      <c r="K50" s="37" t="s">
        <v>110</v>
      </c>
      <c r="L50" s="43" t="s">
        <v>64</v>
      </c>
      <c r="M50" s="43"/>
      <c r="N50" s="43"/>
      <c r="O50" s="42"/>
      <c r="P50" s="43" t="str">
        <f t="shared" si="0"/>
        <v>ONAY</v>
      </c>
    </row>
    <row r="51" spans="1:17" ht="63" customHeight="1" x14ac:dyDescent="0.25">
      <c r="A51" s="36" t="s">
        <v>337</v>
      </c>
      <c r="B51" s="36" t="s">
        <v>338</v>
      </c>
      <c r="C51" s="37" t="s">
        <v>339</v>
      </c>
      <c r="D51" s="37" t="s">
        <v>340</v>
      </c>
      <c r="E51" s="38" t="s">
        <v>341</v>
      </c>
      <c r="F51" s="38" t="s">
        <v>342</v>
      </c>
      <c r="G51" s="39" t="s">
        <v>34</v>
      </c>
      <c r="H51" s="40">
        <v>46020</v>
      </c>
      <c r="I51" s="41">
        <v>46028</v>
      </c>
      <c r="J51" s="37" t="s">
        <v>110</v>
      </c>
      <c r="K51" s="37" t="s">
        <v>78</v>
      </c>
      <c r="L51" s="43" t="s">
        <v>88</v>
      </c>
      <c r="M51" s="43" t="s">
        <v>64</v>
      </c>
      <c r="N51" s="43"/>
      <c r="O51" s="42"/>
      <c r="P51" s="43" t="str">
        <f t="shared" si="0"/>
        <v>ONAY</v>
      </c>
      <c r="Q51" s="26" t="s">
        <v>78</v>
      </c>
    </row>
    <row r="52" spans="1:17" ht="78.75" customHeight="1" x14ac:dyDescent="0.25">
      <c r="A52" s="36" t="s">
        <v>343</v>
      </c>
      <c r="B52" s="36" t="s">
        <v>344</v>
      </c>
      <c r="C52" s="37" t="s">
        <v>345</v>
      </c>
      <c r="D52" s="37" t="s">
        <v>215</v>
      </c>
      <c r="E52" s="38" t="s">
        <v>346</v>
      </c>
      <c r="F52" s="38" t="s">
        <v>347</v>
      </c>
      <c r="G52" s="39" t="s">
        <v>35</v>
      </c>
      <c r="H52" s="40">
        <v>46021</v>
      </c>
      <c r="I52" s="41">
        <v>46028</v>
      </c>
      <c r="J52" s="37" t="s">
        <v>96</v>
      </c>
      <c r="K52" s="37" t="s">
        <v>95</v>
      </c>
      <c r="L52" s="43" t="s">
        <v>88</v>
      </c>
      <c r="M52" s="43" t="s">
        <v>64</v>
      </c>
      <c r="N52" s="43"/>
      <c r="O52" s="42"/>
      <c r="P52" s="43" t="str">
        <f t="shared" si="0"/>
        <v>ONAY</v>
      </c>
      <c r="Q52" s="26" t="s">
        <v>95</v>
      </c>
    </row>
    <row r="53" spans="1:17" ht="63" customHeight="1" x14ac:dyDescent="0.25">
      <c r="A53" s="36" t="s">
        <v>348</v>
      </c>
      <c r="B53" s="36" t="s">
        <v>349</v>
      </c>
      <c r="C53" s="37" t="s">
        <v>350</v>
      </c>
      <c r="D53" s="37" t="s">
        <v>351</v>
      </c>
      <c r="E53" s="38" t="s">
        <v>352</v>
      </c>
      <c r="F53" s="38" t="s">
        <v>353</v>
      </c>
      <c r="G53" s="39" t="s">
        <v>34</v>
      </c>
      <c r="H53" s="40">
        <v>46021</v>
      </c>
      <c r="I53" s="41">
        <v>46028</v>
      </c>
      <c r="J53" s="37" t="s">
        <v>62</v>
      </c>
      <c r="K53" s="37" t="s">
        <v>103</v>
      </c>
      <c r="L53" s="43" t="s">
        <v>64</v>
      </c>
      <c r="M53" s="43"/>
      <c r="N53" s="43"/>
      <c r="O53" s="42"/>
      <c r="P53" s="43" t="str">
        <f t="shared" si="0"/>
        <v>ONAY</v>
      </c>
    </row>
    <row r="54" spans="1:17" ht="94.5" customHeight="1" x14ac:dyDescent="0.25">
      <c r="A54" s="36" t="s">
        <v>354</v>
      </c>
      <c r="B54" s="36" t="s">
        <v>355</v>
      </c>
      <c r="C54" s="37" t="s">
        <v>356</v>
      </c>
      <c r="D54" s="37" t="s">
        <v>328</v>
      </c>
      <c r="E54" s="38" t="s">
        <v>357</v>
      </c>
      <c r="F54" s="38" t="s">
        <v>358</v>
      </c>
      <c r="G54" s="39" t="s">
        <v>35</v>
      </c>
      <c r="H54" s="40">
        <v>46021</v>
      </c>
      <c r="I54" s="41">
        <v>46028</v>
      </c>
      <c r="J54" s="37" t="s">
        <v>78</v>
      </c>
      <c r="K54" s="37" t="s">
        <v>116</v>
      </c>
      <c r="L54" s="43" t="s">
        <v>205</v>
      </c>
      <c r="M54" s="43"/>
      <c r="N54" s="43"/>
      <c r="O54" s="42"/>
      <c r="P54" s="43" t="str">
        <f t="shared" si="0"/>
        <v>KAEK</v>
      </c>
    </row>
    <row r="55" spans="1:17" ht="78.75" customHeight="1" x14ac:dyDescent="0.25">
      <c r="A55" s="36" t="s">
        <v>359</v>
      </c>
      <c r="B55" s="36" t="s">
        <v>360</v>
      </c>
      <c r="C55" s="37" t="s">
        <v>361</v>
      </c>
      <c r="D55" s="37" t="s">
        <v>328</v>
      </c>
      <c r="E55" s="38" t="s">
        <v>362</v>
      </c>
      <c r="F55" s="38" t="s">
        <v>363</v>
      </c>
      <c r="G55" s="39" t="s">
        <v>35</v>
      </c>
      <c r="H55" s="40">
        <v>46021</v>
      </c>
      <c r="I55" s="41">
        <v>46028</v>
      </c>
      <c r="J55" s="37" t="s">
        <v>71</v>
      </c>
      <c r="K55" s="37" t="s">
        <v>116</v>
      </c>
      <c r="L55" s="43" t="s">
        <v>64</v>
      </c>
      <c r="M55" s="43"/>
      <c r="N55" s="43"/>
      <c r="O55" s="42"/>
      <c r="P55" s="43" t="str">
        <f t="shared" si="0"/>
        <v>ONAY</v>
      </c>
    </row>
    <row r="56" spans="1:17" ht="78.75" customHeight="1" x14ac:dyDescent="0.25">
      <c r="A56" s="36" t="s">
        <v>364</v>
      </c>
      <c r="B56" s="36" t="s">
        <v>365</v>
      </c>
      <c r="C56" s="37" t="s">
        <v>366</v>
      </c>
      <c r="D56" s="37" t="s">
        <v>209</v>
      </c>
      <c r="E56" s="38" t="s">
        <v>367</v>
      </c>
      <c r="F56" s="38" t="s">
        <v>368</v>
      </c>
      <c r="G56" s="39" t="s">
        <v>34</v>
      </c>
      <c r="H56" s="40">
        <v>46021</v>
      </c>
      <c r="I56" s="41">
        <v>46028</v>
      </c>
      <c r="J56" s="37" t="s">
        <v>62</v>
      </c>
      <c r="K56" s="37" t="s">
        <v>86</v>
      </c>
      <c r="L56" s="43" t="s">
        <v>64</v>
      </c>
      <c r="M56" s="43"/>
      <c r="N56" s="43"/>
      <c r="O56" s="42"/>
      <c r="P56" s="43" t="str">
        <f t="shared" si="0"/>
        <v>ONAY</v>
      </c>
    </row>
    <row r="57" spans="1:17" ht="63" customHeight="1" x14ac:dyDescent="0.25">
      <c r="A57" s="36" t="s">
        <v>369</v>
      </c>
      <c r="B57" s="36" t="s">
        <v>370</v>
      </c>
      <c r="C57" s="37" t="s">
        <v>371</v>
      </c>
      <c r="D57" s="37" t="s">
        <v>372</v>
      </c>
      <c r="E57" s="38" t="s">
        <v>373</v>
      </c>
      <c r="F57" s="38" t="s">
        <v>374</v>
      </c>
      <c r="G57" s="39" t="s">
        <v>34</v>
      </c>
      <c r="H57" s="40">
        <v>46024</v>
      </c>
      <c r="I57" s="41">
        <v>46042</v>
      </c>
      <c r="J57" s="37" t="s">
        <v>103</v>
      </c>
      <c r="K57" s="37" t="s">
        <v>71</v>
      </c>
      <c r="L57" s="43" t="s">
        <v>88</v>
      </c>
      <c r="M57" s="43" t="s">
        <v>64</v>
      </c>
      <c r="N57" s="43"/>
      <c r="O57" s="42"/>
      <c r="P57" s="43" t="str">
        <f t="shared" si="0"/>
        <v>ONAY</v>
      </c>
      <c r="Q57" s="26" t="s">
        <v>103</v>
      </c>
    </row>
    <row r="58" spans="1:17" ht="63" customHeight="1" x14ac:dyDescent="0.25">
      <c r="A58" s="36" t="s">
        <v>375</v>
      </c>
      <c r="B58" s="36" t="s">
        <v>376</v>
      </c>
      <c r="C58" s="37" t="s">
        <v>377</v>
      </c>
      <c r="D58" s="37" t="s">
        <v>378</v>
      </c>
      <c r="E58" s="38" t="s">
        <v>379</v>
      </c>
      <c r="F58" s="38" t="s">
        <v>380</v>
      </c>
      <c r="G58" s="39" t="s">
        <v>34</v>
      </c>
      <c r="H58" s="40">
        <v>46024</v>
      </c>
      <c r="I58" s="41">
        <v>46042</v>
      </c>
      <c r="J58" s="37" t="s">
        <v>78</v>
      </c>
      <c r="K58" s="37" t="s">
        <v>79</v>
      </c>
      <c r="L58" s="43" t="s">
        <v>88</v>
      </c>
      <c r="M58" s="43" t="s">
        <v>64</v>
      </c>
      <c r="N58" s="43"/>
      <c r="O58" s="42"/>
      <c r="P58" s="43" t="str">
        <f t="shared" si="0"/>
        <v>ONAY</v>
      </c>
      <c r="Q58" s="26" t="s">
        <v>78</v>
      </c>
    </row>
    <row r="59" spans="1:17" ht="78.75" customHeight="1" x14ac:dyDescent="0.25">
      <c r="A59" s="36" t="s">
        <v>381</v>
      </c>
      <c r="B59" s="36" t="s">
        <v>382</v>
      </c>
      <c r="C59" s="37" t="s">
        <v>383</v>
      </c>
      <c r="D59" s="37" t="s">
        <v>384</v>
      </c>
      <c r="E59" s="38" t="s">
        <v>385</v>
      </c>
      <c r="F59" s="38" t="s">
        <v>386</v>
      </c>
      <c r="G59" s="39" t="s">
        <v>37</v>
      </c>
      <c r="H59" s="40">
        <v>46024</v>
      </c>
      <c r="I59" s="41">
        <v>46042</v>
      </c>
      <c r="J59" s="37" t="s">
        <v>116</v>
      </c>
      <c r="K59" s="37" t="s">
        <v>86</v>
      </c>
      <c r="L59" s="43" t="s">
        <v>88</v>
      </c>
      <c r="M59" s="43" t="s">
        <v>387</v>
      </c>
      <c r="N59" s="43"/>
      <c r="O59" s="42"/>
      <c r="P59" s="43" t="str">
        <f t="shared" si="0"/>
        <v>GERİ ÇEKİLDİ</v>
      </c>
    </row>
    <row r="60" spans="1:17" ht="78.75" customHeight="1" x14ac:dyDescent="0.25">
      <c r="A60" s="36" t="s">
        <v>388</v>
      </c>
      <c r="B60" s="36" t="s">
        <v>389</v>
      </c>
      <c r="C60" s="37" t="s">
        <v>390</v>
      </c>
      <c r="D60" s="37" t="s">
        <v>391</v>
      </c>
      <c r="E60" s="38" t="s">
        <v>392</v>
      </c>
      <c r="F60" s="38" t="s">
        <v>393</v>
      </c>
      <c r="G60" s="39" t="s">
        <v>34</v>
      </c>
      <c r="H60" s="40">
        <v>46024</v>
      </c>
      <c r="I60" s="41">
        <v>46042</v>
      </c>
      <c r="J60" s="37" t="s">
        <v>63</v>
      </c>
      <c r="K60" s="37" t="s">
        <v>95</v>
      </c>
      <c r="L60" s="43" t="s">
        <v>88</v>
      </c>
      <c r="M60" s="43" t="s">
        <v>387</v>
      </c>
      <c r="N60" s="43"/>
      <c r="O60" s="42"/>
      <c r="P60" s="43" t="str">
        <f t="shared" si="0"/>
        <v>GERİ ÇEKİLDİ</v>
      </c>
    </row>
    <row r="61" spans="1:17" ht="126" customHeight="1" x14ac:dyDescent="0.25">
      <c r="A61" s="36" t="s">
        <v>394</v>
      </c>
      <c r="B61" s="36" t="s">
        <v>395</v>
      </c>
      <c r="C61" s="37" t="s">
        <v>366</v>
      </c>
      <c r="D61" s="37" t="s">
        <v>209</v>
      </c>
      <c r="E61" s="38" t="s">
        <v>396</v>
      </c>
      <c r="F61" s="38" t="s">
        <v>397</v>
      </c>
      <c r="G61" s="39" t="s">
        <v>36</v>
      </c>
      <c r="H61" s="40">
        <v>46024</v>
      </c>
      <c r="I61" s="41">
        <v>46042</v>
      </c>
      <c r="J61" s="37" t="s">
        <v>96</v>
      </c>
      <c r="K61" s="37" t="s">
        <v>63</v>
      </c>
      <c r="L61" s="43" t="s">
        <v>88</v>
      </c>
      <c r="M61" s="43" t="s">
        <v>64</v>
      </c>
      <c r="N61" s="43"/>
      <c r="O61" s="42"/>
      <c r="P61" s="43" t="str">
        <f t="shared" si="0"/>
        <v>ONAY</v>
      </c>
      <c r="Q61" s="26" t="s">
        <v>96</v>
      </c>
    </row>
    <row r="62" spans="1:17" ht="63" customHeight="1" x14ac:dyDescent="0.25">
      <c r="A62" s="36" t="s">
        <v>398</v>
      </c>
      <c r="B62" s="36" t="s">
        <v>399</v>
      </c>
      <c r="C62" s="37" t="s">
        <v>400</v>
      </c>
      <c r="D62" s="37" t="s">
        <v>401</v>
      </c>
      <c r="E62" s="38" t="s">
        <v>402</v>
      </c>
      <c r="F62" s="38" t="s">
        <v>403</v>
      </c>
      <c r="G62" s="39" t="s">
        <v>34</v>
      </c>
      <c r="H62" s="40">
        <v>46024</v>
      </c>
      <c r="I62" s="41">
        <v>46042</v>
      </c>
      <c r="J62" s="37" t="s">
        <v>110</v>
      </c>
      <c r="K62" s="37" t="s">
        <v>87</v>
      </c>
      <c r="L62" s="43" t="s">
        <v>193</v>
      </c>
      <c r="M62" s="43" t="s">
        <v>88</v>
      </c>
      <c r="N62" s="43"/>
      <c r="O62" s="42"/>
      <c r="P62" s="43" t="str">
        <f t="shared" si="0"/>
        <v>DÜZELTME</v>
      </c>
    </row>
    <row r="63" spans="1:17" ht="63.75" customHeight="1" x14ac:dyDescent="0.25">
      <c r="A63" s="36" t="s">
        <v>404</v>
      </c>
      <c r="B63" s="36" t="s">
        <v>405</v>
      </c>
      <c r="C63" s="37" t="s">
        <v>406</v>
      </c>
      <c r="D63" s="37" t="s">
        <v>384</v>
      </c>
      <c r="E63" s="38" t="s">
        <v>407</v>
      </c>
      <c r="F63" s="38" t="s">
        <v>408</v>
      </c>
      <c r="G63" s="39" t="s">
        <v>34</v>
      </c>
      <c r="H63" s="40">
        <v>46024</v>
      </c>
      <c r="I63" s="41">
        <v>46042</v>
      </c>
      <c r="J63" s="37" t="s">
        <v>103</v>
      </c>
      <c r="K63" s="37" t="s">
        <v>87</v>
      </c>
      <c r="L63" s="43" t="s">
        <v>64</v>
      </c>
      <c r="M63" s="43"/>
      <c r="N63" s="43"/>
      <c r="O63" s="42"/>
      <c r="P63" s="43" t="str">
        <f t="shared" si="0"/>
        <v>ONAY</v>
      </c>
    </row>
    <row r="64" spans="1:17" ht="78.75" customHeight="1" x14ac:dyDescent="0.25">
      <c r="A64" s="36" t="s">
        <v>409</v>
      </c>
      <c r="B64" s="36" t="s">
        <v>410</v>
      </c>
      <c r="C64" s="37" t="s">
        <v>411</v>
      </c>
      <c r="D64" s="37" t="s">
        <v>351</v>
      </c>
      <c r="E64" s="38" t="s">
        <v>412</v>
      </c>
      <c r="F64" s="38" t="s">
        <v>413</v>
      </c>
      <c r="G64" s="39" t="s">
        <v>34</v>
      </c>
      <c r="H64" s="40">
        <v>46024</v>
      </c>
      <c r="I64" s="41">
        <v>46042</v>
      </c>
      <c r="J64" s="37" t="s">
        <v>96</v>
      </c>
      <c r="K64" s="37" t="s">
        <v>71</v>
      </c>
      <c r="L64" s="43" t="s">
        <v>64</v>
      </c>
      <c r="M64" s="43"/>
      <c r="N64" s="43"/>
      <c r="O64" s="42"/>
      <c r="P64" s="43" t="str">
        <f t="shared" si="0"/>
        <v>ONAY</v>
      </c>
    </row>
    <row r="65" spans="1:17" ht="47.25" customHeight="1" x14ac:dyDescent="0.25">
      <c r="A65" s="36" t="s">
        <v>414</v>
      </c>
      <c r="B65" s="36" t="s">
        <v>415</v>
      </c>
      <c r="C65" s="37" t="s">
        <v>416</v>
      </c>
      <c r="D65" s="37" t="s">
        <v>417</v>
      </c>
      <c r="E65" s="38" t="s">
        <v>418</v>
      </c>
      <c r="F65" s="38" t="s">
        <v>419</v>
      </c>
      <c r="G65" s="39" t="s">
        <v>35</v>
      </c>
      <c r="H65" s="40">
        <v>46024</v>
      </c>
      <c r="I65" s="41">
        <v>46042</v>
      </c>
      <c r="J65" s="37" t="s">
        <v>95</v>
      </c>
      <c r="K65" s="37" t="s">
        <v>116</v>
      </c>
      <c r="L65" s="43" t="s">
        <v>88</v>
      </c>
      <c r="M65" s="43" t="s">
        <v>88</v>
      </c>
      <c r="N65" s="43" t="s">
        <v>64</v>
      </c>
      <c r="O65" s="42"/>
      <c r="P65" s="43" t="str">
        <f t="shared" si="0"/>
        <v>ONAY</v>
      </c>
      <c r="Q65" s="26" t="s">
        <v>62</v>
      </c>
    </row>
    <row r="66" spans="1:17" ht="63" customHeight="1" x14ac:dyDescent="0.25">
      <c r="A66" s="36" t="s">
        <v>420</v>
      </c>
      <c r="B66" s="36" t="s">
        <v>421</v>
      </c>
      <c r="C66" s="37" t="s">
        <v>416</v>
      </c>
      <c r="D66" s="37" t="s">
        <v>417</v>
      </c>
      <c r="E66" s="38" t="s">
        <v>422</v>
      </c>
      <c r="F66" s="38" t="s">
        <v>423</v>
      </c>
      <c r="G66" s="39" t="s">
        <v>35</v>
      </c>
      <c r="H66" s="40">
        <v>46024</v>
      </c>
      <c r="I66" s="41">
        <v>46042</v>
      </c>
      <c r="J66" s="37" t="s">
        <v>95</v>
      </c>
      <c r="K66" s="37" t="s">
        <v>116</v>
      </c>
      <c r="L66" s="43" t="s">
        <v>88</v>
      </c>
      <c r="M66" s="43" t="s">
        <v>387</v>
      </c>
      <c r="N66" s="43"/>
      <c r="O66" s="42"/>
      <c r="P66" s="43" t="str">
        <f t="shared" ref="P66:P129" si="1">IF(O66&lt;&gt;"",O66, IF(N66&lt;&gt;"",N66, IF(M66&lt;&gt;"",M66, L66)))</f>
        <v>GERİ ÇEKİLDİ</v>
      </c>
    </row>
    <row r="67" spans="1:17" ht="81" customHeight="1" x14ac:dyDescent="0.25">
      <c r="A67" s="36" t="s">
        <v>424</v>
      </c>
      <c r="B67" s="36" t="s">
        <v>425</v>
      </c>
      <c r="C67" s="37" t="s">
        <v>426</v>
      </c>
      <c r="D67" s="37" t="s">
        <v>174</v>
      </c>
      <c r="E67" s="38" t="s">
        <v>427</v>
      </c>
      <c r="F67" s="38" t="s">
        <v>428</v>
      </c>
      <c r="G67" s="39" t="s">
        <v>34</v>
      </c>
      <c r="H67" s="40">
        <v>46027</v>
      </c>
      <c r="I67" s="41">
        <v>46042</v>
      </c>
      <c r="J67" s="37" t="s">
        <v>79</v>
      </c>
      <c r="K67" s="37" t="s">
        <v>96</v>
      </c>
      <c r="L67" s="43" t="s">
        <v>64</v>
      </c>
      <c r="M67" s="43"/>
      <c r="N67" s="43"/>
      <c r="O67" s="42"/>
      <c r="P67" s="43" t="str">
        <f t="shared" si="1"/>
        <v>ONAY</v>
      </c>
    </row>
    <row r="68" spans="1:17" ht="80.25" customHeight="1" x14ac:dyDescent="0.25">
      <c r="A68" s="36" t="s">
        <v>429</v>
      </c>
      <c r="B68" s="36" t="s">
        <v>430</v>
      </c>
      <c r="C68" s="37" t="s">
        <v>431</v>
      </c>
      <c r="D68" s="37" t="s">
        <v>75</v>
      </c>
      <c r="E68" s="38" t="s">
        <v>432</v>
      </c>
      <c r="F68" s="38" t="s">
        <v>433</v>
      </c>
      <c r="G68" s="39" t="s">
        <v>34</v>
      </c>
      <c r="H68" s="40">
        <v>46027</v>
      </c>
      <c r="I68" s="41">
        <v>46042</v>
      </c>
      <c r="J68" s="37" t="s">
        <v>79</v>
      </c>
      <c r="K68" s="37" t="s">
        <v>78</v>
      </c>
      <c r="L68" s="43" t="s">
        <v>88</v>
      </c>
      <c r="M68" s="43" t="s">
        <v>64</v>
      </c>
      <c r="N68" s="43"/>
      <c r="O68" s="42"/>
      <c r="P68" s="43" t="str">
        <f t="shared" si="1"/>
        <v>ONAY</v>
      </c>
      <c r="Q68" s="26" t="s">
        <v>78</v>
      </c>
    </row>
    <row r="69" spans="1:17" ht="126" customHeight="1" x14ac:dyDescent="0.25">
      <c r="A69" s="36" t="s">
        <v>434</v>
      </c>
      <c r="B69" s="36" t="s">
        <v>435</v>
      </c>
      <c r="C69" s="37" t="s">
        <v>79</v>
      </c>
      <c r="D69" s="37" t="s">
        <v>75</v>
      </c>
      <c r="E69" s="38" t="s">
        <v>436</v>
      </c>
      <c r="F69" s="38" t="s">
        <v>437</v>
      </c>
      <c r="G69" s="39" t="s">
        <v>35</v>
      </c>
      <c r="H69" s="40">
        <v>46027</v>
      </c>
      <c r="I69" s="41">
        <v>46042</v>
      </c>
      <c r="J69" s="37" t="s">
        <v>78</v>
      </c>
      <c r="K69" s="37" t="s">
        <v>63</v>
      </c>
      <c r="L69" s="43" t="s">
        <v>64</v>
      </c>
      <c r="M69" s="43"/>
      <c r="N69" s="43"/>
      <c r="O69" s="42"/>
      <c r="P69" s="43" t="str">
        <f t="shared" si="1"/>
        <v>ONAY</v>
      </c>
    </row>
    <row r="70" spans="1:17" ht="63" customHeight="1" x14ac:dyDescent="0.25">
      <c r="A70" s="36" t="s">
        <v>438</v>
      </c>
      <c r="B70" s="36" t="s">
        <v>439</v>
      </c>
      <c r="C70" s="37" t="s">
        <v>406</v>
      </c>
      <c r="D70" s="37" t="s">
        <v>384</v>
      </c>
      <c r="E70" s="38" t="s">
        <v>440</v>
      </c>
      <c r="F70" s="38" t="s">
        <v>441</v>
      </c>
      <c r="G70" s="39" t="s">
        <v>34</v>
      </c>
      <c r="H70" s="40">
        <v>46027</v>
      </c>
      <c r="I70" s="41">
        <v>46042</v>
      </c>
      <c r="J70" s="37" t="s">
        <v>71</v>
      </c>
      <c r="K70" s="37" t="s">
        <v>95</v>
      </c>
      <c r="L70" s="43" t="s">
        <v>64</v>
      </c>
      <c r="M70" s="43"/>
      <c r="N70" s="43"/>
      <c r="O70" s="42"/>
      <c r="P70" s="43" t="str">
        <f t="shared" si="1"/>
        <v>ONAY</v>
      </c>
    </row>
    <row r="71" spans="1:17" ht="63" customHeight="1" x14ac:dyDescent="0.25">
      <c r="A71" s="36" t="s">
        <v>442</v>
      </c>
      <c r="B71" s="36" t="s">
        <v>443</v>
      </c>
      <c r="C71" s="37" t="s">
        <v>444</v>
      </c>
      <c r="D71" s="37" t="s">
        <v>267</v>
      </c>
      <c r="E71" s="38" t="s">
        <v>445</v>
      </c>
      <c r="F71" s="38" t="s">
        <v>446</v>
      </c>
      <c r="G71" s="39" t="s">
        <v>34</v>
      </c>
      <c r="H71" s="40">
        <v>46027</v>
      </c>
      <c r="I71" s="41">
        <v>46042</v>
      </c>
      <c r="J71" s="37" t="s">
        <v>79</v>
      </c>
      <c r="K71" s="37" t="s">
        <v>95</v>
      </c>
      <c r="L71" s="43" t="s">
        <v>64</v>
      </c>
      <c r="M71" s="43"/>
      <c r="N71" s="43"/>
      <c r="O71" s="42"/>
      <c r="P71" s="43" t="str">
        <f t="shared" si="1"/>
        <v>ONAY</v>
      </c>
    </row>
    <row r="72" spans="1:17" ht="78.75" customHeight="1" x14ac:dyDescent="0.25">
      <c r="A72" s="36" t="s">
        <v>447</v>
      </c>
      <c r="B72" s="36" t="s">
        <v>448</v>
      </c>
      <c r="C72" s="37" t="s">
        <v>449</v>
      </c>
      <c r="D72" s="37" t="s">
        <v>450</v>
      </c>
      <c r="E72" s="38" t="s">
        <v>451</v>
      </c>
      <c r="F72" s="38" t="s">
        <v>452</v>
      </c>
      <c r="G72" s="39" t="s">
        <v>34</v>
      </c>
      <c r="H72" s="40">
        <v>46029</v>
      </c>
      <c r="I72" s="41">
        <v>46042</v>
      </c>
      <c r="J72" s="37" t="s">
        <v>62</v>
      </c>
      <c r="K72" s="37" t="s">
        <v>78</v>
      </c>
      <c r="L72" s="43" t="s">
        <v>88</v>
      </c>
      <c r="M72" s="43" t="s">
        <v>64</v>
      </c>
      <c r="N72" s="43"/>
      <c r="O72" s="42"/>
      <c r="P72" s="43" t="str">
        <f t="shared" si="1"/>
        <v>ONAY</v>
      </c>
      <c r="Q72" s="26" t="s">
        <v>62</v>
      </c>
    </row>
    <row r="73" spans="1:17" ht="63" customHeight="1" x14ac:dyDescent="0.25">
      <c r="A73" s="36" t="s">
        <v>453</v>
      </c>
      <c r="B73" s="36" t="s">
        <v>454</v>
      </c>
      <c r="C73" s="37" t="s">
        <v>455</v>
      </c>
      <c r="D73" s="37" t="s">
        <v>209</v>
      </c>
      <c r="E73" s="38" t="s">
        <v>456</v>
      </c>
      <c r="F73" s="38" t="s">
        <v>457</v>
      </c>
      <c r="G73" s="39" t="s">
        <v>34</v>
      </c>
      <c r="H73" s="40">
        <v>46029</v>
      </c>
      <c r="I73" s="41">
        <v>46042</v>
      </c>
      <c r="J73" s="37" t="s">
        <v>96</v>
      </c>
      <c r="K73" s="37" t="s">
        <v>110</v>
      </c>
      <c r="L73" s="43" t="s">
        <v>88</v>
      </c>
      <c r="M73" s="43"/>
      <c r="N73" s="43"/>
      <c r="O73" s="42"/>
      <c r="P73" s="43" t="str">
        <f t="shared" si="1"/>
        <v>DÜZELTME</v>
      </c>
    </row>
    <row r="74" spans="1:17" ht="78.75" customHeight="1" x14ac:dyDescent="0.25">
      <c r="A74" s="36" t="s">
        <v>458</v>
      </c>
      <c r="B74" s="36" t="s">
        <v>459</v>
      </c>
      <c r="C74" s="37" t="s">
        <v>383</v>
      </c>
      <c r="D74" s="37" t="s">
        <v>384</v>
      </c>
      <c r="E74" s="38" t="s">
        <v>460</v>
      </c>
      <c r="F74" s="38" t="s">
        <v>461</v>
      </c>
      <c r="G74" s="39" t="s">
        <v>34</v>
      </c>
      <c r="H74" s="40">
        <v>46029</v>
      </c>
      <c r="I74" s="41">
        <v>46042</v>
      </c>
      <c r="J74" s="37" t="s">
        <v>71</v>
      </c>
      <c r="K74" s="37" t="s">
        <v>103</v>
      </c>
      <c r="L74" s="43" t="s">
        <v>88</v>
      </c>
      <c r="M74" s="43" t="s">
        <v>193</v>
      </c>
      <c r="N74" s="43" t="s">
        <v>64</v>
      </c>
      <c r="O74" s="42"/>
      <c r="P74" s="43" t="str">
        <f t="shared" si="1"/>
        <v>ONAY</v>
      </c>
    </row>
    <row r="75" spans="1:17" ht="47.25" customHeight="1" x14ac:dyDescent="0.25">
      <c r="A75" s="36" t="s">
        <v>462</v>
      </c>
      <c r="B75" s="36" t="s">
        <v>463</v>
      </c>
      <c r="C75" s="37" t="s">
        <v>464</v>
      </c>
      <c r="D75" s="37" t="s">
        <v>465</v>
      </c>
      <c r="E75" s="38" t="s">
        <v>466</v>
      </c>
      <c r="F75" s="38" t="s">
        <v>467</v>
      </c>
      <c r="G75" s="39" t="s">
        <v>37</v>
      </c>
      <c r="H75" s="40">
        <v>46030</v>
      </c>
      <c r="I75" s="41">
        <v>46042</v>
      </c>
      <c r="J75" s="37" t="s">
        <v>86</v>
      </c>
      <c r="K75" s="37" t="s">
        <v>87</v>
      </c>
      <c r="L75" s="43" t="s">
        <v>64</v>
      </c>
      <c r="M75" s="43"/>
      <c r="N75" s="43"/>
      <c r="O75" s="42"/>
      <c r="P75" s="43" t="str">
        <f t="shared" si="1"/>
        <v>ONAY</v>
      </c>
    </row>
    <row r="76" spans="1:17" ht="78.75" customHeight="1" x14ac:dyDescent="0.25">
      <c r="A76" s="36" t="s">
        <v>468</v>
      </c>
      <c r="B76" s="36" t="s">
        <v>469</v>
      </c>
      <c r="C76" s="37" t="s">
        <v>470</v>
      </c>
      <c r="D76" s="37" t="s">
        <v>471</v>
      </c>
      <c r="E76" s="38" t="s">
        <v>472</v>
      </c>
      <c r="F76" s="38" t="s">
        <v>473</v>
      </c>
      <c r="G76" s="39" t="s">
        <v>35</v>
      </c>
      <c r="H76" s="40">
        <v>46030</v>
      </c>
      <c r="I76" s="41">
        <v>46042</v>
      </c>
      <c r="J76" s="37" t="s">
        <v>110</v>
      </c>
      <c r="K76" s="37" t="s">
        <v>79</v>
      </c>
      <c r="L76" s="43" t="s">
        <v>64</v>
      </c>
      <c r="M76" s="43"/>
      <c r="N76" s="43"/>
      <c r="O76" s="42"/>
      <c r="P76" s="43" t="str">
        <f t="shared" si="1"/>
        <v>ONAY</v>
      </c>
    </row>
    <row r="77" spans="1:17" ht="63" customHeight="1" x14ac:dyDescent="0.25">
      <c r="A77" s="36" t="s">
        <v>474</v>
      </c>
      <c r="B77" s="36" t="s">
        <v>475</v>
      </c>
      <c r="C77" s="37" t="s">
        <v>476</v>
      </c>
      <c r="D77" s="37" t="s">
        <v>284</v>
      </c>
      <c r="E77" s="38" t="s">
        <v>477</v>
      </c>
      <c r="F77" s="38" t="s">
        <v>478</v>
      </c>
      <c r="G77" s="39" t="s">
        <v>34</v>
      </c>
      <c r="H77" s="40">
        <v>46031</v>
      </c>
      <c r="I77" s="41">
        <v>46042</v>
      </c>
      <c r="J77" s="37" t="s">
        <v>110</v>
      </c>
      <c r="K77" s="37" t="s">
        <v>63</v>
      </c>
      <c r="L77" s="43" t="s">
        <v>64</v>
      </c>
      <c r="M77" s="43"/>
      <c r="N77" s="43"/>
      <c r="O77" s="42"/>
      <c r="P77" s="43" t="str">
        <f t="shared" si="1"/>
        <v>ONAY</v>
      </c>
    </row>
    <row r="78" spans="1:17" ht="63" customHeight="1" x14ac:dyDescent="0.25">
      <c r="A78" s="36" t="s">
        <v>479</v>
      </c>
      <c r="B78" s="36" t="s">
        <v>480</v>
      </c>
      <c r="C78" s="37" t="s">
        <v>481</v>
      </c>
      <c r="D78" s="37" t="s">
        <v>372</v>
      </c>
      <c r="E78" s="38" t="s">
        <v>482</v>
      </c>
      <c r="F78" s="38" t="s">
        <v>483</v>
      </c>
      <c r="G78" s="39" t="s">
        <v>34</v>
      </c>
      <c r="H78" s="40">
        <v>46031</v>
      </c>
      <c r="I78" s="41">
        <v>46042</v>
      </c>
      <c r="J78" s="37" t="s">
        <v>63</v>
      </c>
      <c r="K78" s="37" t="s">
        <v>87</v>
      </c>
      <c r="L78" s="43" t="s">
        <v>88</v>
      </c>
      <c r="M78" s="43" t="s">
        <v>64</v>
      </c>
      <c r="N78" s="43"/>
      <c r="O78" s="42"/>
      <c r="P78" s="43" t="str">
        <f t="shared" si="1"/>
        <v>ONAY</v>
      </c>
      <c r="Q78" s="26" t="s">
        <v>87</v>
      </c>
    </row>
    <row r="79" spans="1:17" ht="78.75" customHeight="1" x14ac:dyDescent="0.25">
      <c r="A79" s="36" t="s">
        <v>484</v>
      </c>
      <c r="B79" s="36" t="s">
        <v>485</v>
      </c>
      <c r="C79" s="37" t="s">
        <v>272</v>
      </c>
      <c r="D79" s="37" t="s">
        <v>209</v>
      </c>
      <c r="E79" s="38" t="s">
        <v>486</v>
      </c>
      <c r="F79" s="38" t="s">
        <v>487</v>
      </c>
      <c r="G79" s="39" t="s">
        <v>35</v>
      </c>
      <c r="H79" s="40">
        <v>46031</v>
      </c>
      <c r="I79" s="41">
        <v>46042</v>
      </c>
      <c r="J79" s="37" t="s">
        <v>87</v>
      </c>
      <c r="K79" s="37" t="s">
        <v>86</v>
      </c>
      <c r="L79" s="43" t="s">
        <v>64</v>
      </c>
      <c r="M79" s="43"/>
      <c r="N79" s="43"/>
      <c r="O79" s="42"/>
      <c r="P79" s="43" t="str">
        <f t="shared" si="1"/>
        <v>ONAY</v>
      </c>
    </row>
    <row r="80" spans="1:17" ht="94.5" customHeight="1" x14ac:dyDescent="0.25">
      <c r="A80" s="36" t="s">
        <v>488</v>
      </c>
      <c r="B80" s="36" t="s">
        <v>489</v>
      </c>
      <c r="C80" s="37" t="s">
        <v>490</v>
      </c>
      <c r="D80" s="37" t="s">
        <v>491</v>
      </c>
      <c r="E80" s="38" t="s">
        <v>492</v>
      </c>
      <c r="F80" s="38" t="s">
        <v>493</v>
      </c>
      <c r="G80" s="39" t="s">
        <v>37</v>
      </c>
      <c r="H80" s="40">
        <v>46031</v>
      </c>
      <c r="I80" s="41">
        <v>46042</v>
      </c>
      <c r="J80" s="37" t="s">
        <v>86</v>
      </c>
      <c r="K80" s="37" t="s">
        <v>71</v>
      </c>
      <c r="L80" s="43" t="s">
        <v>88</v>
      </c>
      <c r="M80" s="43" t="s">
        <v>64</v>
      </c>
      <c r="N80" s="43"/>
      <c r="O80" s="42"/>
      <c r="P80" s="43" t="str">
        <f t="shared" si="1"/>
        <v>ONAY</v>
      </c>
      <c r="Q80" s="26" t="s">
        <v>71</v>
      </c>
    </row>
    <row r="81" spans="1:17" ht="78.75" customHeight="1" x14ac:dyDescent="0.25">
      <c r="A81" s="36" t="s">
        <v>494</v>
      </c>
      <c r="B81" s="36" t="s">
        <v>495</v>
      </c>
      <c r="C81" s="37" t="s">
        <v>496</v>
      </c>
      <c r="D81" s="37" t="s">
        <v>209</v>
      </c>
      <c r="E81" s="38" t="s">
        <v>497</v>
      </c>
      <c r="F81" s="38" t="s">
        <v>498</v>
      </c>
      <c r="G81" s="39" t="s">
        <v>35</v>
      </c>
      <c r="H81" s="40">
        <v>46034</v>
      </c>
      <c r="I81" s="41">
        <v>46042</v>
      </c>
      <c r="J81" s="37" t="s">
        <v>96</v>
      </c>
      <c r="K81" s="37" t="s">
        <v>63</v>
      </c>
      <c r="L81" s="43" t="s">
        <v>88</v>
      </c>
      <c r="M81" s="43" t="s">
        <v>64</v>
      </c>
      <c r="N81" s="43"/>
      <c r="O81" s="42"/>
      <c r="P81" s="43" t="str">
        <f t="shared" si="1"/>
        <v>ONAY</v>
      </c>
      <c r="Q81" s="26" t="s">
        <v>96</v>
      </c>
    </row>
    <row r="82" spans="1:17" ht="63" customHeight="1" x14ac:dyDescent="0.25">
      <c r="A82" s="36" t="s">
        <v>499</v>
      </c>
      <c r="B82" s="36" t="s">
        <v>500</v>
      </c>
      <c r="C82" s="37" t="s">
        <v>501</v>
      </c>
      <c r="D82" s="37" t="s">
        <v>278</v>
      </c>
      <c r="E82" s="38" t="s">
        <v>502</v>
      </c>
      <c r="F82" s="38" t="s">
        <v>503</v>
      </c>
      <c r="G82" s="39" t="s">
        <v>34</v>
      </c>
      <c r="H82" s="40">
        <v>46034</v>
      </c>
      <c r="I82" s="41">
        <v>46042</v>
      </c>
      <c r="J82" s="37" t="s">
        <v>78</v>
      </c>
      <c r="K82" s="37" t="s">
        <v>103</v>
      </c>
      <c r="L82" s="43" t="s">
        <v>64</v>
      </c>
      <c r="M82" s="43"/>
      <c r="N82" s="43"/>
      <c r="O82" s="42"/>
      <c r="P82" s="43" t="str">
        <f t="shared" si="1"/>
        <v>ONAY</v>
      </c>
    </row>
    <row r="83" spans="1:17" ht="78.75" customHeight="1" x14ac:dyDescent="0.25">
      <c r="A83" s="36" t="s">
        <v>504</v>
      </c>
      <c r="B83" s="36" t="s">
        <v>505</v>
      </c>
      <c r="C83" s="37" t="s">
        <v>506</v>
      </c>
      <c r="D83" s="37" t="s">
        <v>351</v>
      </c>
      <c r="E83" s="38" t="s">
        <v>507</v>
      </c>
      <c r="F83" s="38" t="s">
        <v>508</v>
      </c>
      <c r="G83" s="39" t="s">
        <v>34</v>
      </c>
      <c r="H83" s="40">
        <v>46034</v>
      </c>
      <c r="I83" s="41">
        <v>46042</v>
      </c>
      <c r="J83" s="37" t="s">
        <v>95</v>
      </c>
      <c r="K83" s="37" t="s">
        <v>116</v>
      </c>
      <c r="L83" s="43" t="s">
        <v>88</v>
      </c>
      <c r="M83" s="43" t="s">
        <v>64</v>
      </c>
      <c r="N83" s="43"/>
      <c r="O83" s="42"/>
      <c r="P83" s="43" t="str">
        <f t="shared" si="1"/>
        <v>ONAY</v>
      </c>
      <c r="Q83" s="26" t="s">
        <v>95</v>
      </c>
    </row>
    <row r="84" spans="1:17" ht="63" customHeight="1" x14ac:dyDescent="0.25">
      <c r="A84" s="36" t="s">
        <v>509</v>
      </c>
      <c r="B84" s="36" t="s">
        <v>510</v>
      </c>
      <c r="C84" s="37" t="s">
        <v>511</v>
      </c>
      <c r="D84" s="37" t="s">
        <v>100</v>
      </c>
      <c r="E84" s="38" t="s">
        <v>512</v>
      </c>
      <c r="F84" s="38" t="s">
        <v>513</v>
      </c>
      <c r="G84" s="39" t="s">
        <v>34</v>
      </c>
      <c r="H84" s="40">
        <v>46034</v>
      </c>
      <c r="I84" s="41">
        <v>46042</v>
      </c>
      <c r="J84" s="37" t="s">
        <v>86</v>
      </c>
      <c r="K84" s="37" t="s">
        <v>103</v>
      </c>
      <c r="L84" s="43" t="s">
        <v>193</v>
      </c>
      <c r="M84" s="43" t="s">
        <v>64</v>
      </c>
      <c r="N84" s="43"/>
      <c r="O84" s="42"/>
      <c r="P84" s="43" t="str">
        <f t="shared" si="1"/>
        <v>ONAY</v>
      </c>
    </row>
    <row r="85" spans="1:17" ht="63" customHeight="1" x14ac:dyDescent="0.25">
      <c r="A85" s="36" t="s">
        <v>514</v>
      </c>
      <c r="B85" s="36" t="s">
        <v>515</v>
      </c>
      <c r="C85" s="37" t="s">
        <v>99</v>
      </c>
      <c r="D85" s="37" t="s">
        <v>100</v>
      </c>
      <c r="E85" s="38" t="s">
        <v>516</v>
      </c>
      <c r="F85" s="38" t="s">
        <v>517</v>
      </c>
      <c r="G85" s="39" t="s">
        <v>34</v>
      </c>
      <c r="H85" s="40">
        <v>46034</v>
      </c>
      <c r="I85" s="41">
        <v>46042</v>
      </c>
      <c r="J85" s="37" t="s">
        <v>116</v>
      </c>
      <c r="K85" s="37" t="s">
        <v>103</v>
      </c>
      <c r="L85" s="43" t="s">
        <v>193</v>
      </c>
      <c r="M85" s="43" t="s">
        <v>88</v>
      </c>
      <c r="N85" s="43"/>
      <c r="O85" s="42"/>
      <c r="P85" s="43" t="str">
        <f t="shared" si="1"/>
        <v>DÜZELTME</v>
      </c>
    </row>
    <row r="86" spans="1:17" ht="63" customHeight="1" x14ac:dyDescent="0.25">
      <c r="A86" s="36" t="s">
        <v>518</v>
      </c>
      <c r="B86" s="36" t="s">
        <v>519</v>
      </c>
      <c r="C86" s="37" t="s">
        <v>520</v>
      </c>
      <c r="D86" s="37" t="s">
        <v>100</v>
      </c>
      <c r="E86" s="38" t="s">
        <v>521</v>
      </c>
      <c r="F86" s="38" t="s">
        <v>522</v>
      </c>
      <c r="G86" s="39" t="s">
        <v>34</v>
      </c>
      <c r="H86" s="40">
        <v>46036</v>
      </c>
      <c r="I86" s="41">
        <v>46042</v>
      </c>
      <c r="J86" s="37" t="s">
        <v>96</v>
      </c>
      <c r="K86" s="37" t="s">
        <v>87</v>
      </c>
      <c r="L86" s="43" t="s">
        <v>64</v>
      </c>
      <c r="M86" s="43"/>
      <c r="N86" s="43"/>
      <c r="O86" s="42"/>
      <c r="P86" s="43" t="str">
        <f t="shared" si="1"/>
        <v>ONAY</v>
      </c>
    </row>
    <row r="87" spans="1:17" ht="78.75" customHeight="1" x14ac:dyDescent="0.25">
      <c r="A87" s="36" t="s">
        <v>523</v>
      </c>
      <c r="B87" s="36" t="s">
        <v>524</v>
      </c>
      <c r="C87" s="37" t="s">
        <v>525</v>
      </c>
      <c r="D87" s="37" t="s">
        <v>526</v>
      </c>
      <c r="E87" s="38" t="s">
        <v>527</v>
      </c>
      <c r="F87" s="38" t="s">
        <v>528</v>
      </c>
      <c r="G87" s="39" t="s">
        <v>35</v>
      </c>
      <c r="H87" s="40">
        <v>46036</v>
      </c>
      <c r="I87" s="41">
        <v>46042</v>
      </c>
      <c r="J87" s="37" t="s">
        <v>110</v>
      </c>
      <c r="K87" s="37" t="s">
        <v>71</v>
      </c>
      <c r="L87" s="43" t="s">
        <v>88</v>
      </c>
      <c r="M87" s="43" t="s">
        <v>64</v>
      </c>
      <c r="N87" s="43"/>
      <c r="O87" s="42"/>
      <c r="P87" s="43" t="str">
        <f t="shared" si="1"/>
        <v>ONAY</v>
      </c>
      <c r="Q87" s="26" t="s">
        <v>110</v>
      </c>
    </row>
    <row r="88" spans="1:17" ht="78.75" customHeight="1" x14ac:dyDescent="0.25">
      <c r="A88" s="36" t="s">
        <v>529</v>
      </c>
      <c r="B88" s="36" t="s">
        <v>530</v>
      </c>
      <c r="C88" s="37" t="s">
        <v>464</v>
      </c>
      <c r="D88" s="37" t="s">
        <v>209</v>
      </c>
      <c r="E88" s="38" t="s">
        <v>531</v>
      </c>
      <c r="F88" s="38" t="s">
        <v>532</v>
      </c>
      <c r="G88" s="39" t="s">
        <v>34</v>
      </c>
      <c r="H88" s="40">
        <v>46036</v>
      </c>
      <c r="I88" s="41">
        <v>46042</v>
      </c>
      <c r="J88" s="37" t="s">
        <v>103</v>
      </c>
      <c r="K88" s="37" t="s">
        <v>79</v>
      </c>
      <c r="L88" s="43" t="s">
        <v>64</v>
      </c>
      <c r="M88" s="43"/>
      <c r="N88" s="43"/>
      <c r="O88" s="42"/>
      <c r="P88" s="43" t="str">
        <f t="shared" si="1"/>
        <v>ONAY</v>
      </c>
    </row>
    <row r="89" spans="1:17" ht="63" customHeight="1" x14ac:dyDescent="0.25">
      <c r="A89" s="36" t="s">
        <v>533</v>
      </c>
      <c r="B89" s="36" t="s">
        <v>534</v>
      </c>
      <c r="C89" s="37" t="s">
        <v>535</v>
      </c>
      <c r="D89" s="37" t="s">
        <v>180</v>
      </c>
      <c r="E89" s="38" t="s">
        <v>536</v>
      </c>
      <c r="F89" s="38" t="s">
        <v>537</v>
      </c>
      <c r="G89" s="39" t="s">
        <v>34</v>
      </c>
      <c r="H89" s="40">
        <v>46036</v>
      </c>
      <c r="I89" s="41">
        <v>46042</v>
      </c>
      <c r="J89" s="37" t="s">
        <v>95</v>
      </c>
      <c r="K89" s="37" t="s">
        <v>96</v>
      </c>
      <c r="L89" s="43" t="s">
        <v>64</v>
      </c>
      <c r="M89" s="43"/>
      <c r="N89" s="43"/>
      <c r="O89" s="42"/>
      <c r="P89" s="43" t="str">
        <f t="shared" si="1"/>
        <v>ONAY</v>
      </c>
    </row>
    <row r="90" spans="1:17" ht="63" customHeight="1" x14ac:dyDescent="0.25">
      <c r="A90" s="36" t="s">
        <v>538</v>
      </c>
      <c r="B90" s="36" t="s">
        <v>539</v>
      </c>
      <c r="C90" s="37" t="s">
        <v>535</v>
      </c>
      <c r="D90" s="37" t="s">
        <v>180</v>
      </c>
      <c r="E90" s="38" t="s">
        <v>536</v>
      </c>
      <c r="F90" s="38" t="s">
        <v>540</v>
      </c>
      <c r="G90" s="39" t="s">
        <v>34</v>
      </c>
      <c r="H90" s="40">
        <v>46036</v>
      </c>
      <c r="I90" s="41">
        <v>46042</v>
      </c>
      <c r="J90" s="37" t="s">
        <v>79</v>
      </c>
      <c r="K90" s="37" t="s">
        <v>116</v>
      </c>
      <c r="L90" s="43" t="s">
        <v>64</v>
      </c>
      <c r="M90" s="43"/>
      <c r="N90" s="43"/>
      <c r="O90" s="42"/>
      <c r="P90" s="43" t="str">
        <f t="shared" si="1"/>
        <v>ONAY</v>
      </c>
    </row>
    <row r="91" spans="1:17" ht="78.75" customHeight="1" x14ac:dyDescent="0.25">
      <c r="A91" s="36" t="s">
        <v>541</v>
      </c>
      <c r="B91" s="36" t="s">
        <v>542</v>
      </c>
      <c r="C91" s="37" t="s">
        <v>366</v>
      </c>
      <c r="D91" s="37" t="s">
        <v>209</v>
      </c>
      <c r="E91" s="38" t="s">
        <v>543</v>
      </c>
      <c r="F91" s="38" t="s">
        <v>544</v>
      </c>
      <c r="G91" s="39" t="s">
        <v>34</v>
      </c>
      <c r="H91" s="40">
        <v>46036</v>
      </c>
      <c r="I91" s="41">
        <v>46042</v>
      </c>
      <c r="J91" s="37" t="s">
        <v>63</v>
      </c>
      <c r="K91" s="37" t="s">
        <v>86</v>
      </c>
      <c r="L91" s="43" t="s">
        <v>88</v>
      </c>
      <c r="M91" s="43" t="s">
        <v>64</v>
      </c>
      <c r="N91" s="43"/>
      <c r="O91" s="42"/>
      <c r="P91" s="43" t="str">
        <f t="shared" si="1"/>
        <v>ONAY</v>
      </c>
      <c r="Q91" s="26" t="s">
        <v>63</v>
      </c>
    </row>
    <row r="92" spans="1:17" ht="63" customHeight="1" x14ac:dyDescent="0.25">
      <c r="A92" s="36" t="s">
        <v>545</v>
      </c>
      <c r="B92" s="36" t="s">
        <v>546</v>
      </c>
      <c r="C92" s="37" t="s">
        <v>547</v>
      </c>
      <c r="D92" s="37" t="s">
        <v>100</v>
      </c>
      <c r="E92" s="38" t="s">
        <v>548</v>
      </c>
      <c r="F92" s="38" t="s">
        <v>549</v>
      </c>
      <c r="G92" s="39" t="s">
        <v>34</v>
      </c>
      <c r="H92" s="40">
        <v>46036</v>
      </c>
      <c r="I92" s="41">
        <v>46042</v>
      </c>
      <c r="J92" s="37" t="s">
        <v>87</v>
      </c>
      <c r="K92" s="37" t="s">
        <v>110</v>
      </c>
      <c r="L92" s="43" t="s">
        <v>64</v>
      </c>
      <c r="M92" s="43"/>
      <c r="N92" s="43"/>
      <c r="O92" s="42"/>
      <c r="P92" s="43" t="str">
        <f t="shared" si="1"/>
        <v>ONAY</v>
      </c>
    </row>
    <row r="93" spans="1:17" ht="63" customHeight="1" x14ac:dyDescent="0.25">
      <c r="A93" s="36" t="s">
        <v>550</v>
      </c>
      <c r="B93" s="36" t="s">
        <v>551</v>
      </c>
      <c r="C93" s="37" t="s">
        <v>179</v>
      </c>
      <c r="D93" s="37" t="s">
        <v>180</v>
      </c>
      <c r="E93" s="38" t="s">
        <v>552</v>
      </c>
      <c r="F93" s="38" t="s">
        <v>553</v>
      </c>
      <c r="G93" s="39" t="s">
        <v>34</v>
      </c>
      <c r="H93" s="40">
        <v>46036</v>
      </c>
      <c r="I93" s="41">
        <v>46042</v>
      </c>
      <c r="J93" s="37" t="s">
        <v>95</v>
      </c>
      <c r="K93" s="37" t="s">
        <v>103</v>
      </c>
      <c r="L93" s="43" t="s">
        <v>64</v>
      </c>
      <c r="M93" s="43"/>
      <c r="N93" s="43"/>
      <c r="O93" s="42"/>
      <c r="P93" s="43" t="str">
        <f t="shared" si="1"/>
        <v>ONAY</v>
      </c>
    </row>
    <row r="94" spans="1:17" ht="63" customHeight="1" x14ac:dyDescent="0.25">
      <c r="A94" s="36" t="s">
        <v>554</v>
      </c>
      <c r="B94" s="36" t="s">
        <v>555</v>
      </c>
      <c r="C94" s="37" t="s">
        <v>63</v>
      </c>
      <c r="D94" s="37" t="s">
        <v>209</v>
      </c>
      <c r="E94" s="38" t="s">
        <v>556</v>
      </c>
      <c r="F94" s="38" t="s">
        <v>557</v>
      </c>
      <c r="G94" s="39" t="s">
        <v>35</v>
      </c>
      <c r="H94" s="40">
        <v>46036</v>
      </c>
      <c r="I94" s="41">
        <v>46042</v>
      </c>
      <c r="J94" s="37" t="s">
        <v>96</v>
      </c>
      <c r="K94" s="37" t="s">
        <v>110</v>
      </c>
      <c r="L94" s="43" t="s">
        <v>64</v>
      </c>
      <c r="M94" s="43"/>
      <c r="N94" s="43"/>
      <c r="O94" s="42"/>
      <c r="P94" s="43" t="str">
        <f t="shared" si="1"/>
        <v>ONAY</v>
      </c>
    </row>
    <row r="95" spans="1:17" ht="78.75" customHeight="1" x14ac:dyDescent="0.25">
      <c r="A95" s="36" t="s">
        <v>558</v>
      </c>
      <c r="B95" s="36" t="s">
        <v>559</v>
      </c>
      <c r="C95" s="37" t="s">
        <v>560</v>
      </c>
      <c r="D95" s="37" t="s">
        <v>209</v>
      </c>
      <c r="E95" s="38" t="s">
        <v>561</v>
      </c>
      <c r="F95" s="38" t="s">
        <v>562</v>
      </c>
      <c r="G95" s="39" t="s">
        <v>35</v>
      </c>
      <c r="H95" s="40">
        <v>46036</v>
      </c>
      <c r="I95" s="41">
        <v>46042</v>
      </c>
      <c r="J95" s="37" t="s">
        <v>78</v>
      </c>
      <c r="K95" s="37" t="s">
        <v>63</v>
      </c>
      <c r="L95" s="43" t="s">
        <v>88</v>
      </c>
      <c r="M95" s="43" t="s">
        <v>64</v>
      </c>
      <c r="N95" s="43"/>
      <c r="O95" s="42"/>
      <c r="P95" s="43" t="str">
        <f t="shared" si="1"/>
        <v>ONAY</v>
      </c>
      <c r="Q95" s="26" t="s">
        <v>78</v>
      </c>
    </row>
    <row r="96" spans="1:17" ht="78.75" customHeight="1" x14ac:dyDescent="0.25">
      <c r="A96" s="36" t="s">
        <v>563</v>
      </c>
      <c r="B96" s="36" t="s">
        <v>564</v>
      </c>
      <c r="C96" s="37" t="s">
        <v>565</v>
      </c>
      <c r="D96" s="37" t="s">
        <v>100</v>
      </c>
      <c r="E96" s="38" t="s">
        <v>566</v>
      </c>
      <c r="F96" s="38" t="s">
        <v>567</v>
      </c>
      <c r="G96" s="39" t="s">
        <v>34</v>
      </c>
      <c r="H96" s="40">
        <v>46036</v>
      </c>
      <c r="I96" s="41">
        <v>46042</v>
      </c>
      <c r="J96" s="37" t="s">
        <v>86</v>
      </c>
      <c r="K96" s="37" t="s">
        <v>87</v>
      </c>
      <c r="L96" s="43" t="s">
        <v>64</v>
      </c>
      <c r="M96" s="43"/>
      <c r="N96" s="43"/>
      <c r="O96" s="42"/>
      <c r="P96" s="43" t="str">
        <f t="shared" si="1"/>
        <v>ONAY</v>
      </c>
    </row>
    <row r="97" spans="1:17" ht="47.25" customHeight="1" x14ac:dyDescent="0.25">
      <c r="A97" s="36" t="s">
        <v>568</v>
      </c>
      <c r="B97" s="36" t="s">
        <v>569</v>
      </c>
      <c r="C97" s="37" t="s">
        <v>570</v>
      </c>
      <c r="D97" s="37" t="s">
        <v>571</v>
      </c>
      <c r="E97" s="38" t="s">
        <v>572</v>
      </c>
      <c r="F97" s="38" t="s">
        <v>573</v>
      </c>
      <c r="G97" s="39" t="s">
        <v>37</v>
      </c>
      <c r="H97" s="40">
        <v>46037</v>
      </c>
      <c r="I97" s="41">
        <v>46042</v>
      </c>
      <c r="J97" s="37" t="s">
        <v>78</v>
      </c>
      <c r="K97" s="37" t="s">
        <v>86</v>
      </c>
      <c r="L97" s="43" t="s">
        <v>64</v>
      </c>
      <c r="M97" s="43"/>
      <c r="N97" s="43"/>
      <c r="O97" s="42"/>
      <c r="P97" s="43" t="str">
        <f t="shared" si="1"/>
        <v>ONAY</v>
      </c>
    </row>
    <row r="98" spans="1:17" ht="47.25" customHeight="1" x14ac:dyDescent="0.25">
      <c r="A98" s="36" t="s">
        <v>574</v>
      </c>
      <c r="B98" s="36" t="s">
        <v>575</v>
      </c>
      <c r="C98" s="37" t="s">
        <v>99</v>
      </c>
      <c r="D98" s="37" t="s">
        <v>100</v>
      </c>
      <c r="E98" s="38" t="s">
        <v>576</v>
      </c>
      <c r="F98" s="38" t="s">
        <v>577</v>
      </c>
      <c r="G98" s="39" t="s">
        <v>34</v>
      </c>
      <c r="H98" s="40">
        <v>46037</v>
      </c>
      <c r="I98" s="41">
        <v>46042</v>
      </c>
      <c r="J98" s="37" t="s">
        <v>116</v>
      </c>
      <c r="K98" s="37" t="s">
        <v>71</v>
      </c>
      <c r="L98" s="43" t="s">
        <v>64</v>
      </c>
      <c r="M98" s="43"/>
      <c r="N98" s="43"/>
      <c r="O98" s="42"/>
      <c r="P98" s="43" t="str">
        <f t="shared" si="1"/>
        <v>ONAY</v>
      </c>
    </row>
    <row r="99" spans="1:17" ht="47.25" customHeight="1" x14ac:dyDescent="0.25">
      <c r="A99" s="36" t="s">
        <v>578</v>
      </c>
      <c r="B99" s="36" t="s">
        <v>579</v>
      </c>
      <c r="C99" s="37" t="s">
        <v>99</v>
      </c>
      <c r="D99" s="37" t="s">
        <v>100</v>
      </c>
      <c r="E99" s="38" t="s">
        <v>576</v>
      </c>
      <c r="F99" s="38" t="s">
        <v>580</v>
      </c>
      <c r="G99" s="39" t="s">
        <v>34</v>
      </c>
      <c r="H99" s="40">
        <v>46037</v>
      </c>
      <c r="I99" s="41">
        <v>46042</v>
      </c>
      <c r="J99" s="37" t="s">
        <v>116</v>
      </c>
      <c r="K99" s="37" t="s">
        <v>71</v>
      </c>
      <c r="L99" s="43" t="s">
        <v>64</v>
      </c>
      <c r="M99" s="43"/>
      <c r="N99" s="43"/>
      <c r="O99" s="42"/>
      <c r="P99" s="43" t="str">
        <f t="shared" si="1"/>
        <v>ONAY</v>
      </c>
    </row>
    <row r="100" spans="1:17" ht="63" customHeight="1" x14ac:dyDescent="0.25">
      <c r="A100" s="36" t="s">
        <v>581</v>
      </c>
      <c r="B100" s="36" t="s">
        <v>582</v>
      </c>
      <c r="C100" s="37" t="s">
        <v>570</v>
      </c>
      <c r="D100" s="37" t="s">
        <v>571</v>
      </c>
      <c r="E100" s="38" t="s">
        <v>583</v>
      </c>
      <c r="F100" s="38" t="s">
        <v>584</v>
      </c>
      <c r="G100" s="39" t="s">
        <v>37</v>
      </c>
      <c r="H100" s="40">
        <v>46037</v>
      </c>
      <c r="I100" s="41">
        <v>46042</v>
      </c>
      <c r="J100" s="37" t="s">
        <v>78</v>
      </c>
      <c r="K100" s="37" t="s">
        <v>79</v>
      </c>
      <c r="L100" s="43" t="s">
        <v>64</v>
      </c>
      <c r="M100" s="43"/>
      <c r="N100" s="43"/>
      <c r="O100" s="42"/>
      <c r="P100" s="43" t="str">
        <f t="shared" si="1"/>
        <v>ONAY</v>
      </c>
    </row>
    <row r="101" spans="1:17" ht="78.75" customHeight="1" x14ac:dyDescent="0.25">
      <c r="A101" s="36" t="s">
        <v>585</v>
      </c>
      <c r="B101" s="36" t="s">
        <v>586</v>
      </c>
      <c r="C101" s="37" t="s">
        <v>464</v>
      </c>
      <c r="D101" s="37" t="s">
        <v>209</v>
      </c>
      <c r="E101" s="38" t="s">
        <v>587</v>
      </c>
      <c r="F101" s="38" t="s">
        <v>588</v>
      </c>
      <c r="G101" s="39" t="s">
        <v>34</v>
      </c>
      <c r="H101" s="40">
        <v>46037</v>
      </c>
      <c r="I101" s="41">
        <v>46042</v>
      </c>
      <c r="J101" s="37" t="s">
        <v>62</v>
      </c>
      <c r="K101" s="37" t="s">
        <v>78</v>
      </c>
      <c r="L101" s="43" t="s">
        <v>64</v>
      </c>
      <c r="M101" s="43"/>
      <c r="N101" s="43"/>
      <c r="O101" s="42"/>
      <c r="P101" s="43" t="str">
        <f t="shared" si="1"/>
        <v>ONAY</v>
      </c>
    </row>
    <row r="102" spans="1:17" ht="79.5" customHeight="1" x14ac:dyDescent="0.25">
      <c r="A102" s="36" t="s">
        <v>589</v>
      </c>
      <c r="B102" s="36" t="s">
        <v>590</v>
      </c>
      <c r="C102" s="37" t="s">
        <v>591</v>
      </c>
      <c r="D102" s="37" t="s">
        <v>202</v>
      </c>
      <c r="E102" s="38" t="s">
        <v>592</v>
      </c>
      <c r="F102" s="38" t="s">
        <v>593</v>
      </c>
      <c r="G102" s="39" t="s">
        <v>35</v>
      </c>
      <c r="H102" s="40">
        <v>46044</v>
      </c>
      <c r="I102" s="41">
        <v>46057</v>
      </c>
      <c r="J102" s="37" t="s">
        <v>110</v>
      </c>
      <c r="K102" s="37" t="s">
        <v>71</v>
      </c>
      <c r="L102" s="43" t="s">
        <v>64</v>
      </c>
      <c r="M102" s="43"/>
      <c r="N102" s="43"/>
      <c r="O102" s="42"/>
      <c r="P102" s="43" t="str">
        <f t="shared" si="1"/>
        <v>ONAY</v>
      </c>
    </row>
    <row r="103" spans="1:17" ht="94.5" customHeight="1" x14ac:dyDescent="0.25">
      <c r="A103" s="36" t="s">
        <v>594</v>
      </c>
      <c r="B103" s="36" t="s">
        <v>595</v>
      </c>
      <c r="C103" s="37" t="s">
        <v>596</v>
      </c>
      <c r="D103" s="37" t="s">
        <v>150</v>
      </c>
      <c r="E103" s="38" t="s">
        <v>597</v>
      </c>
      <c r="F103" s="38" t="s">
        <v>598</v>
      </c>
      <c r="G103" s="39" t="s">
        <v>34</v>
      </c>
      <c r="H103" s="40">
        <v>46044</v>
      </c>
      <c r="I103" s="41">
        <v>46057</v>
      </c>
      <c r="J103" s="37" t="s">
        <v>116</v>
      </c>
      <c r="K103" s="37" t="s">
        <v>96</v>
      </c>
      <c r="L103" s="43" t="s">
        <v>88</v>
      </c>
      <c r="M103" s="43" t="s">
        <v>64</v>
      </c>
      <c r="N103" s="43"/>
      <c r="O103" s="42"/>
      <c r="P103" s="43" t="str">
        <f t="shared" si="1"/>
        <v>ONAY</v>
      </c>
      <c r="Q103" s="26" t="s">
        <v>116</v>
      </c>
    </row>
    <row r="104" spans="1:17" ht="63" customHeight="1" x14ac:dyDescent="0.25">
      <c r="A104" s="36" t="s">
        <v>599</v>
      </c>
      <c r="B104" s="36" t="s">
        <v>600</v>
      </c>
      <c r="C104" s="37" t="s">
        <v>87</v>
      </c>
      <c r="D104" s="37" t="s">
        <v>120</v>
      </c>
      <c r="E104" s="38" t="s">
        <v>601</v>
      </c>
      <c r="F104" s="38" t="s">
        <v>602</v>
      </c>
      <c r="G104" s="39" t="s">
        <v>35</v>
      </c>
      <c r="H104" s="40">
        <v>46044</v>
      </c>
      <c r="I104" s="41">
        <v>46057</v>
      </c>
      <c r="J104" s="37" t="s">
        <v>78</v>
      </c>
      <c r="K104" s="37" t="s">
        <v>63</v>
      </c>
      <c r="L104" s="43" t="s">
        <v>64</v>
      </c>
      <c r="M104" s="43"/>
      <c r="N104" s="43"/>
      <c r="O104" s="42"/>
      <c r="P104" s="43" t="str">
        <f t="shared" si="1"/>
        <v>ONAY</v>
      </c>
    </row>
    <row r="105" spans="1:17" ht="97.5" customHeight="1" x14ac:dyDescent="0.25">
      <c r="A105" s="36" t="s">
        <v>603</v>
      </c>
      <c r="B105" s="36" t="s">
        <v>604</v>
      </c>
      <c r="C105" s="37" t="s">
        <v>605</v>
      </c>
      <c r="D105" s="37" t="s">
        <v>100</v>
      </c>
      <c r="E105" s="38" t="s">
        <v>606</v>
      </c>
      <c r="F105" s="38" t="s">
        <v>607</v>
      </c>
      <c r="G105" s="39" t="s">
        <v>34</v>
      </c>
      <c r="H105" s="40">
        <v>46044</v>
      </c>
      <c r="I105" s="41">
        <v>46057</v>
      </c>
      <c r="J105" s="37" t="s">
        <v>96</v>
      </c>
      <c r="K105" s="37" t="s">
        <v>71</v>
      </c>
      <c r="L105" s="43" t="s">
        <v>64</v>
      </c>
      <c r="M105" s="43"/>
      <c r="N105" s="43"/>
      <c r="O105" s="42"/>
      <c r="P105" s="43" t="str">
        <f t="shared" si="1"/>
        <v>ONAY</v>
      </c>
    </row>
    <row r="106" spans="1:17" ht="78.75" customHeight="1" x14ac:dyDescent="0.25">
      <c r="A106" s="36" t="s">
        <v>608</v>
      </c>
      <c r="B106" s="36" t="s">
        <v>609</v>
      </c>
      <c r="C106" s="37" t="s">
        <v>610</v>
      </c>
      <c r="D106" s="37" t="s">
        <v>156</v>
      </c>
      <c r="E106" s="38" t="s">
        <v>611</v>
      </c>
      <c r="F106" s="38" t="s">
        <v>612</v>
      </c>
      <c r="G106" s="39" t="s">
        <v>34</v>
      </c>
      <c r="H106" s="40">
        <v>46044</v>
      </c>
      <c r="I106" s="41">
        <v>46057</v>
      </c>
      <c r="J106" s="37" t="s">
        <v>96</v>
      </c>
      <c r="K106" s="37" t="s">
        <v>62</v>
      </c>
      <c r="L106" s="43" t="s">
        <v>64</v>
      </c>
      <c r="M106" s="43"/>
      <c r="N106" s="43"/>
      <c r="O106" s="42"/>
      <c r="P106" s="43" t="str">
        <f t="shared" si="1"/>
        <v>ONAY</v>
      </c>
    </row>
    <row r="107" spans="1:17" ht="63" customHeight="1" x14ac:dyDescent="0.25">
      <c r="A107" s="36" t="s">
        <v>613</v>
      </c>
      <c r="B107" s="36" t="s">
        <v>614</v>
      </c>
      <c r="C107" s="37" t="s">
        <v>615</v>
      </c>
      <c r="D107" s="37" t="s">
        <v>215</v>
      </c>
      <c r="E107" s="38" t="s">
        <v>616</v>
      </c>
      <c r="F107" s="38" t="s">
        <v>617</v>
      </c>
      <c r="G107" s="39" t="s">
        <v>34</v>
      </c>
      <c r="H107" s="40">
        <v>46044</v>
      </c>
      <c r="I107" s="41">
        <v>46057</v>
      </c>
      <c r="J107" s="37" t="s">
        <v>87</v>
      </c>
      <c r="K107" s="37" t="s">
        <v>116</v>
      </c>
      <c r="L107" s="43" t="s">
        <v>64</v>
      </c>
      <c r="M107" s="43"/>
      <c r="N107" s="43"/>
      <c r="O107" s="42"/>
      <c r="P107" s="43" t="str">
        <f t="shared" si="1"/>
        <v>ONAY</v>
      </c>
    </row>
    <row r="108" spans="1:17" ht="110.25" customHeight="1" x14ac:dyDescent="0.25">
      <c r="A108" s="36" t="s">
        <v>618</v>
      </c>
      <c r="B108" s="36" t="s">
        <v>619</v>
      </c>
      <c r="C108" s="37" t="s">
        <v>620</v>
      </c>
      <c r="D108" s="37" t="s">
        <v>215</v>
      </c>
      <c r="E108" s="38" t="s">
        <v>621</v>
      </c>
      <c r="F108" s="38" t="s">
        <v>622</v>
      </c>
      <c r="G108" s="39" t="s">
        <v>34</v>
      </c>
      <c r="H108" s="40">
        <v>46044</v>
      </c>
      <c r="I108" s="41">
        <v>46057</v>
      </c>
      <c r="J108" s="37" t="s">
        <v>62</v>
      </c>
      <c r="K108" s="37" t="s">
        <v>63</v>
      </c>
      <c r="L108" s="43" t="s">
        <v>88</v>
      </c>
      <c r="M108" s="43" t="s">
        <v>64</v>
      </c>
      <c r="N108" s="43"/>
      <c r="O108" s="42"/>
      <c r="P108" s="43" t="str">
        <f t="shared" si="1"/>
        <v>ONAY</v>
      </c>
      <c r="Q108" s="26" t="s">
        <v>62</v>
      </c>
    </row>
    <row r="109" spans="1:17" ht="78.75" customHeight="1" x14ac:dyDescent="0.25">
      <c r="A109" s="36" t="s">
        <v>623</v>
      </c>
      <c r="B109" s="36" t="s">
        <v>624</v>
      </c>
      <c r="C109" s="37" t="s">
        <v>625</v>
      </c>
      <c r="D109" s="37" t="s">
        <v>471</v>
      </c>
      <c r="E109" s="38" t="s">
        <v>626</v>
      </c>
      <c r="F109" s="38" t="s">
        <v>627</v>
      </c>
      <c r="G109" s="39" t="s">
        <v>34</v>
      </c>
      <c r="H109" s="40">
        <v>46044</v>
      </c>
      <c r="I109" s="41">
        <v>46057</v>
      </c>
      <c r="J109" s="37" t="s">
        <v>110</v>
      </c>
      <c r="K109" s="37" t="s">
        <v>87</v>
      </c>
      <c r="L109" s="43" t="s">
        <v>64</v>
      </c>
      <c r="M109" s="43"/>
      <c r="N109" s="43"/>
      <c r="O109" s="42"/>
      <c r="P109" s="43" t="str">
        <f t="shared" si="1"/>
        <v>ONAY</v>
      </c>
    </row>
    <row r="110" spans="1:17" ht="78.75" customHeight="1" x14ac:dyDescent="0.25">
      <c r="A110" s="36" t="s">
        <v>628</v>
      </c>
      <c r="B110" s="36" t="s">
        <v>629</v>
      </c>
      <c r="C110" s="37" t="s">
        <v>630</v>
      </c>
      <c r="D110" s="37" t="s">
        <v>209</v>
      </c>
      <c r="E110" s="38" t="s">
        <v>631</v>
      </c>
      <c r="F110" s="38" t="s">
        <v>632</v>
      </c>
      <c r="G110" s="39" t="s">
        <v>34</v>
      </c>
      <c r="H110" s="40">
        <v>46044</v>
      </c>
      <c r="I110" s="41">
        <v>46057</v>
      </c>
      <c r="J110" s="37" t="s">
        <v>63</v>
      </c>
      <c r="K110" s="37" t="s">
        <v>71</v>
      </c>
      <c r="L110" s="43" t="s">
        <v>64</v>
      </c>
      <c r="M110" s="43"/>
      <c r="N110" s="43"/>
      <c r="O110" s="42"/>
      <c r="P110" s="43" t="str">
        <f t="shared" si="1"/>
        <v>ONAY</v>
      </c>
    </row>
    <row r="111" spans="1:17" ht="81.75" customHeight="1" x14ac:dyDescent="0.25">
      <c r="A111" s="36" t="s">
        <v>633</v>
      </c>
      <c r="B111" s="36" t="s">
        <v>634</v>
      </c>
      <c r="C111" s="37" t="s">
        <v>383</v>
      </c>
      <c r="D111" s="37" t="s">
        <v>384</v>
      </c>
      <c r="E111" s="38" t="s">
        <v>635</v>
      </c>
      <c r="F111" s="38" t="s">
        <v>636</v>
      </c>
      <c r="G111" s="39" t="s">
        <v>34</v>
      </c>
      <c r="H111" s="40">
        <v>46044</v>
      </c>
      <c r="I111" s="41">
        <v>46057</v>
      </c>
      <c r="J111" s="37" t="s">
        <v>71</v>
      </c>
      <c r="K111" s="37" t="s">
        <v>110</v>
      </c>
      <c r="L111" s="43" t="s">
        <v>64</v>
      </c>
      <c r="M111" s="43"/>
      <c r="N111" s="43"/>
      <c r="O111" s="42"/>
      <c r="P111" s="43" t="str">
        <f t="shared" si="1"/>
        <v>ONAY</v>
      </c>
    </row>
    <row r="112" spans="1:17" ht="94.5" customHeight="1" x14ac:dyDescent="0.25">
      <c r="A112" s="36" t="s">
        <v>637</v>
      </c>
      <c r="B112" s="36" t="s">
        <v>638</v>
      </c>
      <c r="C112" s="37" t="s">
        <v>639</v>
      </c>
      <c r="D112" s="37" t="s">
        <v>351</v>
      </c>
      <c r="E112" s="38" t="s">
        <v>640</v>
      </c>
      <c r="F112" s="38" t="s">
        <v>641</v>
      </c>
      <c r="G112" s="39" t="s">
        <v>34</v>
      </c>
      <c r="H112" s="40">
        <v>46044</v>
      </c>
      <c r="I112" s="41">
        <v>46057</v>
      </c>
      <c r="J112" s="37" t="s">
        <v>63</v>
      </c>
      <c r="K112" s="37" t="s">
        <v>87</v>
      </c>
      <c r="L112" s="43" t="s">
        <v>88</v>
      </c>
      <c r="M112" s="43" t="s">
        <v>64</v>
      </c>
      <c r="N112" s="43"/>
      <c r="O112" s="42"/>
      <c r="P112" s="43" t="str">
        <f t="shared" si="1"/>
        <v>ONAY</v>
      </c>
      <c r="Q112" s="26" t="s">
        <v>87</v>
      </c>
    </row>
    <row r="113" spans="1:17" ht="63" customHeight="1" x14ac:dyDescent="0.25">
      <c r="A113" s="36" t="s">
        <v>642</v>
      </c>
      <c r="B113" s="36" t="s">
        <v>643</v>
      </c>
      <c r="C113" s="37" t="s">
        <v>644</v>
      </c>
      <c r="D113" s="37" t="s">
        <v>284</v>
      </c>
      <c r="E113" s="38" t="s">
        <v>645</v>
      </c>
      <c r="F113" s="38" t="s">
        <v>646</v>
      </c>
      <c r="G113" s="39" t="s">
        <v>34</v>
      </c>
      <c r="H113" s="40">
        <v>46044</v>
      </c>
      <c r="I113" s="41">
        <v>46057</v>
      </c>
      <c r="J113" s="37" t="s">
        <v>110</v>
      </c>
      <c r="K113" s="37" t="s">
        <v>116</v>
      </c>
      <c r="L113" s="43" t="s">
        <v>64</v>
      </c>
      <c r="M113" s="43"/>
      <c r="N113" s="43"/>
      <c r="O113" s="42"/>
      <c r="P113" s="43" t="str">
        <f t="shared" si="1"/>
        <v>ONAY</v>
      </c>
    </row>
    <row r="114" spans="1:17" ht="78.75" customHeight="1" x14ac:dyDescent="0.25">
      <c r="A114" s="36" t="s">
        <v>647</v>
      </c>
      <c r="B114" s="36" t="s">
        <v>648</v>
      </c>
      <c r="C114" s="37" t="s">
        <v>103</v>
      </c>
      <c r="D114" s="37" t="s">
        <v>649</v>
      </c>
      <c r="E114" s="38" t="s">
        <v>650</v>
      </c>
      <c r="F114" s="38" t="s">
        <v>651</v>
      </c>
      <c r="G114" s="39" t="s">
        <v>37</v>
      </c>
      <c r="H114" s="40">
        <v>46044</v>
      </c>
      <c r="I114" s="41">
        <v>46057</v>
      </c>
      <c r="J114" s="37" t="s">
        <v>62</v>
      </c>
      <c r="K114" s="37" t="s">
        <v>116</v>
      </c>
      <c r="L114" s="43" t="s">
        <v>88</v>
      </c>
      <c r="M114" s="43" t="s">
        <v>64</v>
      </c>
      <c r="N114" s="43"/>
      <c r="O114" s="42"/>
      <c r="P114" s="43" t="str">
        <f t="shared" si="1"/>
        <v>ONAY</v>
      </c>
      <c r="Q114" s="26" t="s">
        <v>62</v>
      </c>
    </row>
    <row r="115" spans="1:17" ht="110.25" customHeight="1" x14ac:dyDescent="0.25">
      <c r="A115" s="36" t="s">
        <v>652</v>
      </c>
      <c r="B115" s="36" t="s">
        <v>653</v>
      </c>
      <c r="C115" s="37" t="s">
        <v>247</v>
      </c>
      <c r="D115" s="37" t="s">
        <v>156</v>
      </c>
      <c r="E115" s="38" t="s">
        <v>654</v>
      </c>
      <c r="F115" s="38" t="s">
        <v>655</v>
      </c>
      <c r="G115" s="39" t="s">
        <v>34</v>
      </c>
      <c r="H115" s="40">
        <v>46044</v>
      </c>
      <c r="I115" s="41">
        <v>46057</v>
      </c>
      <c r="J115" s="37" t="s">
        <v>78</v>
      </c>
      <c r="K115" s="37" t="s">
        <v>87</v>
      </c>
      <c r="L115" s="43" t="s">
        <v>64</v>
      </c>
      <c r="M115" s="43"/>
      <c r="N115" s="43"/>
      <c r="O115" s="42"/>
      <c r="P115" s="43" t="str">
        <f t="shared" si="1"/>
        <v>ONAY</v>
      </c>
    </row>
    <row r="116" spans="1:17" ht="63" customHeight="1" x14ac:dyDescent="0.25">
      <c r="A116" s="36" t="s">
        <v>656</v>
      </c>
      <c r="B116" s="36" t="s">
        <v>657</v>
      </c>
      <c r="C116" s="37" t="s">
        <v>658</v>
      </c>
      <c r="D116" s="37" t="s">
        <v>334</v>
      </c>
      <c r="E116" s="38" t="s">
        <v>659</v>
      </c>
      <c r="F116" s="38" t="s">
        <v>660</v>
      </c>
      <c r="G116" s="39" t="s">
        <v>35</v>
      </c>
      <c r="H116" s="40">
        <v>46044</v>
      </c>
      <c r="I116" s="41">
        <v>46057</v>
      </c>
      <c r="J116" s="37" t="s">
        <v>78</v>
      </c>
      <c r="K116" s="37" t="s">
        <v>96</v>
      </c>
      <c r="L116" s="43" t="s">
        <v>88</v>
      </c>
      <c r="M116" s="43"/>
      <c r="N116" s="43"/>
      <c r="O116" s="42"/>
      <c r="P116" s="43" t="str">
        <f t="shared" si="1"/>
        <v>DÜZELTME</v>
      </c>
    </row>
    <row r="117" spans="1:17" ht="78.75" customHeight="1" x14ac:dyDescent="0.25">
      <c r="A117" s="36" t="s">
        <v>661</v>
      </c>
      <c r="B117" s="36" t="s">
        <v>662</v>
      </c>
      <c r="C117" s="37" t="s">
        <v>663</v>
      </c>
      <c r="D117" s="37" t="s">
        <v>257</v>
      </c>
      <c r="E117" s="38" t="s">
        <v>664</v>
      </c>
      <c r="F117" s="38" t="s">
        <v>665</v>
      </c>
      <c r="G117" s="39" t="s">
        <v>37</v>
      </c>
      <c r="H117" s="40">
        <v>46044</v>
      </c>
      <c r="I117" s="41">
        <v>46057</v>
      </c>
      <c r="J117" s="37" t="s">
        <v>62</v>
      </c>
      <c r="K117" s="37" t="s">
        <v>87</v>
      </c>
      <c r="L117" s="43" t="s">
        <v>64</v>
      </c>
      <c r="M117" s="43"/>
      <c r="N117" s="43"/>
      <c r="O117" s="42"/>
      <c r="P117" s="43" t="str">
        <f t="shared" si="1"/>
        <v>ONAY</v>
      </c>
    </row>
    <row r="118" spans="1:17" ht="63" customHeight="1" x14ac:dyDescent="0.25">
      <c r="A118" s="36" t="s">
        <v>666</v>
      </c>
      <c r="B118" s="36" t="s">
        <v>667</v>
      </c>
      <c r="C118" s="37" t="s">
        <v>668</v>
      </c>
      <c r="D118" s="37" t="s">
        <v>100</v>
      </c>
      <c r="E118" s="38" t="s">
        <v>669</v>
      </c>
      <c r="F118" s="38" t="s">
        <v>670</v>
      </c>
      <c r="G118" s="39" t="s">
        <v>34</v>
      </c>
      <c r="H118" s="40">
        <v>46044</v>
      </c>
      <c r="I118" s="41">
        <v>46057</v>
      </c>
      <c r="J118" s="37" t="s">
        <v>96</v>
      </c>
      <c r="K118" s="37" t="s">
        <v>116</v>
      </c>
      <c r="L118" s="43" t="s">
        <v>88</v>
      </c>
      <c r="M118" s="43" t="s">
        <v>64</v>
      </c>
      <c r="N118" s="43"/>
      <c r="O118" s="42"/>
      <c r="P118" s="43" t="str">
        <f t="shared" si="1"/>
        <v>ONAY</v>
      </c>
      <c r="Q118" s="26" t="s">
        <v>116</v>
      </c>
    </row>
    <row r="119" spans="1:17" ht="94.5" customHeight="1" x14ac:dyDescent="0.25">
      <c r="A119" s="36" t="s">
        <v>671</v>
      </c>
      <c r="B119" s="36" t="s">
        <v>672</v>
      </c>
      <c r="C119" s="37" t="s">
        <v>673</v>
      </c>
      <c r="D119" s="37" t="s">
        <v>674</v>
      </c>
      <c r="E119" s="38" t="s">
        <v>675</v>
      </c>
      <c r="F119" s="38" t="s">
        <v>676</v>
      </c>
      <c r="G119" s="39" t="s">
        <v>34</v>
      </c>
      <c r="H119" s="40">
        <v>46045</v>
      </c>
      <c r="I119" s="41">
        <v>46057</v>
      </c>
      <c r="J119" s="37" t="s">
        <v>62</v>
      </c>
      <c r="K119" s="37" t="s">
        <v>78</v>
      </c>
      <c r="L119" s="43" t="s">
        <v>88</v>
      </c>
      <c r="M119" s="43" t="s">
        <v>64</v>
      </c>
      <c r="N119" s="43"/>
      <c r="O119" s="42"/>
      <c r="P119" s="43" t="str">
        <f t="shared" si="1"/>
        <v>ONAY</v>
      </c>
      <c r="Q119" s="26" t="s">
        <v>78</v>
      </c>
    </row>
    <row r="120" spans="1:17" ht="63" customHeight="1" x14ac:dyDescent="0.25">
      <c r="A120" s="36" t="s">
        <v>677</v>
      </c>
      <c r="B120" s="36" t="s">
        <v>678</v>
      </c>
      <c r="C120" s="37" t="s">
        <v>679</v>
      </c>
      <c r="D120" s="37" t="s">
        <v>257</v>
      </c>
      <c r="E120" s="38" t="s">
        <v>680</v>
      </c>
      <c r="F120" s="38" t="s">
        <v>681</v>
      </c>
      <c r="G120" s="39" t="s">
        <v>34</v>
      </c>
      <c r="H120" s="40">
        <v>46045</v>
      </c>
      <c r="I120" s="41">
        <v>46057</v>
      </c>
      <c r="J120" s="37" t="s">
        <v>62</v>
      </c>
      <c r="K120" s="37" t="s">
        <v>110</v>
      </c>
      <c r="L120" s="43" t="s">
        <v>88</v>
      </c>
      <c r="M120" s="43" t="s">
        <v>64</v>
      </c>
      <c r="N120" s="43"/>
      <c r="O120" s="42"/>
      <c r="P120" s="43" t="str">
        <f t="shared" si="1"/>
        <v>ONAY</v>
      </c>
      <c r="Q120" s="26" t="s">
        <v>62</v>
      </c>
    </row>
    <row r="121" spans="1:17" ht="94.5" customHeight="1" x14ac:dyDescent="0.25">
      <c r="A121" s="36" t="s">
        <v>682</v>
      </c>
      <c r="B121" s="36" t="s">
        <v>683</v>
      </c>
      <c r="C121" s="37" t="s">
        <v>684</v>
      </c>
      <c r="D121" s="37" t="s">
        <v>685</v>
      </c>
      <c r="E121" s="38" t="s">
        <v>686</v>
      </c>
      <c r="F121" s="38" t="s">
        <v>687</v>
      </c>
      <c r="G121" s="39" t="s">
        <v>34</v>
      </c>
      <c r="H121" s="40">
        <v>46045</v>
      </c>
      <c r="I121" s="41">
        <v>46057</v>
      </c>
      <c r="J121" s="37" t="s">
        <v>62</v>
      </c>
      <c r="K121" s="37" t="s">
        <v>63</v>
      </c>
      <c r="L121" s="43" t="s">
        <v>88</v>
      </c>
      <c r="M121" s="43" t="s">
        <v>64</v>
      </c>
      <c r="N121" s="43"/>
      <c r="O121" s="42"/>
      <c r="P121" s="43" t="str">
        <f t="shared" si="1"/>
        <v>ONAY</v>
      </c>
      <c r="Q121" s="26" t="s">
        <v>62</v>
      </c>
    </row>
    <row r="122" spans="1:17" ht="78.75" customHeight="1" x14ac:dyDescent="0.25">
      <c r="A122" s="36" t="s">
        <v>688</v>
      </c>
      <c r="B122" s="36" t="s">
        <v>689</v>
      </c>
      <c r="C122" s="37" t="s">
        <v>103</v>
      </c>
      <c r="D122" s="37" t="s">
        <v>649</v>
      </c>
      <c r="E122" s="38" t="s">
        <v>690</v>
      </c>
      <c r="F122" s="38" t="s">
        <v>691</v>
      </c>
      <c r="G122" s="39" t="s">
        <v>34</v>
      </c>
      <c r="H122" s="40">
        <v>46045</v>
      </c>
      <c r="I122" s="41">
        <v>46057</v>
      </c>
      <c r="J122" s="37" t="s">
        <v>62</v>
      </c>
      <c r="K122" s="37" t="s">
        <v>110</v>
      </c>
      <c r="L122" s="43" t="s">
        <v>88</v>
      </c>
      <c r="M122" s="43" t="s">
        <v>64</v>
      </c>
      <c r="N122" s="43"/>
      <c r="O122" s="42"/>
      <c r="P122" s="43" t="str">
        <f t="shared" si="1"/>
        <v>ONAY</v>
      </c>
      <c r="Q122" s="26" t="s">
        <v>62</v>
      </c>
    </row>
    <row r="123" spans="1:17" ht="65.25" customHeight="1" x14ac:dyDescent="0.25">
      <c r="A123" s="36" t="s">
        <v>692</v>
      </c>
      <c r="B123" s="36" t="s">
        <v>693</v>
      </c>
      <c r="C123" s="37" t="s">
        <v>426</v>
      </c>
      <c r="D123" s="37" t="s">
        <v>174</v>
      </c>
      <c r="E123" s="38" t="s">
        <v>694</v>
      </c>
      <c r="F123" s="38" t="s">
        <v>695</v>
      </c>
      <c r="G123" s="39" t="s">
        <v>34</v>
      </c>
      <c r="H123" s="40">
        <v>46045</v>
      </c>
      <c r="I123" s="41">
        <v>46057</v>
      </c>
      <c r="J123" s="37" t="s">
        <v>96</v>
      </c>
      <c r="K123" s="37" t="s">
        <v>71</v>
      </c>
      <c r="L123" s="43" t="s">
        <v>88</v>
      </c>
      <c r="M123" s="43" t="s">
        <v>64</v>
      </c>
      <c r="N123" s="43"/>
      <c r="O123" s="42"/>
      <c r="P123" s="43" t="str">
        <f t="shared" si="1"/>
        <v>ONAY</v>
      </c>
      <c r="Q123" s="26" t="s">
        <v>96</v>
      </c>
    </row>
    <row r="124" spans="1:17" ht="78.75" customHeight="1" x14ac:dyDescent="0.25">
      <c r="A124" s="36" t="s">
        <v>696</v>
      </c>
      <c r="B124" s="36" t="s">
        <v>697</v>
      </c>
      <c r="C124" s="37" t="s">
        <v>698</v>
      </c>
      <c r="D124" s="37" t="s">
        <v>100</v>
      </c>
      <c r="E124" s="38" t="s">
        <v>699</v>
      </c>
      <c r="F124" s="38" t="s">
        <v>700</v>
      </c>
      <c r="G124" s="39" t="s">
        <v>34</v>
      </c>
      <c r="H124" s="40">
        <v>46045</v>
      </c>
      <c r="I124" s="41">
        <v>46057</v>
      </c>
      <c r="J124" s="37" t="s">
        <v>78</v>
      </c>
      <c r="K124" s="37" t="s">
        <v>116</v>
      </c>
      <c r="L124" s="43" t="s">
        <v>64</v>
      </c>
      <c r="M124" s="43"/>
      <c r="N124" s="43"/>
      <c r="O124" s="42"/>
      <c r="P124" s="43" t="str">
        <f t="shared" si="1"/>
        <v>ONAY</v>
      </c>
    </row>
    <row r="125" spans="1:17" ht="94.5" customHeight="1" x14ac:dyDescent="0.25">
      <c r="A125" s="36" t="s">
        <v>701</v>
      </c>
      <c r="B125" s="36" t="s">
        <v>702</v>
      </c>
      <c r="C125" s="37" t="s">
        <v>95</v>
      </c>
      <c r="D125" s="37" t="s">
        <v>417</v>
      </c>
      <c r="E125" s="38" t="s">
        <v>703</v>
      </c>
      <c r="F125" s="38" t="s">
        <v>704</v>
      </c>
      <c r="G125" s="39" t="s">
        <v>34</v>
      </c>
      <c r="H125" s="40">
        <v>46045</v>
      </c>
      <c r="I125" s="41">
        <v>46057</v>
      </c>
      <c r="J125" s="37" t="s">
        <v>87</v>
      </c>
      <c r="K125" s="37" t="s">
        <v>62</v>
      </c>
      <c r="L125" s="43" t="s">
        <v>88</v>
      </c>
      <c r="M125" s="43"/>
      <c r="N125" s="43"/>
      <c r="O125" s="42"/>
      <c r="P125" s="43" t="str">
        <f t="shared" si="1"/>
        <v>DÜZELTME</v>
      </c>
    </row>
    <row r="126" spans="1:17" ht="110.25" customHeight="1" x14ac:dyDescent="0.25">
      <c r="A126" s="36" t="s">
        <v>705</v>
      </c>
      <c r="B126" s="36" t="s">
        <v>706</v>
      </c>
      <c r="C126" s="37" t="s">
        <v>155</v>
      </c>
      <c r="D126" s="37" t="s">
        <v>156</v>
      </c>
      <c r="E126" s="38" t="s">
        <v>707</v>
      </c>
      <c r="F126" s="38" t="s">
        <v>708</v>
      </c>
      <c r="G126" s="39" t="s">
        <v>34</v>
      </c>
      <c r="H126" s="40">
        <v>46045</v>
      </c>
      <c r="I126" s="41">
        <v>46057</v>
      </c>
      <c r="J126" s="37" t="s">
        <v>96</v>
      </c>
      <c r="K126" s="37" t="s">
        <v>63</v>
      </c>
      <c r="L126" s="43" t="s">
        <v>88</v>
      </c>
      <c r="M126" s="43"/>
      <c r="N126" s="43"/>
      <c r="O126" s="42"/>
      <c r="P126" s="43" t="str">
        <f t="shared" si="1"/>
        <v>DÜZELTME</v>
      </c>
    </row>
    <row r="127" spans="1:17" ht="94.5" customHeight="1" x14ac:dyDescent="0.25">
      <c r="A127" s="36" t="s">
        <v>709</v>
      </c>
      <c r="B127" s="36" t="s">
        <v>710</v>
      </c>
      <c r="C127" s="37" t="s">
        <v>711</v>
      </c>
      <c r="D127" s="37" t="s">
        <v>712</v>
      </c>
      <c r="E127" s="38" t="s">
        <v>713</v>
      </c>
      <c r="F127" s="38" t="s">
        <v>714</v>
      </c>
      <c r="G127" s="39" t="s">
        <v>37</v>
      </c>
      <c r="H127" s="40">
        <v>46045</v>
      </c>
      <c r="I127" s="41">
        <v>46057</v>
      </c>
      <c r="J127" s="37" t="s">
        <v>63</v>
      </c>
      <c r="K127" s="37" t="s">
        <v>71</v>
      </c>
      <c r="L127" s="43" t="s">
        <v>88</v>
      </c>
      <c r="M127" s="43" t="s">
        <v>64</v>
      </c>
      <c r="N127" s="43"/>
      <c r="O127" s="42"/>
      <c r="P127" s="43" t="str">
        <f t="shared" si="1"/>
        <v>ONAY</v>
      </c>
      <c r="Q127" s="26" t="s">
        <v>71</v>
      </c>
    </row>
    <row r="128" spans="1:17" ht="63" customHeight="1" x14ac:dyDescent="0.25">
      <c r="A128" s="36" t="s">
        <v>715</v>
      </c>
      <c r="B128" s="36" t="s">
        <v>716</v>
      </c>
      <c r="C128" s="37" t="s">
        <v>189</v>
      </c>
      <c r="D128" s="37" t="s">
        <v>190</v>
      </c>
      <c r="E128" s="38" t="s">
        <v>717</v>
      </c>
      <c r="F128" s="38" t="s">
        <v>718</v>
      </c>
      <c r="G128" s="39" t="s">
        <v>37</v>
      </c>
      <c r="H128" s="40">
        <v>46045</v>
      </c>
      <c r="I128" s="41">
        <v>46057</v>
      </c>
      <c r="J128" s="37" t="s">
        <v>62</v>
      </c>
      <c r="K128" s="37" t="s">
        <v>71</v>
      </c>
      <c r="L128" s="43" t="s">
        <v>64</v>
      </c>
      <c r="M128" s="43"/>
      <c r="N128" s="43"/>
      <c r="O128" s="42"/>
      <c r="P128" s="43" t="str">
        <f t="shared" si="1"/>
        <v>ONAY</v>
      </c>
    </row>
    <row r="129" spans="1:17" ht="78.75" customHeight="1" x14ac:dyDescent="0.25">
      <c r="A129" s="36" t="s">
        <v>719</v>
      </c>
      <c r="B129" s="36" t="s">
        <v>720</v>
      </c>
      <c r="C129" s="37" t="s">
        <v>721</v>
      </c>
      <c r="D129" s="37" t="s">
        <v>209</v>
      </c>
      <c r="E129" s="38" t="s">
        <v>722</v>
      </c>
      <c r="F129" s="38" t="s">
        <v>723</v>
      </c>
      <c r="G129" s="39" t="s">
        <v>35</v>
      </c>
      <c r="H129" s="40">
        <v>46045</v>
      </c>
      <c r="I129" s="41">
        <v>46057</v>
      </c>
      <c r="J129" s="37" t="s">
        <v>87</v>
      </c>
      <c r="K129" s="37" t="s">
        <v>78</v>
      </c>
      <c r="L129" s="43" t="s">
        <v>88</v>
      </c>
      <c r="M129" s="43" t="s">
        <v>64</v>
      </c>
      <c r="N129" s="43"/>
      <c r="O129" s="42"/>
      <c r="P129" s="43" t="str">
        <f t="shared" si="1"/>
        <v>ONAY</v>
      </c>
      <c r="Q129" s="26" t="s">
        <v>78</v>
      </c>
    </row>
    <row r="130" spans="1:17" ht="78.75" customHeight="1" x14ac:dyDescent="0.25">
      <c r="A130" s="36" t="s">
        <v>724</v>
      </c>
      <c r="B130" s="36" t="s">
        <v>725</v>
      </c>
      <c r="C130" s="37" t="s">
        <v>726</v>
      </c>
      <c r="D130" s="37" t="s">
        <v>120</v>
      </c>
      <c r="E130" s="38" t="s">
        <v>727</v>
      </c>
      <c r="F130" s="38" t="s">
        <v>728</v>
      </c>
      <c r="G130" s="39" t="s">
        <v>35</v>
      </c>
      <c r="H130" s="40">
        <v>46045</v>
      </c>
      <c r="I130" s="41">
        <v>46057</v>
      </c>
      <c r="J130" s="37" t="s">
        <v>87</v>
      </c>
      <c r="K130" s="37" t="s">
        <v>116</v>
      </c>
      <c r="L130" s="43" t="s">
        <v>64</v>
      </c>
      <c r="M130" s="43"/>
      <c r="N130" s="43"/>
      <c r="O130" s="42"/>
      <c r="P130" s="43" t="str">
        <f t="shared" ref="P130:P193" si="2">IF(O130&lt;&gt;"",O130, IF(N130&lt;&gt;"",N130, IF(M130&lt;&gt;"",M130, L130)))</f>
        <v>ONAY</v>
      </c>
    </row>
    <row r="131" spans="1:17" ht="79.5" customHeight="1" x14ac:dyDescent="0.25">
      <c r="A131" s="36" t="s">
        <v>729</v>
      </c>
      <c r="B131" s="36" t="s">
        <v>730</v>
      </c>
      <c r="C131" s="37" t="s">
        <v>731</v>
      </c>
      <c r="D131" s="37" t="s">
        <v>278</v>
      </c>
      <c r="E131" s="38" t="s">
        <v>732</v>
      </c>
      <c r="F131" s="38" t="s">
        <v>733</v>
      </c>
      <c r="G131" s="39" t="s">
        <v>35</v>
      </c>
      <c r="H131" s="40">
        <v>46045</v>
      </c>
      <c r="I131" s="41">
        <v>46057</v>
      </c>
      <c r="J131" s="37" t="s">
        <v>96</v>
      </c>
      <c r="K131" s="37" t="s">
        <v>110</v>
      </c>
      <c r="L131" s="43" t="s">
        <v>64</v>
      </c>
      <c r="M131" s="43"/>
      <c r="N131" s="43"/>
      <c r="O131" s="42"/>
      <c r="P131" s="43" t="str">
        <f t="shared" si="2"/>
        <v>ONAY</v>
      </c>
    </row>
    <row r="132" spans="1:17" ht="63" customHeight="1" x14ac:dyDescent="0.25">
      <c r="A132" s="36" t="s">
        <v>734</v>
      </c>
      <c r="B132" s="36" t="s">
        <v>735</v>
      </c>
      <c r="C132" s="37" t="s">
        <v>668</v>
      </c>
      <c r="D132" s="37" t="s">
        <v>100</v>
      </c>
      <c r="E132" s="38" t="s">
        <v>669</v>
      </c>
      <c r="F132" s="38" t="s">
        <v>736</v>
      </c>
      <c r="G132" s="39" t="s">
        <v>34</v>
      </c>
      <c r="H132" s="40">
        <v>46045</v>
      </c>
      <c r="I132" s="41">
        <v>46057</v>
      </c>
      <c r="J132" s="37" t="s">
        <v>116</v>
      </c>
      <c r="K132" s="37" t="s">
        <v>63</v>
      </c>
      <c r="L132" s="43" t="s">
        <v>88</v>
      </c>
      <c r="M132" s="43" t="s">
        <v>88</v>
      </c>
      <c r="N132" s="43"/>
      <c r="O132" s="42"/>
      <c r="P132" s="43" t="str">
        <f t="shared" si="2"/>
        <v>DÜZELTME</v>
      </c>
    </row>
    <row r="133" spans="1:17" ht="64.5" customHeight="1" x14ac:dyDescent="0.25">
      <c r="A133" s="36" t="s">
        <v>737</v>
      </c>
      <c r="B133" s="36" t="s">
        <v>738</v>
      </c>
      <c r="C133" s="37" t="s">
        <v>739</v>
      </c>
      <c r="D133" s="37" t="s">
        <v>100</v>
      </c>
      <c r="E133" s="38" t="s">
        <v>740</v>
      </c>
      <c r="F133" s="38" t="s">
        <v>741</v>
      </c>
      <c r="G133" s="39" t="s">
        <v>35</v>
      </c>
      <c r="H133" s="40">
        <v>46045</v>
      </c>
      <c r="I133" s="41">
        <v>46057</v>
      </c>
      <c r="J133" s="37" t="s">
        <v>116</v>
      </c>
      <c r="K133" s="37" t="s">
        <v>87</v>
      </c>
      <c r="L133" s="43" t="s">
        <v>64</v>
      </c>
      <c r="M133" s="43"/>
      <c r="N133" s="43"/>
      <c r="O133" s="42"/>
      <c r="P133" s="43" t="str">
        <f t="shared" si="2"/>
        <v>ONAY</v>
      </c>
    </row>
    <row r="134" spans="1:17" ht="78.75" customHeight="1" x14ac:dyDescent="0.25">
      <c r="A134" s="36" t="s">
        <v>742</v>
      </c>
      <c r="B134" s="36" t="s">
        <v>743</v>
      </c>
      <c r="C134" s="37" t="s">
        <v>744</v>
      </c>
      <c r="D134" s="37" t="s">
        <v>384</v>
      </c>
      <c r="E134" s="38" t="s">
        <v>745</v>
      </c>
      <c r="F134" s="38" t="s">
        <v>746</v>
      </c>
      <c r="G134" s="39" t="s">
        <v>34</v>
      </c>
      <c r="H134" s="40">
        <v>46045</v>
      </c>
      <c r="I134" s="41">
        <v>46057</v>
      </c>
      <c r="J134" s="37" t="s">
        <v>78</v>
      </c>
      <c r="K134" s="37" t="s">
        <v>71</v>
      </c>
      <c r="L134" s="43" t="s">
        <v>88</v>
      </c>
      <c r="M134" s="43" t="s">
        <v>64</v>
      </c>
      <c r="N134" s="43"/>
      <c r="O134" s="42"/>
      <c r="P134" s="43" t="str">
        <f t="shared" si="2"/>
        <v>ONAY</v>
      </c>
      <c r="Q134" s="26" t="s">
        <v>78</v>
      </c>
    </row>
    <row r="135" spans="1:17" ht="94.5" customHeight="1" x14ac:dyDescent="0.25">
      <c r="A135" s="36" t="s">
        <v>747</v>
      </c>
      <c r="B135" s="36" t="s">
        <v>748</v>
      </c>
      <c r="C135" s="37" t="s">
        <v>74</v>
      </c>
      <c r="D135" s="37" t="s">
        <v>75</v>
      </c>
      <c r="E135" s="38" t="s">
        <v>749</v>
      </c>
      <c r="F135" s="38" t="s">
        <v>750</v>
      </c>
      <c r="G135" s="39" t="s">
        <v>34</v>
      </c>
      <c r="H135" s="40">
        <v>46045</v>
      </c>
      <c r="I135" s="41">
        <v>46057</v>
      </c>
      <c r="J135" s="37" t="s">
        <v>78</v>
      </c>
      <c r="K135" s="37" t="s">
        <v>96</v>
      </c>
      <c r="L135" s="43" t="s">
        <v>64</v>
      </c>
      <c r="M135" s="43"/>
      <c r="N135" s="43"/>
      <c r="O135" s="42"/>
      <c r="P135" s="43" t="str">
        <f t="shared" si="2"/>
        <v>ONAY</v>
      </c>
    </row>
    <row r="136" spans="1:17" ht="78.75" customHeight="1" x14ac:dyDescent="0.25">
      <c r="A136" s="36" t="s">
        <v>751</v>
      </c>
      <c r="B136" s="36" t="s">
        <v>752</v>
      </c>
      <c r="C136" s="37" t="s">
        <v>476</v>
      </c>
      <c r="D136" s="37" t="s">
        <v>284</v>
      </c>
      <c r="E136" s="38" t="s">
        <v>753</v>
      </c>
      <c r="F136" s="38" t="s">
        <v>754</v>
      </c>
      <c r="G136" s="39" t="s">
        <v>34</v>
      </c>
      <c r="H136" s="40">
        <v>46045</v>
      </c>
      <c r="I136" s="41">
        <v>46057</v>
      </c>
      <c r="J136" s="37" t="s">
        <v>110</v>
      </c>
      <c r="K136" s="37" t="s">
        <v>71</v>
      </c>
      <c r="L136" s="43" t="s">
        <v>88</v>
      </c>
      <c r="M136" s="43" t="s">
        <v>64</v>
      </c>
      <c r="N136" s="43"/>
      <c r="O136" s="42"/>
      <c r="P136" s="43" t="str">
        <f t="shared" si="2"/>
        <v>ONAY</v>
      </c>
      <c r="Q136" s="26" t="s">
        <v>71</v>
      </c>
    </row>
    <row r="137" spans="1:17" ht="63" customHeight="1" x14ac:dyDescent="0.25">
      <c r="A137" s="36" t="s">
        <v>755</v>
      </c>
      <c r="B137" s="36" t="s">
        <v>756</v>
      </c>
      <c r="C137" s="37" t="s">
        <v>757</v>
      </c>
      <c r="D137" s="37" t="s">
        <v>758</v>
      </c>
      <c r="E137" s="38" t="s">
        <v>759</v>
      </c>
      <c r="F137" s="38" t="s">
        <v>760</v>
      </c>
      <c r="G137" s="39" t="s">
        <v>36</v>
      </c>
      <c r="H137" s="40">
        <v>46045</v>
      </c>
      <c r="I137" s="41">
        <v>46057</v>
      </c>
      <c r="J137" s="37" t="s">
        <v>78</v>
      </c>
      <c r="K137" s="37" t="s">
        <v>110</v>
      </c>
      <c r="L137" s="43" t="s">
        <v>64</v>
      </c>
      <c r="M137" s="43"/>
      <c r="N137" s="43"/>
      <c r="O137" s="42"/>
      <c r="P137" s="43" t="str">
        <f t="shared" si="2"/>
        <v>ONAY</v>
      </c>
    </row>
    <row r="138" spans="1:17" ht="78.75" customHeight="1" x14ac:dyDescent="0.25">
      <c r="A138" s="36" t="s">
        <v>761</v>
      </c>
      <c r="B138" s="36" t="s">
        <v>762</v>
      </c>
      <c r="C138" s="37" t="s">
        <v>763</v>
      </c>
      <c r="D138" s="37" t="s">
        <v>278</v>
      </c>
      <c r="E138" s="38" t="s">
        <v>764</v>
      </c>
      <c r="F138" s="38" t="s">
        <v>765</v>
      </c>
      <c r="G138" s="39" t="s">
        <v>34</v>
      </c>
      <c r="H138" s="40">
        <v>46048</v>
      </c>
      <c r="I138" s="41">
        <v>46057</v>
      </c>
      <c r="J138" s="37" t="s">
        <v>78</v>
      </c>
      <c r="K138" s="37" t="s">
        <v>63</v>
      </c>
      <c r="L138" s="43" t="s">
        <v>64</v>
      </c>
      <c r="M138" s="43"/>
      <c r="N138" s="43"/>
      <c r="O138" s="42"/>
      <c r="P138" s="43" t="str">
        <f t="shared" si="2"/>
        <v>ONAY</v>
      </c>
    </row>
    <row r="139" spans="1:17" ht="110.25" customHeight="1" x14ac:dyDescent="0.25">
      <c r="A139" s="36" t="s">
        <v>766</v>
      </c>
      <c r="B139" s="36" t="s">
        <v>767</v>
      </c>
      <c r="C139" s="37" t="s">
        <v>768</v>
      </c>
      <c r="D139" s="37" t="s">
        <v>209</v>
      </c>
      <c r="E139" s="38" t="s">
        <v>769</v>
      </c>
      <c r="F139" s="38" t="s">
        <v>770</v>
      </c>
      <c r="G139" s="39" t="s">
        <v>34</v>
      </c>
      <c r="H139" s="40">
        <v>46048</v>
      </c>
      <c r="I139" s="41">
        <v>46057</v>
      </c>
      <c r="J139" s="37" t="s">
        <v>62</v>
      </c>
      <c r="K139" s="37" t="s">
        <v>87</v>
      </c>
      <c r="L139" s="43" t="s">
        <v>64</v>
      </c>
      <c r="M139" s="43"/>
      <c r="N139" s="43"/>
      <c r="O139" s="42"/>
      <c r="P139" s="43" t="str">
        <f t="shared" si="2"/>
        <v>ONAY</v>
      </c>
    </row>
    <row r="140" spans="1:17" ht="63" customHeight="1" x14ac:dyDescent="0.25">
      <c r="A140" s="36" t="s">
        <v>771</v>
      </c>
      <c r="B140" s="36" t="s">
        <v>772</v>
      </c>
      <c r="C140" s="37" t="s">
        <v>773</v>
      </c>
      <c r="D140" s="37" t="s">
        <v>100</v>
      </c>
      <c r="E140" s="38" t="s">
        <v>774</v>
      </c>
      <c r="F140" s="38" t="s">
        <v>775</v>
      </c>
      <c r="G140" s="39" t="s">
        <v>34</v>
      </c>
      <c r="H140" s="40">
        <v>46048</v>
      </c>
      <c r="I140" s="41">
        <v>46057</v>
      </c>
      <c r="J140" s="37" t="s">
        <v>63</v>
      </c>
      <c r="K140" s="37" t="s">
        <v>116</v>
      </c>
      <c r="L140" s="43" t="s">
        <v>64</v>
      </c>
      <c r="M140" s="43"/>
      <c r="N140" s="43"/>
      <c r="O140" s="42"/>
      <c r="P140" s="43" t="str">
        <f t="shared" si="2"/>
        <v>ONAY</v>
      </c>
    </row>
    <row r="141" spans="1:17" ht="80.25" customHeight="1" x14ac:dyDescent="0.25">
      <c r="A141" s="36" t="s">
        <v>776</v>
      </c>
      <c r="B141" s="36" t="s">
        <v>777</v>
      </c>
      <c r="C141" s="37" t="s">
        <v>565</v>
      </c>
      <c r="D141" s="37" t="s">
        <v>100</v>
      </c>
      <c r="E141" s="38" t="s">
        <v>778</v>
      </c>
      <c r="F141" s="38" t="s">
        <v>779</v>
      </c>
      <c r="G141" s="39" t="s">
        <v>34</v>
      </c>
      <c r="H141" s="40">
        <v>46048</v>
      </c>
      <c r="I141" s="41">
        <v>46057</v>
      </c>
      <c r="J141" s="37" t="s">
        <v>116</v>
      </c>
      <c r="K141" s="37" t="s">
        <v>96</v>
      </c>
      <c r="L141" s="43" t="s">
        <v>64</v>
      </c>
      <c r="M141" s="43"/>
      <c r="N141" s="43"/>
      <c r="O141" s="42"/>
      <c r="P141" s="43" t="str">
        <f t="shared" si="2"/>
        <v>ONAY</v>
      </c>
    </row>
    <row r="142" spans="1:17" ht="126" customHeight="1" x14ac:dyDescent="0.25">
      <c r="A142" s="36" t="s">
        <v>780</v>
      </c>
      <c r="B142" s="36" t="s">
        <v>781</v>
      </c>
      <c r="C142" s="37" t="s">
        <v>782</v>
      </c>
      <c r="D142" s="37" t="s">
        <v>209</v>
      </c>
      <c r="E142" s="38" t="s">
        <v>783</v>
      </c>
      <c r="F142" s="38" t="s">
        <v>784</v>
      </c>
      <c r="G142" s="39" t="s">
        <v>34</v>
      </c>
      <c r="H142" s="40">
        <v>46048</v>
      </c>
      <c r="I142" s="41">
        <v>46057</v>
      </c>
      <c r="J142" s="37" t="s">
        <v>78</v>
      </c>
      <c r="K142" s="37" t="s">
        <v>63</v>
      </c>
      <c r="L142" s="43" t="s">
        <v>205</v>
      </c>
      <c r="M142" s="43"/>
      <c r="N142" s="43"/>
      <c r="O142" s="42"/>
      <c r="P142" s="43" t="str">
        <f t="shared" si="2"/>
        <v>KAEK</v>
      </c>
    </row>
    <row r="143" spans="1:17" ht="63" customHeight="1" x14ac:dyDescent="0.25">
      <c r="A143" s="36" t="s">
        <v>785</v>
      </c>
      <c r="B143" s="36" t="s">
        <v>786</v>
      </c>
      <c r="C143" s="37" t="s">
        <v>787</v>
      </c>
      <c r="D143" s="37" t="s">
        <v>384</v>
      </c>
      <c r="E143" s="38" t="s">
        <v>788</v>
      </c>
      <c r="F143" s="38" t="s">
        <v>789</v>
      </c>
      <c r="G143" s="39" t="s">
        <v>34</v>
      </c>
      <c r="H143" s="40">
        <v>46048</v>
      </c>
      <c r="I143" s="41">
        <v>46057</v>
      </c>
      <c r="J143" s="37" t="s">
        <v>71</v>
      </c>
      <c r="K143" s="37" t="s">
        <v>96</v>
      </c>
      <c r="L143" s="43" t="s">
        <v>64</v>
      </c>
      <c r="M143" s="43"/>
      <c r="N143" s="43"/>
      <c r="O143" s="42"/>
      <c r="P143" s="43" t="str">
        <f t="shared" si="2"/>
        <v>ONAY</v>
      </c>
    </row>
    <row r="144" spans="1:17" ht="63" customHeight="1" x14ac:dyDescent="0.25">
      <c r="A144" s="36" t="s">
        <v>790</v>
      </c>
      <c r="B144" s="36" t="s">
        <v>791</v>
      </c>
      <c r="C144" s="37" t="s">
        <v>371</v>
      </c>
      <c r="D144" s="37" t="s">
        <v>372</v>
      </c>
      <c r="E144" s="38" t="s">
        <v>792</v>
      </c>
      <c r="F144" s="38" t="s">
        <v>793</v>
      </c>
      <c r="G144" s="39" t="s">
        <v>34</v>
      </c>
      <c r="H144" s="40">
        <v>46049</v>
      </c>
      <c r="I144" s="41">
        <v>46057</v>
      </c>
      <c r="J144" s="37" t="s">
        <v>78</v>
      </c>
      <c r="K144" s="37" t="s">
        <v>87</v>
      </c>
      <c r="L144" s="43" t="s">
        <v>88</v>
      </c>
      <c r="M144" s="43" t="s">
        <v>64</v>
      </c>
      <c r="N144" s="43"/>
      <c r="O144" s="42"/>
      <c r="P144" s="43" t="str">
        <f t="shared" si="2"/>
        <v>ONAY</v>
      </c>
      <c r="Q144" s="26" t="s">
        <v>78</v>
      </c>
    </row>
    <row r="145" spans="1:17" ht="94.5" customHeight="1" x14ac:dyDescent="0.25">
      <c r="A145" s="36" t="s">
        <v>794</v>
      </c>
      <c r="B145" s="36" t="s">
        <v>795</v>
      </c>
      <c r="C145" s="37" t="s">
        <v>796</v>
      </c>
      <c r="D145" s="37" t="s">
        <v>209</v>
      </c>
      <c r="E145" s="38" t="s">
        <v>797</v>
      </c>
      <c r="F145" s="38" t="s">
        <v>798</v>
      </c>
      <c r="G145" s="39" t="s">
        <v>35</v>
      </c>
      <c r="H145" s="40">
        <v>46049</v>
      </c>
      <c r="I145" s="41">
        <v>46057</v>
      </c>
      <c r="J145" s="37" t="s">
        <v>63</v>
      </c>
      <c r="K145" s="37" t="s">
        <v>110</v>
      </c>
      <c r="L145" s="43" t="s">
        <v>64</v>
      </c>
      <c r="M145" s="43"/>
      <c r="N145" s="43"/>
      <c r="O145" s="42"/>
      <c r="P145" s="43" t="str">
        <f t="shared" si="2"/>
        <v>ONAY</v>
      </c>
    </row>
    <row r="146" spans="1:17" ht="63" customHeight="1" x14ac:dyDescent="0.25">
      <c r="A146" s="36" t="s">
        <v>799</v>
      </c>
      <c r="B146" s="36" t="s">
        <v>800</v>
      </c>
      <c r="C146" s="37" t="s">
        <v>406</v>
      </c>
      <c r="D146" s="37" t="s">
        <v>384</v>
      </c>
      <c r="E146" s="38" t="s">
        <v>801</v>
      </c>
      <c r="F146" s="38" t="s">
        <v>802</v>
      </c>
      <c r="G146" s="39" t="s">
        <v>34</v>
      </c>
      <c r="H146" s="40">
        <v>46049</v>
      </c>
      <c r="I146" s="41">
        <v>46057</v>
      </c>
      <c r="J146" s="37" t="s">
        <v>71</v>
      </c>
      <c r="K146" s="37" t="s">
        <v>110</v>
      </c>
      <c r="L146" s="43" t="s">
        <v>64</v>
      </c>
      <c r="M146" s="43"/>
      <c r="N146" s="43"/>
      <c r="O146" s="42"/>
      <c r="P146" s="43" t="str">
        <f t="shared" si="2"/>
        <v>ONAY</v>
      </c>
    </row>
    <row r="147" spans="1:17" ht="81" customHeight="1" x14ac:dyDescent="0.25">
      <c r="A147" s="36" t="s">
        <v>803</v>
      </c>
      <c r="B147" s="36" t="s">
        <v>804</v>
      </c>
      <c r="C147" s="37" t="s">
        <v>805</v>
      </c>
      <c r="D147" s="46" t="s">
        <v>806</v>
      </c>
      <c r="E147" s="38" t="s">
        <v>807</v>
      </c>
      <c r="F147" s="38" t="s">
        <v>808</v>
      </c>
      <c r="G147" s="39" t="s">
        <v>34</v>
      </c>
      <c r="H147" s="40">
        <v>46058</v>
      </c>
      <c r="I147" s="41">
        <v>46070</v>
      </c>
      <c r="J147" s="37" t="s">
        <v>116</v>
      </c>
      <c r="K147" s="37" t="s">
        <v>63</v>
      </c>
      <c r="L147" s="43" t="s">
        <v>64</v>
      </c>
      <c r="M147" s="43"/>
      <c r="N147" s="43"/>
      <c r="O147" s="42"/>
      <c r="P147" s="43" t="str">
        <f t="shared" si="2"/>
        <v>ONAY</v>
      </c>
    </row>
    <row r="148" spans="1:17" ht="78.75" customHeight="1" x14ac:dyDescent="0.25">
      <c r="A148" s="36" t="s">
        <v>809</v>
      </c>
      <c r="B148" s="36" t="s">
        <v>810</v>
      </c>
      <c r="C148" s="37" t="s">
        <v>811</v>
      </c>
      <c r="D148" s="37" t="s">
        <v>168</v>
      </c>
      <c r="E148" s="38" t="s">
        <v>812</v>
      </c>
      <c r="F148" s="38" t="s">
        <v>813</v>
      </c>
      <c r="G148" s="39" t="s">
        <v>34</v>
      </c>
      <c r="H148" s="40">
        <v>46058</v>
      </c>
      <c r="I148" s="41">
        <v>46070</v>
      </c>
      <c r="J148" s="37" t="s">
        <v>78</v>
      </c>
      <c r="K148" s="37" t="s">
        <v>79</v>
      </c>
      <c r="L148" s="43" t="s">
        <v>205</v>
      </c>
      <c r="M148" s="43"/>
      <c r="N148" s="43"/>
      <c r="O148" s="42"/>
      <c r="P148" s="43" t="str">
        <f t="shared" si="2"/>
        <v>KAEK</v>
      </c>
    </row>
    <row r="149" spans="1:17" ht="78.75" customHeight="1" x14ac:dyDescent="0.25">
      <c r="A149" s="36" t="s">
        <v>814</v>
      </c>
      <c r="B149" s="36" t="s">
        <v>815</v>
      </c>
      <c r="C149" s="37" t="s">
        <v>698</v>
      </c>
      <c r="D149" s="37" t="s">
        <v>100</v>
      </c>
      <c r="E149" s="38" t="s">
        <v>816</v>
      </c>
      <c r="F149" s="38" t="s">
        <v>817</v>
      </c>
      <c r="G149" s="39" t="s">
        <v>34</v>
      </c>
      <c r="H149" s="40">
        <v>46058</v>
      </c>
      <c r="I149" s="41">
        <v>46070</v>
      </c>
      <c r="J149" s="37" t="s">
        <v>95</v>
      </c>
      <c r="K149" s="37" t="s">
        <v>71</v>
      </c>
      <c r="L149" s="43" t="s">
        <v>64</v>
      </c>
      <c r="M149" s="43"/>
      <c r="N149" s="43"/>
      <c r="O149" s="42"/>
      <c r="P149" s="43" t="str">
        <f t="shared" si="2"/>
        <v>ONAY</v>
      </c>
    </row>
    <row r="150" spans="1:17" ht="78.75" customHeight="1" x14ac:dyDescent="0.25">
      <c r="A150" s="36" t="s">
        <v>818</v>
      </c>
      <c r="B150" s="36" t="s">
        <v>819</v>
      </c>
      <c r="C150" s="37" t="s">
        <v>698</v>
      </c>
      <c r="D150" s="37" t="s">
        <v>100</v>
      </c>
      <c r="E150" s="38" t="s">
        <v>816</v>
      </c>
      <c r="F150" s="38" t="s">
        <v>820</v>
      </c>
      <c r="G150" s="39" t="s">
        <v>34</v>
      </c>
      <c r="H150" s="40">
        <v>46058</v>
      </c>
      <c r="I150" s="41">
        <v>46070</v>
      </c>
      <c r="J150" s="37" t="s">
        <v>116</v>
      </c>
      <c r="K150" s="37" t="s">
        <v>86</v>
      </c>
      <c r="L150" s="43" t="s">
        <v>64</v>
      </c>
      <c r="M150" s="43"/>
      <c r="N150" s="43"/>
      <c r="O150" s="42"/>
      <c r="P150" s="43" t="str">
        <f t="shared" si="2"/>
        <v>ONAY</v>
      </c>
    </row>
    <row r="151" spans="1:17" ht="78.75" customHeight="1" x14ac:dyDescent="0.25">
      <c r="A151" s="36" t="s">
        <v>821</v>
      </c>
      <c r="B151" s="36" t="s">
        <v>822</v>
      </c>
      <c r="C151" s="37" t="s">
        <v>698</v>
      </c>
      <c r="D151" s="37" t="s">
        <v>100</v>
      </c>
      <c r="E151" s="38" t="s">
        <v>823</v>
      </c>
      <c r="F151" s="38" t="s">
        <v>824</v>
      </c>
      <c r="G151" s="39" t="s">
        <v>34</v>
      </c>
      <c r="H151" s="40">
        <v>46058</v>
      </c>
      <c r="I151" s="41">
        <v>46070</v>
      </c>
      <c r="J151" s="37" t="s">
        <v>87</v>
      </c>
      <c r="K151" s="37" t="s">
        <v>79</v>
      </c>
      <c r="L151" s="43" t="s">
        <v>64</v>
      </c>
      <c r="M151" s="43"/>
      <c r="N151" s="43"/>
      <c r="O151" s="42"/>
      <c r="P151" s="43" t="str">
        <f t="shared" si="2"/>
        <v>ONAY</v>
      </c>
    </row>
    <row r="152" spans="1:17" ht="63" customHeight="1" x14ac:dyDescent="0.25">
      <c r="A152" s="36" t="s">
        <v>825</v>
      </c>
      <c r="B152" s="36" t="s">
        <v>826</v>
      </c>
      <c r="C152" s="37" t="s">
        <v>179</v>
      </c>
      <c r="D152" s="37" t="s">
        <v>180</v>
      </c>
      <c r="E152" s="38" t="s">
        <v>827</v>
      </c>
      <c r="F152" s="38" t="s">
        <v>828</v>
      </c>
      <c r="G152" s="39" t="s">
        <v>34</v>
      </c>
      <c r="H152" s="40">
        <v>46058</v>
      </c>
      <c r="I152" s="41">
        <v>46070</v>
      </c>
      <c r="J152" s="37" t="s">
        <v>78</v>
      </c>
      <c r="K152" s="37" t="s">
        <v>110</v>
      </c>
      <c r="L152" s="43" t="s">
        <v>88</v>
      </c>
      <c r="M152" s="43" t="s">
        <v>64</v>
      </c>
      <c r="N152" s="43"/>
      <c r="O152" s="42"/>
      <c r="P152" s="43" t="str">
        <f t="shared" si="2"/>
        <v>ONAY</v>
      </c>
      <c r="Q152" s="26" t="s">
        <v>78</v>
      </c>
    </row>
    <row r="153" spans="1:17" ht="94.5" customHeight="1" x14ac:dyDescent="0.25">
      <c r="A153" s="36" t="s">
        <v>829</v>
      </c>
      <c r="B153" s="36" t="s">
        <v>830</v>
      </c>
      <c r="C153" s="37" t="s">
        <v>99</v>
      </c>
      <c r="D153" s="37" t="s">
        <v>100</v>
      </c>
      <c r="E153" s="38" t="s">
        <v>831</v>
      </c>
      <c r="F153" s="38" t="s">
        <v>832</v>
      </c>
      <c r="G153" s="39" t="s">
        <v>37</v>
      </c>
      <c r="H153" s="40">
        <v>46058</v>
      </c>
      <c r="I153" s="41">
        <v>46070</v>
      </c>
      <c r="J153" s="37" t="s">
        <v>95</v>
      </c>
      <c r="K153" s="37" t="s">
        <v>71</v>
      </c>
      <c r="L153" s="43" t="s">
        <v>193</v>
      </c>
      <c r="M153" s="43" t="s">
        <v>88</v>
      </c>
      <c r="N153" s="43" t="s">
        <v>64</v>
      </c>
      <c r="O153" s="42"/>
      <c r="P153" s="43" t="str">
        <f t="shared" si="2"/>
        <v>ONAY</v>
      </c>
      <c r="Q153" s="26" t="s">
        <v>71</v>
      </c>
    </row>
    <row r="154" spans="1:17" ht="63" customHeight="1" x14ac:dyDescent="0.25">
      <c r="A154" s="36" t="s">
        <v>833</v>
      </c>
      <c r="B154" s="36" t="s">
        <v>834</v>
      </c>
      <c r="C154" s="37" t="s">
        <v>835</v>
      </c>
      <c r="D154" s="37" t="s">
        <v>378</v>
      </c>
      <c r="E154" s="38" t="s">
        <v>836</v>
      </c>
      <c r="F154" s="38" t="s">
        <v>837</v>
      </c>
      <c r="G154" s="39" t="s">
        <v>34</v>
      </c>
      <c r="H154" s="40">
        <v>46058</v>
      </c>
      <c r="I154" s="41">
        <v>46070</v>
      </c>
      <c r="J154" s="37" t="s">
        <v>63</v>
      </c>
      <c r="K154" s="37" t="s">
        <v>86</v>
      </c>
      <c r="L154" s="43" t="s">
        <v>88</v>
      </c>
      <c r="M154" s="43" t="s">
        <v>64</v>
      </c>
      <c r="N154" s="43"/>
      <c r="O154" s="42"/>
      <c r="P154" s="43" t="str">
        <f t="shared" si="2"/>
        <v>ONAY</v>
      </c>
      <c r="Q154" s="26" t="s">
        <v>63</v>
      </c>
    </row>
    <row r="155" spans="1:17" ht="63" customHeight="1" x14ac:dyDescent="0.25">
      <c r="A155" s="36" t="s">
        <v>838</v>
      </c>
      <c r="B155" s="36" t="s">
        <v>839</v>
      </c>
      <c r="C155" s="37" t="s">
        <v>840</v>
      </c>
      <c r="D155" s="37" t="s">
        <v>571</v>
      </c>
      <c r="E155" s="38" t="s">
        <v>841</v>
      </c>
      <c r="F155" s="38" t="s">
        <v>842</v>
      </c>
      <c r="G155" s="39" t="s">
        <v>37</v>
      </c>
      <c r="H155" s="40">
        <v>46058</v>
      </c>
      <c r="I155" s="41">
        <v>46070</v>
      </c>
      <c r="J155" s="37" t="s">
        <v>78</v>
      </c>
      <c r="K155" s="37" t="s">
        <v>87</v>
      </c>
      <c r="L155" s="43" t="s">
        <v>64</v>
      </c>
      <c r="M155" s="43"/>
      <c r="N155" s="43"/>
      <c r="O155" s="42"/>
      <c r="P155" s="43" t="str">
        <f t="shared" si="2"/>
        <v>ONAY</v>
      </c>
    </row>
    <row r="156" spans="1:17" ht="47.25" customHeight="1" x14ac:dyDescent="0.25">
      <c r="A156" s="36" t="s">
        <v>843</v>
      </c>
      <c r="B156" s="36" t="s">
        <v>844</v>
      </c>
      <c r="C156" s="37" t="s">
        <v>845</v>
      </c>
      <c r="D156" s="37" t="s">
        <v>526</v>
      </c>
      <c r="E156" s="38" t="s">
        <v>846</v>
      </c>
      <c r="F156" s="38" t="s">
        <v>847</v>
      </c>
      <c r="G156" s="39" t="s">
        <v>34</v>
      </c>
      <c r="H156" s="40">
        <v>46058</v>
      </c>
      <c r="I156" s="41">
        <v>46070</v>
      </c>
      <c r="J156" s="37" t="s">
        <v>110</v>
      </c>
      <c r="K156" s="37" t="s">
        <v>103</v>
      </c>
      <c r="L156" s="43" t="s">
        <v>64</v>
      </c>
      <c r="M156" s="43"/>
      <c r="N156" s="43"/>
      <c r="O156" s="42"/>
      <c r="P156" s="43" t="str">
        <f t="shared" si="2"/>
        <v>ONAY</v>
      </c>
    </row>
    <row r="157" spans="1:17" ht="78.75" customHeight="1" x14ac:dyDescent="0.25">
      <c r="A157" s="36" t="s">
        <v>848</v>
      </c>
      <c r="B157" s="36" t="s">
        <v>849</v>
      </c>
      <c r="C157" s="37" t="s">
        <v>272</v>
      </c>
      <c r="D157" s="37" t="s">
        <v>209</v>
      </c>
      <c r="E157" s="38" t="s">
        <v>850</v>
      </c>
      <c r="F157" s="38" t="s">
        <v>851</v>
      </c>
      <c r="G157" s="39" t="s">
        <v>34</v>
      </c>
      <c r="H157" s="40">
        <v>46058</v>
      </c>
      <c r="I157" s="41">
        <v>46070</v>
      </c>
      <c r="J157" s="37" t="s">
        <v>78</v>
      </c>
      <c r="K157" s="37" t="s">
        <v>79</v>
      </c>
      <c r="L157" s="43" t="s">
        <v>88</v>
      </c>
      <c r="M157" s="43" t="s">
        <v>64</v>
      </c>
      <c r="N157" s="43"/>
      <c r="O157" s="42"/>
      <c r="P157" s="43" t="str">
        <f t="shared" si="2"/>
        <v>ONAY</v>
      </c>
      <c r="Q157" s="26" t="s">
        <v>78</v>
      </c>
    </row>
    <row r="158" spans="1:17" ht="94.5" customHeight="1" x14ac:dyDescent="0.25">
      <c r="A158" s="36" t="s">
        <v>852</v>
      </c>
      <c r="B158" s="36" t="s">
        <v>853</v>
      </c>
      <c r="C158" s="37" t="s">
        <v>854</v>
      </c>
      <c r="D158" s="37" t="s">
        <v>107</v>
      </c>
      <c r="E158" s="38" t="s">
        <v>855</v>
      </c>
      <c r="F158" s="38" t="s">
        <v>856</v>
      </c>
      <c r="G158" s="39" t="s">
        <v>37</v>
      </c>
      <c r="H158" s="40">
        <v>46058</v>
      </c>
      <c r="I158" s="41">
        <v>46070</v>
      </c>
      <c r="J158" s="37" t="s">
        <v>110</v>
      </c>
      <c r="K158" s="37" t="s">
        <v>63</v>
      </c>
      <c r="L158" s="43" t="s">
        <v>64</v>
      </c>
      <c r="M158" s="43"/>
      <c r="N158" s="43"/>
      <c r="O158" s="42"/>
      <c r="P158" s="43" t="str">
        <f t="shared" si="2"/>
        <v>ONAY</v>
      </c>
    </row>
    <row r="159" spans="1:17" ht="63" customHeight="1" x14ac:dyDescent="0.25">
      <c r="A159" s="36" t="s">
        <v>857</v>
      </c>
      <c r="B159" s="36" t="s">
        <v>858</v>
      </c>
      <c r="C159" s="37" t="s">
        <v>859</v>
      </c>
      <c r="D159" s="37" t="s">
        <v>168</v>
      </c>
      <c r="E159" s="38" t="s">
        <v>860</v>
      </c>
      <c r="F159" s="38" t="s">
        <v>861</v>
      </c>
      <c r="G159" s="39" t="s">
        <v>35</v>
      </c>
      <c r="H159" s="40">
        <v>46058</v>
      </c>
      <c r="I159" s="41">
        <v>46070</v>
      </c>
      <c r="J159" s="37" t="s">
        <v>79</v>
      </c>
      <c r="K159" s="37" t="s">
        <v>87</v>
      </c>
      <c r="L159" s="43" t="s">
        <v>88</v>
      </c>
      <c r="M159" s="43" t="s">
        <v>64</v>
      </c>
      <c r="N159" s="43"/>
      <c r="O159" s="42"/>
      <c r="P159" s="43" t="str">
        <f t="shared" si="2"/>
        <v>ONAY</v>
      </c>
      <c r="Q159" s="26" t="s">
        <v>79</v>
      </c>
    </row>
    <row r="160" spans="1:17" ht="94.5" customHeight="1" x14ac:dyDescent="0.25">
      <c r="A160" s="36" t="s">
        <v>862</v>
      </c>
      <c r="B160" s="36" t="s">
        <v>863</v>
      </c>
      <c r="C160" s="37" t="s">
        <v>864</v>
      </c>
      <c r="D160" s="37" t="s">
        <v>278</v>
      </c>
      <c r="E160" s="38" t="s">
        <v>865</v>
      </c>
      <c r="F160" s="38" t="s">
        <v>866</v>
      </c>
      <c r="G160" s="39" t="s">
        <v>35</v>
      </c>
      <c r="H160" s="40">
        <v>46058</v>
      </c>
      <c r="I160" s="41">
        <v>46070</v>
      </c>
      <c r="J160" s="37" t="s">
        <v>103</v>
      </c>
      <c r="K160" s="37" t="s">
        <v>116</v>
      </c>
      <c r="L160" s="43" t="s">
        <v>88</v>
      </c>
      <c r="M160" s="43" t="s">
        <v>64</v>
      </c>
      <c r="N160" s="43"/>
      <c r="O160" s="42"/>
      <c r="P160" s="43" t="str">
        <f t="shared" si="2"/>
        <v>ONAY</v>
      </c>
      <c r="Q160" s="26" t="s">
        <v>103</v>
      </c>
    </row>
    <row r="161" spans="1:19" ht="80.25" customHeight="1" x14ac:dyDescent="0.25">
      <c r="A161" s="36" t="s">
        <v>867</v>
      </c>
      <c r="B161" s="36" t="s">
        <v>868</v>
      </c>
      <c r="C161" s="37" t="s">
        <v>272</v>
      </c>
      <c r="D161" s="37" t="s">
        <v>209</v>
      </c>
      <c r="E161" s="38" t="s">
        <v>869</v>
      </c>
      <c r="F161" s="38" t="s">
        <v>870</v>
      </c>
      <c r="G161" s="39" t="s">
        <v>34</v>
      </c>
      <c r="H161" s="40">
        <v>46059</v>
      </c>
      <c r="I161" s="41">
        <v>46070</v>
      </c>
      <c r="J161" s="37" t="s">
        <v>63</v>
      </c>
      <c r="K161" s="37" t="s">
        <v>86</v>
      </c>
      <c r="L161" s="43" t="s">
        <v>159</v>
      </c>
      <c r="M161" s="43"/>
      <c r="N161" s="43"/>
      <c r="O161" s="42"/>
      <c r="P161" s="43" t="str">
        <f t="shared" si="2"/>
        <v>RET</v>
      </c>
      <c r="S161" s="47" t="s">
        <v>871</v>
      </c>
    </row>
    <row r="162" spans="1:19" ht="78.75" customHeight="1" x14ac:dyDescent="0.25">
      <c r="A162" s="36" t="s">
        <v>872</v>
      </c>
      <c r="B162" s="36" t="s">
        <v>873</v>
      </c>
      <c r="C162" s="37" t="s">
        <v>406</v>
      </c>
      <c r="D162" s="37" t="s">
        <v>384</v>
      </c>
      <c r="E162" s="38" t="s">
        <v>874</v>
      </c>
      <c r="F162" s="38" t="s">
        <v>875</v>
      </c>
      <c r="G162" s="39" t="s">
        <v>34</v>
      </c>
      <c r="H162" s="40">
        <v>46059</v>
      </c>
      <c r="I162" s="41">
        <v>46070</v>
      </c>
      <c r="J162" s="37" t="s">
        <v>116</v>
      </c>
      <c r="K162" s="37" t="s">
        <v>103</v>
      </c>
      <c r="L162" s="43" t="s">
        <v>64</v>
      </c>
      <c r="M162" s="43"/>
      <c r="N162" s="43"/>
      <c r="O162" s="42"/>
      <c r="P162" s="43" t="str">
        <f t="shared" si="2"/>
        <v>ONAY</v>
      </c>
    </row>
    <row r="163" spans="1:19" ht="63" customHeight="1" x14ac:dyDescent="0.25">
      <c r="A163" s="36" t="s">
        <v>876</v>
      </c>
      <c r="B163" s="36" t="s">
        <v>877</v>
      </c>
      <c r="C163" s="37" t="s">
        <v>878</v>
      </c>
      <c r="D163" s="37" t="s">
        <v>879</v>
      </c>
      <c r="E163" s="38" t="s">
        <v>880</v>
      </c>
      <c r="F163" s="38" t="s">
        <v>881</v>
      </c>
      <c r="G163" s="39" t="s">
        <v>34</v>
      </c>
      <c r="H163" s="40">
        <v>46059</v>
      </c>
      <c r="I163" s="41">
        <v>46070</v>
      </c>
      <c r="J163" s="37" t="s">
        <v>95</v>
      </c>
      <c r="K163" s="37" t="s">
        <v>71</v>
      </c>
      <c r="L163" s="43" t="s">
        <v>88</v>
      </c>
      <c r="M163" s="43" t="s">
        <v>64</v>
      </c>
      <c r="N163" s="43"/>
      <c r="O163" s="42"/>
      <c r="P163" s="43" t="str">
        <f t="shared" si="2"/>
        <v>ONAY</v>
      </c>
      <c r="Q163" s="26" t="s">
        <v>95</v>
      </c>
    </row>
    <row r="164" spans="1:19" ht="81.75" customHeight="1" x14ac:dyDescent="0.25">
      <c r="A164" s="36" t="s">
        <v>882</v>
      </c>
      <c r="B164" s="36" t="s">
        <v>883</v>
      </c>
      <c r="C164" s="37" t="s">
        <v>511</v>
      </c>
      <c r="D164" s="37" t="s">
        <v>100</v>
      </c>
      <c r="E164" s="38" t="s">
        <v>884</v>
      </c>
      <c r="F164" s="38" t="s">
        <v>885</v>
      </c>
      <c r="G164" s="39" t="s">
        <v>35</v>
      </c>
      <c r="H164" s="40">
        <v>46059</v>
      </c>
      <c r="I164" s="41">
        <v>46070</v>
      </c>
      <c r="J164" s="37" t="s">
        <v>95</v>
      </c>
      <c r="K164" s="37" t="s">
        <v>71</v>
      </c>
      <c r="L164" s="43" t="s">
        <v>64</v>
      </c>
      <c r="M164" s="43"/>
      <c r="N164" s="43"/>
      <c r="O164" s="42"/>
      <c r="P164" s="43" t="str">
        <f t="shared" si="2"/>
        <v>ONAY</v>
      </c>
    </row>
    <row r="165" spans="1:19" ht="78.75" customHeight="1" x14ac:dyDescent="0.25">
      <c r="A165" s="36" t="s">
        <v>886</v>
      </c>
      <c r="B165" s="36" t="s">
        <v>887</v>
      </c>
      <c r="C165" s="37" t="s">
        <v>214</v>
      </c>
      <c r="D165" s="37" t="s">
        <v>215</v>
      </c>
      <c r="E165" s="38" t="s">
        <v>888</v>
      </c>
      <c r="F165" s="38" t="s">
        <v>889</v>
      </c>
      <c r="G165" s="39" t="s">
        <v>34</v>
      </c>
      <c r="H165" s="40">
        <v>46059</v>
      </c>
      <c r="I165" s="41">
        <v>46070</v>
      </c>
      <c r="J165" s="37" t="s">
        <v>78</v>
      </c>
      <c r="K165" s="37" t="s">
        <v>79</v>
      </c>
      <c r="L165" s="43" t="s">
        <v>88</v>
      </c>
      <c r="M165" s="43" t="s">
        <v>64</v>
      </c>
      <c r="N165" s="43"/>
      <c r="O165" s="42"/>
      <c r="P165" s="43" t="str">
        <f t="shared" si="2"/>
        <v>ONAY</v>
      </c>
      <c r="Q165" s="26" t="s">
        <v>78</v>
      </c>
    </row>
    <row r="166" spans="1:19" ht="78.75" customHeight="1" x14ac:dyDescent="0.25">
      <c r="A166" s="36" t="s">
        <v>890</v>
      </c>
      <c r="B166" s="36" t="s">
        <v>891</v>
      </c>
      <c r="C166" s="37" t="s">
        <v>214</v>
      </c>
      <c r="D166" s="37" t="s">
        <v>215</v>
      </c>
      <c r="E166" s="38" t="s">
        <v>892</v>
      </c>
      <c r="F166" s="38" t="s">
        <v>893</v>
      </c>
      <c r="G166" s="39" t="s">
        <v>34</v>
      </c>
      <c r="H166" s="40">
        <v>46059</v>
      </c>
      <c r="I166" s="41">
        <v>46070</v>
      </c>
      <c r="J166" s="37" t="s">
        <v>78</v>
      </c>
      <c r="K166" s="37" t="s">
        <v>79</v>
      </c>
      <c r="L166" s="43" t="s">
        <v>88</v>
      </c>
      <c r="M166" s="43" t="s">
        <v>64</v>
      </c>
      <c r="N166" s="43"/>
      <c r="O166" s="42"/>
      <c r="P166" s="43" t="str">
        <f t="shared" si="2"/>
        <v>ONAY</v>
      </c>
      <c r="Q166" s="26" t="s">
        <v>78</v>
      </c>
    </row>
    <row r="167" spans="1:19" ht="63" customHeight="1" x14ac:dyDescent="0.25">
      <c r="A167" s="36" t="s">
        <v>894</v>
      </c>
      <c r="B167" s="36" t="s">
        <v>895</v>
      </c>
      <c r="C167" s="37" t="s">
        <v>377</v>
      </c>
      <c r="D167" s="37" t="s">
        <v>378</v>
      </c>
      <c r="E167" s="38" t="s">
        <v>896</v>
      </c>
      <c r="F167" s="38" t="s">
        <v>897</v>
      </c>
      <c r="G167" s="39" t="s">
        <v>34</v>
      </c>
      <c r="H167" s="40">
        <v>46059</v>
      </c>
      <c r="I167" s="41">
        <v>46070</v>
      </c>
      <c r="J167" s="37" t="s">
        <v>79</v>
      </c>
      <c r="K167" s="37" t="s">
        <v>87</v>
      </c>
      <c r="L167" s="43" t="s">
        <v>88</v>
      </c>
      <c r="M167" s="43"/>
      <c r="N167" s="43"/>
      <c r="O167" s="42"/>
      <c r="P167" s="43" t="str">
        <f t="shared" si="2"/>
        <v>DÜZELTME</v>
      </c>
    </row>
    <row r="168" spans="1:19" ht="63" customHeight="1" x14ac:dyDescent="0.25">
      <c r="A168" s="36" t="s">
        <v>898</v>
      </c>
      <c r="B168" s="36" t="s">
        <v>899</v>
      </c>
      <c r="C168" s="37" t="s">
        <v>377</v>
      </c>
      <c r="D168" s="37" t="s">
        <v>378</v>
      </c>
      <c r="E168" s="38" t="s">
        <v>896</v>
      </c>
      <c r="F168" s="38" t="s">
        <v>900</v>
      </c>
      <c r="G168" s="39" t="s">
        <v>34</v>
      </c>
      <c r="H168" s="40">
        <v>46059</v>
      </c>
      <c r="I168" s="41">
        <v>46070</v>
      </c>
      <c r="J168" s="37" t="s">
        <v>62</v>
      </c>
      <c r="K168" s="37" t="s">
        <v>71</v>
      </c>
      <c r="L168" s="43" t="s">
        <v>88</v>
      </c>
      <c r="M168" s="43"/>
      <c r="N168" s="43"/>
      <c r="O168" s="42"/>
      <c r="P168" s="43" t="str">
        <f t="shared" si="2"/>
        <v>DÜZELTME</v>
      </c>
    </row>
    <row r="169" spans="1:19" ht="78.75" customHeight="1" x14ac:dyDescent="0.25">
      <c r="A169" s="36" t="s">
        <v>901</v>
      </c>
      <c r="B169" s="36" t="s">
        <v>902</v>
      </c>
      <c r="C169" s="37" t="s">
        <v>639</v>
      </c>
      <c r="D169" s="37" t="s">
        <v>351</v>
      </c>
      <c r="E169" s="38" t="s">
        <v>903</v>
      </c>
      <c r="F169" s="38" t="s">
        <v>904</v>
      </c>
      <c r="G169" s="39" t="s">
        <v>34</v>
      </c>
      <c r="H169" s="40">
        <v>46059</v>
      </c>
      <c r="I169" s="41">
        <v>46070</v>
      </c>
      <c r="J169" s="37" t="s">
        <v>95</v>
      </c>
      <c r="K169" s="37" t="s">
        <v>103</v>
      </c>
      <c r="L169" s="43" t="s">
        <v>64</v>
      </c>
      <c r="M169" s="43"/>
      <c r="N169" s="43"/>
      <c r="O169" s="42"/>
      <c r="P169" s="43" t="str">
        <f t="shared" si="2"/>
        <v>ONAY</v>
      </c>
    </row>
    <row r="170" spans="1:19" ht="78.75" customHeight="1" x14ac:dyDescent="0.25">
      <c r="A170" s="36" t="s">
        <v>905</v>
      </c>
      <c r="B170" s="36" t="s">
        <v>906</v>
      </c>
      <c r="C170" s="37" t="s">
        <v>620</v>
      </c>
      <c r="D170" s="37" t="s">
        <v>215</v>
      </c>
      <c r="E170" s="38" t="s">
        <v>907</v>
      </c>
      <c r="F170" s="38" t="s">
        <v>908</v>
      </c>
      <c r="G170" s="39" t="s">
        <v>34</v>
      </c>
      <c r="H170" s="40">
        <v>46059</v>
      </c>
      <c r="I170" s="41">
        <v>46070</v>
      </c>
      <c r="J170" s="37" t="s">
        <v>62</v>
      </c>
      <c r="K170" s="37" t="s">
        <v>86</v>
      </c>
      <c r="L170" s="43" t="s">
        <v>64</v>
      </c>
      <c r="M170" s="43"/>
      <c r="N170" s="43"/>
      <c r="O170" s="42"/>
      <c r="P170" s="43" t="str">
        <f t="shared" si="2"/>
        <v>ONAY</v>
      </c>
    </row>
    <row r="171" spans="1:19" ht="81.75" customHeight="1" x14ac:dyDescent="0.25">
      <c r="A171" s="36" t="s">
        <v>909</v>
      </c>
      <c r="B171" s="36" t="s">
        <v>910</v>
      </c>
      <c r="C171" s="37" t="s">
        <v>911</v>
      </c>
      <c r="D171" s="37" t="s">
        <v>215</v>
      </c>
      <c r="E171" s="38" t="s">
        <v>912</v>
      </c>
      <c r="F171" s="38" t="s">
        <v>913</v>
      </c>
      <c r="G171" s="39" t="s">
        <v>34</v>
      </c>
      <c r="H171" s="40">
        <v>46059</v>
      </c>
      <c r="I171" s="41">
        <v>46070</v>
      </c>
      <c r="J171" s="37" t="s">
        <v>62</v>
      </c>
      <c r="K171" s="37" t="s">
        <v>86</v>
      </c>
      <c r="L171" s="43" t="s">
        <v>64</v>
      </c>
      <c r="M171" s="43"/>
      <c r="N171" s="43"/>
      <c r="O171" s="42"/>
      <c r="P171" s="43" t="str">
        <f t="shared" si="2"/>
        <v>ONAY</v>
      </c>
    </row>
    <row r="172" spans="1:19" ht="63" customHeight="1" x14ac:dyDescent="0.25">
      <c r="A172" s="36" t="s">
        <v>914</v>
      </c>
      <c r="B172" s="36" t="s">
        <v>915</v>
      </c>
      <c r="C172" s="37" t="s">
        <v>272</v>
      </c>
      <c r="D172" s="37" t="s">
        <v>209</v>
      </c>
      <c r="E172" s="38" t="s">
        <v>916</v>
      </c>
      <c r="F172" s="38" t="s">
        <v>917</v>
      </c>
      <c r="G172" s="39" t="s">
        <v>34</v>
      </c>
      <c r="H172" s="40">
        <v>46059</v>
      </c>
      <c r="I172" s="41">
        <v>46070</v>
      </c>
      <c r="J172" s="37" t="s">
        <v>63</v>
      </c>
      <c r="K172" s="37" t="s">
        <v>87</v>
      </c>
      <c r="L172" s="43" t="s">
        <v>88</v>
      </c>
      <c r="M172" s="43" t="s">
        <v>64</v>
      </c>
      <c r="N172" s="43"/>
      <c r="O172" s="42"/>
      <c r="P172" s="43" t="str">
        <f t="shared" si="2"/>
        <v>ONAY</v>
      </c>
      <c r="Q172" s="26" t="s">
        <v>63</v>
      </c>
    </row>
    <row r="173" spans="1:19" ht="78.75" customHeight="1" x14ac:dyDescent="0.25">
      <c r="A173" s="36" t="s">
        <v>918</v>
      </c>
      <c r="B173" s="36" t="s">
        <v>919</v>
      </c>
      <c r="C173" s="37" t="s">
        <v>511</v>
      </c>
      <c r="D173" s="37" t="s">
        <v>100</v>
      </c>
      <c r="E173" s="38" t="s">
        <v>920</v>
      </c>
      <c r="F173" s="38" t="s">
        <v>921</v>
      </c>
      <c r="G173" s="39" t="s">
        <v>34</v>
      </c>
      <c r="H173" s="40">
        <v>46059</v>
      </c>
      <c r="I173" s="41">
        <v>46070</v>
      </c>
      <c r="J173" s="37" t="s">
        <v>103</v>
      </c>
      <c r="K173" s="37" t="s">
        <v>116</v>
      </c>
      <c r="L173" s="43" t="s">
        <v>88</v>
      </c>
      <c r="M173" s="43" t="s">
        <v>64</v>
      </c>
      <c r="N173" s="43"/>
      <c r="O173" s="42"/>
      <c r="P173" s="43" t="str">
        <f t="shared" si="2"/>
        <v>ONAY</v>
      </c>
      <c r="Q173" s="26" t="s">
        <v>103</v>
      </c>
    </row>
    <row r="174" spans="1:19" ht="80.25" customHeight="1" x14ac:dyDescent="0.25">
      <c r="A174" s="36" t="s">
        <v>922</v>
      </c>
      <c r="B174" s="36" t="s">
        <v>923</v>
      </c>
      <c r="C174" s="37" t="s">
        <v>924</v>
      </c>
      <c r="D174" s="37" t="s">
        <v>328</v>
      </c>
      <c r="E174" s="38" t="s">
        <v>925</v>
      </c>
      <c r="F174" s="38" t="s">
        <v>926</v>
      </c>
      <c r="G174" s="39" t="s">
        <v>34</v>
      </c>
      <c r="H174" s="40">
        <v>46059</v>
      </c>
      <c r="I174" s="41">
        <v>46070</v>
      </c>
      <c r="J174" s="37" t="s">
        <v>62</v>
      </c>
      <c r="K174" s="37" t="s">
        <v>110</v>
      </c>
      <c r="L174" s="43" t="s">
        <v>64</v>
      </c>
      <c r="M174" s="43"/>
      <c r="N174" s="43"/>
      <c r="O174" s="42"/>
      <c r="P174" s="43" t="str">
        <f t="shared" si="2"/>
        <v>ONAY</v>
      </c>
    </row>
    <row r="175" spans="1:19" ht="94.5" customHeight="1" x14ac:dyDescent="0.25">
      <c r="A175" s="36" t="s">
        <v>927</v>
      </c>
      <c r="B175" s="36" t="s">
        <v>928</v>
      </c>
      <c r="C175" s="37" t="s">
        <v>929</v>
      </c>
      <c r="D175" s="37" t="s">
        <v>378</v>
      </c>
      <c r="E175" s="38" t="s">
        <v>930</v>
      </c>
      <c r="F175" s="38" t="s">
        <v>931</v>
      </c>
      <c r="G175" s="39" t="s">
        <v>36</v>
      </c>
      <c r="H175" s="40">
        <v>46062</v>
      </c>
      <c r="I175" s="41">
        <v>46070</v>
      </c>
      <c r="J175" s="37" t="s">
        <v>62</v>
      </c>
      <c r="K175" s="37" t="s">
        <v>71</v>
      </c>
      <c r="L175" s="43" t="s">
        <v>88</v>
      </c>
      <c r="M175" s="43" t="s">
        <v>64</v>
      </c>
      <c r="N175" s="43"/>
      <c r="O175" s="42"/>
      <c r="P175" s="43" t="str">
        <f t="shared" si="2"/>
        <v>ONAY</v>
      </c>
      <c r="Q175" s="26" t="s">
        <v>62</v>
      </c>
    </row>
    <row r="176" spans="1:19" ht="95.25" customHeight="1" x14ac:dyDescent="0.25">
      <c r="A176" s="36" t="s">
        <v>932</v>
      </c>
      <c r="B176" s="36" t="s">
        <v>933</v>
      </c>
      <c r="C176" s="37" t="s">
        <v>934</v>
      </c>
      <c r="D176" s="37" t="s">
        <v>156</v>
      </c>
      <c r="E176" s="38" t="s">
        <v>935</v>
      </c>
      <c r="F176" s="38" t="s">
        <v>936</v>
      </c>
      <c r="G176" s="39" t="s">
        <v>35</v>
      </c>
      <c r="H176" s="40">
        <v>46062</v>
      </c>
      <c r="I176" s="41">
        <v>46070</v>
      </c>
      <c r="J176" s="37" t="s">
        <v>62</v>
      </c>
      <c r="K176" s="37" t="s">
        <v>95</v>
      </c>
      <c r="L176" s="43" t="s">
        <v>88</v>
      </c>
      <c r="M176" s="43" t="s">
        <v>64</v>
      </c>
      <c r="N176" s="43"/>
      <c r="O176" s="42"/>
      <c r="P176" s="43" t="str">
        <f t="shared" si="2"/>
        <v>ONAY</v>
      </c>
      <c r="Q176" s="26" t="s">
        <v>62</v>
      </c>
    </row>
    <row r="177" spans="1:17" ht="94.5" customHeight="1" x14ac:dyDescent="0.25">
      <c r="A177" s="36" t="s">
        <v>937</v>
      </c>
      <c r="B177" s="36" t="s">
        <v>938</v>
      </c>
      <c r="C177" s="37" t="s">
        <v>939</v>
      </c>
      <c r="D177" s="37" t="s">
        <v>391</v>
      </c>
      <c r="E177" s="38" t="s">
        <v>940</v>
      </c>
      <c r="F177" s="38" t="s">
        <v>941</v>
      </c>
      <c r="G177" s="39" t="s">
        <v>34</v>
      </c>
      <c r="H177" s="40">
        <v>46062</v>
      </c>
      <c r="I177" s="41">
        <v>46070</v>
      </c>
      <c r="J177" s="37" t="s">
        <v>116</v>
      </c>
      <c r="K177" s="37" t="s">
        <v>95</v>
      </c>
      <c r="L177" s="43" t="s">
        <v>64</v>
      </c>
      <c r="M177" s="43"/>
      <c r="N177" s="43"/>
      <c r="O177" s="42"/>
      <c r="P177" s="43" t="str">
        <f t="shared" si="2"/>
        <v>ONAY</v>
      </c>
    </row>
    <row r="178" spans="1:17" ht="63" customHeight="1" x14ac:dyDescent="0.25">
      <c r="A178" s="36" t="s">
        <v>942</v>
      </c>
      <c r="B178" s="36" t="s">
        <v>943</v>
      </c>
      <c r="C178" s="37" t="s">
        <v>944</v>
      </c>
      <c r="D178" s="37" t="s">
        <v>391</v>
      </c>
      <c r="E178" s="38" t="s">
        <v>945</v>
      </c>
      <c r="F178" s="38" t="s">
        <v>946</v>
      </c>
      <c r="G178" s="39" t="s">
        <v>34</v>
      </c>
      <c r="H178" s="40">
        <v>46062</v>
      </c>
      <c r="I178" s="41">
        <v>46070</v>
      </c>
      <c r="J178" s="37" t="s">
        <v>63</v>
      </c>
      <c r="K178" s="37" t="s">
        <v>87</v>
      </c>
      <c r="L178" s="43" t="s">
        <v>64</v>
      </c>
      <c r="M178" s="43"/>
      <c r="N178" s="43"/>
      <c r="O178" s="42"/>
      <c r="P178" s="43" t="str">
        <f t="shared" si="2"/>
        <v>ONAY</v>
      </c>
    </row>
    <row r="179" spans="1:17" ht="63" customHeight="1" x14ac:dyDescent="0.25">
      <c r="A179" s="36" t="s">
        <v>947</v>
      </c>
      <c r="B179" s="36" t="s">
        <v>948</v>
      </c>
      <c r="C179" s="37" t="s">
        <v>944</v>
      </c>
      <c r="D179" s="37" t="s">
        <v>391</v>
      </c>
      <c r="E179" s="38" t="s">
        <v>945</v>
      </c>
      <c r="F179" s="38" t="s">
        <v>949</v>
      </c>
      <c r="G179" s="39" t="s">
        <v>34</v>
      </c>
      <c r="H179" s="40">
        <v>46062</v>
      </c>
      <c r="I179" s="41">
        <v>46070</v>
      </c>
      <c r="J179" s="37" t="s">
        <v>63</v>
      </c>
      <c r="K179" s="37" t="s">
        <v>87</v>
      </c>
      <c r="L179" s="43" t="s">
        <v>64</v>
      </c>
      <c r="M179" s="43"/>
      <c r="N179" s="43"/>
      <c r="O179" s="42"/>
      <c r="P179" s="43" t="str">
        <f t="shared" si="2"/>
        <v>ONAY</v>
      </c>
    </row>
    <row r="180" spans="1:17" ht="63" customHeight="1" x14ac:dyDescent="0.25">
      <c r="A180" s="36" t="s">
        <v>950</v>
      </c>
      <c r="B180" s="36" t="s">
        <v>951</v>
      </c>
      <c r="C180" s="37" t="s">
        <v>952</v>
      </c>
      <c r="D180" s="37" t="s">
        <v>953</v>
      </c>
      <c r="E180" s="38" t="s">
        <v>954</v>
      </c>
      <c r="F180" s="38" t="s">
        <v>955</v>
      </c>
      <c r="G180" s="39" t="s">
        <v>34</v>
      </c>
      <c r="H180" s="40">
        <v>46062</v>
      </c>
      <c r="I180" s="41">
        <v>46070</v>
      </c>
      <c r="J180" s="37" t="s">
        <v>86</v>
      </c>
      <c r="K180" s="37" t="s">
        <v>103</v>
      </c>
      <c r="L180" s="43" t="s">
        <v>88</v>
      </c>
      <c r="M180" s="43" t="s">
        <v>64</v>
      </c>
      <c r="N180" s="43"/>
      <c r="O180" s="42"/>
      <c r="P180" s="43" t="str">
        <f t="shared" si="2"/>
        <v>ONAY</v>
      </c>
      <c r="Q180" s="26" t="s">
        <v>86</v>
      </c>
    </row>
    <row r="181" spans="1:17" ht="63" customHeight="1" x14ac:dyDescent="0.25">
      <c r="A181" s="36" t="s">
        <v>956</v>
      </c>
      <c r="B181" s="36" t="s">
        <v>957</v>
      </c>
      <c r="C181" s="37" t="s">
        <v>230</v>
      </c>
      <c r="D181" s="37" t="s">
        <v>100</v>
      </c>
      <c r="E181" s="38" t="s">
        <v>958</v>
      </c>
      <c r="F181" s="38" t="s">
        <v>959</v>
      </c>
      <c r="G181" s="39" t="s">
        <v>35</v>
      </c>
      <c r="H181" s="40">
        <v>46062</v>
      </c>
      <c r="I181" s="41">
        <v>46070</v>
      </c>
      <c r="J181" s="37" t="s">
        <v>62</v>
      </c>
      <c r="K181" s="37" t="s">
        <v>110</v>
      </c>
      <c r="L181" s="43" t="s">
        <v>88</v>
      </c>
      <c r="M181" s="43" t="s">
        <v>64</v>
      </c>
      <c r="N181" s="43"/>
      <c r="O181" s="42"/>
      <c r="P181" s="43" t="str">
        <f t="shared" si="2"/>
        <v>ONAY</v>
      </c>
      <c r="Q181" s="26" t="s">
        <v>62</v>
      </c>
    </row>
    <row r="182" spans="1:17" ht="94.5" customHeight="1" x14ac:dyDescent="0.25">
      <c r="A182" s="36" t="s">
        <v>960</v>
      </c>
      <c r="B182" s="36" t="s">
        <v>961</v>
      </c>
      <c r="C182" s="37" t="s">
        <v>962</v>
      </c>
      <c r="D182" s="37" t="s">
        <v>685</v>
      </c>
      <c r="E182" s="38" t="s">
        <v>963</v>
      </c>
      <c r="F182" s="38" t="s">
        <v>964</v>
      </c>
      <c r="G182" s="39" t="s">
        <v>36</v>
      </c>
      <c r="H182" s="40">
        <v>46063</v>
      </c>
      <c r="I182" s="41">
        <v>46070</v>
      </c>
      <c r="J182" s="37" t="s">
        <v>62</v>
      </c>
      <c r="K182" s="37" t="s">
        <v>86</v>
      </c>
      <c r="L182" s="43" t="s">
        <v>88</v>
      </c>
      <c r="M182" s="43" t="s">
        <v>64</v>
      </c>
      <c r="N182" s="43"/>
      <c r="O182" s="42"/>
      <c r="P182" s="43" t="str">
        <f t="shared" si="2"/>
        <v>ONAY</v>
      </c>
      <c r="Q182" s="26" t="s">
        <v>62</v>
      </c>
    </row>
    <row r="183" spans="1:17" ht="63" customHeight="1" x14ac:dyDescent="0.25">
      <c r="A183" s="36" t="s">
        <v>965</v>
      </c>
      <c r="B183" s="36" t="s">
        <v>966</v>
      </c>
      <c r="C183" s="37" t="s">
        <v>967</v>
      </c>
      <c r="D183" s="37" t="s">
        <v>526</v>
      </c>
      <c r="E183" s="38" t="s">
        <v>968</v>
      </c>
      <c r="F183" s="38" t="s">
        <v>969</v>
      </c>
      <c r="G183" s="39" t="s">
        <v>34</v>
      </c>
      <c r="H183" s="40">
        <v>46063</v>
      </c>
      <c r="I183" s="41">
        <v>46070</v>
      </c>
      <c r="J183" s="37" t="s">
        <v>78</v>
      </c>
      <c r="K183" s="37" t="s">
        <v>110</v>
      </c>
      <c r="L183" s="43" t="s">
        <v>64</v>
      </c>
      <c r="M183" s="43"/>
      <c r="N183" s="43"/>
      <c r="O183" s="42"/>
      <c r="P183" s="43" t="str">
        <f t="shared" si="2"/>
        <v>ONAY</v>
      </c>
    </row>
    <row r="184" spans="1:17" ht="63" customHeight="1" x14ac:dyDescent="0.25">
      <c r="A184" s="36" t="s">
        <v>970</v>
      </c>
      <c r="B184" s="36" t="s">
        <v>971</v>
      </c>
      <c r="C184" s="37" t="s">
        <v>972</v>
      </c>
      <c r="D184" s="37" t="s">
        <v>401</v>
      </c>
      <c r="E184" s="38" t="s">
        <v>973</v>
      </c>
      <c r="F184" s="38" t="s">
        <v>974</v>
      </c>
      <c r="G184" s="39" t="s">
        <v>35</v>
      </c>
      <c r="H184" s="40">
        <v>46063</v>
      </c>
      <c r="I184" s="41">
        <v>46070</v>
      </c>
      <c r="J184" s="37" t="s">
        <v>110</v>
      </c>
      <c r="K184" s="37" t="s">
        <v>71</v>
      </c>
      <c r="L184" s="43" t="s">
        <v>193</v>
      </c>
      <c r="M184" s="43" t="s">
        <v>88</v>
      </c>
      <c r="N184" s="43" t="s">
        <v>64</v>
      </c>
      <c r="O184" s="42"/>
      <c r="P184" s="43" t="str">
        <f t="shared" si="2"/>
        <v>ONAY</v>
      </c>
      <c r="Q184" s="26" t="s">
        <v>78</v>
      </c>
    </row>
    <row r="185" spans="1:17" ht="78.75" customHeight="1" x14ac:dyDescent="0.25">
      <c r="A185" s="36" t="s">
        <v>975</v>
      </c>
      <c r="B185" s="36" t="s">
        <v>976</v>
      </c>
      <c r="C185" s="37" t="s">
        <v>977</v>
      </c>
      <c r="D185" s="37" t="s">
        <v>978</v>
      </c>
      <c r="E185" s="38" t="s">
        <v>979</v>
      </c>
      <c r="F185" s="38" t="s">
        <v>980</v>
      </c>
      <c r="G185" s="39" t="s">
        <v>34</v>
      </c>
      <c r="H185" s="40">
        <v>46064</v>
      </c>
      <c r="I185" s="41">
        <v>46070</v>
      </c>
      <c r="J185" s="37" t="s">
        <v>110</v>
      </c>
      <c r="K185" s="37" t="s">
        <v>103</v>
      </c>
      <c r="L185" s="43" t="s">
        <v>64</v>
      </c>
      <c r="M185" s="43"/>
      <c r="N185" s="43"/>
      <c r="O185" s="42"/>
      <c r="P185" s="43" t="str">
        <f t="shared" si="2"/>
        <v>ONAY</v>
      </c>
    </row>
    <row r="186" spans="1:17" ht="78.75" customHeight="1" x14ac:dyDescent="0.25">
      <c r="A186" s="36" t="s">
        <v>981</v>
      </c>
      <c r="B186" s="36" t="s">
        <v>982</v>
      </c>
      <c r="C186" s="37" t="s">
        <v>74</v>
      </c>
      <c r="D186" s="37" t="s">
        <v>75</v>
      </c>
      <c r="E186" s="38" t="s">
        <v>983</v>
      </c>
      <c r="F186" s="38" t="s">
        <v>984</v>
      </c>
      <c r="G186" s="39" t="s">
        <v>35</v>
      </c>
      <c r="H186" s="40">
        <v>46064</v>
      </c>
      <c r="I186" s="41">
        <v>46070</v>
      </c>
      <c r="J186" s="37" t="s">
        <v>116</v>
      </c>
      <c r="K186" s="37" t="s">
        <v>79</v>
      </c>
      <c r="L186" s="43" t="s">
        <v>64</v>
      </c>
      <c r="M186" s="43"/>
      <c r="N186" s="43"/>
      <c r="O186" s="42"/>
      <c r="P186" s="43" t="str">
        <f t="shared" si="2"/>
        <v>ONAY</v>
      </c>
    </row>
    <row r="187" spans="1:17" ht="96" customHeight="1" x14ac:dyDescent="0.25">
      <c r="A187" s="36" t="s">
        <v>985</v>
      </c>
      <c r="B187" s="36" t="s">
        <v>986</v>
      </c>
      <c r="C187" s="37" t="s">
        <v>214</v>
      </c>
      <c r="D187" s="37" t="s">
        <v>215</v>
      </c>
      <c r="E187" s="38" t="s">
        <v>987</v>
      </c>
      <c r="F187" s="38" t="s">
        <v>988</v>
      </c>
      <c r="G187" s="39" t="s">
        <v>34</v>
      </c>
      <c r="H187" s="40">
        <v>46064</v>
      </c>
      <c r="I187" s="41">
        <v>46070</v>
      </c>
      <c r="J187" s="37" t="s">
        <v>86</v>
      </c>
      <c r="K187" s="37" t="s">
        <v>116</v>
      </c>
      <c r="L187" s="43" t="s">
        <v>159</v>
      </c>
      <c r="M187" s="43"/>
      <c r="N187" s="43"/>
      <c r="O187" s="42"/>
      <c r="P187" s="43" t="str">
        <f t="shared" si="2"/>
        <v>RET</v>
      </c>
    </row>
    <row r="188" spans="1:17" ht="63" customHeight="1" x14ac:dyDescent="0.25">
      <c r="A188" s="36" t="s">
        <v>989</v>
      </c>
      <c r="B188" s="36" t="s">
        <v>990</v>
      </c>
      <c r="C188" s="37" t="s">
        <v>991</v>
      </c>
      <c r="D188" s="37" t="s">
        <v>278</v>
      </c>
      <c r="E188" s="38" t="s">
        <v>992</v>
      </c>
      <c r="F188" s="38" t="s">
        <v>993</v>
      </c>
      <c r="G188" s="39" t="s">
        <v>34</v>
      </c>
      <c r="H188" s="40">
        <v>46064</v>
      </c>
      <c r="I188" s="41">
        <v>46070</v>
      </c>
      <c r="J188" s="37" t="s">
        <v>78</v>
      </c>
      <c r="K188" s="37" t="s">
        <v>71</v>
      </c>
      <c r="L188" s="43" t="s">
        <v>159</v>
      </c>
      <c r="M188" s="43"/>
      <c r="N188" s="43"/>
      <c r="O188" s="42"/>
      <c r="P188" s="43" t="str">
        <f t="shared" si="2"/>
        <v>RET</v>
      </c>
    </row>
    <row r="189" spans="1:17" ht="110.25" customHeight="1" x14ac:dyDescent="0.25">
      <c r="A189" s="36" t="s">
        <v>994</v>
      </c>
      <c r="B189" s="36" t="s">
        <v>995</v>
      </c>
      <c r="C189" s="37" t="s">
        <v>996</v>
      </c>
      <c r="D189" s="37" t="s">
        <v>209</v>
      </c>
      <c r="E189" s="38" t="s">
        <v>997</v>
      </c>
      <c r="F189" s="38" t="s">
        <v>998</v>
      </c>
      <c r="G189" s="39" t="s">
        <v>35</v>
      </c>
      <c r="H189" s="40">
        <v>46064</v>
      </c>
      <c r="I189" s="41">
        <v>46070</v>
      </c>
      <c r="J189" s="37" t="s">
        <v>95</v>
      </c>
      <c r="K189" s="37" t="s">
        <v>103</v>
      </c>
      <c r="L189" s="43" t="s">
        <v>88</v>
      </c>
      <c r="M189" s="43" t="s">
        <v>64</v>
      </c>
      <c r="N189" s="43"/>
      <c r="O189" s="42"/>
      <c r="P189" s="43" t="str">
        <f t="shared" si="2"/>
        <v>ONAY</v>
      </c>
      <c r="Q189" s="26" t="s">
        <v>95</v>
      </c>
    </row>
    <row r="190" spans="1:17" ht="94.5" customHeight="1" x14ac:dyDescent="0.25">
      <c r="A190" s="36" t="s">
        <v>999</v>
      </c>
      <c r="B190" s="36" t="s">
        <v>1000</v>
      </c>
      <c r="C190" s="37" t="s">
        <v>1001</v>
      </c>
      <c r="D190" s="37" t="s">
        <v>257</v>
      </c>
      <c r="E190" s="38" t="s">
        <v>1002</v>
      </c>
      <c r="F190" s="38" t="s">
        <v>1003</v>
      </c>
      <c r="G190" s="39" t="s">
        <v>34</v>
      </c>
      <c r="H190" s="40">
        <v>46064</v>
      </c>
      <c r="I190" s="41">
        <v>46070</v>
      </c>
      <c r="J190" s="37" t="s">
        <v>79</v>
      </c>
      <c r="K190" s="37" t="s">
        <v>63</v>
      </c>
      <c r="L190" s="43" t="s">
        <v>64</v>
      </c>
      <c r="M190" s="43"/>
      <c r="N190" s="43"/>
      <c r="O190" s="42"/>
      <c r="P190" s="43" t="str">
        <f t="shared" si="2"/>
        <v>ONAY</v>
      </c>
    </row>
    <row r="191" spans="1:17" ht="63" customHeight="1" x14ac:dyDescent="0.25">
      <c r="A191" s="36" t="s">
        <v>1004</v>
      </c>
      <c r="B191" s="36" t="s">
        <v>1005</v>
      </c>
      <c r="C191" s="37" t="s">
        <v>1006</v>
      </c>
      <c r="D191" s="37" t="s">
        <v>312</v>
      </c>
      <c r="E191" s="38" t="s">
        <v>1007</v>
      </c>
      <c r="F191" s="38" t="s">
        <v>1008</v>
      </c>
      <c r="G191" s="39" t="s">
        <v>34</v>
      </c>
      <c r="H191" s="40">
        <v>46064</v>
      </c>
      <c r="I191" s="41">
        <v>46070</v>
      </c>
      <c r="J191" s="37" t="s">
        <v>87</v>
      </c>
      <c r="K191" s="37" t="s">
        <v>62</v>
      </c>
      <c r="L191" s="43" t="s">
        <v>64</v>
      </c>
      <c r="M191" s="43"/>
      <c r="N191" s="43"/>
      <c r="O191" s="42"/>
      <c r="P191" s="43" t="str">
        <f t="shared" si="2"/>
        <v>ONAY</v>
      </c>
    </row>
    <row r="192" spans="1:17" ht="78.75" customHeight="1" x14ac:dyDescent="0.25">
      <c r="A192" s="36" t="s">
        <v>1009</v>
      </c>
      <c r="B192" s="36" t="s">
        <v>1010</v>
      </c>
      <c r="C192" s="37" t="s">
        <v>63</v>
      </c>
      <c r="D192" s="37" t="s">
        <v>209</v>
      </c>
      <c r="E192" s="38" t="s">
        <v>1011</v>
      </c>
      <c r="F192" s="38" t="s">
        <v>1012</v>
      </c>
      <c r="G192" s="39" t="s">
        <v>34</v>
      </c>
      <c r="H192" s="40">
        <v>46071</v>
      </c>
      <c r="I192" s="41">
        <v>46084</v>
      </c>
      <c r="J192" s="37" t="s">
        <v>96</v>
      </c>
      <c r="K192" s="37" t="s">
        <v>103</v>
      </c>
      <c r="L192" s="43" t="s">
        <v>88</v>
      </c>
      <c r="M192" s="43" t="s">
        <v>64</v>
      </c>
      <c r="N192" s="43"/>
      <c r="O192" s="42"/>
      <c r="P192" s="43" t="str">
        <f t="shared" si="2"/>
        <v>ONAY</v>
      </c>
      <c r="Q192" s="26" t="s">
        <v>103</v>
      </c>
    </row>
    <row r="193" spans="1:16" ht="113.25" customHeight="1" x14ac:dyDescent="0.25">
      <c r="A193" s="36" t="s">
        <v>1013</v>
      </c>
      <c r="B193" s="36" t="s">
        <v>1014</v>
      </c>
      <c r="C193" s="37" t="s">
        <v>1015</v>
      </c>
      <c r="D193" s="37" t="s">
        <v>209</v>
      </c>
      <c r="E193" s="38" t="s">
        <v>1016</v>
      </c>
      <c r="F193" s="38" t="s">
        <v>1017</v>
      </c>
      <c r="G193" s="39" t="s">
        <v>34</v>
      </c>
      <c r="H193" s="40">
        <v>46071</v>
      </c>
      <c r="I193" s="41">
        <v>46084</v>
      </c>
      <c r="J193" s="37" t="s">
        <v>71</v>
      </c>
      <c r="K193" s="37" t="s">
        <v>86</v>
      </c>
      <c r="L193" s="43" t="s">
        <v>64</v>
      </c>
      <c r="M193" s="43"/>
      <c r="N193" s="43"/>
      <c r="O193" s="42"/>
      <c r="P193" s="43" t="str">
        <f t="shared" si="2"/>
        <v>ONAY</v>
      </c>
    </row>
    <row r="194" spans="1:16" ht="63" customHeight="1" x14ac:dyDescent="0.25">
      <c r="A194" s="36" t="s">
        <v>1018</v>
      </c>
      <c r="B194" s="36" t="s">
        <v>1019</v>
      </c>
      <c r="C194" s="37" t="s">
        <v>506</v>
      </c>
      <c r="D194" s="37" t="s">
        <v>351</v>
      </c>
      <c r="E194" s="38" t="s">
        <v>1020</v>
      </c>
      <c r="F194" s="38" t="s">
        <v>1021</v>
      </c>
      <c r="G194" s="39" t="s">
        <v>34</v>
      </c>
      <c r="H194" s="40">
        <v>46071</v>
      </c>
      <c r="I194" s="41">
        <v>46084</v>
      </c>
      <c r="J194" s="37" t="s">
        <v>62</v>
      </c>
      <c r="K194" s="37" t="s">
        <v>95</v>
      </c>
      <c r="L194" s="43" t="s">
        <v>64</v>
      </c>
      <c r="M194" s="43"/>
      <c r="N194" s="43"/>
      <c r="O194" s="42"/>
      <c r="P194" s="43" t="str">
        <f t="shared" ref="P194:P257" si="3">IF(O194&lt;&gt;"",O194, IF(N194&lt;&gt;"",N194, IF(M194&lt;&gt;"",M194, L194)))</f>
        <v>ONAY</v>
      </c>
    </row>
    <row r="195" spans="1:16" ht="63" customHeight="1" x14ac:dyDescent="0.25">
      <c r="A195" s="36" t="s">
        <v>1022</v>
      </c>
      <c r="B195" s="36" t="s">
        <v>1023</v>
      </c>
      <c r="C195" s="37" t="s">
        <v>1024</v>
      </c>
      <c r="D195" s="37" t="s">
        <v>1025</v>
      </c>
      <c r="E195" s="38" t="s">
        <v>1026</v>
      </c>
      <c r="F195" s="38" t="s">
        <v>1027</v>
      </c>
      <c r="G195" s="39" t="s">
        <v>34</v>
      </c>
      <c r="H195" s="40">
        <v>46071</v>
      </c>
      <c r="I195" s="41">
        <v>46084</v>
      </c>
      <c r="J195" s="37" t="s">
        <v>71</v>
      </c>
      <c r="K195" s="37" t="s">
        <v>96</v>
      </c>
      <c r="L195" s="43" t="s">
        <v>193</v>
      </c>
      <c r="M195" s="43" t="s">
        <v>64</v>
      </c>
      <c r="N195" s="43"/>
      <c r="O195" s="42"/>
      <c r="P195" s="43" t="str">
        <f t="shared" si="3"/>
        <v>ONAY</v>
      </c>
    </row>
    <row r="196" spans="1:16" ht="63" customHeight="1" x14ac:dyDescent="0.25">
      <c r="A196" s="36" t="s">
        <v>1028</v>
      </c>
      <c r="B196" s="36" t="s">
        <v>1029</v>
      </c>
      <c r="C196" s="37" t="s">
        <v>1030</v>
      </c>
      <c r="D196" s="37" t="s">
        <v>75</v>
      </c>
      <c r="E196" s="38" t="s">
        <v>1031</v>
      </c>
      <c r="F196" s="38" t="s">
        <v>1032</v>
      </c>
      <c r="G196" s="39" t="s">
        <v>34</v>
      </c>
      <c r="H196" s="40">
        <v>46071</v>
      </c>
      <c r="I196" s="41">
        <v>46084</v>
      </c>
      <c r="J196" s="37" t="s">
        <v>79</v>
      </c>
      <c r="K196" s="37" t="s">
        <v>87</v>
      </c>
      <c r="L196" s="43" t="s">
        <v>64</v>
      </c>
      <c r="M196" s="43"/>
      <c r="N196" s="43"/>
      <c r="O196" s="42"/>
      <c r="P196" s="43" t="str">
        <f t="shared" si="3"/>
        <v>ONAY</v>
      </c>
    </row>
    <row r="197" spans="1:16" ht="63" customHeight="1" x14ac:dyDescent="0.25">
      <c r="A197" s="36" t="s">
        <v>1033</v>
      </c>
      <c r="B197" s="36" t="s">
        <v>1034</v>
      </c>
      <c r="C197" s="37" t="s">
        <v>663</v>
      </c>
      <c r="D197" s="37" t="s">
        <v>257</v>
      </c>
      <c r="E197" s="38" t="s">
        <v>1035</v>
      </c>
      <c r="F197" s="38" t="s">
        <v>1036</v>
      </c>
      <c r="G197" s="39" t="s">
        <v>36</v>
      </c>
      <c r="H197" s="40">
        <v>46071</v>
      </c>
      <c r="I197" s="41">
        <v>46084</v>
      </c>
      <c r="J197" s="37" t="s">
        <v>63</v>
      </c>
      <c r="K197" s="37" t="s">
        <v>103</v>
      </c>
      <c r="L197" s="43" t="s">
        <v>64</v>
      </c>
      <c r="M197" s="43"/>
      <c r="N197" s="43"/>
      <c r="O197" s="42"/>
      <c r="P197" s="43" t="str">
        <f t="shared" si="3"/>
        <v>ONAY</v>
      </c>
    </row>
    <row r="198" spans="1:16" ht="63" customHeight="1" x14ac:dyDescent="0.25">
      <c r="A198" s="36" t="s">
        <v>1037</v>
      </c>
      <c r="B198" s="36" t="s">
        <v>1038</v>
      </c>
      <c r="C198" s="37" t="s">
        <v>1039</v>
      </c>
      <c r="D198" s="37" t="s">
        <v>100</v>
      </c>
      <c r="E198" s="38" t="s">
        <v>1040</v>
      </c>
      <c r="F198" s="38" t="s">
        <v>1041</v>
      </c>
      <c r="G198" s="39" t="s">
        <v>34</v>
      </c>
      <c r="H198" s="40">
        <v>46071</v>
      </c>
      <c r="I198" s="41">
        <v>46084</v>
      </c>
      <c r="J198" s="37" t="s">
        <v>78</v>
      </c>
      <c r="K198" s="37" t="s">
        <v>95</v>
      </c>
      <c r="L198" s="43" t="s">
        <v>140</v>
      </c>
      <c r="M198" s="43"/>
      <c r="N198" s="43"/>
      <c r="O198" s="42"/>
      <c r="P198" s="43" t="str">
        <f t="shared" si="3"/>
        <v>KAPSAM DIŞI</v>
      </c>
    </row>
    <row r="199" spans="1:16" ht="63" customHeight="1" x14ac:dyDescent="0.25">
      <c r="A199" s="36" t="s">
        <v>1042</v>
      </c>
      <c r="B199" s="36" t="s">
        <v>1043</v>
      </c>
      <c r="C199" s="37" t="s">
        <v>1039</v>
      </c>
      <c r="D199" s="37" t="s">
        <v>100</v>
      </c>
      <c r="E199" s="38" t="s">
        <v>1040</v>
      </c>
      <c r="F199" s="38" t="s">
        <v>1044</v>
      </c>
      <c r="G199" s="39" t="s">
        <v>34</v>
      </c>
      <c r="H199" s="40">
        <v>46071</v>
      </c>
      <c r="I199" s="41">
        <v>46084</v>
      </c>
      <c r="J199" s="37" t="s">
        <v>78</v>
      </c>
      <c r="K199" s="37" t="s">
        <v>95</v>
      </c>
      <c r="L199" s="43" t="s">
        <v>140</v>
      </c>
      <c r="M199" s="43"/>
      <c r="N199" s="43"/>
      <c r="O199" s="42"/>
      <c r="P199" s="43" t="str">
        <f t="shared" si="3"/>
        <v>KAPSAM DIŞI</v>
      </c>
    </row>
    <row r="200" spans="1:16" ht="63" customHeight="1" x14ac:dyDescent="0.25">
      <c r="A200" s="36" t="s">
        <v>1045</v>
      </c>
      <c r="B200" s="36" t="s">
        <v>1046</v>
      </c>
      <c r="C200" s="37" t="s">
        <v>1039</v>
      </c>
      <c r="D200" s="37" t="s">
        <v>100</v>
      </c>
      <c r="E200" s="38" t="s">
        <v>1040</v>
      </c>
      <c r="F200" s="38" t="s">
        <v>1047</v>
      </c>
      <c r="G200" s="39" t="s">
        <v>34</v>
      </c>
      <c r="H200" s="40">
        <v>46071</v>
      </c>
      <c r="I200" s="41">
        <v>46084</v>
      </c>
      <c r="J200" s="37" t="s">
        <v>78</v>
      </c>
      <c r="K200" s="37" t="s">
        <v>95</v>
      </c>
      <c r="L200" s="43" t="s">
        <v>140</v>
      </c>
      <c r="M200" s="43"/>
      <c r="N200" s="43"/>
      <c r="O200" s="42"/>
      <c r="P200" s="43" t="str">
        <f t="shared" si="3"/>
        <v>KAPSAM DIŞI</v>
      </c>
    </row>
    <row r="201" spans="1:16" ht="63" customHeight="1" x14ac:dyDescent="0.25">
      <c r="A201" s="36" t="s">
        <v>1048</v>
      </c>
      <c r="B201" s="36" t="s">
        <v>1049</v>
      </c>
      <c r="C201" s="37" t="s">
        <v>1050</v>
      </c>
      <c r="D201" s="37" t="s">
        <v>471</v>
      </c>
      <c r="E201" s="38" t="s">
        <v>1051</v>
      </c>
      <c r="F201" s="38" t="s">
        <v>1052</v>
      </c>
      <c r="G201" s="39" t="s">
        <v>34</v>
      </c>
      <c r="H201" s="40">
        <v>46071</v>
      </c>
      <c r="I201" s="41">
        <v>46084</v>
      </c>
      <c r="J201" s="37" t="s">
        <v>110</v>
      </c>
      <c r="K201" s="37" t="s">
        <v>79</v>
      </c>
      <c r="L201" s="43" t="s">
        <v>64</v>
      </c>
      <c r="M201" s="43"/>
      <c r="N201" s="43"/>
      <c r="O201" s="42"/>
      <c r="P201" s="43" t="str">
        <f t="shared" si="3"/>
        <v>ONAY</v>
      </c>
    </row>
    <row r="202" spans="1:16" ht="63" customHeight="1" x14ac:dyDescent="0.25">
      <c r="A202" s="36" t="s">
        <v>1053</v>
      </c>
      <c r="B202" s="36" t="s">
        <v>1054</v>
      </c>
      <c r="C202" s="37" t="s">
        <v>99</v>
      </c>
      <c r="D202" s="37" t="s">
        <v>100</v>
      </c>
      <c r="E202" s="38" t="s">
        <v>1055</v>
      </c>
      <c r="F202" s="38" t="s">
        <v>1056</v>
      </c>
      <c r="G202" s="39" t="s">
        <v>34</v>
      </c>
      <c r="H202" s="40">
        <v>46071</v>
      </c>
      <c r="I202" s="41">
        <v>46084</v>
      </c>
      <c r="J202" s="37" t="s">
        <v>63</v>
      </c>
      <c r="K202" s="37" t="s">
        <v>71</v>
      </c>
      <c r="L202" s="43" t="s">
        <v>193</v>
      </c>
      <c r="M202" s="43" t="s">
        <v>88</v>
      </c>
      <c r="N202" s="43"/>
      <c r="O202" s="42"/>
      <c r="P202" s="43" t="str">
        <f t="shared" si="3"/>
        <v>DÜZELTME</v>
      </c>
    </row>
    <row r="203" spans="1:16" ht="63" customHeight="1" x14ac:dyDescent="0.25">
      <c r="A203" s="36" t="s">
        <v>1057</v>
      </c>
      <c r="B203" s="36" t="s">
        <v>1058</v>
      </c>
      <c r="C203" s="37" t="s">
        <v>1059</v>
      </c>
      <c r="D203" s="37" t="s">
        <v>1060</v>
      </c>
      <c r="E203" s="38" t="s">
        <v>1061</v>
      </c>
      <c r="F203" s="38" t="s">
        <v>1062</v>
      </c>
      <c r="G203" s="39" t="s">
        <v>34</v>
      </c>
      <c r="H203" s="40">
        <v>46072</v>
      </c>
      <c r="I203" s="41">
        <v>46084</v>
      </c>
      <c r="J203" s="37" t="s">
        <v>62</v>
      </c>
      <c r="K203" s="37" t="s">
        <v>86</v>
      </c>
      <c r="L203" s="43" t="s">
        <v>64</v>
      </c>
      <c r="M203" s="43"/>
      <c r="N203" s="43"/>
      <c r="O203" s="42"/>
      <c r="P203" s="43" t="str">
        <f t="shared" si="3"/>
        <v>ONAY</v>
      </c>
    </row>
    <row r="204" spans="1:16" ht="79.5" customHeight="1" x14ac:dyDescent="0.25">
      <c r="A204" s="36" t="s">
        <v>1063</v>
      </c>
      <c r="B204" s="36" t="s">
        <v>1064</v>
      </c>
      <c r="C204" s="37" t="s">
        <v>1065</v>
      </c>
      <c r="D204" s="37" t="s">
        <v>202</v>
      </c>
      <c r="E204" s="38" t="s">
        <v>1066</v>
      </c>
      <c r="F204" s="38" t="s">
        <v>1067</v>
      </c>
      <c r="G204" s="39" t="s">
        <v>34</v>
      </c>
      <c r="H204" s="40">
        <v>46072</v>
      </c>
      <c r="I204" s="41">
        <v>46084</v>
      </c>
      <c r="J204" s="37" t="s">
        <v>110</v>
      </c>
      <c r="K204" s="37" t="s">
        <v>87</v>
      </c>
      <c r="L204" s="43" t="s">
        <v>64</v>
      </c>
      <c r="M204" s="43"/>
      <c r="N204" s="43"/>
      <c r="O204" s="42"/>
      <c r="P204" s="43" t="str">
        <f t="shared" si="3"/>
        <v>ONAY</v>
      </c>
    </row>
    <row r="205" spans="1:16" ht="63" customHeight="1" x14ac:dyDescent="0.25">
      <c r="A205" s="36" t="s">
        <v>1068</v>
      </c>
      <c r="B205" s="36" t="s">
        <v>1069</v>
      </c>
      <c r="C205" s="37" t="s">
        <v>924</v>
      </c>
      <c r="D205" s="37" t="s">
        <v>328</v>
      </c>
      <c r="E205" s="48" t="s">
        <v>1070</v>
      </c>
      <c r="F205" s="38" t="s">
        <v>1071</v>
      </c>
      <c r="G205" s="39" t="s">
        <v>34</v>
      </c>
      <c r="H205" s="40">
        <v>46072</v>
      </c>
      <c r="I205" s="41">
        <v>46084</v>
      </c>
      <c r="J205" s="37" t="s">
        <v>103</v>
      </c>
      <c r="K205" s="37" t="s">
        <v>96</v>
      </c>
      <c r="L205" s="43" t="s">
        <v>64</v>
      </c>
      <c r="M205" s="43"/>
      <c r="N205" s="43"/>
      <c r="O205" s="42"/>
      <c r="P205" s="43" t="str">
        <f t="shared" si="3"/>
        <v>ONAY</v>
      </c>
    </row>
    <row r="206" spans="1:16" ht="63" customHeight="1" x14ac:dyDescent="0.25">
      <c r="A206" s="36" t="s">
        <v>1072</v>
      </c>
      <c r="B206" s="36" t="s">
        <v>1073</v>
      </c>
      <c r="C206" s="37" t="s">
        <v>1074</v>
      </c>
      <c r="D206" s="37" t="s">
        <v>267</v>
      </c>
      <c r="E206" s="38" t="s">
        <v>1075</v>
      </c>
      <c r="F206" s="38" t="s">
        <v>1076</v>
      </c>
      <c r="G206" s="39" t="s">
        <v>34</v>
      </c>
      <c r="H206" s="40">
        <v>46072</v>
      </c>
      <c r="I206" s="41">
        <v>46084</v>
      </c>
      <c r="J206" s="37" t="s">
        <v>78</v>
      </c>
      <c r="K206" s="37" t="s">
        <v>62</v>
      </c>
      <c r="L206" s="43" t="s">
        <v>64</v>
      </c>
      <c r="M206" s="43"/>
      <c r="N206" s="43"/>
      <c r="O206" s="42"/>
      <c r="P206" s="43" t="str">
        <f t="shared" si="3"/>
        <v>ONAY</v>
      </c>
    </row>
    <row r="207" spans="1:16" ht="97.5" customHeight="1" x14ac:dyDescent="0.25">
      <c r="A207" s="36" t="s">
        <v>1077</v>
      </c>
      <c r="B207" s="36" t="s">
        <v>1078</v>
      </c>
      <c r="C207" s="37" t="s">
        <v>1079</v>
      </c>
      <c r="D207" s="37" t="s">
        <v>190</v>
      </c>
      <c r="E207" s="38" t="s">
        <v>1080</v>
      </c>
      <c r="F207" s="38" t="s">
        <v>1081</v>
      </c>
      <c r="G207" s="39" t="s">
        <v>37</v>
      </c>
      <c r="H207" s="40">
        <v>46072</v>
      </c>
      <c r="I207" s="41">
        <v>46084</v>
      </c>
      <c r="J207" s="37" t="s">
        <v>79</v>
      </c>
      <c r="K207" s="37" t="s">
        <v>86</v>
      </c>
      <c r="L207" s="43" t="s">
        <v>193</v>
      </c>
      <c r="M207" s="43" t="s">
        <v>64</v>
      </c>
      <c r="N207" s="43"/>
      <c r="O207" s="42"/>
      <c r="P207" s="43" t="str">
        <f t="shared" si="3"/>
        <v>ONAY</v>
      </c>
    </row>
    <row r="208" spans="1:16" ht="63" customHeight="1" x14ac:dyDescent="0.25">
      <c r="A208" s="36" t="s">
        <v>1082</v>
      </c>
      <c r="B208" s="36" t="s">
        <v>1083</v>
      </c>
      <c r="C208" s="37" t="s">
        <v>1084</v>
      </c>
      <c r="D208" s="37" t="s">
        <v>75</v>
      </c>
      <c r="E208" s="38" t="s">
        <v>1085</v>
      </c>
      <c r="F208" s="38" t="s">
        <v>1086</v>
      </c>
      <c r="G208" s="39" t="s">
        <v>34</v>
      </c>
      <c r="H208" s="40">
        <v>46076</v>
      </c>
      <c r="I208" s="41">
        <v>46084</v>
      </c>
      <c r="J208" s="37" t="s">
        <v>62</v>
      </c>
      <c r="K208" s="37" t="s">
        <v>79</v>
      </c>
      <c r="L208" s="43" t="s">
        <v>88</v>
      </c>
      <c r="M208" s="43" t="s">
        <v>88</v>
      </c>
      <c r="N208" s="43" t="s">
        <v>64</v>
      </c>
      <c r="O208" s="42"/>
      <c r="P208" s="43" t="str">
        <f t="shared" si="3"/>
        <v>ONAY</v>
      </c>
    </row>
    <row r="209" spans="1:17" ht="63" customHeight="1" x14ac:dyDescent="0.25">
      <c r="A209" s="36" t="s">
        <v>1087</v>
      </c>
      <c r="B209" s="36" t="s">
        <v>1088</v>
      </c>
      <c r="C209" s="37" t="s">
        <v>615</v>
      </c>
      <c r="D209" s="37" t="s">
        <v>215</v>
      </c>
      <c r="E209" s="38" t="s">
        <v>1089</v>
      </c>
      <c r="F209" s="38" t="s">
        <v>1090</v>
      </c>
      <c r="G209" s="39" t="s">
        <v>35</v>
      </c>
      <c r="H209" s="40">
        <v>46076</v>
      </c>
      <c r="I209" s="41">
        <v>46084</v>
      </c>
      <c r="J209" s="37" t="s">
        <v>87</v>
      </c>
      <c r="K209" s="37" t="s">
        <v>63</v>
      </c>
      <c r="L209" s="43" t="s">
        <v>88</v>
      </c>
      <c r="M209" s="43" t="s">
        <v>64</v>
      </c>
      <c r="N209" s="43"/>
      <c r="O209" s="42"/>
      <c r="P209" s="43" t="str">
        <f t="shared" si="3"/>
        <v>ONAY</v>
      </c>
      <c r="Q209" s="26" t="s">
        <v>87</v>
      </c>
    </row>
    <row r="210" spans="1:17" ht="94.5" customHeight="1" x14ac:dyDescent="0.25">
      <c r="A210" s="36" t="s">
        <v>1091</v>
      </c>
      <c r="B210" s="36" t="s">
        <v>1092</v>
      </c>
      <c r="C210" s="37" t="s">
        <v>1093</v>
      </c>
      <c r="D210" s="37" t="s">
        <v>953</v>
      </c>
      <c r="E210" s="38" t="s">
        <v>1094</v>
      </c>
      <c r="F210" s="38" t="s">
        <v>1095</v>
      </c>
      <c r="G210" s="39" t="s">
        <v>34</v>
      </c>
      <c r="H210" s="40">
        <v>46076</v>
      </c>
      <c r="I210" s="41">
        <v>46084</v>
      </c>
      <c r="J210" s="37" t="s">
        <v>71</v>
      </c>
      <c r="K210" s="37" t="s">
        <v>110</v>
      </c>
      <c r="L210" s="43" t="s">
        <v>64</v>
      </c>
      <c r="M210" s="43"/>
      <c r="N210" s="43"/>
      <c r="O210" s="42"/>
      <c r="P210" s="43" t="str">
        <f t="shared" si="3"/>
        <v>ONAY</v>
      </c>
    </row>
    <row r="211" spans="1:17" ht="94.5" customHeight="1" x14ac:dyDescent="0.25">
      <c r="A211" s="36" t="s">
        <v>1096</v>
      </c>
      <c r="B211" s="36" t="s">
        <v>1097</v>
      </c>
      <c r="C211" s="37" t="s">
        <v>1074</v>
      </c>
      <c r="D211" s="37" t="s">
        <v>267</v>
      </c>
      <c r="E211" s="38" t="s">
        <v>1098</v>
      </c>
      <c r="F211" s="38" t="s">
        <v>1099</v>
      </c>
      <c r="G211" s="39" t="s">
        <v>35</v>
      </c>
      <c r="H211" s="40">
        <v>46076</v>
      </c>
      <c r="I211" s="41">
        <v>46084</v>
      </c>
      <c r="J211" s="37" t="s">
        <v>78</v>
      </c>
      <c r="K211" s="37" t="s">
        <v>62</v>
      </c>
      <c r="L211" s="43" t="s">
        <v>159</v>
      </c>
      <c r="M211" s="43" t="s">
        <v>64</v>
      </c>
      <c r="N211" s="43"/>
      <c r="O211" s="42"/>
      <c r="P211" s="43" t="str">
        <f t="shared" si="3"/>
        <v>ONAY</v>
      </c>
    </row>
    <row r="212" spans="1:17" ht="63" customHeight="1" x14ac:dyDescent="0.25">
      <c r="A212" s="36" t="s">
        <v>1100</v>
      </c>
      <c r="B212" s="36" t="s">
        <v>1101</v>
      </c>
      <c r="C212" s="37" t="s">
        <v>1102</v>
      </c>
      <c r="D212" s="37" t="s">
        <v>372</v>
      </c>
      <c r="E212" s="38" t="s">
        <v>1103</v>
      </c>
      <c r="F212" s="38" t="s">
        <v>1104</v>
      </c>
      <c r="G212" s="39" t="s">
        <v>34</v>
      </c>
      <c r="H212" s="40">
        <v>46076</v>
      </c>
      <c r="I212" s="41">
        <v>46084</v>
      </c>
      <c r="J212" s="37" t="s">
        <v>63</v>
      </c>
      <c r="K212" s="37" t="s">
        <v>95</v>
      </c>
      <c r="L212" s="43" t="s">
        <v>64</v>
      </c>
      <c r="M212" s="43"/>
      <c r="N212" s="43"/>
      <c r="O212" s="42"/>
      <c r="P212" s="43" t="str">
        <f t="shared" si="3"/>
        <v>ONAY</v>
      </c>
    </row>
    <row r="213" spans="1:17" ht="78.75" customHeight="1" x14ac:dyDescent="0.25">
      <c r="A213" s="36" t="s">
        <v>1105</v>
      </c>
      <c r="B213" s="36" t="s">
        <v>1106</v>
      </c>
      <c r="C213" s="37" t="s">
        <v>1102</v>
      </c>
      <c r="D213" s="37" t="s">
        <v>372</v>
      </c>
      <c r="E213" s="38" t="s">
        <v>1107</v>
      </c>
      <c r="F213" s="38" t="s">
        <v>1108</v>
      </c>
      <c r="G213" s="39" t="s">
        <v>34</v>
      </c>
      <c r="H213" s="40">
        <v>46076</v>
      </c>
      <c r="I213" s="41">
        <v>46084</v>
      </c>
      <c r="J213" s="37" t="s">
        <v>63</v>
      </c>
      <c r="K213" s="37" t="s">
        <v>95</v>
      </c>
      <c r="L213" s="43" t="s">
        <v>64</v>
      </c>
      <c r="M213" s="43"/>
      <c r="N213" s="43"/>
      <c r="O213" s="42"/>
      <c r="P213" s="43" t="str">
        <f t="shared" si="3"/>
        <v>ONAY</v>
      </c>
    </row>
    <row r="214" spans="1:17" ht="78.75" customHeight="1" x14ac:dyDescent="0.25">
      <c r="A214" s="36" t="s">
        <v>1109</v>
      </c>
      <c r="B214" s="36" t="s">
        <v>1110</v>
      </c>
      <c r="C214" s="37" t="s">
        <v>1111</v>
      </c>
      <c r="D214" s="37" t="s">
        <v>284</v>
      </c>
      <c r="E214" s="38" t="s">
        <v>1112</v>
      </c>
      <c r="F214" s="38" t="s">
        <v>1113</v>
      </c>
      <c r="G214" s="39" t="s">
        <v>34</v>
      </c>
      <c r="H214" s="40">
        <v>46076</v>
      </c>
      <c r="I214" s="41">
        <v>46084</v>
      </c>
      <c r="J214" s="37" t="s">
        <v>110</v>
      </c>
      <c r="K214" s="37" t="s">
        <v>71</v>
      </c>
      <c r="L214" s="43" t="s">
        <v>88</v>
      </c>
      <c r="M214" s="43"/>
      <c r="N214" s="43"/>
      <c r="O214" s="42"/>
      <c r="P214" s="43" t="str">
        <f t="shared" si="3"/>
        <v>DÜZELTME</v>
      </c>
    </row>
    <row r="215" spans="1:17" ht="96.75" customHeight="1" x14ac:dyDescent="0.25">
      <c r="A215" s="36" t="s">
        <v>1114</v>
      </c>
      <c r="B215" s="36" t="s">
        <v>1115</v>
      </c>
      <c r="C215" s="37" t="s">
        <v>1116</v>
      </c>
      <c r="D215" s="37" t="s">
        <v>209</v>
      </c>
      <c r="E215" s="38" t="s">
        <v>1117</v>
      </c>
      <c r="F215" s="38" t="s">
        <v>1118</v>
      </c>
      <c r="G215" s="39" t="s">
        <v>34</v>
      </c>
      <c r="H215" s="40">
        <v>46076</v>
      </c>
      <c r="I215" s="41">
        <v>46084</v>
      </c>
      <c r="J215" s="37" t="s">
        <v>110</v>
      </c>
      <c r="K215" s="37" t="s">
        <v>96</v>
      </c>
      <c r="L215" s="43" t="s">
        <v>88</v>
      </c>
      <c r="M215" s="43" t="s">
        <v>64</v>
      </c>
      <c r="N215" s="43"/>
      <c r="O215" s="42"/>
      <c r="P215" s="43" t="str">
        <f t="shared" si="3"/>
        <v>ONAY</v>
      </c>
      <c r="Q215" s="26" t="s">
        <v>110</v>
      </c>
    </row>
    <row r="216" spans="1:17" ht="63" customHeight="1" x14ac:dyDescent="0.25">
      <c r="A216" s="36" t="s">
        <v>1119</v>
      </c>
      <c r="B216" s="36" t="s">
        <v>1120</v>
      </c>
      <c r="C216" s="37" t="s">
        <v>371</v>
      </c>
      <c r="D216" s="37" t="s">
        <v>372</v>
      </c>
      <c r="E216" s="38" t="s">
        <v>1121</v>
      </c>
      <c r="F216" s="38" t="s">
        <v>1122</v>
      </c>
      <c r="G216" s="39" t="s">
        <v>34</v>
      </c>
      <c r="H216" s="40">
        <v>46077</v>
      </c>
      <c r="I216" s="41">
        <v>46084</v>
      </c>
      <c r="J216" s="37" t="s">
        <v>86</v>
      </c>
      <c r="K216" s="37" t="s">
        <v>96</v>
      </c>
      <c r="L216" s="43" t="s">
        <v>64</v>
      </c>
      <c r="M216" s="43"/>
      <c r="N216" s="43"/>
      <c r="O216" s="42"/>
      <c r="P216" s="43" t="str">
        <f t="shared" si="3"/>
        <v>ONAY</v>
      </c>
    </row>
    <row r="217" spans="1:17" ht="63" customHeight="1" x14ac:dyDescent="0.25">
      <c r="A217" s="36" t="s">
        <v>1123</v>
      </c>
      <c r="B217" s="36" t="s">
        <v>1124</v>
      </c>
      <c r="C217" s="37" t="s">
        <v>356</v>
      </c>
      <c r="D217" s="37" t="s">
        <v>328</v>
      </c>
      <c r="E217" s="38" t="s">
        <v>1125</v>
      </c>
      <c r="F217" s="38" t="s">
        <v>1126</v>
      </c>
      <c r="G217" s="39" t="s">
        <v>34</v>
      </c>
      <c r="H217" s="40">
        <v>46077</v>
      </c>
      <c r="I217" s="41">
        <v>46084</v>
      </c>
      <c r="J217" s="37" t="s">
        <v>78</v>
      </c>
      <c r="K217" s="37" t="s">
        <v>87</v>
      </c>
      <c r="L217" s="43" t="s">
        <v>64</v>
      </c>
      <c r="M217" s="43"/>
      <c r="N217" s="43"/>
      <c r="O217" s="42"/>
      <c r="P217" s="43" t="str">
        <f t="shared" si="3"/>
        <v>ONAY</v>
      </c>
    </row>
    <row r="218" spans="1:17" ht="141.75" customHeight="1" x14ac:dyDescent="0.25">
      <c r="A218" s="36" t="s">
        <v>1127</v>
      </c>
      <c r="B218" s="36" t="s">
        <v>1128</v>
      </c>
      <c r="C218" s="37" t="s">
        <v>1129</v>
      </c>
      <c r="D218" s="37" t="s">
        <v>1130</v>
      </c>
      <c r="E218" s="38" t="s">
        <v>1131</v>
      </c>
      <c r="F218" s="38" t="s">
        <v>1132</v>
      </c>
      <c r="G218" s="39" t="s">
        <v>35</v>
      </c>
      <c r="H218" s="40">
        <v>46077</v>
      </c>
      <c r="I218" s="41">
        <v>46084</v>
      </c>
      <c r="J218" s="37" t="s">
        <v>103</v>
      </c>
      <c r="K218" s="37" t="s">
        <v>79</v>
      </c>
      <c r="L218" s="43" t="s">
        <v>64</v>
      </c>
      <c r="M218" s="43"/>
      <c r="N218" s="43"/>
      <c r="O218" s="42"/>
      <c r="P218" s="43" t="str">
        <f t="shared" si="3"/>
        <v>ONAY</v>
      </c>
    </row>
    <row r="219" spans="1:17" ht="94.5" customHeight="1" x14ac:dyDescent="0.25">
      <c r="A219" s="36" t="s">
        <v>1133</v>
      </c>
      <c r="B219" s="36" t="s">
        <v>1134</v>
      </c>
      <c r="C219" s="37" t="s">
        <v>630</v>
      </c>
      <c r="D219" s="37" t="s">
        <v>209</v>
      </c>
      <c r="E219" s="38" t="s">
        <v>1135</v>
      </c>
      <c r="F219" s="38" t="s">
        <v>1136</v>
      </c>
      <c r="G219" s="39" t="s">
        <v>34</v>
      </c>
      <c r="H219" s="40">
        <v>46077</v>
      </c>
      <c r="I219" s="41">
        <v>46084</v>
      </c>
      <c r="J219" s="37" t="s">
        <v>96</v>
      </c>
      <c r="K219" s="37" t="s">
        <v>103</v>
      </c>
      <c r="L219" s="43" t="s">
        <v>88</v>
      </c>
      <c r="M219" s="43" t="s">
        <v>64</v>
      </c>
      <c r="N219" s="43"/>
      <c r="O219" s="42"/>
      <c r="P219" s="43" t="str">
        <f t="shared" si="3"/>
        <v>ONAY</v>
      </c>
      <c r="Q219" s="26" t="s">
        <v>96</v>
      </c>
    </row>
    <row r="220" spans="1:17" ht="80.25" customHeight="1" x14ac:dyDescent="0.25">
      <c r="A220" s="36" t="s">
        <v>1137</v>
      </c>
      <c r="B220" s="36" t="s">
        <v>1138</v>
      </c>
      <c r="C220" s="37" t="s">
        <v>1030</v>
      </c>
      <c r="D220" s="37" t="s">
        <v>75</v>
      </c>
      <c r="E220" s="38" t="s">
        <v>1139</v>
      </c>
      <c r="F220" s="38" t="s">
        <v>1140</v>
      </c>
      <c r="G220" s="39" t="s">
        <v>34</v>
      </c>
      <c r="H220" s="40">
        <v>46077</v>
      </c>
      <c r="I220" s="41">
        <v>46084</v>
      </c>
      <c r="J220" s="37" t="s">
        <v>79</v>
      </c>
      <c r="K220" s="37" t="s">
        <v>86</v>
      </c>
      <c r="L220" s="43" t="s">
        <v>64</v>
      </c>
      <c r="M220" s="43"/>
      <c r="N220" s="43"/>
      <c r="O220" s="42"/>
      <c r="P220" s="43" t="str">
        <f t="shared" si="3"/>
        <v>ONAY</v>
      </c>
    </row>
    <row r="221" spans="1:17" ht="63" customHeight="1" x14ac:dyDescent="0.25">
      <c r="A221" s="36" t="s">
        <v>1141</v>
      </c>
      <c r="B221" s="36" t="s">
        <v>1142</v>
      </c>
      <c r="C221" s="37" t="s">
        <v>1143</v>
      </c>
      <c r="D221" s="37" t="s">
        <v>75</v>
      </c>
      <c r="E221" s="38" t="s">
        <v>1144</v>
      </c>
      <c r="F221" s="38" t="s">
        <v>1145</v>
      </c>
      <c r="G221" s="39" t="s">
        <v>34</v>
      </c>
      <c r="H221" s="40">
        <v>46077</v>
      </c>
      <c r="I221" s="41">
        <v>46084</v>
      </c>
      <c r="J221" s="37" t="s">
        <v>87</v>
      </c>
      <c r="K221" s="37" t="s">
        <v>86</v>
      </c>
      <c r="L221" s="43" t="s">
        <v>64</v>
      </c>
      <c r="M221" s="43"/>
      <c r="N221" s="43"/>
      <c r="O221" s="42"/>
      <c r="P221" s="43" t="str">
        <f t="shared" si="3"/>
        <v>ONAY</v>
      </c>
    </row>
    <row r="222" spans="1:17" ht="94.5" customHeight="1" x14ac:dyDescent="0.25">
      <c r="A222" s="36" t="s">
        <v>1146</v>
      </c>
      <c r="B222" s="36" t="s">
        <v>1147</v>
      </c>
      <c r="C222" s="37" t="s">
        <v>1148</v>
      </c>
      <c r="D222" s="37" t="s">
        <v>1149</v>
      </c>
      <c r="E222" s="38" t="s">
        <v>1150</v>
      </c>
      <c r="F222" s="38" t="s">
        <v>1151</v>
      </c>
      <c r="G222" s="39" t="s">
        <v>34</v>
      </c>
      <c r="H222" s="40">
        <v>46077</v>
      </c>
      <c r="I222" s="41">
        <v>46084</v>
      </c>
      <c r="J222" s="37" t="s">
        <v>62</v>
      </c>
      <c r="K222" s="37" t="s">
        <v>110</v>
      </c>
      <c r="L222" s="43" t="s">
        <v>64</v>
      </c>
      <c r="M222" s="43"/>
      <c r="N222" s="43"/>
      <c r="O222" s="42"/>
      <c r="P222" s="43" t="str">
        <f t="shared" si="3"/>
        <v>ONAY</v>
      </c>
    </row>
    <row r="223" spans="1:17" ht="94.5" customHeight="1" x14ac:dyDescent="0.25">
      <c r="A223" s="36" t="s">
        <v>1152</v>
      </c>
      <c r="B223" s="36" t="s">
        <v>1153</v>
      </c>
      <c r="C223" s="37" t="s">
        <v>1154</v>
      </c>
      <c r="D223" s="37" t="s">
        <v>1155</v>
      </c>
      <c r="E223" s="38" t="s">
        <v>1156</v>
      </c>
      <c r="F223" s="38" t="s">
        <v>1157</v>
      </c>
      <c r="G223" s="39" t="s">
        <v>35</v>
      </c>
      <c r="H223" s="40">
        <v>46077</v>
      </c>
      <c r="I223" s="41">
        <v>46084</v>
      </c>
      <c r="J223" s="37" t="s">
        <v>63</v>
      </c>
      <c r="K223" s="37" t="s">
        <v>71</v>
      </c>
      <c r="L223" s="43" t="s">
        <v>64</v>
      </c>
      <c r="M223" s="43"/>
      <c r="N223" s="43"/>
      <c r="O223" s="42"/>
      <c r="P223" s="43" t="str">
        <f t="shared" si="3"/>
        <v>ONAY</v>
      </c>
    </row>
    <row r="224" spans="1:17" ht="94.5" customHeight="1" x14ac:dyDescent="0.25">
      <c r="A224" s="36" t="s">
        <v>1158</v>
      </c>
      <c r="B224" s="36" t="s">
        <v>1159</v>
      </c>
      <c r="C224" s="37" t="s">
        <v>1015</v>
      </c>
      <c r="D224" s="37" t="s">
        <v>209</v>
      </c>
      <c r="E224" s="38" t="s">
        <v>1160</v>
      </c>
      <c r="F224" s="38" t="s">
        <v>1161</v>
      </c>
      <c r="G224" s="39" t="s">
        <v>34</v>
      </c>
      <c r="H224" s="40">
        <v>46078</v>
      </c>
      <c r="I224" s="41">
        <v>46084</v>
      </c>
      <c r="J224" s="37" t="s">
        <v>63</v>
      </c>
      <c r="K224" s="37" t="s">
        <v>103</v>
      </c>
      <c r="L224" s="43" t="s">
        <v>88</v>
      </c>
      <c r="M224" s="43" t="s">
        <v>64</v>
      </c>
      <c r="N224" s="43"/>
      <c r="O224" s="42"/>
      <c r="P224" s="43" t="str">
        <f t="shared" si="3"/>
        <v>ONAY</v>
      </c>
      <c r="Q224" s="26" t="s">
        <v>103</v>
      </c>
    </row>
    <row r="225" spans="1:17" ht="78.75" customHeight="1" x14ac:dyDescent="0.25">
      <c r="A225" s="36" t="s">
        <v>1162</v>
      </c>
      <c r="B225" s="36" t="s">
        <v>1163</v>
      </c>
      <c r="C225" s="37" t="s">
        <v>1164</v>
      </c>
      <c r="D225" s="37" t="s">
        <v>209</v>
      </c>
      <c r="E225" s="38" t="s">
        <v>1165</v>
      </c>
      <c r="F225" s="38" t="s">
        <v>1166</v>
      </c>
      <c r="G225" s="39" t="s">
        <v>35</v>
      </c>
      <c r="H225" s="40">
        <v>46079</v>
      </c>
      <c r="I225" s="41">
        <v>46084</v>
      </c>
      <c r="J225" s="37" t="s">
        <v>62</v>
      </c>
      <c r="K225" s="37" t="s">
        <v>71</v>
      </c>
      <c r="L225" s="43" t="s">
        <v>64</v>
      </c>
      <c r="M225" s="43"/>
      <c r="N225" s="43"/>
      <c r="O225" s="42"/>
      <c r="P225" s="43" t="str">
        <f t="shared" si="3"/>
        <v>ONAY</v>
      </c>
    </row>
    <row r="226" spans="1:17" ht="63" customHeight="1" x14ac:dyDescent="0.25">
      <c r="A226" s="36" t="s">
        <v>1167</v>
      </c>
      <c r="B226" s="36" t="s">
        <v>1168</v>
      </c>
      <c r="C226" s="37" t="s">
        <v>99</v>
      </c>
      <c r="D226" s="37" t="s">
        <v>100</v>
      </c>
      <c r="E226" s="38" t="s">
        <v>1169</v>
      </c>
      <c r="F226" s="38" t="s">
        <v>1170</v>
      </c>
      <c r="G226" s="39" t="s">
        <v>34</v>
      </c>
      <c r="H226" s="40">
        <v>46079</v>
      </c>
      <c r="I226" s="41">
        <v>46084</v>
      </c>
      <c r="J226" s="37" t="s">
        <v>95</v>
      </c>
      <c r="K226" s="37" t="s">
        <v>86</v>
      </c>
      <c r="L226" s="43" t="s">
        <v>193</v>
      </c>
      <c r="M226" s="43" t="s">
        <v>88</v>
      </c>
      <c r="N226" s="43"/>
      <c r="O226" s="42"/>
      <c r="P226" s="43" t="str">
        <f t="shared" si="3"/>
        <v>DÜZELTME</v>
      </c>
    </row>
    <row r="227" spans="1:17" ht="94.5" customHeight="1" x14ac:dyDescent="0.25">
      <c r="A227" s="36" t="s">
        <v>1171</v>
      </c>
      <c r="B227" s="36" t="s">
        <v>1172</v>
      </c>
      <c r="C227" s="37" t="s">
        <v>1173</v>
      </c>
      <c r="D227" s="37" t="s">
        <v>75</v>
      </c>
      <c r="E227" s="38" t="s">
        <v>1174</v>
      </c>
      <c r="F227" s="38" t="s">
        <v>1175</v>
      </c>
      <c r="G227" s="39" t="s">
        <v>35</v>
      </c>
      <c r="H227" s="40">
        <v>46087</v>
      </c>
      <c r="I227" s="41">
        <v>46098</v>
      </c>
      <c r="J227" s="37" t="s">
        <v>79</v>
      </c>
      <c r="K227" s="37" t="s">
        <v>86</v>
      </c>
      <c r="L227" s="43" t="s">
        <v>64</v>
      </c>
      <c r="M227" s="43"/>
      <c r="N227" s="43"/>
      <c r="O227" s="42"/>
      <c r="P227" s="43" t="str">
        <f t="shared" si="3"/>
        <v>ONAY</v>
      </c>
    </row>
    <row r="228" spans="1:17" ht="110.25" customHeight="1" x14ac:dyDescent="0.25">
      <c r="A228" s="36" t="s">
        <v>1176</v>
      </c>
      <c r="B228" s="36" t="s">
        <v>1177</v>
      </c>
      <c r="C228" s="37" t="s">
        <v>1178</v>
      </c>
      <c r="D228" s="37" t="s">
        <v>1179</v>
      </c>
      <c r="E228" s="38" t="s">
        <v>1180</v>
      </c>
      <c r="F228" s="38" t="s">
        <v>1181</v>
      </c>
      <c r="G228" s="39" t="s">
        <v>34</v>
      </c>
      <c r="H228" s="40">
        <v>46087</v>
      </c>
      <c r="I228" s="41">
        <v>46098</v>
      </c>
      <c r="J228" s="37" t="s">
        <v>95</v>
      </c>
      <c r="K228" s="37" t="s">
        <v>63</v>
      </c>
      <c r="L228" s="43" t="s">
        <v>88</v>
      </c>
      <c r="M228" s="43"/>
      <c r="N228" s="43"/>
      <c r="O228" s="42"/>
      <c r="P228" s="43" t="str">
        <f t="shared" si="3"/>
        <v>DÜZELTME</v>
      </c>
    </row>
    <row r="229" spans="1:17" ht="78.75" customHeight="1" x14ac:dyDescent="0.25">
      <c r="A229" s="36" t="s">
        <v>1182</v>
      </c>
      <c r="B229" s="36" t="s">
        <v>1183</v>
      </c>
      <c r="C229" s="37" t="s">
        <v>1184</v>
      </c>
      <c r="D229" s="37" t="s">
        <v>351</v>
      </c>
      <c r="E229" s="38" t="s">
        <v>1185</v>
      </c>
      <c r="F229" s="38" t="s">
        <v>1186</v>
      </c>
      <c r="G229" s="39" t="s">
        <v>35</v>
      </c>
      <c r="H229" s="40">
        <v>46087</v>
      </c>
      <c r="I229" s="41">
        <v>46098</v>
      </c>
      <c r="J229" s="37" t="s">
        <v>87</v>
      </c>
      <c r="K229" s="37" t="s">
        <v>71</v>
      </c>
      <c r="L229" s="43" t="s">
        <v>64</v>
      </c>
      <c r="M229" s="43"/>
      <c r="N229" s="43"/>
      <c r="O229" s="42"/>
      <c r="P229" s="43" t="str">
        <f t="shared" si="3"/>
        <v>ONAY</v>
      </c>
    </row>
    <row r="230" spans="1:17" ht="78.75" customHeight="1" x14ac:dyDescent="0.25">
      <c r="A230" s="36" t="s">
        <v>1187</v>
      </c>
      <c r="B230" s="36" t="s">
        <v>1188</v>
      </c>
      <c r="C230" s="37" t="s">
        <v>1189</v>
      </c>
      <c r="D230" s="37" t="s">
        <v>120</v>
      </c>
      <c r="E230" s="38" t="s">
        <v>1190</v>
      </c>
      <c r="F230" s="38" t="s">
        <v>1191</v>
      </c>
      <c r="G230" s="39" t="s">
        <v>34</v>
      </c>
      <c r="H230" s="40">
        <v>46087</v>
      </c>
      <c r="I230" s="41">
        <v>46098</v>
      </c>
      <c r="J230" s="37" t="s">
        <v>87</v>
      </c>
      <c r="K230" s="37" t="s">
        <v>78</v>
      </c>
      <c r="L230" s="43" t="s">
        <v>88</v>
      </c>
      <c r="M230" s="43" t="s">
        <v>64</v>
      </c>
      <c r="N230" s="43"/>
      <c r="O230" s="42"/>
      <c r="P230" s="43" t="str">
        <f t="shared" si="3"/>
        <v>ONAY</v>
      </c>
      <c r="Q230" s="26" t="s">
        <v>78</v>
      </c>
    </row>
    <row r="231" spans="1:17" ht="63" customHeight="1" x14ac:dyDescent="0.25">
      <c r="A231" s="36" t="s">
        <v>1192</v>
      </c>
      <c r="B231" s="36" t="s">
        <v>1193</v>
      </c>
      <c r="C231" s="37" t="s">
        <v>1194</v>
      </c>
      <c r="D231" s="37" t="s">
        <v>209</v>
      </c>
      <c r="E231" s="38" t="s">
        <v>1195</v>
      </c>
      <c r="F231" s="38" t="s">
        <v>1196</v>
      </c>
      <c r="G231" s="39" t="s">
        <v>34</v>
      </c>
      <c r="H231" s="40">
        <v>46087</v>
      </c>
      <c r="I231" s="41">
        <v>46098</v>
      </c>
      <c r="J231" s="37" t="s">
        <v>116</v>
      </c>
      <c r="K231" s="37" t="s">
        <v>63</v>
      </c>
      <c r="L231" s="43" t="s">
        <v>88</v>
      </c>
      <c r="M231" s="43" t="s">
        <v>64</v>
      </c>
      <c r="N231" s="43"/>
      <c r="O231" s="42"/>
      <c r="P231" s="43" t="str">
        <f t="shared" si="3"/>
        <v>ONAY</v>
      </c>
      <c r="Q231" s="26" t="s">
        <v>63</v>
      </c>
    </row>
    <row r="232" spans="1:17" ht="78.75" customHeight="1" x14ac:dyDescent="0.25">
      <c r="A232" s="36" t="s">
        <v>1197</v>
      </c>
      <c r="B232" s="36" t="s">
        <v>1198</v>
      </c>
      <c r="C232" s="37" t="s">
        <v>1084</v>
      </c>
      <c r="D232" s="37" t="s">
        <v>75</v>
      </c>
      <c r="E232" s="38" t="s">
        <v>1199</v>
      </c>
      <c r="F232" s="38" t="s">
        <v>1200</v>
      </c>
      <c r="G232" s="39" t="s">
        <v>35</v>
      </c>
      <c r="H232" s="40">
        <v>46087</v>
      </c>
      <c r="I232" s="41">
        <v>46098</v>
      </c>
      <c r="J232" s="37" t="s">
        <v>79</v>
      </c>
      <c r="K232" s="37" t="s">
        <v>103</v>
      </c>
      <c r="L232" s="43" t="s">
        <v>88</v>
      </c>
      <c r="M232" s="43" t="s">
        <v>64</v>
      </c>
      <c r="N232" s="43"/>
      <c r="O232" s="42"/>
      <c r="P232" s="43" t="str">
        <f t="shared" si="3"/>
        <v>ONAY</v>
      </c>
      <c r="Q232" s="26" t="s">
        <v>79</v>
      </c>
    </row>
    <row r="233" spans="1:17" ht="63" customHeight="1" x14ac:dyDescent="0.25">
      <c r="A233" s="36" t="s">
        <v>1201</v>
      </c>
      <c r="B233" s="36" t="s">
        <v>1202</v>
      </c>
      <c r="C233" s="37" t="s">
        <v>377</v>
      </c>
      <c r="D233" s="37" t="s">
        <v>378</v>
      </c>
      <c r="E233" s="38" t="s">
        <v>379</v>
      </c>
      <c r="F233" s="38" t="s">
        <v>1203</v>
      </c>
      <c r="G233" s="39" t="s">
        <v>34</v>
      </c>
      <c r="H233" s="40">
        <v>46087</v>
      </c>
      <c r="I233" s="41">
        <v>46098</v>
      </c>
      <c r="J233" s="37" t="s">
        <v>71</v>
      </c>
      <c r="K233" s="37" t="s">
        <v>116</v>
      </c>
      <c r="L233" s="43" t="s">
        <v>64</v>
      </c>
      <c r="M233" s="43"/>
      <c r="N233" s="43"/>
      <c r="O233" s="42"/>
      <c r="P233" s="43" t="str">
        <f t="shared" si="3"/>
        <v>ONAY</v>
      </c>
    </row>
    <row r="234" spans="1:17" ht="63" customHeight="1" x14ac:dyDescent="0.25">
      <c r="A234" s="36" t="s">
        <v>1204</v>
      </c>
      <c r="B234" s="36" t="s">
        <v>1205</v>
      </c>
      <c r="C234" s="37" t="s">
        <v>377</v>
      </c>
      <c r="D234" s="37" t="s">
        <v>378</v>
      </c>
      <c r="E234" s="38" t="s">
        <v>896</v>
      </c>
      <c r="F234" s="38" t="s">
        <v>1206</v>
      </c>
      <c r="G234" s="39" t="s">
        <v>34</v>
      </c>
      <c r="H234" s="40">
        <v>46087</v>
      </c>
      <c r="I234" s="41">
        <v>46098</v>
      </c>
      <c r="J234" s="37" t="s">
        <v>116</v>
      </c>
      <c r="K234" s="37" t="s">
        <v>71</v>
      </c>
      <c r="L234" s="43" t="s">
        <v>64</v>
      </c>
      <c r="M234" s="43"/>
      <c r="N234" s="43"/>
      <c r="O234" s="42"/>
      <c r="P234" s="43" t="str">
        <f t="shared" si="3"/>
        <v>ONAY</v>
      </c>
    </row>
    <row r="235" spans="1:17" ht="63" customHeight="1" x14ac:dyDescent="0.25">
      <c r="A235" s="36" t="s">
        <v>1207</v>
      </c>
      <c r="B235" s="36" t="s">
        <v>1208</v>
      </c>
      <c r="C235" s="37" t="s">
        <v>377</v>
      </c>
      <c r="D235" s="37" t="s">
        <v>378</v>
      </c>
      <c r="E235" s="38" t="s">
        <v>896</v>
      </c>
      <c r="F235" s="38" t="s">
        <v>1209</v>
      </c>
      <c r="G235" s="39" t="s">
        <v>34</v>
      </c>
      <c r="H235" s="40">
        <v>46087</v>
      </c>
      <c r="I235" s="41">
        <v>46098</v>
      </c>
      <c r="J235" s="37" t="s">
        <v>116</v>
      </c>
      <c r="K235" s="37" t="s">
        <v>71</v>
      </c>
      <c r="L235" s="43" t="s">
        <v>64</v>
      </c>
      <c r="M235" s="43"/>
      <c r="N235" s="43"/>
      <c r="O235" s="42"/>
      <c r="P235" s="43" t="str">
        <f t="shared" si="3"/>
        <v>ONAY</v>
      </c>
    </row>
    <row r="236" spans="1:17" ht="63" customHeight="1" x14ac:dyDescent="0.25">
      <c r="A236" s="36" t="s">
        <v>1210</v>
      </c>
      <c r="B236" s="36" t="s">
        <v>1211</v>
      </c>
      <c r="C236" s="37" t="s">
        <v>377</v>
      </c>
      <c r="D236" s="37" t="s">
        <v>378</v>
      </c>
      <c r="E236" s="38" t="s">
        <v>896</v>
      </c>
      <c r="F236" s="38" t="s">
        <v>1212</v>
      </c>
      <c r="G236" s="39" t="s">
        <v>34</v>
      </c>
      <c r="H236" s="40">
        <v>46087</v>
      </c>
      <c r="I236" s="41">
        <v>46098</v>
      </c>
      <c r="J236" s="37" t="s">
        <v>116</v>
      </c>
      <c r="K236" s="37" t="s">
        <v>71</v>
      </c>
      <c r="L236" s="43" t="s">
        <v>140</v>
      </c>
      <c r="M236" s="43"/>
      <c r="N236" s="43"/>
      <c r="O236" s="42"/>
      <c r="P236" s="43" t="str">
        <f t="shared" si="3"/>
        <v>KAPSAM DIŞI</v>
      </c>
    </row>
    <row r="237" spans="1:17" ht="78.75" customHeight="1" x14ac:dyDescent="0.25">
      <c r="A237" s="36" t="s">
        <v>1213</v>
      </c>
      <c r="B237" s="36" t="s">
        <v>1214</v>
      </c>
      <c r="C237" s="37" t="s">
        <v>1215</v>
      </c>
      <c r="D237" s="37" t="s">
        <v>378</v>
      </c>
      <c r="E237" s="38" t="s">
        <v>1216</v>
      </c>
      <c r="F237" s="38" t="s">
        <v>1217</v>
      </c>
      <c r="G237" s="39" t="s">
        <v>34</v>
      </c>
      <c r="H237" s="40">
        <v>46087</v>
      </c>
      <c r="I237" s="41">
        <v>46098</v>
      </c>
      <c r="J237" s="37" t="s">
        <v>78</v>
      </c>
      <c r="K237" s="37" t="s">
        <v>103</v>
      </c>
      <c r="L237" s="43" t="s">
        <v>205</v>
      </c>
      <c r="M237" s="43"/>
      <c r="N237" s="43"/>
      <c r="O237" s="42"/>
      <c r="P237" s="43" t="str">
        <f t="shared" si="3"/>
        <v>KAEK</v>
      </c>
    </row>
    <row r="238" spans="1:17" ht="94.5" customHeight="1" x14ac:dyDescent="0.25">
      <c r="A238" s="36" t="s">
        <v>1218</v>
      </c>
      <c r="B238" s="36" t="s">
        <v>1219</v>
      </c>
      <c r="C238" s="37" t="s">
        <v>1220</v>
      </c>
      <c r="D238" s="37" t="s">
        <v>209</v>
      </c>
      <c r="E238" s="38" t="s">
        <v>1221</v>
      </c>
      <c r="F238" s="38" t="s">
        <v>1222</v>
      </c>
      <c r="G238" s="39" t="s">
        <v>34</v>
      </c>
      <c r="H238" s="40">
        <v>46087</v>
      </c>
      <c r="I238" s="41">
        <v>46098</v>
      </c>
      <c r="J238" s="37" t="s">
        <v>86</v>
      </c>
      <c r="K238" s="37" t="s">
        <v>62</v>
      </c>
      <c r="L238" s="43" t="s">
        <v>88</v>
      </c>
      <c r="M238" s="43"/>
      <c r="N238" s="43"/>
      <c r="O238" s="42"/>
      <c r="P238" s="43" t="str">
        <f t="shared" si="3"/>
        <v>DÜZELTME</v>
      </c>
    </row>
    <row r="239" spans="1:17" ht="63" customHeight="1" x14ac:dyDescent="0.25">
      <c r="A239" s="36" t="s">
        <v>1223</v>
      </c>
      <c r="B239" s="36" t="s">
        <v>1224</v>
      </c>
      <c r="C239" s="37" t="s">
        <v>1225</v>
      </c>
      <c r="D239" s="37" t="s">
        <v>401</v>
      </c>
      <c r="E239" s="38" t="s">
        <v>1226</v>
      </c>
      <c r="F239" s="38" t="s">
        <v>1227</v>
      </c>
      <c r="G239" s="39" t="s">
        <v>35</v>
      </c>
      <c r="H239" s="40">
        <v>46087</v>
      </c>
      <c r="I239" s="41">
        <v>46098</v>
      </c>
      <c r="J239" s="37" t="s">
        <v>110</v>
      </c>
      <c r="K239" s="37" t="s">
        <v>86</v>
      </c>
      <c r="L239" s="43" t="s">
        <v>64</v>
      </c>
      <c r="M239" s="43"/>
      <c r="N239" s="43"/>
      <c r="O239" s="42"/>
      <c r="P239" s="43" t="str">
        <f t="shared" si="3"/>
        <v>ONAY</v>
      </c>
    </row>
    <row r="240" spans="1:17" ht="94.5" customHeight="1" x14ac:dyDescent="0.25">
      <c r="A240" s="36" t="s">
        <v>1228</v>
      </c>
      <c r="B240" s="36" t="s">
        <v>1229</v>
      </c>
      <c r="C240" s="37" t="s">
        <v>991</v>
      </c>
      <c r="D240" s="37" t="s">
        <v>278</v>
      </c>
      <c r="E240" s="38" t="s">
        <v>1230</v>
      </c>
      <c r="F240" s="38" t="s">
        <v>1231</v>
      </c>
      <c r="G240" s="39" t="s">
        <v>34</v>
      </c>
      <c r="H240" s="40">
        <v>46087</v>
      </c>
      <c r="I240" s="41">
        <v>46098</v>
      </c>
      <c r="J240" s="37" t="s">
        <v>79</v>
      </c>
      <c r="K240" s="37" t="s">
        <v>87</v>
      </c>
      <c r="L240" s="43" t="s">
        <v>88</v>
      </c>
      <c r="M240" s="43" t="s">
        <v>88</v>
      </c>
      <c r="N240" s="43" t="s">
        <v>64</v>
      </c>
      <c r="O240" s="42"/>
      <c r="P240" s="43" t="str">
        <f t="shared" si="3"/>
        <v>ONAY</v>
      </c>
      <c r="Q240" s="26" t="s">
        <v>79</v>
      </c>
    </row>
    <row r="241" spans="1:17" ht="81" customHeight="1" x14ac:dyDescent="0.25">
      <c r="A241" s="36" t="s">
        <v>1232</v>
      </c>
      <c r="B241" s="36" t="s">
        <v>1233</v>
      </c>
      <c r="C241" s="37" t="s">
        <v>1234</v>
      </c>
      <c r="D241" s="37" t="s">
        <v>209</v>
      </c>
      <c r="E241" s="38" t="s">
        <v>1235</v>
      </c>
      <c r="F241" s="38" t="s">
        <v>1236</v>
      </c>
      <c r="G241" s="39" t="s">
        <v>35</v>
      </c>
      <c r="H241" s="40">
        <v>46090</v>
      </c>
      <c r="I241" s="41">
        <v>46098</v>
      </c>
      <c r="J241" s="37" t="s">
        <v>78</v>
      </c>
      <c r="K241" s="37" t="s">
        <v>63</v>
      </c>
      <c r="L241" s="43" t="s">
        <v>205</v>
      </c>
      <c r="M241" s="43"/>
      <c r="N241" s="43"/>
      <c r="O241" s="42"/>
      <c r="P241" s="43" t="str">
        <f t="shared" si="3"/>
        <v>KAEK</v>
      </c>
    </row>
    <row r="242" spans="1:17" ht="78.75" customHeight="1" x14ac:dyDescent="0.25">
      <c r="A242" s="36" t="s">
        <v>1237</v>
      </c>
      <c r="B242" s="36" t="s">
        <v>1238</v>
      </c>
      <c r="C242" s="37" t="s">
        <v>615</v>
      </c>
      <c r="D242" s="37" t="s">
        <v>215</v>
      </c>
      <c r="E242" s="38" t="s">
        <v>1239</v>
      </c>
      <c r="F242" s="38" t="s">
        <v>1240</v>
      </c>
      <c r="G242" s="39" t="s">
        <v>35</v>
      </c>
      <c r="H242" s="40">
        <v>46090</v>
      </c>
      <c r="I242" s="41">
        <v>46098</v>
      </c>
      <c r="J242" s="37" t="s">
        <v>62</v>
      </c>
      <c r="K242" s="37" t="s">
        <v>86</v>
      </c>
      <c r="L242" s="43" t="s">
        <v>64</v>
      </c>
      <c r="M242" s="43"/>
      <c r="N242" s="43"/>
      <c r="O242" s="42"/>
      <c r="P242" s="43" t="str">
        <f t="shared" si="3"/>
        <v>ONAY</v>
      </c>
    </row>
    <row r="243" spans="1:17" ht="78.75" customHeight="1" x14ac:dyDescent="0.25">
      <c r="A243" s="36" t="s">
        <v>1241</v>
      </c>
      <c r="B243" s="36" t="s">
        <v>1242</v>
      </c>
      <c r="C243" s="37" t="s">
        <v>214</v>
      </c>
      <c r="D243" s="37" t="s">
        <v>215</v>
      </c>
      <c r="E243" s="38" t="s">
        <v>1243</v>
      </c>
      <c r="F243" s="38" t="s">
        <v>1244</v>
      </c>
      <c r="G243" s="39" t="s">
        <v>34</v>
      </c>
      <c r="H243" s="40">
        <v>46090</v>
      </c>
      <c r="I243" s="41">
        <v>46098</v>
      </c>
      <c r="J243" s="37" t="s">
        <v>78</v>
      </c>
      <c r="K243" s="37" t="s">
        <v>62</v>
      </c>
      <c r="L243" s="43" t="s">
        <v>64</v>
      </c>
      <c r="M243" s="43"/>
      <c r="N243" s="43"/>
      <c r="O243" s="42"/>
      <c r="P243" s="43" t="str">
        <f t="shared" si="3"/>
        <v>ONAY</v>
      </c>
    </row>
    <row r="244" spans="1:17" ht="126" customHeight="1" x14ac:dyDescent="0.25">
      <c r="A244" s="36" t="s">
        <v>1245</v>
      </c>
      <c r="B244" s="36" t="s">
        <v>1246</v>
      </c>
      <c r="C244" s="37" t="s">
        <v>1247</v>
      </c>
      <c r="D244" s="37" t="s">
        <v>168</v>
      </c>
      <c r="E244" s="38" t="s">
        <v>1248</v>
      </c>
      <c r="F244" s="38" t="s">
        <v>1249</v>
      </c>
      <c r="G244" s="39" t="s">
        <v>34</v>
      </c>
      <c r="H244" s="40">
        <v>46090</v>
      </c>
      <c r="I244" s="41">
        <v>46098</v>
      </c>
      <c r="J244" s="37" t="s">
        <v>78</v>
      </c>
      <c r="K244" s="37" t="s">
        <v>95</v>
      </c>
      <c r="L244" s="43" t="s">
        <v>64</v>
      </c>
      <c r="M244" s="43"/>
      <c r="N244" s="43"/>
      <c r="O244" s="42"/>
      <c r="P244" s="43" t="str">
        <f t="shared" si="3"/>
        <v>ONAY</v>
      </c>
    </row>
    <row r="245" spans="1:17" ht="63" customHeight="1" x14ac:dyDescent="0.25">
      <c r="A245" s="36" t="s">
        <v>1250</v>
      </c>
      <c r="B245" s="36" t="s">
        <v>1251</v>
      </c>
      <c r="C245" s="37" t="s">
        <v>1184</v>
      </c>
      <c r="D245" s="37" t="s">
        <v>351</v>
      </c>
      <c r="E245" s="38" t="s">
        <v>1252</v>
      </c>
      <c r="F245" s="38" t="s">
        <v>1253</v>
      </c>
      <c r="G245" s="39" t="s">
        <v>34</v>
      </c>
      <c r="H245" s="40">
        <v>46090</v>
      </c>
      <c r="I245" s="41">
        <v>46098</v>
      </c>
      <c r="J245" s="37" t="s">
        <v>79</v>
      </c>
      <c r="K245" s="37" t="s">
        <v>95</v>
      </c>
      <c r="L245" s="43" t="s">
        <v>64</v>
      </c>
      <c r="M245" s="43"/>
      <c r="N245" s="43"/>
      <c r="O245" s="42"/>
      <c r="P245" s="43" t="str">
        <f t="shared" si="3"/>
        <v>ONAY</v>
      </c>
    </row>
    <row r="246" spans="1:17" ht="78.75" customHeight="1" x14ac:dyDescent="0.25">
      <c r="A246" s="36" t="s">
        <v>1254</v>
      </c>
      <c r="B246" s="36" t="s">
        <v>1255</v>
      </c>
      <c r="C246" s="37" t="s">
        <v>99</v>
      </c>
      <c r="D246" s="37" t="s">
        <v>100</v>
      </c>
      <c r="E246" s="38" t="s">
        <v>1256</v>
      </c>
      <c r="F246" s="38" t="s">
        <v>1257</v>
      </c>
      <c r="G246" s="39" t="s">
        <v>34</v>
      </c>
      <c r="H246" s="40">
        <v>46090</v>
      </c>
      <c r="I246" s="41">
        <v>46098</v>
      </c>
      <c r="J246" s="37" t="s">
        <v>103</v>
      </c>
      <c r="K246" s="37" t="s">
        <v>95</v>
      </c>
      <c r="L246" s="43" t="s">
        <v>88</v>
      </c>
      <c r="M246" s="43" t="s">
        <v>64</v>
      </c>
      <c r="N246" s="43"/>
      <c r="O246" s="42"/>
      <c r="P246" s="43" t="str">
        <f t="shared" si="3"/>
        <v>ONAY</v>
      </c>
      <c r="Q246" s="26" t="s">
        <v>103</v>
      </c>
    </row>
    <row r="247" spans="1:17" ht="94.5" customHeight="1" x14ac:dyDescent="0.25">
      <c r="A247" s="36" t="s">
        <v>1258</v>
      </c>
      <c r="B247" s="36" t="s">
        <v>1259</v>
      </c>
      <c r="C247" s="37" t="s">
        <v>1260</v>
      </c>
      <c r="D247" s="37" t="s">
        <v>168</v>
      </c>
      <c r="E247" s="38" t="s">
        <v>1261</v>
      </c>
      <c r="F247" s="38" t="s">
        <v>1262</v>
      </c>
      <c r="G247" s="39" t="s">
        <v>35</v>
      </c>
      <c r="H247" s="40">
        <v>46090</v>
      </c>
      <c r="I247" s="41">
        <v>46098</v>
      </c>
      <c r="J247" s="37" t="s">
        <v>95</v>
      </c>
      <c r="K247" s="37" t="s">
        <v>87</v>
      </c>
      <c r="L247" s="43" t="s">
        <v>193</v>
      </c>
      <c r="M247" s="43" t="s">
        <v>140</v>
      </c>
      <c r="N247" s="43"/>
      <c r="O247" s="42"/>
      <c r="P247" s="43" t="str">
        <f t="shared" si="3"/>
        <v>KAPSAM DIŞI</v>
      </c>
    </row>
    <row r="248" spans="1:17" ht="94.5" customHeight="1" x14ac:dyDescent="0.25">
      <c r="A248" s="36" t="s">
        <v>1263</v>
      </c>
      <c r="B248" s="36" t="s">
        <v>1264</v>
      </c>
      <c r="C248" s="37" t="s">
        <v>1265</v>
      </c>
      <c r="D248" s="37" t="s">
        <v>378</v>
      </c>
      <c r="E248" s="38" t="s">
        <v>1266</v>
      </c>
      <c r="F248" s="38" t="s">
        <v>1267</v>
      </c>
      <c r="G248" s="39" t="s">
        <v>34</v>
      </c>
      <c r="H248" s="40">
        <v>46090</v>
      </c>
      <c r="I248" s="41">
        <v>46098</v>
      </c>
      <c r="J248" s="37" t="s">
        <v>86</v>
      </c>
      <c r="K248" s="37" t="s">
        <v>110</v>
      </c>
      <c r="L248" s="43" t="s">
        <v>88</v>
      </c>
      <c r="M248" s="43"/>
      <c r="N248" s="43"/>
      <c r="O248" s="42"/>
      <c r="P248" s="43" t="str">
        <f t="shared" si="3"/>
        <v>DÜZELTME</v>
      </c>
    </row>
    <row r="249" spans="1:17" ht="141.75" customHeight="1" x14ac:dyDescent="0.25">
      <c r="A249" s="36" t="s">
        <v>1268</v>
      </c>
      <c r="B249" s="36" t="s">
        <v>1269</v>
      </c>
      <c r="C249" s="37" t="s">
        <v>356</v>
      </c>
      <c r="D249" s="37" t="s">
        <v>328</v>
      </c>
      <c r="E249" s="38" t="s">
        <v>1270</v>
      </c>
      <c r="F249" s="38" t="s">
        <v>1271</v>
      </c>
      <c r="G249" s="39" t="s">
        <v>35</v>
      </c>
      <c r="H249" s="40">
        <v>46090</v>
      </c>
      <c r="I249" s="41">
        <v>46098</v>
      </c>
      <c r="J249" s="37" t="s">
        <v>116</v>
      </c>
      <c r="K249" s="37" t="s">
        <v>103</v>
      </c>
      <c r="L249" s="43" t="s">
        <v>88</v>
      </c>
      <c r="M249" s="43" t="s">
        <v>64</v>
      </c>
      <c r="N249" s="43"/>
      <c r="O249" s="42"/>
      <c r="P249" s="43" t="str">
        <f t="shared" si="3"/>
        <v>ONAY</v>
      </c>
      <c r="Q249" s="26" t="s">
        <v>103</v>
      </c>
    </row>
    <row r="250" spans="1:17" ht="111" customHeight="1" x14ac:dyDescent="0.25">
      <c r="A250" s="36" t="s">
        <v>1272</v>
      </c>
      <c r="B250" s="36" t="s">
        <v>1273</v>
      </c>
      <c r="C250" s="37" t="s">
        <v>214</v>
      </c>
      <c r="D250" s="37" t="s">
        <v>215</v>
      </c>
      <c r="E250" s="38" t="s">
        <v>1274</v>
      </c>
      <c r="F250" s="38" t="s">
        <v>1275</v>
      </c>
      <c r="G250" s="39" t="s">
        <v>34</v>
      </c>
      <c r="H250" s="40">
        <v>46090</v>
      </c>
      <c r="I250" s="41">
        <v>46098</v>
      </c>
      <c r="J250" s="37" t="s">
        <v>78</v>
      </c>
      <c r="K250" s="37" t="s">
        <v>110</v>
      </c>
      <c r="L250" s="43" t="s">
        <v>64</v>
      </c>
      <c r="M250" s="43"/>
      <c r="N250" s="43"/>
      <c r="O250" s="42"/>
      <c r="P250" s="43" t="str">
        <f t="shared" si="3"/>
        <v>ONAY</v>
      </c>
    </row>
    <row r="251" spans="1:17" ht="63" customHeight="1" x14ac:dyDescent="0.25">
      <c r="A251" s="36" t="s">
        <v>1276</v>
      </c>
      <c r="B251" s="36" t="s">
        <v>1277</v>
      </c>
      <c r="C251" s="37" t="s">
        <v>610</v>
      </c>
      <c r="D251" s="37" t="s">
        <v>156</v>
      </c>
      <c r="E251" s="38" t="s">
        <v>1278</v>
      </c>
      <c r="F251" s="38" t="s">
        <v>1279</v>
      </c>
      <c r="G251" s="39" t="s">
        <v>34</v>
      </c>
      <c r="H251" s="40">
        <v>46090</v>
      </c>
      <c r="I251" s="41">
        <v>46098</v>
      </c>
      <c r="J251" s="37" t="s">
        <v>62</v>
      </c>
      <c r="K251" s="37" t="s">
        <v>63</v>
      </c>
      <c r="L251" s="43" t="s">
        <v>88</v>
      </c>
      <c r="M251" s="43" t="s">
        <v>64</v>
      </c>
      <c r="N251" s="43"/>
      <c r="O251" s="42"/>
      <c r="P251" s="43" t="str">
        <f t="shared" si="3"/>
        <v>ONAY</v>
      </c>
      <c r="Q251" s="26" t="s">
        <v>62</v>
      </c>
    </row>
    <row r="252" spans="1:17" ht="63" customHeight="1" x14ac:dyDescent="0.25">
      <c r="A252" s="36" t="s">
        <v>1280</v>
      </c>
      <c r="B252" s="36" t="s">
        <v>1281</v>
      </c>
      <c r="C252" s="37" t="s">
        <v>835</v>
      </c>
      <c r="D252" s="37" t="s">
        <v>378</v>
      </c>
      <c r="E252" s="38" t="s">
        <v>1282</v>
      </c>
      <c r="F252" s="38" t="s">
        <v>1283</v>
      </c>
      <c r="G252" s="39" t="s">
        <v>34</v>
      </c>
      <c r="H252" s="40">
        <v>46090</v>
      </c>
      <c r="I252" s="41">
        <v>46098</v>
      </c>
      <c r="J252" s="37" t="s">
        <v>79</v>
      </c>
      <c r="K252" s="37" t="s">
        <v>87</v>
      </c>
      <c r="L252" s="43" t="s">
        <v>64</v>
      </c>
      <c r="M252" s="43"/>
      <c r="N252" s="43"/>
      <c r="O252" s="42"/>
      <c r="P252" s="43" t="str">
        <f t="shared" si="3"/>
        <v>ONAY</v>
      </c>
    </row>
    <row r="253" spans="1:17" ht="63" customHeight="1" x14ac:dyDescent="0.25">
      <c r="A253" s="36" t="s">
        <v>1284</v>
      </c>
      <c r="B253" s="36" t="s">
        <v>1285</v>
      </c>
      <c r="C253" s="37" t="s">
        <v>1286</v>
      </c>
      <c r="D253" s="37" t="s">
        <v>215</v>
      </c>
      <c r="E253" s="38" t="s">
        <v>1287</v>
      </c>
      <c r="F253" s="38" t="s">
        <v>1288</v>
      </c>
      <c r="G253" s="39" t="s">
        <v>34</v>
      </c>
      <c r="H253" s="40">
        <v>46090</v>
      </c>
      <c r="I253" s="41">
        <v>46098</v>
      </c>
      <c r="J253" s="37" t="s">
        <v>78</v>
      </c>
      <c r="K253" s="37" t="s">
        <v>86</v>
      </c>
      <c r="L253" s="43" t="s">
        <v>159</v>
      </c>
      <c r="M253" s="43"/>
      <c r="N253" s="43"/>
      <c r="O253" s="42"/>
      <c r="P253" s="43" t="str">
        <f t="shared" si="3"/>
        <v>RET</v>
      </c>
    </row>
    <row r="254" spans="1:17" ht="78.75" customHeight="1" x14ac:dyDescent="0.25">
      <c r="A254" s="36" t="s">
        <v>1289</v>
      </c>
      <c r="B254" s="36" t="s">
        <v>1290</v>
      </c>
      <c r="C254" s="37" t="s">
        <v>411</v>
      </c>
      <c r="D254" s="37" t="s">
        <v>351</v>
      </c>
      <c r="E254" s="38" t="s">
        <v>1291</v>
      </c>
      <c r="F254" s="38" t="s">
        <v>1292</v>
      </c>
      <c r="G254" s="39" t="s">
        <v>34</v>
      </c>
      <c r="H254" s="40">
        <v>46090</v>
      </c>
      <c r="I254" s="41">
        <v>46098</v>
      </c>
      <c r="J254" s="37" t="s">
        <v>103</v>
      </c>
      <c r="K254" s="37" t="s">
        <v>79</v>
      </c>
      <c r="L254" s="43" t="s">
        <v>64</v>
      </c>
      <c r="M254" s="43"/>
      <c r="N254" s="43"/>
      <c r="O254" s="42"/>
      <c r="P254" s="43" t="str">
        <f t="shared" si="3"/>
        <v>ONAY</v>
      </c>
    </row>
    <row r="255" spans="1:17" ht="78.75" customHeight="1" x14ac:dyDescent="0.25">
      <c r="A255" s="36" t="s">
        <v>1293</v>
      </c>
      <c r="B255" s="36" t="s">
        <v>1294</v>
      </c>
      <c r="C255" s="37" t="s">
        <v>639</v>
      </c>
      <c r="D255" s="37" t="s">
        <v>351</v>
      </c>
      <c r="E255" s="38" t="s">
        <v>1295</v>
      </c>
      <c r="F255" s="38" t="s">
        <v>1296</v>
      </c>
      <c r="G255" s="39" t="s">
        <v>34</v>
      </c>
      <c r="H255" s="40">
        <v>46090</v>
      </c>
      <c r="I255" s="41">
        <v>46098</v>
      </c>
      <c r="J255" s="37" t="s">
        <v>95</v>
      </c>
      <c r="K255" s="37" t="s">
        <v>103</v>
      </c>
      <c r="L255" s="43" t="s">
        <v>64</v>
      </c>
      <c r="M255" s="43"/>
      <c r="N255" s="43"/>
      <c r="O255" s="42"/>
      <c r="P255" s="43" t="str">
        <f t="shared" si="3"/>
        <v>ONAY</v>
      </c>
    </row>
    <row r="256" spans="1:17" ht="78.75" customHeight="1" x14ac:dyDescent="0.25">
      <c r="A256" s="36" t="s">
        <v>1297</v>
      </c>
      <c r="B256" s="36" t="s">
        <v>1298</v>
      </c>
      <c r="C256" s="37" t="s">
        <v>620</v>
      </c>
      <c r="D256" s="37" t="s">
        <v>215</v>
      </c>
      <c r="E256" s="38" t="s">
        <v>1299</v>
      </c>
      <c r="F256" s="38" t="s">
        <v>1300</v>
      </c>
      <c r="G256" s="39" t="s">
        <v>34</v>
      </c>
      <c r="H256" s="40">
        <v>46090</v>
      </c>
      <c r="I256" s="41">
        <v>46098</v>
      </c>
      <c r="J256" s="37" t="s">
        <v>116</v>
      </c>
      <c r="K256" s="37" t="s">
        <v>71</v>
      </c>
      <c r="L256" s="43" t="s">
        <v>64</v>
      </c>
      <c r="M256" s="43"/>
      <c r="N256" s="43"/>
      <c r="O256" s="42"/>
      <c r="P256" s="43" t="str">
        <f t="shared" si="3"/>
        <v>ONAY</v>
      </c>
    </row>
    <row r="257" spans="1:17" ht="78.75" customHeight="1" x14ac:dyDescent="0.25">
      <c r="A257" s="36" t="s">
        <v>1301</v>
      </c>
      <c r="B257" s="36" t="s">
        <v>1302</v>
      </c>
      <c r="C257" s="37" t="s">
        <v>383</v>
      </c>
      <c r="D257" s="37" t="s">
        <v>384</v>
      </c>
      <c r="E257" s="38" t="s">
        <v>1303</v>
      </c>
      <c r="F257" s="38" t="s">
        <v>1304</v>
      </c>
      <c r="G257" s="39" t="s">
        <v>37</v>
      </c>
      <c r="H257" s="40">
        <v>46090</v>
      </c>
      <c r="I257" s="41">
        <v>46098</v>
      </c>
      <c r="J257" s="37" t="s">
        <v>62</v>
      </c>
      <c r="K257" s="37" t="s">
        <v>71</v>
      </c>
      <c r="L257" s="43" t="s">
        <v>88</v>
      </c>
      <c r="M257" s="43" t="s">
        <v>64</v>
      </c>
      <c r="N257" s="43"/>
      <c r="O257" s="42"/>
      <c r="P257" s="43" t="str">
        <f t="shared" si="3"/>
        <v>ONAY</v>
      </c>
      <c r="Q257" s="26" t="s">
        <v>62</v>
      </c>
    </row>
    <row r="258" spans="1:17" ht="63" customHeight="1" x14ac:dyDescent="0.25">
      <c r="A258" s="36" t="s">
        <v>1305</v>
      </c>
      <c r="B258" s="36" t="s">
        <v>1306</v>
      </c>
      <c r="C258" s="37" t="s">
        <v>1307</v>
      </c>
      <c r="D258" s="37" t="s">
        <v>202</v>
      </c>
      <c r="E258" s="38" t="s">
        <v>1308</v>
      </c>
      <c r="F258" s="38" t="s">
        <v>1309</v>
      </c>
      <c r="G258" s="39" t="s">
        <v>34</v>
      </c>
      <c r="H258" s="40">
        <v>46090</v>
      </c>
      <c r="I258" s="41">
        <v>46098</v>
      </c>
      <c r="J258" s="37" t="s">
        <v>110</v>
      </c>
      <c r="K258" s="37" t="s">
        <v>63</v>
      </c>
      <c r="L258" s="43" t="s">
        <v>88</v>
      </c>
      <c r="M258" s="43" t="s">
        <v>387</v>
      </c>
      <c r="N258" s="43"/>
      <c r="O258" s="42"/>
      <c r="P258" s="43" t="str">
        <f t="shared" ref="P258:P321" si="4">IF(O258&lt;&gt;"",O258, IF(N258&lt;&gt;"",N258, IF(M258&lt;&gt;"",M258, L258)))</f>
        <v>GERİ ÇEKİLDİ</v>
      </c>
    </row>
    <row r="259" spans="1:17" ht="80.25" customHeight="1" x14ac:dyDescent="0.25">
      <c r="A259" s="36" t="s">
        <v>1310</v>
      </c>
      <c r="B259" s="36" t="s">
        <v>1311</v>
      </c>
      <c r="C259" s="37" t="s">
        <v>1307</v>
      </c>
      <c r="D259" s="37" t="s">
        <v>202</v>
      </c>
      <c r="E259" s="38" t="s">
        <v>1308</v>
      </c>
      <c r="F259" s="38" t="s">
        <v>1312</v>
      </c>
      <c r="G259" s="39" t="s">
        <v>34</v>
      </c>
      <c r="H259" s="40">
        <v>46090</v>
      </c>
      <c r="I259" s="41">
        <v>46098</v>
      </c>
      <c r="J259" s="37" t="s">
        <v>110</v>
      </c>
      <c r="K259" s="37" t="s">
        <v>86</v>
      </c>
      <c r="L259" s="43" t="s">
        <v>88</v>
      </c>
      <c r="M259" s="43" t="s">
        <v>64</v>
      </c>
      <c r="N259" s="43"/>
      <c r="O259" s="42"/>
      <c r="P259" s="43" t="str">
        <f t="shared" si="4"/>
        <v>ONAY</v>
      </c>
      <c r="Q259" s="26" t="s">
        <v>110</v>
      </c>
    </row>
    <row r="260" spans="1:17" ht="78.75" customHeight="1" x14ac:dyDescent="0.25">
      <c r="A260" s="36" t="s">
        <v>1313</v>
      </c>
      <c r="B260" s="36" t="s">
        <v>1314</v>
      </c>
      <c r="C260" s="37" t="s">
        <v>1315</v>
      </c>
      <c r="D260" s="37" t="s">
        <v>209</v>
      </c>
      <c r="E260" s="38" t="s">
        <v>1316</v>
      </c>
      <c r="F260" s="38" t="s">
        <v>1317</v>
      </c>
      <c r="G260" s="39" t="s">
        <v>34</v>
      </c>
      <c r="H260" s="40">
        <v>46090</v>
      </c>
      <c r="I260" s="41">
        <v>46098</v>
      </c>
      <c r="J260" s="37" t="s">
        <v>63</v>
      </c>
      <c r="K260" s="37" t="s">
        <v>87</v>
      </c>
      <c r="L260" s="43" t="s">
        <v>64</v>
      </c>
      <c r="M260" s="43"/>
      <c r="N260" s="43"/>
      <c r="O260" s="42"/>
      <c r="P260" s="43" t="str">
        <f t="shared" si="4"/>
        <v>ONAY</v>
      </c>
    </row>
    <row r="261" spans="1:17" ht="94.5" customHeight="1" x14ac:dyDescent="0.25">
      <c r="A261" s="36" t="s">
        <v>1318</v>
      </c>
      <c r="B261" s="36" t="s">
        <v>1319</v>
      </c>
      <c r="C261" s="37" t="s">
        <v>208</v>
      </c>
      <c r="D261" s="37" t="s">
        <v>209</v>
      </c>
      <c r="E261" s="38" t="s">
        <v>1320</v>
      </c>
      <c r="F261" s="38" t="s">
        <v>1321</v>
      </c>
      <c r="G261" s="39" t="s">
        <v>34</v>
      </c>
      <c r="H261" s="40">
        <v>46090</v>
      </c>
      <c r="I261" s="41">
        <v>46098</v>
      </c>
      <c r="J261" s="37" t="s">
        <v>62</v>
      </c>
      <c r="K261" s="37" t="s">
        <v>78</v>
      </c>
      <c r="L261" s="43" t="s">
        <v>88</v>
      </c>
      <c r="M261" s="43" t="s">
        <v>88</v>
      </c>
      <c r="N261" s="43"/>
      <c r="O261" s="42"/>
      <c r="P261" s="43" t="str">
        <f t="shared" si="4"/>
        <v>DÜZELTME</v>
      </c>
    </row>
    <row r="262" spans="1:17" ht="96" customHeight="1" x14ac:dyDescent="0.25">
      <c r="A262" s="36" t="s">
        <v>1322</v>
      </c>
      <c r="B262" s="36" t="s">
        <v>1323</v>
      </c>
      <c r="C262" s="37" t="s">
        <v>1324</v>
      </c>
      <c r="D262" s="37" t="s">
        <v>209</v>
      </c>
      <c r="E262" s="38" t="s">
        <v>1325</v>
      </c>
      <c r="F262" s="38" t="s">
        <v>1326</v>
      </c>
      <c r="G262" s="39" t="s">
        <v>34</v>
      </c>
      <c r="H262" s="40">
        <v>46090</v>
      </c>
      <c r="I262" s="41">
        <v>46098</v>
      </c>
      <c r="J262" s="37" t="s">
        <v>87</v>
      </c>
      <c r="K262" s="37" t="s">
        <v>103</v>
      </c>
      <c r="L262" s="43" t="s">
        <v>64</v>
      </c>
      <c r="M262" s="43"/>
      <c r="N262" s="43"/>
      <c r="O262" s="42"/>
      <c r="P262" s="43" t="str">
        <f t="shared" si="4"/>
        <v>ONAY</v>
      </c>
    </row>
    <row r="263" spans="1:17" ht="95.25" customHeight="1" x14ac:dyDescent="0.25">
      <c r="A263" s="36" t="s">
        <v>1327</v>
      </c>
      <c r="B263" s="36" t="s">
        <v>1328</v>
      </c>
      <c r="C263" s="37" t="s">
        <v>1329</v>
      </c>
      <c r="D263" s="37" t="s">
        <v>1330</v>
      </c>
      <c r="E263" s="38" t="s">
        <v>1331</v>
      </c>
      <c r="F263" s="38" t="s">
        <v>1332</v>
      </c>
      <c r="G263" s="39" t="s">
        <v>35</v>
      </c>
      <c r="H263" s="40">
        <v>46090</v>
      </c>
      <c r="I263" s="41">
        <v>46098</v>
      </c>
      <c r="J263" s="37" t="s">
        <v>95</v>
      </c>
      <c r="K263" s="37" t="s">
        <v>116</v>
      </c>
      <c r="L263" s="43" t="s">
        <v>64</v>
      </c>
      <c r="M263" s="43"/>
      <c r="N263" s="43"/>
      <c r="O263" s="42"/>
      <c r="P263" s="43" t="str">
        <f t="shared" si="4"/>
        <v>ONAY</v>
      </c>
    </row>
    <row r="264" spans="1:17" ht="238.5" customHeight="1" x14ac:dyDescent="0.25">
      <c r="A264" s="36" t="s">
        <v>1333</v>
      </c>
      <c r="B264" s="36" t="s">
        <v>1334</v>
      </c>
      <c r="C264" s="37" t="s">
        <v>196</v>
      </c>
      <c r="D264" s="37" t="s">
        <v>120</v>
      </c>
      <c r="E264" s="38" t="s">
        <v>1335</v>
      </c>
      <c r="F264" s="38" t="s">
        <v>1336</v>
      </c>
      <c r="G264" s="39" t="s">
        <v>34</v>
      </c>
      <c r="H264" s="40">
        <v>46090</v>
      </c>
      <c r="I264" s="41">
        <v>46098</v>
      </c>
      <c r="J264" s="37" t="s">
        <v>86</v>
      </c>
      <c r="K264" s="37" t="s">
        <v>79</v>
      </c>
      <c r="L264" s="43" t="s">
        <v>64</v>
      </c>
      <c r="M264" s="43"/>
      <c r="N264" s="43"/>
      <c r="O264" s="42"/>
      <c r="P264" s="43" t="str">
        <f t="shared" si="4"/>
        <v>ONAY</v>
      </c>
    </row>
    <row r="265" spans="1:17" ht="63" customHeight="1" x14ac:dyDescent="0.25">
      <c r="A265" s="36" t="s">
        <v>1337</v>
      </c>
      <c r="B265" s="36" t="s">
        <v>1338</v>
      </c>
      <c r="C265" s="37" t="s">
        <v>1339</v>
      </c>
      <c r="D265" s="37" t="s">
        <v>100</v>
      </c>
      <c r="E265" s="38" t="s">
        <v>1340</v>
      </c>
      <c r="F265" s="38" t="s">
        <v>1341</v>
      </c>
      <c r="G265" s="39" t="s">
        <v>34</v>
      </c>
      <c r="H265" s="40">
        <v>46090</v>
      </c>
      <c r="I265" s="41">
        <v>46098</v>
      </c>
      <c r="J265" s="37" t="s">
        <v>110</v>
      </c>
      <c r="K265" s="37" t="s">
        <v>71</v>
      </c>
      <c r="L265" s="43" t="s">
        <v>88</v>
      </c>
      <c r="M265" s="43" t="s">
        <v>64</v>
      </c>
      <c r="N265" s="43"/>
      <c r="O265" s="42"/>
      <c r="P265" s="43" t="str">
        <f t="shared" si="4"/>
        <v>ONAY</v>
      </c>
      <c r="Q265" s="26" t="s">
        <v>71</v>
      </c>
    </row>
    <row r="266" spans="1:17" ht="63" customHeight="1" x14ac:dyDescent="0.25">
      <c r="A266" s="36" t="s">
        <v>1342</v>
      </c>
      <c r="B266" s="36" t="s">
        <v>1343</v>
      </c>
      <c r="C266" s="37" t="s">
        <v>1339</v>
      </c>
      <c r="D266" s="37" t="s">
        <v>100</v>
      </c>
      <c r="E266" s="38" t="s">
        <v>1340</v>
      </c>
      <c r="F266" s="38" t="s">
        <v>1344</v>
      </c>
      <c r="G266" s="39" t="s">
        <v>34</v>
      </c>
      <c r="H266" s="40">
        <v>46090</v>
      </c>
      <c r="I266" s="41">
        <v>46098</v>
      </c>
      <c r="J266" s="37" t="s">
        <v>110</v>
      </c>
      <c r="K266" s="37" t="s">
        <v>71</v>
      </c>
      <c r="L266" s="43" t="s">
        <v>88</v>
      </c>
      <c r="M266" s="43" t="s">
        <v>64</v>
      </c>
      <c r="N266" s="43"/>
      <c r="O266" s="42"/>
      <c r="P266" s="43" t="str">
        <f t="shared" si="4"/>
        <v>ONAY</v>
      </c>
      <c r="Q266" s="26" t="s">
        <v>71</v>
      </c>
    </row>
    <row r="267" spans="1:17" ht="63" customHeight="1" x14ac:dyDescent="0.25">
      <c r="A267" s="36" t="s">
        <v>1345</v>
      </c>
      <c r="B267" s="36" t="s">
        <v>1346</v>
      </c>
      <c r="C267" s="37" t="s">
        <v>189</v>
      </c>
      <c r="D267" s="37" t="s">
        <v>190</v>
      </c>
      <c r="E267" s="38" t="s">
        <v>1347</v>
      </c>
      <c r="F267" s="38" t="s">
        <v>1348</v>
      </c>
      <c r="G267" s="39" t="s">
        <v>37</v>
      </c>
      <c r="H267" s="40">
        <v>46090</v>
      </c>
      <c r="I267" s="41">
        <v>46098</v>
      </c>
      <c r="J267" s="37" t="s">
        <v>86</v>
      </c>
      <c r="K267" s="37" t="s">
        <v>87</v>
      </c>
      <c r="L267" s="43" t="s">
        <v>88</v>
      </c>
      <c r="M267" s="43" t="s">
        <v>64</v>
      </c>
      <c r="N267" s="43"/>
      <c r="O267" s="42"/>
      <c r="P267" s="43" t="str">
        <f t="shared" si="4"/>
        <v>ONAY</v>
      </c>
      <c r="Q267" s="26" t="s">
        <v>87</v>
      </c>
    </row>
    <row r="268" spans="1:17" ht="78.75" customHeight="1" x14ac:dyDescent="0.25">
      <c r="A268" s="36" t="s">
        <v>1349</v>
      </c>
      <c r="B268" s="36" t="s">
        <v>1350</v>
      </c>
      <c r="C268" s="37" t="s">
        <v>1351</v>
      </c>
      <c r="D268" s="37" t="s">
        <v>526</v>
      </c>
      <c r="E268" s="38" t="s">
        <v>1352</v>
      </c>
      <c r="F268" s="38" t="s">
        <v>1353</v>
      </c>
      <c r="G268" s="39" t="s">
        <v>35</v>
      </c>
      <c r="H268" s="40">
        <v>46090</v>
      </c>
      <c r="I268" s="41">
        <v>46098</v>
      </c>
      <c r="J268" s="37" t="s">
        <v>110</v>
      </c>
      <c r="K268" s="37" t="s">
        <v>103</v>
      </c>
      <c r="L268" s="43" t="s">
        <v>88</v>
      </c>
      <c r="M268" s="43" t="s">
        <v>64</v>
      </c>
      <c r="N268" s="43"/>
      <c r="O268" s="42"/>
      <c r="P268" s="43" t="str">
        <f t="shared" si="4"/>
        <v>ONAY</v>
      </c>
      <c r="Q268" s="26" t="s">
        <v>110</v>
      </c>
    </row>
    <row r="269" spans="1:17" ht="63" customHeight="1" x14ac:dyDescent="0.25">
      <c r="A269" s="36" t="s">
        <v>1354</v>
      </c>
      <c r="B269" s="36" t="s">
        <v>1355</v>
      </c>
      <c r="C269" s="37" t="s">
        <v>1225</v>
      </c>
      <c r="D269" s="37" t="s">
        <v>401</v>
      </c>
      <c r="E269" s="38" t="s">
        <v>1356</v>
      </c>
      <c r="F269" s="38" t="s">
        <v>1357</v>
      </c>
      <c r="G269" s="39" t="s">
        <v>35</v>
      </c>
      <c r="H269" s="40">
        <v>46090</v>
      </c>
      <c r="I269" s="41">
        <v>46098</v>
      </c>
      <c r="J269" s="37" t="s">
        <v>110</v>
      </c>
      <c r="K269" s="37" t="s">
        <v>103</v>
      </c>
      <c r="L269" s="43" t="s">
        <v>64</v>
      </c>
      <c r="M269" s="43"/>
      <c r="N269" s="43"/>
      <c r="O269" s="42"/>
      <c r="P269" s="43" t="str">
        <f t="shared" si="4"/>
        <v>ONAY</v>
      </c>
    </row>
    <row r="270" spans="1:17" ht="78.75" customHeight="1" x14ac:dyDescent="0.25">
      <c r="A270" s="36" t="s">
        <v>1358</v>
      </c>
      <c r="B270" s="36" t="s">
        <v>1359</v>
      </c>
      <c r="C270" s="37" t="s">
        <v>1360</v>
      </c>
      <c r="D270" s="37" t="s">
        <v>209</v>
      </c>
      <c r="E270" s="38" t="s">
        <v>1361</v>
      </c>
      <c r="F270" s="38" t="s">
        <v>1362</v>
      </c>
      <c r="G270" s="39" t="s">
        <v>34</v>
      </c>
      <c r="H270" s="40">
        <v>46090</v>
      </c>
      <c r="I270" s="41">
        <v>46098</v>
      </c>
      <c r="J270" s="37" t="s">
        <v>95</v>
      </c>
      <c r="K270" s="37" t="s">
        <v>63</v>
      </c>
      <c r="L270" s="43" t="s">
        <v>64</v>
      </c>
      <c r="M270" s="43"/>
      <c r="N270" s="43"/>
      <c r="O270" s="42"/>
      <c r="P270" s="43" t="str">
        <f t="shared" si="4"/>
        <v>ONAY</v>
      </c>
    </row>
    <row r="271" spans="1:17" ht="78.75" customHeight="1" x14ac:dyDescent="0.25">
      <c r="A271" s="36" t="s">
        <v>1363</v>
      </c>
      <c r="B271" s="36" t="s">
        <v>1364</v>
      </c>
      <c r="C271" s="37" t="s">
        <v>1365</v>
      </c>
      <c r="D271" s="37" t="s">
        <v>209</v>
      </c>
      <c r="E271" s="38" t="s">
        <v>1366</v>
      </c>
      <c r="F271" s="38" t="s">
        <v>1367</v>
      </c>
      <c r="G271" s="39" t="s">
        <v>34</v>
      </c>
      <c r="H271" s="40">
        <v>46090</v>
      </c>
      <c r="I271" s="41">
        <v>46098</v>
      </c>
      <c r="J271" s="37" t="s">
        <v>62</v>
      </c>
      <c r="K271" s="37" t="s">
        <v>116</v>
      </c>
      <c r="L271" s="43" t="s">
        <v>64</v>
      </c>
      <c r="M271" s="43"/>
      <c r="N271" s="43"/>
      <c r="O271" s="42"/>
      <c r="P271" s="43" t="str">
        <f t="shared" si="4"/>
        <v>ONAY</v>
      </c>
    </row>
    <row r="272" spans="1:17" ht="110.25" customHeight="1" x14ac:dyDescent="0.25">
      <c r="A272" s="36" t="s">
        <v>1368</v>
      </c>
      <c r="B272" s="36" t="s">
        <v>1369</v>
      </c>
      <c r="C272" s="37" t="s">
        <v>1365</v>
      </c>
      <c r="D272" s="37" t="s">
        <v>209</v>
      </c>
      <c r="E272" s="38" t="s">
        <v>1370</v>
      </c>
      <c r="F272" s="38" t="s">
        <v>1371</v>
      </c>
      <c r="G272" s="39" t="s">
        <v>34</v>
      </c>
      <c r="H272" s="40">
        <v>46090</v>
      </c>
      <c r="I272" s="41">
        <v>46098</v>
      </c>
      <c r="J272" s="37" t="s">
        <v>62</v>
      </c>
      <c r="K272" s="37" t="s">
        <v>95</v>
      </c>
      <c r="L272" s="43" t="s">
        <v>64</v>
      </c>
      <c r="M272" s="43"/>
      <c r="N272" s="43"/>
      <c r="O272" s="42"/>
      <c r="P272" s="43" t="str">
        <f t="shared" si="4"/>
        <v>ONAY</v>
      </c>
    </row>
    <row r="273" spans="1:17" ht="82.5" customHeight="1" x14ac:dyDescent="0.25">
      <c r="A273" s="36" t="s">
        <v>1372</v>
      </c>
      <c r="B273" s="36" t="s">
        <v>1373</v>
      </c>
      <c r="C273" s="37" t="s">
        <v>272</v>
      </c>
      <c r="D273" s="37" t="s">
        <v>209</v>
      </c>
      <c r="E273" s="38" t="s">
        <v>1374</v>
      </c>
      <c r="F273" s="38" t="s">
        <v>1375</v>
      </c>
      <c r="G273" s="39" t="s">
        <v>34</v>
      </c>
      <c r="H273" s="40">
        <v>46090</v>
      </c>
      <c r="I273" s="41">
        <v>46098</v>
      </c>
      <c r="J273" s="37" t="s">
        <v>63</v>
      </c>
      <c r="K273" s="37" t="s">
        <v>79</v>
      </c>
      <c r="L273" s="43" t="s">
        <v>64</v>
      </c>
      <c r="M273" s="43"/>
      <c r="N273" s="43"/>
      <c r="O273" s="42"/>
      <c r="P273" s="43" t="str">
        <f t="shared" si="4"/>
        <v>ONAY</v>
      </c>
    </row>
    <row r="274" spans="1:17" ht="63" customHeight="1" x14ac:dyDescent="0.25">
      <c r="A274" s="36" t="s">
        <v>1376</v>
      </c>
      <c r="B274" s="36" t="s">
        <v>1377</v>
      </c>
      <c r="C274" s="37" t="s">
        <v>1339</v>
      </c>
      <c r="D274" s="37" t="s">
        <v>100</v>
      </c>
      <c r="E274" s="38" t="s">
        <v>1378</v>
      </c>
      <c r="F274" s="38" t="s">
        <v>1379</v>
      </c>
      <c r="G274" s="39" t="s">
        <v>34</v>
      </c>
      <c r="H274" s="40">
        <v>46094</v>
      </c>
      <c r="I274" s="41">
        <v>46112</v>
      </c>
      <c r="J274" s="37" t="s">
        <v>103</v>
      </c>
      <c r="K274" s="37" t="s">
        <v>71</v>
      </c>
      <c r="L274" s="43" t="s">
        <v>88</v>
      </c>
      <c r="M274" s="43"/>
      <c r="N274" s="43"/>
      <c r="O274" s="42"/>
      <c r="P274" s="43" t="str">
        <f t="shared" si="4"/>
        <v>DÜZELTME</v>
      </c>
    </row>
    <row r="275" spans="1:17" ht="78.75" customHeight="1" x14ac:dyDescent="0.25">
      <c r="A275" s="36" t="s">
        <v>1380</v>
      </c>
      <c r="B275" s="36" t="s">
        <v>1381</v>
      </c>
      <c r="C275" s="37" t="s">
        <v>63</v>
      </c>
      <c r="D275" s="37" t="s">
        <v>209</v>
      </c>
      <c r="E275" s="38" t="s">
        <v>1382</v>
      </c>
      <c r="F275" s="38" t="s">
        <v>1383</v>
      </c>
      <c r="G275" s="39" t="s">
        <v>34</v>
      </c>
      <c r="H275" s="40">
        <v>46094</v>
      </c>
      <c r="I275" s="41">
        <v>46112</v>
      </c>
      <c r="J275" s="37" t="s">
        <v>78</v>
      </c>
      <c r="K275" s="37" t="s">
        <v>86</v>
      </c>
      <c r="L275" s="43" t="s">
        <v>88</v>
      </c>
      <c r="M275" s="43" t="s">
        <v>88</v>
      </c>
      <c r="N275" s="43" t="s">
        <v>64</v>
      </c>
      <c r="O275" s="42"/>
      <c r="P275" s="43" t="str">
        <f t="shared" si="4"/>
        <v>ONAY</v>
      </c>
      <c r="Q275" s="26" t="s">
        <v>78</v>
      </c>
    </row>
    <row r="276" spans="1:17" ht="96" customHeight="1" x14ac:dyDescent="0.25">
      <c r="A276" s="36" t="s">
        <v>1384</v>
      </c>
      <c r="B276" s="36" t="s">
        <v>1385</v>
      </c>
      <c r="C276" s="37" t="s">
        <v>345</v>
      </c>
      <c r="D276" s="37" t="s">
        <v>215</v>
      </c>
      <c r="E276" s="38" t="s">
        <v>1386</v>
      </c>
      <c r="F276" s="38" t="s">
        <v>1387</v>
      </c>
      <c r="G276" s="39" t="s">
        <v>34</v>
      </c>
      <c r="H276" s="40">
        <v>46094</v>
      </c>
      <c r="I276" s="41">
        <v>46112</v>
      </c>
      <c r="J276" s="37" t="s">
        <v>78</v>
      </c>
      <c r="K276" s="37" t="s">
        <v>71</v>
      </c>
      <c r="L276" s="43" t="s">
        <v>88</v>
      </c>
      <c r="M276" s="43" t="s">
        <v>64</v>
      </c>
      <c r="N276" s="43"/>
      <c r="O276" s="42"/>
      <c r="P276" s="43" t="str">
        <f t="shared" si="4"/>
        <v>ONAY</v>
      </c>
      <c r="Q276" s="26" t="s">
        <v>78</v>
      </c>
    </row>
    <row r="277" spans="1:17" ht="63" customHeight="1" x14ac:dyDescent="0.25">
      <c r="A277" s="36" t="s">
        <v>1388</v>
      </c>
      <c r="B277" s="36" t="s">
        <v>1389</v>
      </c>
      <c r="C277" s="37" t="s">
        <v>1390</v>
      </c>
      <c r="D277" s="37" t="s">
        <v>137</v>
      </c>
      <c r="E277" s="38" t="s">
        <v>1391</v>
      </c>
      <c r="F277" s="38" t="s">
        <v>1392</v>
      </c>
      <c r="G277" s="39" t="s">
        <v>35</v>
      </c>
      <c r="H277" s="40">
        <v>46094</v>
      </c>
      <c r="I277" s="41">
        <v>46112</v>
      </c>
      <c r="J277" s="37" t="s">
        <v>63</v>
      </c>
      <c r="K277" s="37" t="s">
        <v>79</v>
      </c>
      <c r="L277" s="43" t="s">
        <v>140</v>
      </c>
      <c r="M277" s="43"/>
      <c r="N277" s="43"/>
      <c r="O277" s="42"/>
      <c r="P277" s="43" t="str">
        <f t="shared" si="4"/>
        <v>KAPSAM DIŞI</v>
      </c>
    </row>
    <row r="278" spans="1:17" ht="78.75" customHeight="1" x14ac:dyDescent="0.25">
      <c r="A278" s="36" t="s">
        <v>1393</v>
      </c>
      <c r="B278" s="36" t="s">
        <v>1394</v>
      </c>
      <c r="C278" s="37" t="s">
        <v>1395</v>
      </c>
      <c r="D278" s="37" t="s">
        <v>75</v>
      </c>
      <c r="E278" s="38" t="s">
        <v>1396</v>
      </c>
      <c r="F278" s="38" t="s">
        <v>1397</v>
      </c>
      <c r="G278" s="39" t="s">
        <v>34</v>
      </c>
      <c r="H278" s="40">
        <v>46094</v>
      </c>
      <c r="I278" s="41">
        <v>46112</v>
      </c>
      <c r="J278" s="37" t="s">
        <v>79</v>
      </c>
      <c r="K278" s="37" t="s">
        <v>96</v>
      </c>
      <c r="L278" s="43" t="s">
        <v>88</v>
      </c>
      <c r="M278" s="43" t="s">
        <v>64</v>
      </c>
      <c r="N278" s="43"/>
      <c r="O278" s="42"/>
      <c r="P278" s="43" t="str">
        <f t="shared" si="4"/>
        <v>ONAY</v>
      </c>
      <c r="Q278" s="26" t="s">
        <v>96</v>
      </c>
    </row>
    <row r="279" spans="1:17" ht="78.75" customHeight="1" x14ac:dyDescent="0.25">
      <c r="A279" s="36" t="s">
        <v>1398</v>
      </c>
      <c r="B279" s="36" t="s">
        <v>1399</v>
      </c>
      <c r="C279" s="37" t="s">
        <v>1400</v>
      </c>
      <c r="D279" s="37" t="s">
        <v>209</v>
      </c>
      <c r="E279" s="38" t="s">
        <v>1401</v>
      </c>
      <c r="F279" s="38" t="s">
        <v>1402</v>
      </c>
      <c r="G279" s="39" t="s">
        <v>34</v>
      </c>
      <c r="H279" s="40">
        <v>46094</v>
      </c>
      <c r="I279" s="41">
        <v>46112</v>
      </c>
      <c r="J279" s="37" t="s">
        <v>63</v>
      </c>
      <c r="K279" s="37" t="s">
        <v>71</v>
      </c>
      <c r="L279" s="43" t="s">
        <v>64</v>
      </c>
      <c r="M279" s="43"/>
      <c r="N279" s="43"/>
      <c r="O279" s="42"/>
      <c r="P279" s="43" t="str">
        <f t="shared" si="4"/>
        <v>ONAY</v>
      </c>
    </row>
    <row r="280" spans="1:17" ht="94.5" customHeight="1" x14ac:dyDescent="0.25">
      <c r="A280" s="36" t="s">
        <v>1403</v>
      </c>
      <c r="B280" s="36" t="s">
        <v>1404</v>
      </c>
      <c r="C280" s="37" t="s">
        <v>283</v>
      </c>
      <c r="D280" s="37" t="s">
        <v>284</v>
      </c>
      <c r="E280" s="38" t="s">
        <v>1405</v>
      </c>
      <c r="F280" s="38" t="s">
        <v>1406</v>
      </c>
      <c r="G280" s="39" t="s">
        <v>34</v>
      </c>
      <c r="H280" s="40">
        <v>46094</v>
      </c>
      <c r="I280" s="41">
        <v>46112</v>
      </c>
      <c r="J280" s="37" t="s">
        <v>110</v>
      </c>
      <c r="K280" s="37" t="s">
        <v>86</v>
      </c>
      <c r="L280" s="43" t="s">
        <v>205</v>
      </c>
      <c r="M280" s="43"/>
      <c r="N280" s="43"/>
      <c r="O280" s="42"/>
      <c r="P280" s="43" t="str">
        <f t="shared" si="4"/>
        <v>KAEK</v>
      </c>
    </row>
    <row r="281" spans="1:17" ht="78.75" customHeight="1" x14ac:dyDescent="0.25">
      <c r="A281" s="36" t="s">
        <v>1407</v>
      </c>
      <c r="B281" s="36" t="s">
        <v>1408</v>
      </c>
      <c r="C281" s="37" t="s">
        <v>1079</v>
      </c>
      <c r="D281" s="37" t="s">
        <v>190</v>
      </c>
      <c r="E281" s="38" t="s">
        <v>1409</v>
      </c>
      <c r="F281" s="38" t="s">
        <v>1410</v>
      </c>
      <c r="G281" s="39" t="s">
        <v>37</v>
      </c>
      <c r="H281" s="40">
        <v>46094</v>
      </c>
      <c r="I281" s="41">
        <v>46112</v>
      </c>
      <c r="J281" s="37" t="s">
        <v>86</v>
      </c>
      <c r="K281" s="37" t="s">
        <v>87</v>
      </c>
      <c r="L281" s="43" t="s">
        <v>88</v>
      </c>
      <c r="M281" s="43" t="s">
        <v>64</v>
      </c>
      <c r="N281" s="43"/>
      <c r="O281" s="42"/>
      <c r="P281" s="43" t="str">
        <f t="shared" si="4"/>
        <v>ONAY</v>
      </c>
      <c r="Q281" s="26" t="s">
        <v>86</v>
      </c>
    </row>
    <row r="282" spans="1:17" ht="47.25" customHeight="1" x14ac:dyDescent="0.25">
      <c r="A282" s="36" t="s">
        <v>1411</v>
      </c>
      <c r="B282" s="36" t="s">
        <v>1412</v>
      </c>
      <c r="C282" s="37" t="s">
        <v>1413</v>
      </c>
      <c r="D282" s="37" t="s">
        <v>953</v>
      </c>
      <c r="E282" s="38" t="s">
        <v>1414</v>
      </c>
      <c r="F282" s="38" t="s">
        <v>1415</v>
      </c>
      <c r="G282" s="39" t="s">
        <v>35</v>
      </c>
      <c r="H282" s="40">
        <v>46094</v>
      </c>
      <c r="I282" s="41">
        <v>46112</v>
      </c>
      <c r="J282" s="37" t="s">
        <v>110</v>
      </c>
      <c r="K282" s="37" t="s">
        <v>71</v>
      </c>
      <c r="L282" s="43" t="s">
        <v>88</v>
      </c>
      <c r="M282" s="43" t="s">
        <v>64</v>
      </c>
      <c r="N282" s="43"/>
      <c r="O282" s="42"/>
      <c r="P282" s="43" t="str">
        <f t="shared" si="4"/>
        <v>ONAY</v>
      </c>
      <c r="Q282" s="26" t="s">
        <v>71</v>
      </c>
    </row>
    <row r="283" spans="1:17" ht="47.25" customHeight="1" x14ac:dyDescent="0.25">
      <c r="A283" s="36" t="s">
        <v>1416</v>
      </c>
      <c r="B283" s="36" t="s">
        <v>1417</v>
      </c>
      <c r="C283" s="37" t="s">
        <v>1418</v>
      </c>
      <c r="D283" s="37" t="s">
        <v>100</v>
      </c>
      <c r="E283" s="38" t="s">
        <v>1419</v>
      </c>
      <c r="F283" s="38" t="s">
        <v>1420</v>
      </c>
      <c r="G283" s="39" t="s">
        <v>35</v>
      </c>
      <c r="H283" s="40">
        <v>46097</v>
      </c>
      <c r="I283" s="41">
        <v>46112</v>
      </c>
      <c r="J283" s="37" t="s">
        <v>87</v>
      </c>
      <c r="K283" s="37" t="s">
        <v>96</v>
      </c>
      <c r="L283" s="43" t="s">
        <v>88</v>
      </c>
      <c r="M283" s="43" t="s">
        <v>64</v>
      </c>
      <c r="N283" s="43"/>
      <c r="O283" s="42"/>
      <c r="P283" s="43" t="str">
        <f t="shared" si="4"/>
        <v>ONAY</v>
      </c>
      <c r="Q283" s="26" t="s">
        <v>96</v>
      </c>
    </row>
    <row r="284" spans="1:17" ht="78.75" customHeight="1" x14ac:dyDescent="0.25">
      <c r="A284" s="36" t="s">
        <v>1421</v>
      </c>
      <c r="B284" s="36" t="s">
        <v>1422</v>
      </c>
      <c r="C284" s="37" t="s">
        <v>162</v>
      </c>
      <c r="D284" s="37" t="s">
        <v>156</v>
      </c>
      <c r="E284" s="38" t="s">
        <v>1423</v>
      </c>
      <c r="F284" s="38" t="s">
        <v>1424</v>
      </c>
      <c r="G284" s="39" t="s">
        <v>34</v>
      </c>
      <c r="H284" s="40">
        <v>46097</v>
      </c>
      <c r="I284" s="41">
        <v>46112</v>
      </c>
      <c r="J284" s="37" t="s">
        <v>62</v>
      </c>
      <c r="K284" s="37" t="s">
        <v>63</v>
      </c>
      <c r="L284" s="43" t="s">
        <v>64</v>
      </c>
      <c r="M284" s="43"/>
      <c r="N284" s="43"/>
      <c r="O284" s="42"/>
      <c r="P284" s="43" t="str">
        <f t="shared" si="4"/>
        <v>ONAY</v>
      </c>
    </row>
    <row r="285" spans="1:17" ht="63" customHeight="1" x14ac:dyDescent="0.25">
      <c r="A285" s="36" t="s">
        <v>1425</v>
      </c>
      <c r="B285" s="36" t="s">
        <v>1426</v>
      </c>
      <c r="C285" s="37" t="s">
        <v>1427</v>
      </c>
      <c r="D285" s="37" t="s">
        <v>215</v>
      </c>
      <c r="E285" s="38" t="s">
        <v>1428</v>
      </c>
      <c r="F285" s="38" t="s">
        <v>1429</v>
      </c>
      <c r="G285" s="39" t="s">
        <v>34</v>
      </c>
      <c r="H285" s="40">
        <v>46097</v>
      </c>
      <c r="I285" s="41">
        <v>46112</v>
      </c>
      <c r="J285" s="37" t="s">
        <v>62</v>
      </c>
      <c r="K285" s="37" t="s">
        <v>110</v>
      </c>
      <c r="L285" s="43" t="s">
        <v>159</v>
      </c>
      <c r="M285" s="43" t="s">
        <v>64</v>
      </c>
      <c r="N285" s="43"/>
      <c r="O285" s="42"/>
      <c r="P285" s="43" t="str">
        <f t="shared" si="4"/>
        <v>ONAY</v>
      </c>
    </row>
    <row r="286" spans="1:17" ht="47.25" customHeight="1" x14ac:dyDescent="0.25">
      <c r="A286" s="36" t="s">
        <v>1430</v>
      </c>
      <c r="B286" s="36" t="s">
        <v>1431</v>
      </c>
      <c r="C286" s="37" t="s">
        <v>476</v>
      </c>
      <c r="D286" s="37" t="s">
        <v>284</v>
      </c>
      <c r="E286" s="38" t="s">
        <v>1432</v>
      </c>
      <c r="F286" s="38" t="s">
        <v>1433</v>
      </c>
      <c r="G286" s="39" t="s">
        <v>34</v>
      </c>
      <c r="H286" s="40">
        <v>46097</v>
      </c>
      <c r="I286" s="41">
        <v>46112</v>
      </c>
      <c r="J286" s="37" t="s">
        <v>110</v>
      </c>
      <c r="K286" s="37" t="s">
        <v>86</v>
      </c>
      <c r="L286" s="43" t="s">
        <v>64</v>
      </c>
      <c r="M286" s="43"/>
      <c r="N286" s="43"/>
      <c r="O286" s="42"/>
      <c r="P286" s="43" t="str">
        <f t="shared" si="4"/>
        <v>ONAY</v>
      </c>
    </row>
    <row r="287" spans="1:17" ht="78.75" customHeight="1" x14ac:dyDescent="0.25">
      <c r="A287" s="36" t="s">
        <v>1434</v>
      </c>
      <c r="B287" s="36" t="s">
        <v>1435</v>
      </c>
      <c r="C287" s="37" t="s">
        <v>162</v>
      </c>
      <c r="D287" s="37" t="s">
        <v>156</v>
      </c>
      <c r="E287" s="38" t="s">
        <v>1436</v>
      </c>
      <c r="F287" s="38" t="s">
        <v>1437</v>
      </c>
      <c r="G287" s="39" t="s">
        <v>34</v>
      </c>
      <c r="H287" s="40">
        <v>46097</v>
      </c>
      <c r="I287" s="41">
        <v>46112</v>
      </c>
      <c r="J287" s="37" t="s">
        <v>62</v>
      </c>
      <c r="K287" s="37" t="s">
        <v>63</v>
      </c>
      <c r="L287" s="43" t="s">
        <v>64</v>
      </c>
      <c r="M287" s="43"/>
      <c r="N287" s="43"/>
      <c r="O287" s="42"/>
      <c r="P287" s="43" t="str">
        <f t="shared" si="4"/>
        <v>ONAY</v>
      </c>
    </row>
    <row r="288" spans="1:17" ht="129.75" customHeight="1" x14ac:dyDescent="0.25">
      <c r="A288" s="36" t="s">
        <v>1438</v>
      </c>
      <c r="B288" s="36" t="s">
        <v>1439</v>
      </c>
      <c r="C288" s="37" t="s">
        <v>1440</v>
      </c>
      <c r="D288" s="37" t="s">
        <v>209</v>
      </c>
      <c r="E288" s="38" t="s">
        <v>1441</v>
      </c>
      <c r="F288" s="38" t="s">
        <v>1442</v>
      </c>
      <c r="G288" s="39" t="s">
        <v>34</v>
      </c>
      <c r="H288" s="40">
        <v>46097</v>
      </c>
      <c r="I288" s="41">
        <v>46112</v>
      </c>
      <c r="J288" s="37" t="s">
        <v>96</v>
      </c>
      <c r="K288" s="37" t="s">
        <v>87</v>
      </c>
      <c r="L288" s="43" t="s">
        <v>88</v>
      </c>
      <c r="M288" s="43" t="s">
        <v>64</v>
      </c>
      <c r="N288" s="43"/>
      <c r="O288" s="42"/>
      <c r="P288" s="43" t="str">
        <f t="shared" si="4"/>
        <v>ONAY</v>
      </c>
      <c r="Q288" s="26" t="s">
        <v>96</v>
      </c>
    </row>
    <row r="289" spans="1:17" ht="63" customHeight="1" x14ac:dyDescent="0.25">
      <c r="A289" s="36" t="s">
        <v>1443</v>
      </c>
      <c r="B289" s="36" t="s">
        <v>1444</v>
      </c>
      <c r="C289" s="37" t="s">
        <v>1194</v>
      </c>
      <c r="D289" s="37" t="s">
        <v>209</v>
      </c>
      <c r="E289" s="38" t="s">
        <v>1445</v>
      </c>
      <c r="F289" s="38" t="s">
        <v>1446</v>
      </c>
      <c r="G289" s="39" t="s">
        <v>34</v>
      </c>
      <c r="H289" s="40">
        <v>46097</v>
      </c>
      <c r="I289" s="41">
        <v>46112</v>
      </c>
      <c r="J289" s="37" t="s">
        <v>79</v>
      </c>
      <c r="K289" s="37" t="s">
        <v>71</v>
      </c>
      <c r="L289" s="43" t="s">
        <v>64</v>
      </c>
      <c r="M289" s="43"/>
      <c r="N289" s="43"/>
      <c r="O289" s="42"/>
      <c r="P289" s="43" t="str">
        <f t="shared" si="4"/>
        <v>ONAY</v>
      </c>
    </row>
    <row r="290" spans="1:17" ht="63" customHeight="1" x14ac:dyDescent="0.25">
      <c r="A290" s="36" t="s">
        <v>1447</v>
      </c>
      <c r="B290" s="36" t="s">
        <v>1448</v>
      </c>
      <c r="C290" s="37" t="s">
        <v>535</v>
      </c>
      <c r="D290" s="37" t="s">
        <v>180</v>
      </c>
      <c r="E290" s="38" t="s">
        <v>1449</v>
      </c>
      <c r="F290" s="38" t="s">
        <v>1450</v>
      </c>
      <c r="G290" s="39" t="s">
        <v>34</v>
      </c>
      <c r="H290" s="40">
        <v>46097</v>
      </c>
      <c r="I290" s="41">
        <v>46112</v>
      </c>
      <c r="J290" s="37" t="s">
        <v>78</v>
      </c>
      <c r="K290" s="37" t="s">
        <v>103</v>
      </c>
      <c r="L290" s="43" t="s">
        <v>64</v>
      </c>
      <c r="M290" s="43"/>
      <c r="N290" s="43"/>
      <c r="O290" s="42"/>
      <c r="P290" s="43" t="str">
        <f t="shared" si="4"/>
        <v>ONAY</v>
      </c>
    </row>
    <row r="291" spans="1:17" ht="78.75" customHeight="1" x14ac:dyDescent="0.25">
      <c r="A291" s="36" t="s">
        <v>1451</v>
      </c>
      <c r="B291" s="36" t="s">
        <v>1452</v>
      </c>
      <c r="C291" s="37" t="s">
        <v>757</v>
      </c>
      <c r="D291" s="37" t="s">
        <v>1453</v>
      </c>
      <c r="E291" s="38" t="s">
        <v>1454</v>
      </c>
      <c r="F291" s="38" t="s">
        <v>1455</v>
      </c>
      <c r="G291" s="39" t="s">
        <v>35</v>
      </c>
      <c r="H291" s="40">
        <v>46097</v>
      </c>
      <c r="I291" s="41">
        <v>46112</v>
      </c>
      <c r="J291" s="37" t="s">
        <v>62</v>
      </c>
      <c r="K291" s="37" t="s">
        <v>78</v>
      </c>
      <c r="L291" s="43" t="s">
        <v>64</v>
      </c>
      <c r="M291" s="43"/>
      <c r="N291" s="43"/>
      <c r="O291" s="42"/>
      <c r="P291" s="43" t="str">
        <f t="shared" si="4"/>
        <v>ONAY</v>
      </c>
    </row>
    <row r="292" spans="1:17" ht="63" customHeight="1" x14ac:dyDescent="0.25">
      <c r="A292" s="36" t="s">
        <v>1456</v>
      </c>
      <c r="B292" s="36" t="s">
        <v>1457</v>
      </c>
      <c r="C292" s="37" t="s">
        <v>1458</v>
      </c>
      <c r="D292" s="37" t="s">
        <v>257</v>
      </c>
      <c r="E292" s="38" t="s">
        <v>1459</v>
      </c>
      <c r="F292" s="38" t="s">
        <v>1460</v>
      </c>
      <c r="G292" s="39" t="s">
        <v>34</v>
      </c>
      <c r="H292" s="40">
        <v>46097</v>
      </c>
      <c r="I292" s="41">
        <v>46112</v>
      </c>
      <c r="J292" s="37" t="s">
        <v>79</v>
      </c>
      <c r="K292" s="37" t="s">
        <v>103</v>
      </c>
      <c r="L292" s="43" t="s">
        <v>88</v>
      </c>
      <c r="M292" s="43" t="s">
        <v>64</v>
      </c>
      <c r="N292" s="43"/>
      <c r="O292" s="42"/>
      <c r="P292" s="43" t="str">
        <f t="shared" si="4"/>
        <v>ONAY</v>
      </c>
      <c r="Q292" s="26" t="s">
        <v>103</v>
      </c>
    </row>
    <row r="293" spans="1:17" ht="78.75" customHeight="1" x14ac:dyDescent="0.25">
      <c r="A293" s="36" t="s">
        <v>1461</v>
      </c>
      <c r="B293" s="36" t="s">
        <v>1462</v>
      </c>
      <c r="C293" s="37" t="s">
        <v>1463</v>
      </c>
      <c r="D293" s="37" t="s">
        <v>107</v>
      </c>
      <c r="E293" s="38" t="s">
        <v>1464</v>
      </c>
      <c r="F293" s="38" t="s">
        <v>1465</v>
      </c>
      <c r="G293" s="39" t="s">
        <v>34</v>
      </c>
      <c r="H293" s="40">
        <v>46097</v>
      </c>
      <c r="I293" s="41">
        <v>46112</v>
      </c>
      <c r="J293" s="37" t="s">
        <v>110</v>
      </c>
      <c r="K293" s="37" t="s">
        <v>103</v>
      </c>
      <c r="L293" s="43" t="s">
        <v>64</v>
      </c>
      <c r="M293" s="43"/>
      <c r="N293" s="43"/>
      <c r="O293" s="42"/>
      <c r="P293" s="43" t="str">
        <f t="shared" si="4"/>
        <v>ONAY</v>
      </c>
    </row>
    <row r="294" spans="1:17" ht="63" customHeight="1" x14ac:dyDescent="0.25">
      <c r="A294" s="36" t="s">
        <v>1466</v>
      </c>
      <c r="B294" s="36" t="s">
        <v>1467</v>
      </c>
      <c r="C294" s="37" t="s">
        <v>1468</v>
      </c>
      <c r="D294" s="37" t="s">
        <v>120</v>
      </c>
      <c r="E294" s="38" t="s">
        <v>1469</v>
      </c>
      <c r="F294" s="38" t="s">
        <v>1470</v>
      </c>
      <c r="G294" s="39" t="s">
        <v>35</v>
      </c>
      <c r="H294" s="40">
        <v>46097</v>
      </c>
      <c r="I294" s="41">
        <v>46112</v>
      </c>
      <c r="J294" s="37" t="s">
        <v>87</v>
      </c>
      <c r="K294" s="37" t="s">
        <v>103</v>
      </c>
      <c r="L294" s="43" t="s">
        <v>88</v>
      </c>
      <c r="M294" s="43" t="s">
        <v>64</v>
      </c>
      <c r="N294" s="43"/>
      <c r="O294" s="42"/>
      <c r="P294" s="43" t="str">
        <f t="shared" si="4"/>
        <v>ONAY</v>
      </c>
      <c r="Q294" s="26" t="s">
        <v>87</v>
      </c>
    </row>
    <row r="295" spans="1:17" ht="63" customHeight="1" x14ac:dyDescent="0.25">
      <c r="A295" s="36" t="s">
        <v>1471</v>
      </c>
      <c r="B295" s="36" t="s">
        <v>1472</v>
      </c>
      <c r="C295" s="37" t="s">
        <v>1473</v>
      </c>
      <c r="D295" s="37" t="s">
        <v>215</v>
      </c>
      <c r="E295" s="38" t="s">
        <v>1474</v>
      </c>
      <c r="F295" s="38" t="s">
        <v>1475</v>
      </c>
      <c r="G295" s="39" t="s">
        <v>35</v>
      </c>
      <c r="H295" s="40">
        <v>46097</v>
      </c>
      <c r="I295" s="41">
        <v>46112</v>
      </c>
      <c r="J295" s="37" t="s">
        <v>96</v>
      </c>
      <c r="K295" s="37" t="s">
        <v>78</v>
      </c>
      <c r="L295" s="43" t="s">
        <v>64</v>
      </c>
      <c r="M295" s="43"/>
      <c r="N295" s="43"/>
      <c r="O295" s="42"/>
      <c r="P295" s="43" t="str">
        <f t="shared" si="4"/>
        <v>ONAY</v>
      </c>
    </row>
    <row r="296" spans="1:17" ht="94.5" customHeight="1" x14ac:dyDescent="0.25">
      <c r="A296" s="36" t="s">
        <v>1476</v>
      </c>
      <c r="B296" s="36" t="s">
        <v>1477</v>
      </c>
      <c r="C296" s="37" t="s">
        <v>1478</v>
      </c>
      <c r="D296" s="37" t="s">
        <v>1479</v>
      </c>
      <c r="E296" s="38" t="s">
        <v>1480</v>
      </c>
      <c r="F296" s="38" t="s">
        <v>1481</v>
      </c>
      <c r="G296" s="39" t="s">
        <v>35</v>
      </c>
      <c r="H296" s="40">
        <v>46097</v>
      </c>
      <c r="I296" s="41">
        <v>46112</v>
      </c>
      <c r="J296" s="37" t="s">
        <v>103</v>
      </c>
      <c r="K296" s="37" t="s">
        <v>71</v>
      </c>
      <c r="L296" s="43" t="s">
        <v>88</v>
      </c>
      <c r="M296" s="43" t="s">
        <v>64</v>
      </c>
      <c r="N296" s="43"/>
      <c r="O296" s="42"/>
      <c r="P296" s="43" t="str">
        <f t="shared" si="4"/>
        <v>ONAY</v>
      </c>
      <c r="Q296" s="26" t="s">
        <v>103</v>
      </c>
    </row>
    <row r="297" spans="1:17" ht="63" customHeight="1" x14ac:dyDescent="0.25">
      <c r="A297" s="36" t="s">
        <v>1482</v>
      </c>
      <c r="B297" s="36" t="s">
        <v>1483</v>
      </c>
      <c r="C297" s="37" t="s">
        <v>1484</v>
      </c>
      <c r="D297" s="37" t="s">
        <v>100</v>
      </c>
      <c r="E297" s="38" t="s">
        <v>1485</v>
      </c>
      <c r="F297" s="38" t="s">
        <v>1486</v>
      </c>
      <c r="G297" s="39" t="s">
        <v>34</v>
      </c>
      <c r="H297" s="40">
        <v>46097</v>
      </c>
      <c r="I297" s="41">
        <v>46112</v>
      </c>
      <c r="J297" s="37" t="s">
        <v>62</v>
      </c>
      <c r="K297" s="37" t="s">
        <v>96</v>
      </c>
      <c r="L297" s="43" t="s">
        <v>88</v>
      </c>
      <c r="M297" s="43" t="s">
        <v>64</v>
      </c>
      <c r="N297" s="43"/>
      <c r="O297" s="42"/>
      <c r="P297" s="43" t="str">
        <f t="shared" si="4"/>
        <v>ONAY</v>
      </c>
      <c r="Q297" s="26" t="s">
        <v>96</v>
      </c>
    </row>
    <row r="298" spans="1:17" ht="110.25" customHeight="1" x14ac:dyDescent="0.25">
      <c r="A298" s="36" t="s">
        <v>1487</v>
      </c>
      <c r="B298" s="36" t="s">
        <v>1488</v>
      </c>
      <c r="C298" s="37" t="s">
        <v>1489</v>
      </c>
      <c r="D298" s="37" t="s">
        <v>209</v>
      </c>
      <c r="E298" s="38" t="s">
        <v>1490</v>
      </c>
      <c r="F298" s="38" t="s">
        <v>1491</v>
      </c>
      <c r="G298" s="39" t="s">
        <v>35</v>
      </c>
      <c r="H298" s="40">
        <v>46097</v>
      </c>
      <c r="I298" s="41">
        <v>46112</v>
      </c>
      <c r="J298" s="37" t="s">
        <v>110</v>
      </c>
      <c r="K298" s="37" t="s">
        <v>63</v>
      </c>
      <c r="L298" s="43" t="s">
        <v>64</v>
      </c>
      <c r="M298" s="43"/>
      <c r="N298" s="43"/>
      <c r="O298" s="42"/>
      <c r="P298" s="43" t="str">
        <f t="shared" si="4"/>
        <v>ONAY</v>
      </c>
    </row>
    <row r="299" spans="1:17" ht="94.5" customHeight="1" x14ac:dyDescent="0.25">
      <c r="A299" s="36" t="s">
        <v>1492</v>
      </c>
      <c r="B299" s="36" t="s">
        <v>1493</v>
      </c>
      <c r="C299" s="37" t="s">
        <v>1315</v>
      </c>
      <c r="D299" s="37" t="s">
        <v>209</v>
      </c>
      <c r="E299" s="38" t="s">
        <v>1494</v>
      </c>
      <c r="F299" s="38" t="s">
        <v>1495</v>
      </c>
      <c r="G299" s="39" t="s">
        <v>34</v>
      </c>
      <c r="H299" s="40">
        <v>46097</v>
      </c>
      <c r="I299" s="41">
        <v>46112</v>
      </c>
      <c r="J299" s="37" t="s">
        <v>63</v>
      </c>
      <c r="K299" s="37" t="s">
        <v>86</v>
      </c>
      <c r="L299" s="43" t="s">
        <v>64</v>
      </c>
      <c r="M299" s="43"/>
      <c r="N299" s="43"/>
      <c r="O299" s="42"/>
      <c r="P299" s="43" t="str">
        <f t="shared" si="4"/>
        <v>ONAY</v>
      </c>
    </row>
    <row r="300" spans="1:17" ht="63" customHeight="1" x14ac:dyDescent="0.25">
      <c r="A300" s="36" t="s">
        <v>1496</v>
      </c>
      <c r="B300" s="36" t="s">
        <v>1497</v>
      </c>
      <c r="C300" s="37" t="s">
        <v>1093</v>
      </c>
      <c r="D300" s="37" t="s">
        <v>953</v>
      </c>
      <c r="E300" s="38" t="s">
        <v>1498</v>
      </c>
      <c r="F300" s="38" t="s">
        <v>1499</v>
      </c>
      <c r="G300" s="39" t="s">
        <v>35</v>
      </c>
      <c r="H300" s="40">
        <v>46097</v>
      </c>
      <c r="I300" s="41">
        <v>46112</v>
      </c>
      <c r="J300" s="37" t="s">
        <v>103</v>
      </c>
      <c r="K300" s="37" t="s">
        <v>71</v>
      </c>
      <c r="L300" s="43" t="s">
        <v>64</v>
      </c>
      <c r="M300" s="43"/>
      <c r="N300" s="43"/>
      <c r="O300" s="42"/>
      <c r="P300" s="43" t="str">
        <f t="shared" si="4"/>
        <v>ONAY</v>
      </c>
    </row>
    <row r="301" spans="1:17" ht="63" customHeight="1" x14ac:dyDescent="0.25">
      <c r="A301" s="36" t="s">
        <v>1500</v>
      </c>
      <c r="B301" s="36" t="s">
        <v>1501</v>
      </c>
      <c r="C301" s="37" t="s">
        <v>99</v>
      </c>
      <c r="D301" s="37" t="s">
        <v>100</v>
      </c>
      <c r="E301" s="38" t="s">
        <v>1502</v>
      </c>
      <c r="F301" s="38" t="s">
        <v>1503</v>
      </c>
      <c r="G301" s="39" t="s">
        <v>34</v>
      </c>
      <c r="H301" s="40">
        <v>46097</v>
      </c>
      <c r="I301" s="41">
        <v>46112</v>
      </c>
      <c r="J301" s="37" t="s">
        <v>96</v>
      </c>
      <c r="K301" s="37" t="s">
        <v>79</v>
      </c>
      <c r="L301" s="43" t="s">
        <v>88</v>
      </c>
      <c r="M301" s="43"/>
      <c r="N301" s="43"/>
      <c r="O301" s="42"/>
      <c r="P301" s="43" t="str">
        <f t="shared" si="4"/>
        <v>DÜZELTME</v>
      </c>
    </row>
    <row r="302" spans="1:17" ht="78.75" customHeight="1" x14ac:dyDescent="0.25">
      <c r="A302" s="36" t="s">
        <v>1504</v>
      </c>
      <c r="B302" s="36" t="s">
        <v>1505</v>
      </c>
      <c r="C302" s="37" t="s">
        <v>1400</v>
      </c>
      <c r="D302" s="37" t="s">
        <v>209</v>
      </c>
      <c r="E302" s="38" t="s">
        <v>1506</v>
      </c>
      <c r="F302" s="38" t="s">
        <v>1507</v>
      </c>
      <c r="G302" s="39" t="s">
        <v>34</v>
      </c>
      <c r="H302" s="40">
        <v>46098</v>
      </c>
      <c r="I302" s="41">
        <v>46112</v>
      </c>
      <c r="J302" s="37" t="s">
        <v>86</v>
      </c>
      <c r="K302" s="37" t="s">
        <v>62</v>
      </c>
      <c r="L302" s="43" t="s">
        <v>88</v>
      </c>
      <c r="M302" s="43"/>
      <c r="N302" s="43"/>
      <c r="O302" s="42"/>
      <c r="P302" s="43" t="str">
        <f t="shared" si="4"/>
        <v>DÜZELTME</v>
      </c>
    </row>
    <row r="303" spans="1:17" ht="78.75" customHeight="1" x14ac:dyDescent="0.25">
      <c r="A303" s="36" t="s">
        <v>1508</v>
      </c>
      <c r="B303" s="36" t="s">
        <v>1509</v>
      </c>
      <c r="C303" s="37" t="s">
        <v>1286</v>
      </c>
      <c r="D303" s="37" t="s">
        <v>215</v>
      </c>
      <c r="E303" s="38" t="s">
        <v>1510</v>
      </c>
      <c r="F303" s="38" t="s">
        <v>1511</v>
      </c>
      <c r="G303" s="39" t="s">
        <v>34</v>
      </c>
      <c r="H303" s="40">
        <v>46098</v>
      </c>
      <c r="I303" s="41">
        <v>46112</v>
      </c>
      <c r="J303" s="37" t="s">
        <v>62</v>
      </c>
      <c r="K303" s="37" t="s">
        <v>87</v>
      </c>
      <c r="L303" s="43" t="s">
        <v>64</v>
      </c>
      <c r="M303" s="43"/>
      <c r="N303" s="43"/>
      <c r="O303" s="42"/>
      <c r="P303" s="43" t="str">
        <f t="shared" si="4"/>
        <v>ONAY</v>
      </c>
    </row>
    <row r="304" spans="1:17" ht="63" customHeight="1" x14ac:dyDescent="0.25">
      <c r="A304" s="36" t="s">
        <v>1512</v>
      </c>
      <c r="B304" s="36" t="s">
        <v>1513</v>
      </c>
      <c r="C304" s="37" t="s">
        <v>1514</v>
      </c>
      <c r="D304" s="37" t="s">
        <v>221</v>
      </c>
      <c r="E304" s="38" t="s">
        <v>1515</v>
      </c>
      <c r="F304" s="38" t="s">
        <v>1516</v>
      </c>
      <c r="G304" s="39" t="s">
        <v>34</v>
      </c>
      <c r="H304" s="40">
        <v>46098</v>
      </c>
      <c r="I304" s="41">
        <v>46112</v>
      </c>
      <c r="J304" s="37" t="s">
        <v>79</v>
      </c>
      <c r="K304" s="37" t="s">
        <v>110</v>
      </c>
      <c r="L304" s="43" t="s">
        <v>64</v>
      </c>
      <c r="M304" s="43"/>
      <c r="N304" s="43"/>
      <c r="O304" s="42"/>
      <c r="P304" s="43" t="str">
        <f t="shared" si="4"/>
        <v>ONAY</v>
      </c>
    </row>
    <row r="305" spans="1:17" ht="78.75" customHeight="1" x14ac:dyDescent="0.25">
      <c r="A305" s="36" t="s">
        <v>1517</v>
      </c>
      <c r="B305" s="36" t="s">
        <v>1518</v>
      </c>
      <c r="C305" s="37" t="s">
        <v>1519</v>
      </c>
      <c r="D305" s="37" t="s">
        <v>100</v>
      </c>
      <c r="E305" s="38" t="s">
        <v>1520</v>
      </c>
      <c r="F305" s="38" t="s">
        <v>1521</v>
      </c>
      <c r="G305" s="39" t="s">
        <v>34</v>
      </c>
      <c r="H305" s="40">
        <v>46098</v>
      </c>
      <c r="I305" s="41">
        <v>46112</v>
      </c>
      <c r="J305" s="37" t="s">
        <v>78</v>
      </c>
      <c r="K305" s="37" t="s">
        <v>103</v>
      </c>
      <c r="L305" s="43" t="s">
        <v>88</v>
      </c>
      <c r="M305" s="43" t="s">
        <v>64</v>
      </c>
      <c r="N305" s="43"/>
      <c r="O305" s="42"/>
      <c r="P305" s="43" t="str">
        <f t="shared" si="4"/>
        <v>ONAY</v>
      </c>
      <c r="Q305" s="26" t="s">
        <v>78</v>
      </c>
    </row>
    <row r="306" spans="1:17" ht="78.75" customHeight="1" x14ac:dyDescent="0.25">
      <c r="A306" s="36" t="s">
        <v>1522</v>
      </c>
      <c r="B306" s="36" t="s">
        <v>1523</v>
      </c>
      <c r="C306" s="37" t="s">
        <v>1524</v>
      </c>
      <c r="D306" s="37" t="s">
        <v>267</v>
      </c>
      <c r="E306" s="38" t="s">
        <v>1525</v>
      </c>
      <c r="F306" s="38" t="s">
        <v>1526</v>
      </c>
      <c r="G306" s="39" t="s">
        <v>35</v>
      </c>
      <c r="H306" s="40">
        <v>46098</v>
      </c>
      <c r="I306" s="41">
        <v>46112</v>
      </c>
      <c r="J306" s="37" t="s">
        <v>79</v>
      </c>
      <c r="K306" s="37" t="s">
        <v>63</v>
      </c>
      <c r="L306" s="43" t="s">
        <v>64</v>
      </c>
      <c r="M306" s="43"/>
      <c r="N306" s="43"/>
      <c r="O306" s="42"/>
      <c r="P306" s="43" t="str">
        <f t="shared" si="4"/>
        <v>ONAY</v>
      </c>
    </row>
    <row r="307" spans="1:17" ht="81" customHeight="1" x14ac:dyDescent="0.25">
      <c r="A307" s="36" t="s">
        <v>1527</v>
      </c>
      <c r="B307" s="36" t="s">
        <v>1528</v>
      </c>
      <c r="C307" s="37" t="s">
        <v>658</v>
      </c>
      <c r="D307" s="37" t="s">
        <v>334</v>
      </c>
      <c r="E307" s="38" t="s">
        <v>1529</v>
      </c>
      <c r="F307" s="38" t="s">
        <v>1530</v>
      </c>
      <c r="G307" s="39" t="s">
        <v>34</v>
      </c>
      <c r="H307" s="40">
        <v>46098</v>
      </c>
      <c r="I307" s="41">
        <v>46112</v>
      </c>
      <c r="J307" s="37" t="s">
        <v>78</v>
      </c>
      <c r="K307" s="37" t="s">
        <v>96</v>
      </c>
      <c r="L307" s="43" t="s">
        <v>159</v>
      </c>
      <c r="M307" s="43"/>
      <c r="N307" s="43"/>
      <c r="O307" s="42"/>
      <c r="P307" s="43" t="str">
        <f t="shared" si="4"/>
        <v>RET</v>
      </c>
    </row>
    <row r="308" spans="1:17" ht="81" customHeight="1" x14ac:dyDescent="0.25">
      <c r="A308" s="36" t="s">
        <v>1531</v>
      </c>
      <c r="B308" s="36" t="s">
        <v>1532</v>
      </c>
      <c r="C308" s="37" t="s">
        <v>658</v>
      </c>
      <c r="D308" s="37" t="s">
        <v>334</v>
      </c>
      <c r="E308" s="38" t="s">
        <v>1529</v>
      </c>
      <c r="F308" s="38" t="s">
        <v>1533</v>
      </c>
      <c r="G308" s="39" t="s">
        <v>34</v>
      </c>
      <c r="H308" s="40">
        <v>46098</v>
      </c>
      <c r="I308" s="41">
        <v>46112</v>
      </c>
      <c r="J308" s="37" t="s">
        <v>78</v>
      </c>
      <c r="K308" s="37" t="s">
        <v>96</v>
      </c>
      <c r="L308" s="43" t="s">
        <v>159</v>
      </c>
      <c r="M308" s="43"/>
      <c r="N308" s="43"/>
      <c r="O308" s="42"/>
      <c r="P308" s="43" t="str">
        <f t="shared" si="4"/>
        <v>RET</v>
      </c>
    </row>
    <row r="309" spans="1:17" ht="63" customHeight="1" x14ac:dyDescent="0.25">
      <c r="A309" s="36" t="s">
        <v>1534</v>
      </c>
      <c r="B309" s="36" t="s">
        <v>1535</v>
      </c>
      <c r="C309" s="37" t="s">
        <v>1536</v>
      </c>
      <c r="D309" s="37" t="s">
        <v>978</v>
      </c>
      <c r="E309" s="38" t="s">
        <v>1537</v>
      </c>
      <c r="F309" s="38" t="s">
        <v>1538</v>
      </c>
      <c r="G309" s="39" t="s">
        <v>34</v>
      </c>
      <c r="H309" s="40">
        <v>46099</v>
      </c>
      <c r="I309" s="41">
        <v>46112</v>
      </c>
      <c r="J309" s="37" t="s">
        <v>110</v>
      </c>
      <c r="K309" s="37" t="s">
        <v>79</v>
      </c>
      <c r="L309" s="43" t="s">
        <v>88</v>
      </c>
      <c r="M309" s="43"/>
      <c r="N309" s="43"/>
      <c r="O309" s="42"/>
      <c r="P309" s="43" t="str">
        <f t="shared" si="4"/>
        <v>DÜZELTME</v>
      </c>
    </row>
    <row r="310" spans="1:17" ht="63" customHeight="1" x14ac:dyDescent="0.25">
      <c r="A310" s="36" t="s">
        <v>1539</v>
      </c>
      <c r="B310" s="36" t="s">
        <v>1540</v>
      </c>
      <c r="C310" s="37" t="s">
        <v>1418</v>
      </c>
      <c r="D310" s="37" t="s">
        <v>100</v>
      </c>
      <c r="E310" s="38" t="s">
        <v>1541</v>
      </c>
      <c r="F310" s="38" t="s">
        <v>1542</v>
      </c>
      <c r="G310" s="39" t="s">
        <v>34</v>
      </c>
      <c r="H310" s="40">
        <v>46099</v>
      </c>
      <c r="I310" s="41">
        <v>46112</v>
      </c>
      <c r="J310" s="37" t="s">
        <v>86</v>
      </c>
      <c r="K310" s="37" t="s">
        <v>87</v>
      </c>
      <c r="L310" s="43" t="s">
        <v>64</v>
      </c>
      <c r="M310" s="43"/>
      <c r="N310" s="43"/>
      <c r="O310" s="42"/>
      <c r="P310" s="43" t="str">
        <f t="shared" si="4"/>
        <v>ONAY</v>
      </c>
    </row>
    <row r="311" spans="1:17" ht="78.75" customHeight="1" x14ac:dyDescent="0.25">
      <c r="A311" s="36" t="s">
        <v>1543</v>
      </c>
      <c r="B311" s="36" t="s">
        <v>1544</v>
      </c>
      <c r="C311" s="37" t="s">
        <v>1418</v>
      </c>
      <c r="D311" s="37" t="s">
        <v>100</v>
      </c>
      <c r="E311" s="38" t="s">
        <v>1545</v>
      </c>
      <c r="F311" s="38" t="s">
        <v>1546</v>
      </c>
      <c r="G311" s="39" t="s">
        <v>34</v>
      </c>
      <c r="H311" s="40">
        <v>46099</v>
      </c>
      <c r="I311" s="41">
        <v>46112</v>
      </c>
      <c r="J311" s="37" t="s">
        <v>86</v>
      </c>
      <c r="K311" s="37" t="s">
        <v>87</v>
      </c>
      <c r="L311" s="43" t="s">
        <v>64</v>
      </c>
      <c r="M311" s="43"/>
      <c r="N311" s="43"/>
      <c r="O311" s="42"/>
      <c r="P311" s="43" t="str">
        <f t="shared" si="4"/>
        <v>ONAY</v>
      </c>
    </row>
    <row r="312" spans="1:17" ht="66" customHeight="1" x14ac:dyDescent="0.25">
      <c r="A312" s="36" t="s">
        <v>1547</v>
      </c>
      <c r="B312" s="36" t="s">
        <v>1548</v>
      </c>
      <c r="C312" s="37" t="s">
        <v>1549</v>
      </c>
      <c r="D312" s="37" t="s">
        <v>312</v>
      </c>
      <c r="E312" s="38" t="s">
        <v>1550</v>
      </c>
      <c r="F312" s="38" t="s">
        <v>1551</v>
      </c>
      <c r="G312" s="39" t="s">
        <v>34</v>
      </c>
      <c r="H312" s="40">
        <v>46099</v>
      </c>
      <c r="I312" s="41">
        <v>46112</v>
      </c>
      <c r="J312" s="37" t="s">
        <v>87</v>
      </c>
      <c r="K312" s="37" t="s">
        <v>71</v>
      </c>
      <c r="L312" s="43" t="s">
        <v>64</v>
      </c>
      <c r="M312" s="43"/>
      <c r="N312" s="43"/>
      <c r="O312" s="42"/>
      <c r="P312" s="43" t="str">
        <f t="shared" si="4"/>
        <v>ONAY</v>
      </c>
    </row>
    <row r="313" spans="1:17" ht="63" customHeight="1" x14ac:dyDescent="0.25">
      <c r="A313" s="36" t="s">
        <v>1552</v>
      </c>
      <c r="B313" s="36" t="s">
        <v>1553</v>
      </c>
      <c r="C313" s="37" t="s">
        <v>1554</v>
      </c>
      <c r="D313" s="37" t="s">
        <v>1060</v>
      </c>
      <c r="E313" s="38" t="s">
        <v>1555</v>
      </c>
      <c r="F313" s="49" t="s">
        <v>1556</v>
      </c>
      <c r="G313" s="39" t="s">
        <v>36</v>
      </c>
      <c r="H313" s="40">
        <v>46099</v>
      </c>
      <c r="I313" s="41">
        <v>46112</v>
      </c>
      <c r="J313" s="37" t="s">
        <v>62</v>
      </c>
      <c r="K313" s="37" t="s">
        <v>63</v>
      </c>
      <c r="L313" s="43" t="s">
        <v>88</v>
      </c>
      <c r="M313" s="43" t="s">
        <v>193</v>
      </c>
      <c r="N313" s="43" t="s">
        <v>88</v>
      </c>
      <c r="O313" s="42" t="s">
        <v>64</v>
      </c>
      <c r="P313" s="43" t="str">
        <f t="shared" si="4"/>
        <v>ONAY</v>
      </c>
      <c r="Q313" s="26" t="s">
        <v>96</v>
      </c>
    </row>
    <row r="314" spans="1:17" ht="94.5" customHeight="1" x14ac:dyDescent="0.25">
      <c r="A314" s="36" t="s">
        <v>1557</v>
      </c>
      <c r="B314" s="36" t="s">
        <v>1558</v>
      </c>
      <c r="C314" s="37" t="s">
        <v>1418</v>
      </c>
      <c r="D314" s="37" t="s">
        <v>100</v>
      </c>
      <c r="E314" s="38" t="s">
        <v>1559</v>
      </c>
      <c r="F314" s="38" t="s">
        <v>1560</v>
      </c>
      <c r="G314" s="39" t="s">
        <v>34</v>
      </c>
      <c r="H314" s="40">
        <v>46107</v>
      </c>
      <c r="I314" s="41">
        <v>46126</v>
      </c>
      <c r="J314" s="37" t="s">
        <v>103</v>
      </c>
      <c r="K314" s="37" t="s">
        <v>71</v>
      </c>
      <c r="L314" s="43" t="s">
        <v>88</v>
      </c>
      <c r="M314" s="43" t="s">
        <v>64</v>
      </c>
      <c r="N314" s="43"/>
      <c r="O314" s="42"/>
      <c r="P314" s="43" t="str">
        <f t="shared" si="4"/>
        <v>ONAY</v>
      </c>
      <c r="Q314" s="26" t="s">
        <v>71</v>
      </c>
    </row>
    <row r="315" spans="1:17" ht="78.75" customHeight="1" x14ac:dyDescent="0.25">
      <c r="A315" s="36" t="s">
        <v>1561</v>
      </c>
      <c r="B315" s="36" t="s">
        <v>1562</v>
      </c>
      <c r="C315" s="37" t="s">
        <v>1418</v>
      </c>
      <c r="D315" s="37" t="s">
        <v>100</v>
      </c>
      <c r="E315" s="38" t="s">
        <v>1563</v>
      </c>
      <c r="F315" s="38" t="s">
        <v>1564</v>
      </c>
      <c r="G315" s="39" t="s">
        <v>34</v>
      </c>
      <c r="H315" s="40">
        <v>46107</v>
      </c>
      <c r="I315" s="41">
        <v>46126</v>
      </c>
      <c r="J315" s="37" t="s">
        <v>103</v>
      </c>
      <c r="K315" s="37" t="s">
        <v>71</v>
      </c>
      <c r="L315" s="43" t="s">
        <v>88</v>
      </c>
      <c r="M315" s="43" t="s">
        <v>64</v>
      </c>
      <c r="N315" s="43"/>
      <c r="O315" s="42"/>
      <c r="P315" s="43" t="str">
        <f t="shared" si="4"/>
        <v>ONAY</v>
      </c>
      <c r="Q315" s="26" t="s">
        <v>103</v>
      </c>
    </row>
    <row r="316" spans="1:17" ht="78.75" customHeight="1" x14ac:dyDescent="0.25">
      <c r="A316" s="36" t="s">
        <v>1565</v>
      </c>
      <c r="B316" s="36" t="s">
        <v>1566</v>
      </c>
      <c r="C316" s="37" t="s">
        <v>1184</v>
      </c>
      <c r="D316" s="37" t="s">
        <v>351</v>
      </c>
      <c r="E316" s="38" t="s">
        <v>1567</v>
      </c>
      <c r="F316" s="38" t="s">
        <v>1568</v>
      </c>
      <c r="G316" s="39" t="s">
        <v>35</v>
      </c>
      <c r="H316" s="40">
        <v>46107</v>
      </c>
      <c r="I316" s="41">
        <v>46126</v>
      </c>
      <c r="J316" s="37" t="s">
        <v>95</v>
      </c>
      <c r="K316" s="37" t="s">
        <v>116</v>
      </c>
      <c r="L316" s="43" t="s">
        <v>64</v>
      </c>
      <c r="M316" s="43"/>
      <c r="N316" s="43"/>
      <c r="O316" s="42"/>
      <c r="P316" s="43" t="str">
        <f t="shared" si="4"/>
        <v>ONAY</v>
      </c>
    </row>
    <row r="317" spans="1:17" ht="63" customHeight="1" x14ac:dyDescent="0.25">
      <c r="A317" s="36" t="s">
        <v>1569</v>
      </c>
      <c r="B317" s="36" t="s">
        <v>1570</v>
      </c>
      <c r="C317" s="37" t="s">
        <v>1571</v>
      </c>
      <c r="D317" s="37" t="s">
        <v>100</v>
      </c>
      <c r="E317" s="38" t="s">
        <v>1572</v>
      </c>
      <c r="F317" s="38" t="s">
        <v>1573</v>
      </c>
      <c r="G317" s="39" t="s">
        <v>34</v>
      </c>
      <c r="H317" s="40">
        <v>46107</v>
      </c>
      <c r="I317" s="41">
        <v>46126</v>
      </c>
      <c r="J317" s="37" t="s">
        <v>62</v>
      </c>
      <c r="K317" s="37" t="s">
        <v>116</v>
      </c>
      <c r="L317" s="43" t="s">
        <v>193</v>
      </c>
      <c r="M317" s="43" t="s">
        <v>88</v>
      </c>
      <c r="N317" s="43" t="s">
        <v>64</v>
      </c>
      <c r="O317" s="42"/>
      <c r="P317" s="43" t="str">
        <f t="shared" si="4"/>
        <v>ONAY</v>
      </c>
      <c r="Q317" s="26" t="s">
        <v>78</v>
      </c>
    </row>
    <row r="318" spans="1:17" ht="78.75" customHeight="1" x14ac:dyDescent="0.25">
      <c r="A318" s="36" t="s">
        <v>1574</v>
      </c>
      <c r="B318" s="36" t="s">
        <v>1575</v>
      </c>
      <c r="C318" s="37" t="s">
        <v>1576</v>
      </c>
      <c r="D318" s="37" t="s">
        <v>328</v>
      </c>
      <c r="E318" s="38" t="s">
        <v>1577</v>
      </c>
      <c r="F318" s="38" t="s">
        <v>1578</v>
      </c>
      <c r="G318" s="39" t="s">
        <v>34</v>
      </c>
      <c r="H318" s="40">
        <v>46107</v>
      </c>
      <c r="I318" s="41">
        <v>46126</v>
      </c>
      <c r="J318" s="37" t="s">
        <v>96</v>
      </c>
      <c r="K318" s="37" t="s">
        <v>110</v>
      </c>
      <c r="L318" s="43" t="s">
        <v>64</v>
      </c>
      <c r="M318" s="43"/>
      <c r="N318" s="43"/>
      <c r="O318" s="42"/>
      <c r="P318" s="43" t="str">
        <f t="shared" si="4"/>
        <v>ONAY</v>
      </c>
    </row>
    <row r="319" spans="1:17" ht="78.75" customHeight="1" x14ac:dyDescent="0.25">
      <c r="A319" s="36" t="s">
        <v>1579</v>
      </c>
      <c r="B319" s="36" t="s">
        <v>1580</v>
      </c>
      <c r="C319" s="37" t="s">
        <v>1581</v>
      </c>
      <c r="D319" s="37" t="s">
        <v>1582</v>
      </c>
      <c r="E319" s="38" t="s">
        <v>1583</v>
      </c>
      <c r="F319" s="38" t="s">
        <v>1584</v>
      </c>
      <c r="G319" s="39" t="s">
        <v>35</v>
      </c>
      <c r="H319" s="40">
        <v>46107</v>
      </c>
      <c r="I319" s="41">
        <v>46126</v>
      </c>
      <c r="J319" s="37" t="s">
        <v>110</v>
      </c>
      <c r="K319" s="37" t="s">
        <v>63</v>
      </c>
      <c r="L319" s="43" t="s">
        <v>64</v>
      </c>
      <c r="M319" s="43"/>
      <c r="N319" s="43"/>
      <c r="O319" s="42"/>
      <c r="P319" s="43" t="str">
        <f t="shared" si="4"/>
        <v>ONAY</v>
      </c>
    </row>
    <row r="320" spans="1:17" ht="78.75" customHeight="1" x14ac:dyDescent="0.25">
      <c r="A320" s="36" t="s">
        <v>1585</v>
      </c>
      <c r="B320" s="36" t="s">
        <v>1586</v>
      </c>
      <c r="C320" s="37" t="s">
        <v>620</v>
      </c>
      <c r="D320" s="37" t="s">
        <v>215</v>
      </c>
      <c r="E320" s="38" t="s">
        <v>1587</v>
      </c>
      <c r="F320" s="38" t="s">
        <v>1588</v>
      </c>
      <c r="G320" s="39" t="s">
        <v>34</v>
      </c>
      <c r="H320" s="40">
        <v>46107</v>
      </c>
      <c r="I320" s="41">
        <v>46126</v>
      </c>
      <c r="J320" s="37" t="s">
        <v>86</v>
      </c>
      <c r="K320" s="37" t="s">
        <v>87</v>
      </c>
      <c r="L320" s="43" t="s">
        <v>159</v>
      </c>
      <c r="M320" s="43"/>
      <c r="N320" s="43"/>
      <c r="O320" s="42"/>
      <c r="P320" s="43" t="str">
        <f t="shared" si="4"/>
        <v>RET</v>
      </c>
    </row>
    <row r="321" spans="1:17" ht="110.25" customHeight="1" x14ac:dyDescent="0.25">
      <c r="A321" s="36" t="s">
        <v>1589</v>
      </c>
      <c r="B321" s="36" t="s">
        <v>1590</v>
      </c>
      <c r="C321" s="37" t="s">
        <v>411</v>
      </c>
      <c r="D321" s="37" t="s">
        <v>351</v>
      </c>
      <c r="E321" s="38" t="s">
        <v>1591</v>
      </c>
      <c r="F321" s="38" t="s">
        <v>1592</v>
      </c>
      <c r="G321" s="39" t="s">
        <v>34</v>
      </c>
      <c r="H321" s="40">
        <v>46107</v>
      </c>
      <c r="I321" s="41">
        <v>46126</v>
      </c>
      <c r="J321" s="37" t="s">
        <v>95</v>
      </c>
      <c r="K321" s="37" t="s">
        <v>79</v>
      </c>
      <c r="L321" s="43" t="s">
        <v>64</v>
      </c>
      <c r="M321" s="43"/>
      <c r="N321" s="43"/>
      <c r="O321" s="42"/>
      <c r="P321" s="43" t="str">
        <f t="shared" si="4"/>
        <v>ONAY</v>
      </c>
    </row>
    <row r="322" spans="1:17" ht="110.25" customHeight="1" x14ac:dyDescent="0.25">
      <c r="A322" s="36" t="s">
        <v>1593</v>
      </c>
      <c r="B322" s="36" t="s">
        <v>1594</v>
      </c>
      <c r="C322" s="37" t="s">
        <v>214</v>
      </c>
      <c r="D322" s="37" t="s">
        <v>215</v>
      </c>
      <c r="E322" s="38" t="s">
        <v>1595</v>
      </c>
      <c r="F322" s="38" t="s">
        <v>1596</v>
      </c>
      <c r="G322" s="39" t="s">
        <v>34</v>
      </c>
      <c r="H322" s="40">
        <v>46107</v>
      </c>
      <c r="I322" s="41">
        <v>46126</v>
      </c>
      <c r="J322" s="37" t="s">
        <v>78</v>
      </c>
      <c r="K322" s="37" t="s">
        <v>79</v>
      </c>
      <c r="L322" s="43" t="s">
        <v>64</v>
      </c>
      <c r="M322" s="43"/>
      <c r="N322" s="43"/>
      <c r="O322" s="42"/>
      <c r="P322" s="43" t="str">
        <f t="shared" ref="P322:P385" si="5">IF(O322&lt;&gt;"",O322, IF(N322&lt;&gt;"",N322, IF(M322&lt;&gt;"",M322, L322)))</f>
        <v>ONAY</v>
      </c>
    </row>
    <row r="323" spans="1:17" ht="78.75" customHeight="1" x14ac:dyDescent="0.25">
      <c r="A323" s="36" t="s">
        <v>1597</v>
      </c>
      <c r="B323" s="36" t="s">
        <v>1598</v>
      </c>
      <c r="C323" s="37" t="s">
        <v>739</v>
      </c>
      <c r="D323" s="37" t="s">
        <v>100</v>
      </c>
      <c r="E323" s="38" t="s">
        <v>1599</v>
      </c>
      <c r="F323" s="38" t="s">
        <v>1600</v>
      </c>
      <c r="G323" s="39" t="s">
        <v>34</v>
      </c>
      <c r="H323" s="40">
        <v>46107</v>
      </c>
      <c r="I323" s="41">
        <v>46126</v>
      </c>
      <c r="J323" s="37" t="s">
        <v>86</v>
      </c>
      <c r="K323" s="37" t="s">
        <v>96</v>
      </c>
      <c r="L323" s="43" t="s">
        <v>64</v>
      </c>
      <c r="M323" s="43"/>
      <c r="N323" s="43"/>
      <c r="O323" s="42"/>
      <c r="P323" s="43" t="str">
        <f t="shared" si="5"/>
        <v>ONAY</v>
      </c>
    </row>
    <row r="324" spans="1:17" ht="63" customHeight="1" x14ac:dyDescent="0.25">
      <c r="A324" s="36" t="s">
        <v>1601</v>
      </c>
      <c r="B324" s="36" t="s">
        <v>1602</v>
      </c>
      <c r="C324" s="37" t="s">
        <v>1093</v>
      </c>
      <c r="D324" s="37" t="s">
        <v>953</v>
      </c>
      <c r="E324" s="38" t="s">
        <v>1603</v>
      </c>
      <c r="F324" s="38" t="s">
        <v>1604</v>
      </c>
      <c r="G324" s="39" t="s">
        <v>34</v>
      </c>
      <c r="H324" s="40">
        <v>46107</v>
      </c>
      <c r="I324" s="41">
        <v>46126</v>
      </c>
      <c r="J324" s="37" t="s">
        <v>96</v>
      </c>
      <c r="K324" s="37" t="s">
        <v>63</v>
      </c>
      <c r="L324" s="43" t="s">
        <v>88</v>
      </c>
      <c r="M324" s="43"/>
      <c r="N324" s="43"/>
      <c r="O324" s="42"/>
      <c r="P324" s="43" t="str">
        <f t="shared" si="5"/>
        <v>DÜZELTME</v>
      </c>
    </row>
    <row r="325" spans="1:17" ht="47.25" customHeight="1" x14ac:dyDescent="0.25">
      <c r="A325" s="36" t="s">
        <v>1605</v>
      </c>
      <c r="B325" s="36" t="s">
        <v>1606</v>
      </c>
      <c r="C325" s="37" t="s">
        <v>1571</v>
      </c>
      <c r="D325" s="37" t="s">
        <v>100</v>
      </c>
      <c r="E325" s="38" t="s">
        <v>1607</v>
      </c>
      <c r="F325" s="38" t="s">
        <v>1608</v>
      </c>
      <c r="G325" s="39" t="s">
        <v>34</v>
      </c>
      <c r="H325" s="40">
        <v>46107</v>
      </c>
      <c r="I325" s="41">
        <v>46126</v>
      </c>
      <c r="J325" s="37" t="s">
        <v>87</v>
      </c>
      <c r="K325" s="37" t="s">
        <v>78</v>
      </c>
      <c r="L325" s="43" t="s">
        <v>64</v>
      </c>
      <c r="M325" s="43"/>
      <c r="N325" s="43"/>
      <c r="O325" s="42"/>
      <c r="P325" s="43" t="str">
        <f t="shared" si="5"/>
        <v>ONAY</v>
      </c>
    </row>
    <row r="326" spans="1:17" ht="47.25" customHeight="1" x14ac:dyDescent="0.25">
      <c r="A326" s="36" t="s">
        <v>1609</v>
      </c>
      <c r="B326" s="36" t="s">
        <v>1610</v>
      </c>
      <c r="C326" s="37" t="s">
        <v>1611</v>
      </c>
      <c r="D326" s="37" t="s">
        <v>257</v>
      </c>
      <c r="E326" s="38" t="s">
        <v>1612</v>
      </c>
      <c r="F326" s="38" t="s">
        <v>1613</v>
      </c>
      <c r="G326" s="39" t="s">
        <v>34</v>
      </c>
      <c r="H326" s="40">
        <v>46107</v>
      </c>
      <c r="I326" s="41">
        <v>46126</v>
      </c>
      <c r="J326" s="37" t="s">
        <v>86</v>
      </c>
      <c r="K326" s="37" t="s">
        <v>71</v>
      </c>
      <c r="L326" s="43" t="s">
        <v>64</v>
      </c>
      <c r="M326" s="43"/>
      <c r="N326" s="43"/>
      <c r="O326" s="42"/>
      <c r="P326" s="43" t="str">
        <f t="shared" si="5"/>
        <v>ONAY</v>
      </c>
    </row>
    <row r="327" spans="1:17" ht="63" customHeight="1" x14ac:dyDescent="0.25">
      <c r="A327" s="36" t="s">
        <v>1614</v>
      </c>
      <c r="B327" s="36" t="s">
        <v>1615</v>
      </c>
      <c r="C327" s="37" t="s">
        <v>377</v>
      </c>
      <c r="D327" s="37" t="s">
        <v>378</v>
      </c>
      <c r="E327" s="38" t="s">
        <v>1616</v>
      </c>
      <c r="F327" s="38" t="s">
        <v>1617</v>
      </c>
      <c r="G327" s="39" t="s">
        <v>34</v>
      </c>
      <c r="H327" s="40">
        <v>46107</v>
      </c>
      <c r="I327" s="41">
        <v>46126</v>
      </c>
      <c r="J327" s="37" t="s">
        <v>78</v>
      </c>
      <c r="K327" s="37" t="s">
        <v>86</v>
      </c>
      <c r="L327" s="43" t="s">
        <v>88</v>
      </c>
      <c r="M327" s="43"/>
      <c r="N327" s="43"/>
      <c r="O327" s="42"/>
      <c r="P327" s="43" t="str">
        <f t="shared" si="5"/>
        <v>DÜZELTME</v>
      </c>
    </row>
    <row r="328" spans="1:17" ht="80.25" customHeight="1" x14ac:dyDescent="0.25">
      <c r="A328" s="36" t="s">
        <v>1618</v>
      </c>
      <c r="B328" s="36" t="s">
        <v>1619</v>
      </c>
      <c r="C328" s="37" t="s">
        <v>272</v>
      </c>
      <c r="D328" s="37" t="s">
        <v>209</v>
      </c>
      <c r="E328" s="38" t="s">
        <v>1620</v>
      </c>
      <c r="F328" s="38" t="s">
        <v>1621</v>
      </c>
      <c r="G328" s="39" t="s">
        <v>34</v>
      </c>
      <c r="H328" s="40">
        <v>46107</v>
      </c>
      <c r="I328" s="41">
        <v>46126</v>
      </c>
      <c r="J328" s="37" t="s">
        <v>63</v>
      </c>
      <c r="K328" s="37" t="s">
        <v>87</v>
      </c>
      <c r="L328" s="43" t="s">
        <v>64</v>
      </c>
      <c r="M328" s="43"/>
      <c r="N328" s="43"/>
      <c r="O328" s="42"/>
      <c r="P328" s="43" t="str">
        <f t="shared" si="5"/>
        <v>ONAY</v>
      </c>
    </row>
    <row r="329" spans="1:17" ht="63" customHeight="1" x14ac:dyDescent="0.25">
      <c r="A329" s="36" t="s">
        <v>1622</v>
      </c>
      <c r="B329" s="36" t="s">
        <v>1623</v>
      </c>
      <c r="C329" s="37" t="s">
        <v>1624</v>
      </c>
      <c r="D329" s="37" t="s">
        <v>75</v>
      </c>
      <c r="E329" s="38" t="s">
        <v>1625</v>
      </c>
      <c r="F329" s="38" t="s">
        <v>1626</v>
      </c>
      <c r="G329" s="39" t="s">
        <v>34</v>
      </c>
      <c r="H329" s="40">
        <v>46108</v>
      </c>
      <c r="I329" s="41">
        <v>46126</v>
      </c>
      <c r="J329" s="37" t="s">
        <v>79</v>
      </c>
      <c r="K329" s="37" t="s">
        <v>62</v>
      </c>
      <c r="L329" s="43" t="s">
        <v>64</v>
      </c>
      <c r="M329" s="43"/>
      <c r="N329" s="43"/>
      <c r="O329" s="42"/>
      <c r="P329" s="43" t="str">
        <f t="shared" si="5"/>
        <v>ONAY</v>
      </c>
    </row>
    <row r="330" spans="1:17" ht="63" customHeight="1" x14ac:dyDescent="0.25">
      <c r="A330" s="36" t="s">
        <v>1627</v>
      </c>
      <c r="B330" s="36" t="s">
        <v>1628</v>
      </c>
      <c r="C330" s="37" t="s">
        <v>1039</v>
      </c>
      <c r="D330" s="37" t="s">
        <v>100</v>
      </c>
      <c r="E330" s="38" t="s">
        <v>1629</v>
      </c>
      <c r="F330" s="38" t="s">
        <v>1630</v>
      </c>
      <c r="G330" s="39" t="s">
        <v>34</v>
      </c>
      <c r="H330" s="40">
        <v>46108</v>
      </c>
      <c r="I330" s="41">
        <v>46126</v>
      </c>
      <c r="J330" s="37" t="s">
        <v>103</v>
      </c>
      <c r="K330" s="37" t="s">
        <v>116</v>
      </c>
      <c r="L330" s="43" t="s">
        <v>64</v>
      </c>
      <c r="M330" s="43"/>
      <c r="N330" s="43"/>
      <c r="O330" s="42"/>
      <c r="P330" s="43" t="str">
        <f t="shared" si="5"/>
        <v>ONAY</v>
      </c>
    </row>
    <row r="331" spans="1:17" ht="111" customHeight="1" x14ac:dyDescent="0.25">
      <c r="A331" s="36" t="s">
        <v>1631</v>
      </c>
      <c r="B331" s="36" t="s">
        <v>1632</v>
      </c>
      <c r="C331" s="37" t="s">
        <v>1286</v>
      </c>
      <c r="D331" s="37" t="s">
        <v>215</v>
      </c>
      <c r="E331" s="38" t="s">
        <v>1633</v>
      </c>
      <c r="F331" s="38" t="s">
        <v>1634</v>
      </c>
      <c r="G331" s="39" t="s">
        <v>34</v>
      </c>
      <c r="H331" s="40">
        <v>46108</v>
      </c>
      <c r="I331" s="41">
        <v>46126</v>
      </c>
      <c r="J331" s="37" t="s">
        <v>110</v>
      </c>
      <c r="K331" s="37" t="s">
        <v>71</v>
      </c>
      <c r="L331" s="43" t="s">
        <v>193</v>
      </c>
      <c r="M331" s="43" t="s">
        <v>88</v>
      </c>
      <c r="N331" s="43"/>
      <c r="O331" s="42"/>
      <c r="P331" s="43" t="str">
        <f t="shared" si="5"/>
        <v>DÜZELTME</v>
      </c>
    </row>
    <row r="332" spans="1:17" ht="78.75" customHeight="1" x14ac:dyDescent="0.25">
      <c r="A332" s="36" t="s">
        <v>1635</v>
      </c>
      <c r="B332" s="36" t="s">
        <v>1636</v>
      </c>
      <c r="C332" s="37" t="s">
        <v>119</v>
      </c>
      <c r="D332" s="37" t="s">
        <v>120</v>
      </c>
      <c r="E332" s="38" t="s">
        <v>1637</v>
      </c>
      <c r="F332" s="38" t="s">
        <v>1638</v>
      </c>
      <c r="G332" s="39" t="s">
        <v>34</v>
      </c>
      <c r="H332" s="40">
        <v>46108</v>
      </c>
      <c r="I332" s="41">
        <v>46126</v>
      </c>
      <c r="J332" s="37" t="s">
        <v>62</v>
      </c>
      <c r="K332" s="37" t="s">
        <v>87</v>
      </c>
      <c r="L332" s="43" t="s">
        <v>64</v>
      </c>
      <c r="M332" s="43"/>
      <c r="N332" s="43"/>
      <c r="O332" s="42"/>
      <c r="P332" s="43" t="str">
        <f t="shared" si="5"/>
        <v>ONAY</v>
      </c>
    </row>
    <row r="333" spans="1:17" ht="63" customHeight="1" x14ac:dyDescent="0.25">
      <c r="A333" s="36" t="s">
        <v>1639</v>
      </c>
      <c r="B333" s="36" t="s">
        <v>1640</v>
      </c>
      <c r="C333" s="37" t="s">
        <v>82</v>
      </c>
      <c r="D333" s="46" t="s">
        <v>83</v>
      </c>
      <c r="E333" s="38" t="s">
        <v>1641</v>
      </c>
      <c r="F333" s="38" t="s">
        <v>1642</v>
      </c>
      <c r="G333" s="39" t="s">
        <v>36</v>
      </c>
      <c r="H333" s="40">
        <v>46108</v>
      </c>
      <c r="I333" s="41">
        <v>46126</v>
      </c>
      <c r="J333" s="37" t="s">
        <v>86</v>
      </c>
      <c r="K333" s="37" t="s">
        <v>63</v>
      </c>
      <c r="L333" s="43" t="s">
        <v>159</v>
      </c>
      <c r="M333" s="43"/>
      <c r="N333" s="43"/>
      <c r="O333" s="42"/>
      <c r="P333" s="43" t="str">
        <f t="shared" si="5"/>
        <v>RET</v>
      </c>
    </row>
    <row r="334" spans="1:17" ht="141.75" customHeight="1" x14ac:dyDescent="0.25">
      <c r="A334" s="36" t="s">
        <v>1643</v>
      </c>
      <c r="B334" s="36" t="s">
        <v>1644</v>
      </c>
      <c r="C334" s="37" t="s">
        <v>1645</v>
      </c>
      <c r="D334" s="37" t="s">
        <v>351</v>
      </c>
      <c r="E334" s="38" t="s">
        <v>1646</v>
      </c>
      <c r="F334" s="38" t="s">
        <v>1647</v>
      </c>
      <c r="G334" s="39" t="s">
        <v>35</v>
      </c>
      <c r="H334" s="40">
        <v>46108</v>
      </c>
      <c r="I334" s="41">
        <v>46126</v>
      </c>
      <c r="J334" s="37" t="s">
        <v>116</v>
      </c>
      <c r="K334" s="37" t="s">
        <v>95</v>
      </c>
      <c r="L334" s="43" t="s">
        <v>88</v>
      </c>
      <c r="M334" s="43" t="s">
        <v>64</v>
      </c>
      <c r="N334" s="43"/>
      <c r="O334" s="42"/>
      <c r="P334" s="43" t="str">
        <f t="shared" si="5"/>
        <v>ONAY</v>
      </c>
      <c r="Q334" s="26" t="s">
        <v>116</v>
      </c>
    </row>
    <row r="335" spans="1:17" ht="94.5" customHeight="1" x14ac:dyDescent="0.25">
      <c r="A335" s="36" t="s">
        <v>1648</v>
      </c>
      <c r="B335" s="36" t="s">
        <v>1649</v>
      </c>
      <c r="C335" s="37" t="s">
        <v>1650</v>
      </c>
      <c r="D335" s="37" t="s">
        <v>1651</v>
      </c>
      <c r="E335" s="38" t="s">
        <v>1652</v>
      </c>
      <c r="F335" s="38" t="s">
        <v>1653</v>
      </c>
      <c r="G335" s="39" t="s">
        <v>35</v>
      </c>
      <c r="H335" s="40">
        <v>46108</v>
      </c>
      <c r="I335" s="41">
        <v>46126</v>
      </c>
      <c r="J335" s="37" t="s">
        <v>96</v>
      </c>
      <c r="K335" s="37" t="s">
        <v>78</v>
      </c>
      <c r="L335" s="43" t="s">
        <v>159</v>
      </c>
      <c r="M335" s="43"/>
      <c r="N335" s="43"/>
      <c r="O335" s="42"/>
      <c r="P335" s="43" t="str">
        <f t="shared" si="5"/>
        <v>RET</v>
      </c>
    </row>
    <row r="336" spans="1:17" ht="94.5" customHeight="1" x14ac:dyDescent="0.25">
      <c r="A336" s="36" t="s">
        <v>1654</v>
      </c>
      <c r="B336" s="36" t="s">
        <v>1655</v>
      </c>
      <c r="C336" s="37" t="s">
        <v>235</v>
      </c>
      <c r="D336" s="37" t="s">
        <v>221</v>
      </c>
      <c r="E336" s="38" t="s">
        <v>1656</v>
      </c>
      <c r="F336" s="38" t="s">
        <v>1657</v>
      </c>
      <c r="G336" s="39" t="s">
        <v>35</v>
      </c>
      <c r="H336" s="40">
        <v>46108</v>
      </c>
      <c r="I336" s="41">
        <v>46126</v>
      </c>
      <c r="J336" s="37" t="s">
        <v>79</v>
      </c>
      <c r="K336" s="37" t="s">
        <v>116</v>
      </c>
      <c r="L336" s="43" t="s">
        <v>64</v>
      </c>
      <c r="M336" s="43"/>
      <c r="N336" s="43"/>
      <c r="O336" s="42"/>
      <c r="P336" s="43" t="str">
        <f t="shared" si="5"/>
        <v>ONAY</v>
      </c>
    </row>
    <row r="337" spans="1:17" ht="63" customHeight="1" x14ac:dyDescent="0.25">
      <c r="A337" s="36" t="s">
        <v>1658</v>
      </c>
      <c r="B337" s="36" t="s">
        <v>1659</v>
      </c>
      <c r="C337" s="37" t="s">
        <v>1660</v>
      </c>
      <c r="D337" s="37" t="s">
        <v>526</v>
      </c>
      <c r="E337" s="38" t="s">
        <v>1661</v>
      </c>
      <c r="F337" s="38" t="s">
        <v>1662</v>
      </c>
      <c r="G337" s="39" t="s">
        <v>34</v>
      </c>
      <c r="H337" s="40">
        <v>46108</v>
      </c>
      <c r="I337" s="41">
        <v>46126</v>
      </c>
      <c r="J337" s="37" t="s">
        <v>110</v>
      </c>
      <c r="K337" s="37" t="s">
        <v>87</v>
      </c>
      <c r="L337" s="43" t="s">
        <v>64</v>
      </c>
      <c r="M337" s="43"/>
      <c r="N337" s="43"/>
      <c r="O337" s="42"/>
      <c r="P337" s="43" t="str">
        <f t="shared" si="5"/>
        <v>ONAY</v>
      </c>
    </row>
    <row r="338" spans="1:17" ht="63" customHeight="1" x14ac:dyDescent="0.25">
      <c r="A338" s="36" t="s">
        <v>1663</v>
      </c>
      <c r="B338" s="36" t="s">
        <v>1664</v>
      </c>
      <c r="C338" s="37" t="s">
        <v>1665</v>
      </c>
      <c r="D338" s="37" t="s">
        <v>571</v>
      </c>
      <c r="E338" s="38" t="s">
        <v>1666</v>
      </c>
      <c r="F338" s="38" t="s">
        <v>1667</v>
      </c>
      <c r="G338" s="39" t="s">
        <v>34</v>
      </c>
      <c r="H338" s="40">
        <v>46108</v>
      </c>
      <c r="I338" s="41">
        <v>46126</v>
      </c>
      <c r="J338" s="37" t="s">
        <v>87</v>
      </c>
      <c r="K338" s="37" t="s">
        <v>86</v>
      </c>
      <c r="L338" s="43" t="s">
        <v>88</v>
      </c>
      <c r="M338" s="43" t="s">
        <v>64</v>
      </c>
      <c r="N338" s="43"/>
      <c r="O338" s="42"/>
      <c r="P338" s="43" t="str">
        <f t="shared" si="5"/>
        <v>ONAY</v>
      </c>
      <c r="Q338" s="26" t="s">
        <v>87</v>
      </c>
    </row>
    <row r="339" spans="1:17" ht="63" customHeight="1" x14ac:dyDescent="0.25">
      <c r="A339" s="36" t="s">
        <v>1668</v>
      </c>
      <c r="B339" s="36" t="s">
        <v>1669</v>
      </c>
      <c r="C339" s="37" t="s">
        <v>1670</v>
      </c>
      <c r="D339" s="37" t="s">
        <v>417</v>
      </c>
      <c r="E339" s="38" t="s">
        <v>1671</v>
      </c>
      <c r="F339" s="38" t="s">
        <v>1672</v>
      </c>
      <c r="G339" s="39" t="s">
        <v>34</v>
      </c>
      <c r="H339" s="40">
        <v>46108</v>
      </c>
      <c r="I339" s="41">
        <v>46126</v>
      </c>
      <c r="J339" s="37" t="s">
        <v>95</v>
      </c>
      <c r="K339" s="37" t="s">
        <v>71</v>
      </c>
      <c r="L339" s="43" t="s">
        <v>88</v>
      </c>
      <c r="M339" s="43" t="s">
        <v>88</v>
      </c>
      <c r="N339" s="43" t="s">
        <v>64</v>
      </c>
      <c r="O339" s="42"/>
      <c r="P339" s="43" t="str">
        <f t="shared" si="5"/>
        <v>ONAY</v>
      </c>
      <c r="Q339" s="26" t="s">
        <v>95</v>
      </c>
    </row>
    <row r="340" spans="1:17" ht="78.75" customHeight="1" x14ac:dyDescent="0.25">
      <c r="A340" s="36" t="s">
        <v>1673</v>
      </c>
      <c r="B340" s="36" t="s">
        <v>1674</v>
      </c>
      <c r="C340" s="37" t="s">
        <v>1670</v>
      </c>
      <c r="D340" s="37" t="s">
        <v>417</v>
      </c>
      <c r="E340" s="38" t="s">
        <v>1675</v>
      </c>
      <c r="F340" s="38" t="s">
        <v>1676</v>
      </c>
      <c r="G340" s="39" t="s">
        <v>34</v>
      </c>
      <c r="H340" s="40">
        <v>46108</v>
      </c>
      <c r="I340" s="41">
        <v>46126</v>
      </c>
      <c r="J340" s="37" t="s">
        <v>96</v>
      </c>
      <c r="K340" s="37" t="s">
        <v>95</v>
      </c>
      <c r="L340" s="43" t="s">
        <v>88</v>
      </c>
      <c r="M340" s="43" t="s">
        <v>64</v>
      </c>
      <c r="N340" s="43"/>
      <c r="O340" s="42"/>
      <c r="P340" s="43" t="str">
        <f t="shared" si="5"/>
        <v>ONAY</v>
      </c>
      <c r="Q340" s="26" t="s">
        <v>96</v>
      </c>
    </row>
    <row r="341" spans="1:17" ht="63" customHeight="1" x14ac:dyDescent="0.25">
      <c r="A341" s="36" t="s">
        <v>1677</v>
      </c>
      <c r="B341" s="36" t="s">
        <v>1678</v>
      </c>
      <c r="C341" s="37" t="s">
        <v>1679</v>
      </c>
      <c r="D341" s="37" t="s">
        <v>1479</v>
      </c>
      <c r="E341" s="38" t="s">
        <v>1680</v>
      </c>
      <c r="F341" s="38" t="s">
        <v>1681</v>
      </c>
      <c r="G341" s="39" t="s">
        <v>34</v>
      </c>
      <c r="H341" s="40">
        <v>46108</v>
      </c>
      <c r="I341" s="41">
        <v>46126</v>
      </c>
      <c r="J341" s="37" t="s">
        <v>116</v>
      </c>
      <c r="K341" s="37" t="s">
        <v>63</v>
      </c>
      <c r="L341" s="43" t="s">
        <v>64</v>
      </c>
      <c r="M341" s="43"/>
      <c r="N341" s="43"/>
      <c r="O341" s="42"/>
      <c r="P341" s="43" t="str">
        <f t="shared" si="5"/>
        <v>ONAY</v>
      </c>
    </row>
    <row r="342" spans="1:17" ht="94.5" customHeight="1" x14ac:dyDescent="0.25">
      <c r="A342" s="36" t="s">
        <v>1682</v>
      </c>
      <c r="B342" s="36" t="s">
        <v>1683</v>
      </c>
      <c r="C342" s="37" t="s">
        <v>1684</v>
      </c>
      <c r="D342" s="37" t="s">
        <v>1130</v>
      </c>
      <c r="E342" s="38" t="s">
        <v>1685</v>
      </c>
      <c r="F342" s="38" t="s">
        <v>1686</v>
      </c>
      <c r="G342" s="39" t="s">
        <v>34</v>
      </c>
      <c r="H342" s="40">
        <v>46108</v>
      </c>
      <c r="I342" s="41">
        <v>46126</v>
      </c>
      <c r="J342" s="37" t="s">
        <v>78</v>
      </c>
      <c r="K342" s="37" t="s">
        <v>103</v>
      </c>
      <c r="L342" s="43" t="s">
        <v>205</v>
      </c>
      <c r="M342" s="43"/>
      <c r="N342" s="43"/>
      <c r="O342" s="42"/>
      <c r="P342" s="43" t="str">
        <f t="shared" si="5"/>
        <v>KAEK</v>
      </c>
    </row>
    <row r="343" spans="1:17" ht="63" customHeight="1" x14ac:dyDescent="0.25">
      <c r="A343" s="36" t="s">
        <v>1687</v>
      </c>
      <c r="B343" s="36" t="s">
        <v>1688</v>
      </c>
      <c r="C343" s="37" t="s">
        <v>1689</v>
      </c>
      <c r="D343" s="37" t="s">
        <v>649</v>
      </c>
      <c r="E343" s="38" t="s">
        <v>1690</v>
      </c>
      <c r="F343" s="38" t="s">
        <v>1691</v>
      </c>
      <c r="G343" s="39" t="s">
        <v>34</v>
      </c>
      <c r="H343" s="40">
        <v>46108</v>
      </c>
      <c r="I343" s="41">
        <v>46126</v>
      </c>
      <c r="J343" s="37" t="s">
        <v>103</v>
      </c>
      <c r="K343" s="37" t="s">
        <v>79</v>
      </c>
      <c r="L343" s="43" t="s">
        <v>64</v>
      </c>
      <c r="M343" s="43"/>
      <c r="N343" s="43"/>
      <c r="O343" s="42"/>
      <c r="P343" s="43" t="str">
        <f t="shared" si="5"/>
        <v>ONAY</v>
      </c>
    </row>
    <row r="344" spans="1:17" ht="96" customHeight="1" x14ac:dyDescent="0.25">
      <c r="A344" s="36" t="s">
        <v>1692</v>
      </c>
      <c r="B344" s="36" t="s">
        <v>1693</v>
      </c>
      <c r="C344" s="37" t="s">
        <v>1694</v>
      </c>
      <c r="D344" s="37" t="s">
        <v>100</v>
      </c>
      <c r="E344" s="38" t="s">
        <v>1695</v>
      </c>
      <c r="F344" s="38" t="s">
        <v>1696</v>
      </c>
      <c r="G344" s="39" t="s">
        <v>34</v>
      </c>
      <c r="H344" s="40">
        <v>46108</v>
      </c>
      <c r="I344" s="41">
        <v>46126</v>
      </c>
      <c r="J344" s="37" t="s">
        <v>78</v>
      </c>
      <c r="K344" s="37" t="s">
        <v>79</v>
      </c>
      <c r="L344" s="43" t="s">
        <v>88</v>
      </c>
      <c r="M344" s="43" t="s">
        <v>64</v>
      </c>
      <c r="N344" s="43"/>
      <c r="O344" s="42"/>
      <c r="P344" s="43" t="str">
        <f t="shared" si="5"/>
        <v>ONAY</v>
      </c>
      <c r="Q344" s="26" t="s">
        <v>79</v>
      </c>
    </row>
    <row r="345" spans="1:17" ht="63" customHeight="1" x14ac:dyDescent="0.25">
      <c r="A345" s="36" t="s">
        <v>1697</v>
      </c>
      <c r="B345" s="36" t="s">
        <v>1698</v>
      </c>
      <c r="C345" s="37" t="s">
        <v>1339</v>
      </c>
      <c r="D345" s="37" t="s">
        <v>100</v>
      </c>
      <c r="E345" s="38" t="s">
        <v>1699</v>
      </c>
      <c r="F345" s="38" t="s">
        <v>1700</v>
      </c>
      <c r="G345" s="39" t="s">
        <v>34</v>
      </c>
      <c r="H345" s="40">
        <v>46108</v>
      </c>
      <c r="I345" s="41">
        <v>46126</v>
      </c>
      <c r="J345" s="37" t="s">
        <v>71</v>
      </c>
      <c r="K345" s="37" t="s">
        <v>63</v>
      </c>
      <c r="L345" s="43" t="s">
        <v>64</v>
      </c>
      <c r="M345" s="43"/>
      <c r="N345" s="43"/>
      <c r="O345" s="42"/>
      <c r="P345" s="43" t="str">
        <f t="shared" si="5"/>
        <v>ONAY</v>
      </c>
    </row>
    <row r="346" spans="1:17" ht="79.5" customHeight="1" x14ac:dyDescent="0.25">
      <c r="A346" s="36" t="s">
        <v>1701</v>
      </c>
      <c r="B346" s="36" t="s">
        <v>1702</v>
      </c>
      <c r="C346" s="37" t="s">
        <v>1679</v>
      </c>
      <c r="D346" s="37" t="s">
        <v>1479</v>
      </c>
      <c r="E346" s="38" t="s">
        <v>1703</v>
      </c>
      <c r="F346" s="38" t="s">
        <v>1704</v>
      </c>
      <c r="G346" s="39" t="s">
        <v>34</v>
      </c>
      <c r="H346" s="40">
        <v>46108</v>
      </c>
      <c r="I346" s="41">
        <v>46126</v>
      </c>
      <c r="J346" s="37" t="s">
        <v>103</v>
      </c>
      <c r="K346" s="37" t="s">
        <v>116</v>
      </c>
      <c r="L346" s="43" t="s">
        <v>64</v>
      </c>
      <c r="M346" s="43"/>
      <c r="N346" s="43"/>
      <c r="O346" s="42"/>
      <c r="P346" s="43" t="str">
        <f t="shared" si="5"/>
        <v>ONAY</v>
      </c>
    </row>
    <row r="347" spans="1:17" ht="110.25" customHeight="1" x14ac:dyDescent="0.25">
      <c r="A347" s="36" t="s">
        <v>1705</v>
      </c>
      <c r="B347" s="36" t="s">
        <v>1706</v>
      </c>
      <c r="C347" s="37" t="s">
        <v>162</v>
      </c>
      <c r="D347" s="37" t="s">
        <v>156</v>
      </c>
      <c r="E347" s="38" t="s">
        <v>1707</v>
      </c>
      <c r="F347" s="38" t="s">
        <v>1708</v>
      </c>
      <c r="G347" s="39" t="s">
        <v>34</v>
      </c>
      <c r="H347" s="40">
        <v>46112</v>
      </c>
      <c r="I347" s="41">
        <v>46126</v>
      </c>
      <c r="J347" s="37" t="s">
        <v>78</v>
      </c>
      <c r="K347" s="37" t="s">
        <v>86</v>
      </c>
      <c r="L347" s="43" t="s">
        <v>88</v>
      </c>
      <c r="M347" s="43"/>
      <c r="N347" s="43"/>
      <c r="O347" s="42"/>
      <c r="P347" s="43" t="str">
        <f t="shared" si="5"/>
        <v>DÜZELTME</v>
      </c>
    </row>
    <row r="348" spans="1:17" ht="111.75" customHeight="1" x14ac:dyDescent="0.25">
      <c r="A348" s="36" t="s">
        <v>1709</v>
      </c>
      <c r="B348" s="36" t="s">
        <v>1710</v>
      </c>
      <c r="C348" s="37" t="s">
        <v>1093</v>
      </c>
      <c r="D348" s="37" t="s">
        <v>953</v>
      </c>
      <c r="E348" s="38" t="s">
        <v>1711</v>
      </c>
      <c r="F348" s="38" t="s">
        <v>1712</v>
      </c>
      <c r="G348" s="39" t="s">
        <v>34</v>
      </c>
      <c r="H348" s="40">
        <v>46112</v>
      </c>
      <c r="I348" s="41">
        <v>46126</v>
      </c>
      <c r="J348" s="37" t="s">
        <v>96</v>
      </c>
      <c r="K348" s="37" t="s">
        <v>71</v>
      </c>
      <c r="L348" s="43" t="s">
        <v>159</v>
      </c>
      <c r="M348" s="43"/>
      <c r="N348" s="43"/>
      <c r="O348" s="42"/>
      <c r="P348" s="43" t="str">
        <f t="shared" si="5"/>
        <v>RET</v>
      </c>
    </row>
    <row r="349" spans="1:17" ht="63" customHeight="1" x14ac:dyDescent="0.25">
      <c r="A349" s="36" t="s">
        <v>1713</v>
      </c>
      <c r="B349" s="36" t="s">
        <v>1714</v>
      </c>
      <c r="C349" s="37" t="s">
        <v>99</v>
      </c>
      <c r="D349" s="37" t="s">
        <v>100</v>
      </c>
      <c r="E349" s="38" t="s">
        <v>1715</v>
      </c>
      <c r="F349" s="38" t="s">
        <v>1716</v>
      </c>
      <c r="G349" s="39" t="s">
        <v>34</v>
      </c>
      <c r="H349" s="40">
        <v>46112</v>
      </c>
      <c r="I349" s="41">
        <v>46126</v>
      </c>
      <c r="J349" s="37" t="s">
        <v>62</v>
      </c>
      <c r="K349" s="37" t="s">
        <v>103</v>
      </c>
      <c r="L349" s="43" t="s">
        <v>88</v>
      </c>
      <c r="M349" s="43" t="s">
        <v>64</v>
      </c>
      <c r="N349" s="43"/>
      <c r="O349" s="42"/>
      <c r="P349" s="43" t="str">
        <f t="shared" si="5"/>
        <v>ONAY</v>
      </c>
      <c r="Q349" s="26" t="s">
        <v>62</v>
      </c>
    </row>
    <row r="350" spans="1:17" ht="79.5" customHeight="1" x14ac:dyDescent="0.25">
      <c r="A350" s="36" t="s">
        <v>1717</v>
      </c>
      <c r="B350" s="36" t="s">
        <v>1718</v>
      </c>
      <c r="C350" s="37" t="s">
        <v>1719</v>
      </c>
      <c r="D350" s="37" t="s">
        <v>180</v>
      </c>
      <c r="E350" s="38" t="s">
        <v>1720</v>
      </c>
      <c r="F350" s="38" t="s">
        <v>1721</v>
      </c>
      <c r="G350" s="39" t="s">
        <v>34</v>
      </c>
      <c r="H350" s="40">
        <v>46112</v>
      </c>
      <c r="I350" s="41">
        <v>46126</v>
      </c>
      <c r="J350" s="37" t="s">
        <v>110</v>
      </c>
      <c r="K350" s="37" t="s">
        <v>79</v>
      </c>
      <c r="L350" s="43" t="s">
        <v>64</v>
      </c>
      <c r="M350" s="43"/>
      <c r="N350" s="43"/>
      <c r="O350" s="42"/>
      <c r="P350" s="43" t="str">
        <f t="shared" si="5"/>
        <v>ONAY</v>
      </c>
    </row>
    <row r="351" spans="1:17" ht="63" customHeight="1" x14ac:dyDescent="0.25">
      <c r="A351" s="36" t="s">
        <v>1722</v>
      </c>
      <c r="B351" s="36" t="s">
        <v>1723</v>
      </c>
      <c r="C351" s="37" t="s">
        <v>520</v>
      </c>
      <c r="D351" s="37" t="s">
        <v>100</v>
      </c>
      <c r="E351" s="38" t="s">
        <v>1724</v>
      </c>
      <c r="F351" s="38" t="s">
        <v>1725</v>
      </c>
      <c r="G351" s="39" t="s">
        <v>34</v>
      </c>
      <c r="H351" s="40">
        <v>46112</v>
      </c>
      <c r="I351" s="41">
        <v>46126</v>
      </c>
      <c r="J351" s="37" t="s">
        <v>63</v>
      </c>
      <c r="K351" s="37" t="s">
        <v>96</v>
      </c>
      <c r="L351" s="43" t="s">
        <v>64</v>
      </c>
      <c r="M351" s="43"/>
      <c r="N351" s="43"/>
      <c r="O351" s="42"/>
      <c r="P351" s="43" t="str">
        <f t="shared" si="5"/>
        <v>ONAY</v>
      </c>
    </row>
    <row r="352" spans="1:17" ht="63" customHeight="1" x14ac:dyDescent="0.25">
      <c r="A352" s="36" t="s">
        <v>1726</v>
      </c>
      <c r="B352" s="36" t="s">
        <v>1727</v>
      </c>
      <c r="C352" s="37" t="s">
        <v>721</v>
      </c>
      <c r="D352" s="37" t="s">
        <v>209</v>
      </c>
      <c r="E352" s="38" t="s">
        <v>1728</v>
      </c>
      <c r="F352" s="38" t="s">
        <v>1729</v>
      </c>
      <c r="G352" s="39" t="s">
        <v>34</v>
      </c>
      <c r="H352" s="40">
        <v>46112</v>
      </c>
      <c r="I352" s="41">
        <v>46126</v>
      </c>
      <c r="J352" s="37" t="s">
        <v>87</v>
      </c>
      <c r="K352" s="37" t="s">
        <v>110</v>
      </c>
      <c r="L352" s="43" t="s">
        <v>88</v>
      </c>
      <c r="M352" s="43" t="s">
        <v>64</v>
      </c>
      <c r="N352" s="43"/>
      <c r="O352" s="42"/>
      <c r="P352" s="43" t="str">
        <f t="shared" si="5"/>
        <v>ONAY</v>
      </c>
      <c r="Q352" s="26" t="s">
        <v>87</v>
      </c>
    </row>
    <row r="353" spans="1:17" ht="141.75" customHeight="1" x14ac:dyDescent="0.25">
      <c r="A353" s="36" t="s">
        <v>1730</v>
      </c>
      <c r="B353" s="36" t="s">
        <v>1731</v>
      </c>
      <c r="C353" s="37" t="s">
        <v>366</v>
      </c>
      <c r="D353" s="37" t="s">
        <v>209</v>
      </c>
      <c r="E353" s="38" t="s">
        <v>1732</v>
      </c>
      <c r="F353" s="38" t="s">
        <v>1733</v>
      </c>
      <c r="G353" s="39" t="s">
        <v>34</v>
      </c>
      <c r="H353" s="40">
        <v>46112</v>
      </c>
      <c r="I353" s="41">
        <v>46126</v>
      </c>
      <c r="J353" s="37" t="s">
        <v>62</v>
      </c>
      <c r="K353" s="37" t="s">
        <v>110</v>
      </c>
      <c r="L353" s="43" t="s">
        <v>88</v>
      </c>
      <c r="M353" s="43"/>
      <c r="N353" s="43"/>
      <c r="O353" s="42"/>
      <c r="P353" s="43" t="str">
        <f t="shared" si="5"/>
        <v>DÜZELTME</v>
      </c>
    </row>
    <row r="354" spans="1:17" ht="63" customHeight="1" x14ac:dyDescent="0.25">
      <c r="A354" s="36" t="s">
        <v>1734</v>
      </c>
      <c r="B354" s="36" t="s">
        <v>1735</v>
      </c>
      <c r="C354" s="37" t="s">
        <v>1571</v>
      </c>
      <c r="D354" s="37" t="s">
        <v>100</v>
      </c>
      <c r="E354" s="38" t="s">
        <v>1607</v>
      </c>
      <c r="F354" s="38" t="s">
        <v>1736</v>
      </c>
      <c r="G354" s="39" t="s">
        <v>34</v>
      </c>
      <c r="H354" s="40">
        <v>46118</v>
      </c>
      <c r="I354" s="41">
        <v>46140</v>
      </c>
      <c r="J354" s="37" t="s">
        <v>103</v>
      </c>
      <c r="K354" s="37" t="s">
        <v>71</v>
      </c>
      <c r="L354" s="43" t="s">
        <v>64</v>
      </c>
      <c r="M354" s="43"/>
      <c r="N354" s="43"/>
      <c r="O354" s="42"/>
      <c r="P354" s="43" t="str">
        <f t="shared" si="5"/>
        <v>ONAY</v>
      </c>
    </row>
    <row r="355" spans="1:17" ht="94.5" customHeight="1" x14ac:dyDescent="0.25">
      <c r="A355" s="36" t="s">
        <v>1737</v>
      </c>
      <c r="B355" s="36" t="s">
        <v>1738</v>
      </c>
      <c r="C355" s="37" t="s">
        <v>1093</v>
      </c>
      <c r="D355" s="37" t="s">
        <v>953</v>
      </c>
      <c r="E355" s="38" t="s">
        <v>1739</v>
      </c>
      <c r="F355" s="38" t="s">
        <v>1740</v>
      </c>
      <c r="G355" s="39" t="s">
        <v>34</v>
      </c>
      <c r="H355" s="40">
        <v>46118</v>
      </c>
      <c r="I355" s="41">
        <v>46140</v>
      </c>
      <c r="J355" s="37" t="s">
        <v>96</v>
      </c>
      <c r="K355" s="37" t="s">
        <v>110</v>
      </c>
      <c r="L355" s="43" t="s">
        <v>159</v>
      </c>
      <c r="M355" s="43"/>
      <c r="N355" s="43"/>
      <c r="O355" s="42"/>
      <c r="P355" s="43" t="str">
        <f t="shared" si="5"/>
        <v>RET</v>
      </c>
    </row>
    <row r="356" spans="1:17" ht="98.25" customHeight="1" x14ac:dyDescent="0.25">
      <c r="A356" s="36" t="s">
        <v>1741</v>
      </c>
      <c r="B356" s="36" t="s">
        <v>1742</v>
      </c>
      <c r="C356" s="37" t="s">
        <v>1743</v>
      </c>
      <c r="D356" s="37" t="s">
        <v>1130</v>
      </c>
      <c r="E356" s="38" t="s">
        <v>1744</v>
      </c>
      <c r="F356" s="38" t="s">
        <v>1745</v>
      </c>
      <c r="G356" s="39" t="s">
        <v>34</v>
      </c>
      <c r="H356" s="40">
        <v>46118</v>
      </c>
      <c r="I356" s="41">
        <v>46140</v>
      </c>
      <c r="J356" s="37" t="s">
        <v>78</v>
      </c>
      <c r="K356" s="37" t="s">
        <v>87</v>
      </c>
      <c r="L356" s="43" t="s">
        <v>64</v>
      </c>
      <c r="M356" s="43"/>
      <c r="N356" s="43"/>
      <c r="O356" s="42"/>
      <c r="P356" s="43" t="str">
        <f t="shared" si="5"/>
        <v>ONAY</v>
      </c>
    </row>
    <row r="357" spans="1:17" ht="78.75" customHeight="1" x14ac:dyDescent="0.25">
      <c r="A357" s="36" t="s">
        <v>1746</v>
      </c>
      <c r="B357" s="36" t="s">
        <v>1747</v>
      </c>
      <c r="C357" s="46" t="s">
        <v>1748</v>
      </c>
      <c r="D357" s="46" t="s">
        <v>806</v>
      </c>
      <c r="E357" s="38" t="s">
        <v>1749</v>
      </c>
      <c r="F357" s="38" t="s">
        <v>1750</v>
      </c>
      <c r="G357" s="39" t="s">
        <v>34</v>
      </c>
      <c r="H357" s="40">
        <v>46118</v>
      </c>
      <c r="I357" s="41">
        <v>46140</v>
      </c>
      <c r="J357" s="37" t="s">
        <v>87</v>
      </c>
      <c r="K357" s="37" t="s">
        <v>86</v>
      </c>
      <c r="L357" s="43" t="s">
        <v>88</v>
      </c>
      <c r="M357" s="43"/>
      <c r="N357" s="43"/>
      <c r="O357" s="42"/>
      <c r="P357" s="43" t="str">
        <f t="shared" si="5"/>
        <v>DÜZELTME</v>
      </c>
    </row>
    <row r="358" spans="1:17" ht="78.75" customHeight="1" x14ac:dyDescent="0.25">
      <c r="A358" s="36" t="s">
        <v>1751</v>
      </c>
      <c r="B358" s="36" t="s">
        <v>1752</v>
      </c>
      <c r="C358" s="37" t="s">
        <v>1194</v>
      </c>
      <c r="D358" s="37" t="s">
        <v>209</v>
      </c>
      <c r="E358" s="38" t="s">
        <v>1753</v>
      </c>
      <c r="F358" s="38" t="s">
        <v>1754</v>
      </c>
      <c r="G358" s="39" t="s">
        <v>34</v>
      </c>
      <c r="H358" s="40">
        <v>46118</v>
      </c>
      <c r="I358" s="41">
        <v>46140</v>
      </c>
      <c r="J358" s="37" t="s">
        <v>103</v>
      </c>
      <c r="K358" s="37" t="s">
        <v>116</v>
      </c>
      <c r="L358" s="43" t="s">
        <v>64</v>
      </c>
      <c r="M358" s="43"/>
      <c r="N358" s="43"/>
      <c r="O358" s="42"/>
      <c r="P358" s="43" t="str">
        <f t="shared" si="5"/>
        <v>ONAY</v>
      </c>
    </row>
    <row r="359" spans="1:17" ht="63" customHeight="1" x14ac:dyDescent="0.25">
      <c r="A359" s="36" t="s">
        <v>1755</v>
      </c>
      <c r="B359" s="36" t="s">
        <v>1756</v>
      </c>
      <c r="C359" s="37" t="s">
        <v>371</v>
      </c>
      <c r="D359" s="37" t="s">
        <v>372</v>
      </c>
      <c r="E359" s="38" t="s">
        <v>1757</v>
      </c>
      <c r="F359" s="38" t="s">
        <v>1758</v>
      </c>
      <c r="G359" s="39" t="s">
        <v>34</v>
      </c>
      <c r="H359" s="40">
        <v>46118</v>
      </c>
      <c r="I359" s="41">
        <v>46140</v>
      </c>
      <c r="J359" s="37" t="s">
        <v>62</v>
      </c>
      <c r="K359" s="37" t="s">
        <v>110</v>
      </c>
      <c r="L359" s="43" t="s">
        <v>88</v>
      </c>
      <c r="M359" s="43" t="s">
        <v>88</v>
      </c>
      <c r="N359" s="43"/>
      <c r="O359" s="42"/>
      <c r="P359" s="43" t="str">
        <f t="shared" si="5"/>
        <v>DÜZELTME</v>
      </c>
    </row>
    <row r="360" spans="1:17" ht="63" customHeight="1" x14ac:dyDescent="0.25">
      <c r="A360" s="36" t="s">
        <v>1759</v>
      </c>
      <c r="B360" s="36" t="s">
        <v>1760</v>
      </c>
      <c r="C360" s="37" t="s">
        <v>196</v>
      </c>
      <c r="D360" s="37" t="s">
        <v>120</v>
      </c>
      <c r="E360" s="38" t="s">
        <v>1761</v>
      </c>
      <c r="F360" s="38" t="s">
        <v>1762</v>
      </c>
      <c r="G360" s="39" t="s">
        <v>35</v>
      </c>
      <c r="H360" s="40">
        <v>46118</v>
      </c>
      <c r="I360" s="41">
        <v>46140</v>
      </c>
      <c r="J360" s="37" t="s">
        <v>95</v>
      </c>
      <c r="K360" s="37" t="s">
        <v>79</v>
      </c>
      <c r="L360" s="43" t="s">
        <v>88</v>
      </c>
      <c r="M360" s="43" t="s">
        <v>64</v>
      </c>
      <c r="N360" s="43"/>
      <c r="O360" s="42"/>
      <c r="P360" s="43" t="str">
        <f t="shared" si="5"/>
        <v>ONAY</v>
      </c>
      <c r="Q360" s="26" t="s">
        <v>95</v>
      </c>
    </row>
    <row r="361" spans="1:17" ht="78.75" customHeight="1" x14ac:dyDescent="0.25">
      <c r="A361" s="36" t="s">
        <v>1763</v>
      </c>
      <c r="B361" s="36" t="s">
        <v>1764</v>
      </c>
      <c r="C361" s="37" t="s">
        <v>535</v>
      </c>
      <c r="D361" s="37" t="s">
        <v>180</v>
      </c>
      <c r="E361" s="38" t="s">
        <v>1765</v>
      </c>
      <c r="F361" s="38" t="s">
        <v>1766</v>
      </c>
      <c r="G361" s="39" t="s">
        <v>34</v>
      </c>
      <c r="H361" s="40">
        <v>46118</v>
      </c>
      <c r="I361" s="41">
        <v>46140</v>
      </c>
      <c r="J361" s="37" t="s">
        <v>78</v>
      </c>
      <c r="K361" s="37" t="s">
        <v>86</v>
      </c>
      <c r="L361" s="43" t="s">
        <v>88</v>
      </c>
      <c r="M361" s="43"/>
      <c r="N361" s="43"/>
      <c r="O361" s="42"/>
      <c r="P361" s="43" t="str">
        <f t="shared" si="5"/>
        <v>DÜZELTME</v>
      </c>
    </row>
    <row r="362" spans="1:17" ht="47.25" customHeight="1" x14ac:dyDescent="0.25">
      <c r="A362" s="36" t="s">
        <v>1767</v>
      </c>
      <c r="B362" s="36" t="s">
        <v>1768</v>
      </c>
      <c r="C362" s="37" t="s">
        <v>1339</v>
      </c>
      <c r="D362" s="37" t="s">
        <v>100</v>
      </c>
      <c r="E362" s="38" t="s">
        <v>1769</v>
      </c>
      <c r="F362" s="38" t="s">
        <v>1770</v>
      </c>
      <c r="G362" s="39" t="s">
        <v>34</v>
      </c>
      <c r="H362" s="40">
        <v>46119</v>
      </c>
      <c r="I362" s="41">
        <v>46140</v>
      </c>
      <c r="J362" s="37" t="s">
        <v>86</v>
      </c>
      <c r="K362" s="37" t="s">
        <v>71</v>
      </c>
      <c r="L362" s="43" t="s">
        <v>64</v>
      </c>
      <c r="M362" s="43"/>
      <c r="N362" s="43"/>
      <c r="O362" s="42"/>
      <c r="P362" s="43" t="str">
        <f t="shared" si="5"/>
        <v>ONAY</v>
      </c>
    </row>
    <row r="363" spans="1:17" ht="81" customHeight="1" x14ac:dyDescent="0.25">
      <c r="A363" s="36" t="s">
        <v>1771</v>
      </c>
      <c r="B363" s="36" t="s">
        <v>1772</v>
      </c>
      <c r="C363" s="37" t="s">
        <v>272</v>
      </c>
      <c r="D363" s="37" t="s">
        <v>209</v>
      </c>
      <c r="E363" s="38" t="s">
        <v>1773</v>
      </c>
      <c r="F363" s="38" t="s">
        <v>1774</v>
      </c>
      <c r="G363" s="39" t="s">
        <v>34</v>
      </c>
      <c r="H363" s="40">
        <v>46119</v>
      </c>
      <c r="I363" s="41">
        <v>46140</v>
      </c>
      <c r="J363" s="37" t="s">
        <v>96</v>
      </c>
      <c r="K363" s="37" t="s">
        <v>103</v>
      </c>
      <c r="L363" s="43" t="s">
        <v>193</v>
      </c>
      <c r="M363" s="43" t="s">
        <v>159</v>
      </c>
      <c r="N363" s="43"/>
      <c r="O363" s="42"/>
      <c r="P363" s="43" t="str">
        <f t="shared" si="5"/>
        <v>RET</v>
      </c>
    </row>
    <row r="364" spans="1:17" ht="78.75" customHeight="1" x14ac:dyDescent="0.25">
      <c r="A364" s="36" t="s">
        <v>1775</v>
      </c>
      <c r="B364" s="36" t="s">
        <v>1776</v>
      </c>
      <c r="C364" s="37" t="s">
        <v>1777</v>
      </c>
      <c r="D364" s="37" t="s">
        <v>209</v>
      </c>
      <c r="E364" s="38" t="s">
        <v>1778</v>
      </c>
      <c r="F364" s="38" t="s">
        <v>1779</v>
      </c>
      <c r="G364" s="39" t="s">
        <v>35</v>
      </c>
      <c r="H364" s="40">
        <v>46119</v>
      </c>
      <c r="I364" s="41">
        <v>46140</v>
      </c>
      <c r="J364" s="37" t="s">
        <v>116</v>
      </c>
      <c r="K364" s="37" t="s">
        <v>62</v>
      </c>
      <c r="L364" s="43" t="s">
        <v>64</v>
      </c>
      <c r="M364" s="43"/>
      <c r="N364" s="43"/>
      <c r="O364" s="42"/>
      <c r="P364" s="43" t="str">
        <f t="shared" si="5"/>
        <v>ONAY</v>
      </c>
    </row>
    <row r="365" spans="1:17" ht="47.25" customHeight="1" x14ac:dyDescent="0.25">
      <c r="A365" s="36" t="s">
        <v>1780</v>
      </c>
      <c r="B365" s="36" t="s">
        <v>1781</v>
      </c>
      <c r="C365" s="37" t="s">
        <v>1782</v>
      </c>
      <c r="D365" s="37" t="s">
        <v>100</v>
      </c>
      <c r="E365" s="38" t="s">
        <v>1783</v>
      </c>
      <c r="F365" s="38" t="s">
        <v>1784</v>
      </c>
      <c r="G365" s="39" t="s">
        <v>34</v>
      </c>
      <c r="H365" s="40">
        <v>46119</v>
      </c>
      <c r="I365" s="41">
        <v>46140</v>
      </c>
      <c r="J365" s="37" t="s">
        <v>87</v>
      </c>
      <c r="K365" s="37" t="s">
        <v>71</v>
      </c>
      <c r="L365" s="43" t="s">
        <v>64</v>
      </c>
      <c r="M365" s="43"/>
      <c r="N365" s="43"/>
      <c r="O365" s="42"/>
      <c r="P365" s="43" t="str">
        <f t="shared" si="5"/>
        <v>ONAY</v>
      </c>
    </row>
    <row r="366" spans="1:17" ht="47.25" customHeight="1" x14ac:dyDescent="0.25">
      <c r="A366" s="36" t="s">
        <v>1785</v>
      </c>
      <c r="B366" s="36" t="s">
        <v>1786</v>
      </c>
      <c r="C366" s="37" t="s">
        <v>1782</v>
      </c>
      <c r="D366" s="37" t="s">
        <v>100</v>
      </c>
      <c r="E366" s="38" t="s">
        <v>1783</v>
      </c>
      <c r="F366" s="38" t="s">
        <v>1787</v>
      </c>
      <c r="G366" s="39" t="s">
        <v>34</v>
      </c>
      <c r="H366" s="40">
        <v>46119</v>
      </c>
      <c r="I366" s="41">
        <v>46140</v>
      </c>
      <c r="J366" s="37" t="s">
        <v>86</v>
      </c>
      <c r="K366" s="37" t="s">
        <v>116</v>
      </c>
      <c r="L366" s="43" t="s">
        <v>159</v>
      </c>
      <c r="M366" s="43"/>
      <c r="N366" s="43"/>
      <c r="O366" s="42"/>
      <c r="P366" s="43" t="str">
        <f t="shared" si="5"/>
        <v>RET</v>
      </c>
    </row>
    <row r="367" spans="1:17" ht="63" customHeight="1" x14ac:dyDescent="0.25">
      <c r="A367" s="36" t="s">
        <v>1788</v>
      </c>
      <c r="B367" s="36" t="s">
        <v>1789</v>
      </c>
      <c r="C367" s="37" t="s">
        <v>944</v>
      </c>
      <c r="D367" s="37" t="s">
        <v>391</v>
      </c>
      <c r="E367" s="38" t="s">
        <v>1790</v>
      </c>
      <c r="F367" s="38" t="s">
        <v>1791</v>
      </c>
      <c r="G367" s="39" t="s">
        <v>34</v>
      </c>
      <c r="H367" s="40">
        <v>46119</v>
      </c>
      <c r="I367" s="41">
        <v>46140</v>
      </c>
      <c r="J367" s="37" t="s">
        <v>78</v>
      </c>
      <c r="K367" s="37" t="s">
        <v>110</v>
      </c>
      <c r="L367" s="43" t="s">
        <v>64</v>
      </c>
      <c r="M367" s="43"/>
      <c r="N367" s="43"/>
      <c r="O367" s="42"/>
      <c r="P367" s="43" t="str">
        <f t="shared" si="5"/>
        <v>ONAY</v>
      </c>
    </row>
    <row r="368" spans="1:17" ht="66" customHeight="1" x14ac:dyDescent="0.25">
      <c r="A368" s="36" t="s">
        <v>1792</v>
      </c>
      <c r="B368" s="36" t="s">
        <v>1793</v>
      </c>
      <c r="C368" s="37" t="s">
        <v>1794</v>
      </c>
      <c r="D368" s="37" t="s">
        <v>1025</v>
      </c>
      <c r="E368" s="38" t="s">
        <v>1795</v>
      </c>
      <c r="F368" s="38" t="s">
        <v>1796</v>
      </c>
      <c r="G368" s="39" t="s">
        <v>37</v>
      </c>
      <c r="H368" s="40">
        <v>46119</v>
      </c>
      <c r="I368" s="41">
        <v>46140</v>
      </c>
      <c r="J368" s="37" t="s">
        <v>62</v>
      </c>
      <c r="K368" s="37" t="s">
        <v>79</v>
      </c>
      <c r="L368" s="43" t="s">
        <v>64</v>
      </c>
      <c r="M368" s="43"/>
      <c r="N368" s="43"/>
      <c r="O368" s="42"/>
      <c r="P368" s="43" t="str">
        <f t="shared" si="5"/>
        <v>ONAY</v>
      </c>
    </row>
    <row r="369" spans="1:17" ht="63" customHeight="1" x14ac:dyDescent="0.25">
      <c r="A369" s="36" t="s">
        <v>1797</v>
      </c>
      <c r="B369" s="36" t="s">
        <v>1798</v>
      </c>
      <c r="C369" s="37" t="s">
        <v>366</v>
      </c>
      <c r="D369" s="37" t="s">
        <v>209</v>
      </c>
      <c r="E369" s="38" t="s">
        <v>1799</v>
      </c>
      <c r="F369" s="38" t="s">
        <v>1800</v>
      </c>
      <c r="G369" s="39" t="s">
        <v>34</v>
      </c>
      <c r="H369" s="40">
        <v>46119</v>
      </c>
      <c r="I369" s="41">
        <v>46140</v>
      </c>
      <c r="J369" s="37" t="s">
        <v>96</v>
      </c>
      <c r="K369" s="37" t="s">
        <v>71</v>
      </c>
      <c r="L369" s="43" t="s">
        <v>88</v>
      </c>
      <c r="M369" s="43" t="s">
        <v>64</v>
      </c>
      <c r="N369" s="43"/>
      <c r="O369" s="42"/>
      <c r="P369" s="43" t="str">
        <f t="shared" si="5"/>
        <v>ONAY</v>
      </c>
      <c r="Q369" s="26" t="s">
        <v>96</v>
      </c>
    </row>
    <row r="370" spans="1:17" ht="78.75" customHeight="1" x14ac:dyDescent="0.25">
      <c r="A370" s="36" t="s">
        <v>1801</v>
      </c>
      <c r="B370" s="36" t="s">
        <v>1802</v>
      </c>
      <c r="C370" s="37" t="s">
        <v>565</v>
      </c>
      <c r="D370" s="37" t="s">
        <v>100</v>
      </c>
      <c r="E370" s="38" t="s">
        <v>1803</v>
      </c>
      <c r="F370" s="38" t="s">
        <v>1804</v>
      </c>
      <c r="G370" s="39" t="s">
        <v>34</v>
      </c>
      <c r="H370" s="40">
        <v>46119</v>
      </c>
      <c r="I370" s="41">
        <v>46140</v>
      </c>
      <c r="J370" s="37" t="s">
        <v>95</v>
      </c>
      <c r="K370" s="37" t="s">
        <v>110</v>
      </c>
      <c r="L370" s="43" t="s">
        <v>64</v>
      </c>
      <c r="M370" s="43"/>
      <c r="N370" s="43"/>
      <c r="O370" s="42"/>
      <c r="P370" s="43" t="str">
        <f t="shared" si="5"/>
        <v>ONAY</v>
      </c>
    </row>
    <row r="371" spans="1:17" ht="63" customHeight="1" x14ac:dyDescent="0.25">
      <c r="A371" s="36" t="s">
        <v>1805</v>
      </c>
      <c r="B371" s="36" t="s">
        <v>1806</v>
      </c>
      <c r="C371" s="37" t="s">
        <v>1807</v>
      </c>
      <c r="D371" s="37" t="s">
        <v>1808</v>
      </c>
      <c r="E371" s="38" t="s">
        <v>1809</v>
      </c>
      <c r="F371" s="38" t="s">
        <v>1810</v>
      </c>
      <c r="G371" s="39" t="s">
        <v>34</v>
      </c>
      <c r="H371" s="40">
        <v>46119</v>
      </c>
      <c r="I371" s="41">
        <v>46140</v>
      </c>
      <c r="J371" s="37" t="s">
        <v>78</v>
      </c>
      <c r="K371" s="37" t="s">
        <v>79</v>
      </c>
      <c r="L371" s="43" t="s">
        <v>64</v>
      </c>
      <c r="M371" s="43"/>
      <c r="N371" s="43"/>
      <c r="O371" s="42"/>
      <c r="P371" s="43" t="str">
        <f t="shared" si="5"/>
        <v>ONAY</v>
      </c>
    </row>
    <row r="372" spans="1:17" ht="63" customHeight="1" x14ac:dyDescent="0.25">
      <c r="A372" s="36" t="s">
        <v>1811</v>
      </c>
      <c r="B372" s="36" t="s">
        <v>1812</v>
      </c>
      <c r="C372" s="37" t="s">
        <v>311</v>
      </c>
      <c r="D372" s="37" t="s">
        <v>312</v>
      </c>
      <c r="E372" s="38" t="s">
        <v>1813</v>
      </c>
      <c r="F372" s="38" t="s">
        <v>1814</v>
      </c>
      <c r="G372" s="39" t="s">
        <v>35</v>
      </c>
      <c r="H372" s="40">
        <v>46119</v>
      </c>
      <c r="I372" s="41">
        <v>46140</v>
      </c>
      <c r="J372" s="37" t="s">
        <v>95</v>
      </c>
      <c r="K372" s="37" t="s">
        <v>103</v>
      </c>
      <c r="L372" s="43" t="s">
        <v>64</v>
      </c>
      <c r="M372" s="43"/>
      <c r="N372" s="43"/>
      <c r="O372" s="42"/>
      <c r="P372" s="43" t="str">
        <f t="shared" si="5"/>
        <v>ONAY</v>
      </c>
    </row>
    <row r="373" spans="1:17" ht="78.75" customHeight="1" x14ac:dyDescent="0.25">
      <c r="A373" s="36" t="s">
        <v>1815</v>
      </c>
      <c r="B373" s="36" t="s">
        <v>1816</v>
      </c>
      <c r="C373" s="37" t="s">
        <v>179</v>
      </c>
      <c r="D373" s="37" t="s">
        <v>180</v>
      </c>
      <c r="E373" s="38" t="s">
        <v>1817</v>
      </c>
      <c r="F373" s="38" t="s">
        <v>1818</v>
      </c>
      <c r="G373" s="39" t="s">
        <v>34</v>
      </c>
      <c r="H373" s="40">
        <v>46119</v>
      </c>
      <c r="I373" s="41">
        <v>46140</v>
      </c>
      <c r="J373" s="37" t="s">
        <v>78</v>
      </c>
      <c r="K373" s="37" t="s">
        <v>87</v>
      </c>
      <c r="L373" s="43" t="s">
        <v>88</v>
      </c>
      <c r="M373" s="43"/>
      <c r="N373" s="43"/>
      <c r="O373" s="42"/>
      <c r="P373" s="43" t="str">
        <f t="shared" si="5"/>
        <v>DÜZELTME</v>
      </c>
    </row>
    <row r="374" spans="1:17" ht="78.75" customHeight="1" x14ac:dyDescent="0.25">
      <c r="A374" s="36" t="s">
        <v>1819</v>
      </c>
      <c r="B374" s="36" t="s">
        <v>1820</v>
      </c>
      <c r="C374" s="37" t="s">
        <v>1821</v>
      </c>
      <c r="D374" s="37" t="s">
        <v>75</v>
      </c>
      <c r="E374" s="38" t="s">
        <v>1822</v>
      </c>
      <c r="F374" s="38" t="s">
        <v>1823</v>
      </c>
      <c r="G374" s="39" t="s">
        <v>35</v>
      </c>
      <c r="H374" s="40">
        <v>46119</v>
      </c>
      <c r="I374" s="41">
        <v>46140</v>
      </c>
      <c r="J374" s="37" t="s">
        <v>79</v>
      </c>
      <c r="K374" s="37" t="s">
        <v>95</v>
      </c>
      <c r="L374" s="43" t="s">
        <v>88</v>
      </c>
      <c r="M374" s="43" t="s">
        <v>64</v>
      </c>
      <c r="N374" s="43"/>
      <c r="O374" s="42"/>
      <c r="P374" s="43" t="str">
        <f t="shared" si="5"/>
        <v>ONAY</v>
      </c>
      <c r="Q374" s="26" t="s">
        <v>95</v>
      </c>
    </row>
    <row r="375" spans="1:17" ht="63" customHeight="1" x14ac:dyDescent="0.25">
      <c r="A375" s="36" t="s">
        <v>1824</v>
      </c>
      <c r="B375" s="36" t="s">
        <v>1825</v>
      </c>
      <c r="C375" s="37" t="s">
        <v>1194</v>
      </c>
      <c r="D375" s="37" t="s">
        <v>209</v>
      </c>
      <c r="E375" s="38" t="s">
        <v>1826</v>
      </c>
      <c r="F375" s="38" t="s">
        <v>1827</v>
      </c>
      <c r="G375" s="39" t="s">
        <v>35</v>
      </c>
      <c r="H375" s="40">
        <v>46119</v>
      </c>
      <c r="I375" s="41">
        <v>46140</v>
      </c>
      <c r="J375" s="37" t="s">
        <v>62</v>
      </c>
      <c r="K375" s="37" t="s">
        <v>86</v>
      </c>
      <c r="L375" s="43" t="s">
        <v>64</v>
      </c>
      <c r="M375" s="43"/>
      <c r="N375" s="43"/>
      <c r="O375" s="42"/>
      <c r="P375" s="43" t="str">
        <f t="shared" si="5"/>
        <v>ONAY</v>
      </c>
    </row>
    <row r="376" spans="1:17" ht="78.75" customHeight="1" x14ac:dyDescent="0.25">
      <c r="A376" s="36" t="s">
        <v>1828</v>
      </c>
      <c r="B376" s="36" t="s">
        <v>1829</v>
      </c>
      <c r="C376" s="37" t="s">
        <v>1830</v>
      </c>
      <c r="D376" s="37" t="s">
        <v>120</v>
      </c>
      <c r="E376" s="38" t="s">
        <v>1831</v>
      </c>
      <c r="F376" s="38" t="s">
        <v>1832</v>
      </c>
      <c r="G376" s="39" t="s">
        <v>34</v>
      </c>
      <c r="H376" s="40">
        <v>46119</v>
      </c>
      <c r="I376" s="41">
        <v>46140</v>
      </c>
      <c r="J376" s="37" t="s">
        <v>95</v>
      </c>
      <c r="K376" s="37" t="s">
        <v>116</v>
      </c>
      <c r="L376" s="43" t="s">
        <v>64</v>
      </c>
      <c r="M376" s="43"/>
      <c r="N376" s="43"/>
      <c r="O376" s="42"/>
      <c r="P376" s="43" t="str">
        <f t="shared" si="5"/>
        <v>ONAY</v>
      </c>
    </row>
    <row r="377" spans="1:17" ht="63" customHeight="1" x14ac:dyDescent="0.25">
      <c r="A377" s="36" t="s">
        <v>1833</v>
      </c>
      <c r="B377" s="36" t="s">
        <v>1834</v>
      </c>
      <c r="C377" s="37" t="s">
        <v>179</v>
      </c>
      <c r="D377" s="37" t="s">
        <v>180</v>
      </c>
      <c r="E377" s="38" t="s">
        <v>1835</v>
      </c>
      <c r="F377" s="38" t="s">
        <v>1836</v>
      </c>
      <c r="G377" s="39" t="s">
        <v>34</v>
      </c>
      <c r="H377" s="40">
        <v>46119</v>
      </c>
      <c r="I377" s="41">
        <v>46140</v>
      </c>
      <c r="J377" s="37" t="s">
        <v>78</v>
      </c>
      <c r="K377" s="37" t="s">
        <v>87</v>
      </c>
      <c r="L377" s="43" t="s">
        <v>88</v>
      </c>
      <c r="M377" s="43"/>
      <c r="N377" s="43"/>
      <c r="O377" s="42"/>
      <c r="P377" s="43" t="str">
        <f t="shared" si="5"/>
        <v>DÜZELTME</v>
      </c>
    </row>
    <row r="378" spans="1:17" ht="94.5" customHeight="1" x14ac:dyDescent="0.25">
      <c r="A378" s="36" t="s">
        <v>1837</v>
      </c>
      <c r="B378" s="36" t="s">
        <v>1838</v>
      </c>
      <c r="C378" s="37" t="s">
        <v>289</v>
      </c>
      <c r="D378" s="37" t="s">
        <v>209</v>
      </c>
      <c r="E378" s="38" t="s">
        <v>1839</v>
      </c>
      <c r="F378" s="38" t="s">
        <v>1840</v>
      </c>
      <c r="G378" s="39" t="s">
        <v>34</v>
      </c>
      <c r="H378" s="40">
        <v>46119</v>
      </c>
      <c r="I378" s="41">
        <v>46140</v>
      </c>
      <c r="J378" s="37" t="s">
        <v>103</v>
      </c>
      <c r="K378" s="37" t="s">
        <v>96</v>
      </c>
      <c r="L378" s="43" t="s">
        <v>88</v>
      </c>
      <c r="M378" s="43"/>
      <c r="N378" s="43"/>
      <c r="O378" s="42"/>
      <c r="P378" s="43" t="str">
        <f t="shared" si="5"/>
        <v>DÜZELTME</v>
      </c>
    </row>
    <row r="379" spans="1:17" ht="63" customHeight="1" x14ac:dyDescent="0.25">
      <c r="A379" s="36" t="s">
        <v>1841</v>
      </c>
      <c r="B379" s="36" t="s">
        <v>1842</v>
      </c>
      <c r="C379" s="37" t="s">
        <v>620</v>
      </c>
      <c r="D379" s="37" t="s">
        <v>215</v>
      </c>
      <c r="E379" s="38" t="s">
        <v>1843</v>
      </c>
      <c r="F379" s="38" t="s">
        <v>1844</v>
      </c>
      <c r="G379" s="39" t="s">
        <v>34</v>
      </c>
      <c r="H379" s="40">
        <v>46119</v>
      </c>
      <c r="I379" s="41">
        <v>46140</v>
      </c>
      <c r="J379" s="37" t="s">
        <v>71</v>
      </c>
      <c r="K379" s="37" t="s">
        <v>116</v>
      </c>
      <c r="L379" s="43" t="s">
        <v>64</v>
      </c>
      <c r="M379" s="43"/>
      <c r="N379" s="43"/>
      <c r="O379" s="42"/>
      <c r="P379" s="43" t="str">
        <f t="shared" si="5"/>
        <v>ONAY</v>
      </c>
    </row>
    <row r="380" spans="1:17" ht="63" customHeight="1" x14ac:dyDescent="0.25">
      <c r="A380" s="36" t="s">
        <v>1845</v>
      </c>
      <c r="B380" s="36" t="s">
        <v>1846</v>
      </c>
      <c r="C380" s="37" t="s">
        <v>230</v>
      </c>
      <c r="D380" s="37" t="s">
        <v>100</v>
      </c>
      <c r="E380" s="38" t="s">
        <v>1847</v>
      </c>
      <c r="F380" s="38" t="s">
        <v>1848</v>
      </c>
      <c r="G380" s="39" t="s">
        <v>34</v>
      </c>
      <c r="H380" s="40">
        <v>46120</v>
      </c>
      <c r="I380" s="41">
        <v>46140</v>
      </c>
      <c r="J380" s="37" t="s">
        <v>96</v>
      </c>
      <c r="K380" s="37" t="s">
        <v>86</v>
      </c>
      <c r="L380" s="43" t="s">
        <v>193</v>
      </c>
      <c r="M380" s="43" t="s">
        <v>88</v>
      </c>
      <c r="N380" s="43" t="s">
        <v>64</v>
      </c>
      <c r="O380" s="42"/>
      <c r="P380" s="43" t="str">
        <f t="shared" si="5"/>
        <v>ONAY</v>
      </c>
      <c r="Q380" s="26" t="s">
        <v>96</v>
      </c>
    </row>
    <row r="381" spans="1:17" ht="78.75" customHeight="1" x14ac:dyDescent="0.25">
      <c r="A381" s="36" t="s">
        <v>1849</v>
      </c>
      <c r="B381" s="36" t="s">
        <v>1850</v>
      </c>
      <c r="C381" s="37" t="s">
        <v>1851</v>
      </c>
      <c r="D381" s="37" t="s">
        <v>1155</v>
      </c>
      <c r="E381" s="38" t="s">
        <v>1852</v>
      </c>
      <c r="F381" s="38" t="s">
        <v>1853</v>
      </c>
      <c r="G381" s="39" t="s">
        <v>34</v>
      </c>
      <c r="H381" s="40">
        <v>46120</v>
      </c>
      <c r="I381" s="41">
        <v>46140</v>
      </c>
      <c r="J381" s="37" t="s">
        <v>62</v>
      </c>
      <c r="K381" s="37" t="s">
        <v>103</v>
      </c>
      <c r="L381" s="43" t="s">
        <v>64</v>
      </c>
      <c r="M381" s="43"/>
      <c r="N381" s="43"/>
      <c r="O381" s="42"/>
      <c r="P381" s="43" t="str">
        <f t="shared" si="5"/>
        <v>ONAY</v>
      </c>
    </row>
    <row r="382" spans="1:17" ht="63" customHeight="1" x14ac:dyDescent="0.25">
      <c r="A382" s="36" t="s">
        <v>1854</v>
      </c>
      <c r="B382" s="36" t="s">
        <v>1855</v>
      </c>
      <c r="C382" s="37" t="s">
        <v>1413</v>
      </c>
      <c r="D382" s="37" t="s">
        <v>953</v>
      </c>
      <c r="E382" s="38" t="s">
        <v>1856</v>
      </c>
      <c r="F382" s="38" t="s">
        <v>1857</v>
      </c>
      <c r="G382" s="39" t="s">
        <v>35</v>
      </c>
      <c r="H382" s="40">
        <v>46121</v>
      </c>
      <c r="I382" s="41">
        <v>46140</v>
      </c>
      <c r="J382" s="37" t="s">
        <v>96</v>
      </c>
      <c r="K382" s="37" t="s">
        <v>87</v>
      </c>
      <c r="L382" s="43" t="s">
        <v>193</v>
      </c>
      <c r="M382" s="43" t="s">
        <v>88</v>
      </c>
      <c r="N382" s="43" t="s">
        <v>88</v>
      </c>
      <c r="O382" s="42"/>
      <c r="P382" s="43" t="str">
        <f t="shared" si="5"/>
        <v>DÜZELTME</v>
      </c>
    </row>
    <row r="383" spans="1:17" ht="63" customHeight="1" x14ac:dyDescent="0.25">
      <c r="A383" s="36" t="s">
        <v>1858</v>
      </c>
      <c r="B383" s="36" t="s">
        <v>1859</v>
      </c>
      <c r="C383" s="37" t="s">
        <v>1860</v>
      </c>
      <c r="D383" s="37" t="s">
        <v>471</v>
      </c>
      <c r="E383" s="38" t="s">
        <v>1861</v>
      </c>
      <c r="F383" s="38" t="s">
        <v>1862</v>
      </c>
      <c r="G383" s="39" t="s">
        <v>35</v>
      </c>
      <c r="H383" s="40">
        <v>46121</v>
      </c>
      <c r="I383" s="41">
        <v>46140</v>
      </c>
      <c r="J383" s="37" t="s">
        <v>110</v>
      </c>
      <c r="K383" s="37" t="s">
        <v>71</v>
      </c>
      <c r="L383" s="43" t="s">
        <v>64</v>
      </c>
      <c r="M383" s="43"/>
      <c r="N383" s="43"/>
      <c r="O383" s="42"/>
      <c r="P383" s="43" t="str">
        <f t="shared" si="5"/>
        <v>ONAY</v>
      </c>
    </row>
    <row r="384" spans="1:17" ht="78.75" customHeight="1" x14ac:dyDescent="0.25">
      <c r="A384" s="36" t="s">
        <v>1863</v>
      </c>
      <c r="B384" s="36" t="s">
        <v>1864</v>
      </c>
      <c r="C384" s="37" t="s">
        <v>1418</v>
      </c>
      <c r="D384" s="37" t="s">
        <v>100</v>
      </c>
      <c r="E384" s="38" t="s">
        <v>1865</v>
      </c>
      <c r="F384" s="38" t="s">
        <v>1866</v>
      </c>
      <c r="G384" s="39" t="s">
        <v>34</v>
      </c>
      <c r="H384" s="40">
        <v>46121</v>
      </c>
      <c r="I384" s="41">
        <v>46140</v>
      </c>
      <c r="J384" s="37" t="s">
        <v>103</v>
      </c>
      <c r="K384" s="37" t="s">
        <v>79</v>
      </c>
      <c r="L384" s="43" t="s">
        <v>64</v>
      </c>
      <c r="M384" s="43"/>
      <c r="N384" s="43"/>
      <c r="O384" s="42"/>
      <c r="P384" s="43" t="str">
        <f t="shared" si="5"/>
        <v>ONAY</v>
      </c>
    </row>
    <row r="385" spans="1:17" ht="80.25" customHeight="1" x14ac:dyDescent="0.25">
      <c r="A385" s="36" t="s">
        <v>1867</v>
      </c>
      <c r="B385" s="36" t="s">
        <v>1868</v>
      </c>
      <c r="C385" s="37" t="s">
        <v>1694</v>
      </c>
      <c r="D385" s="37" t="s">
        <v>100</v>
      </c>
      <c r="E385" s="38" t="s">
        <v>1869</v>
      </c>
      <c r="F385" s="38" t="s">
        <v>1870</v>
      </c>
      <c r="G385" s="39" t="s">
        <v>34</v>
      </c>
      <c r="H385" s="40">
        <v>46121</v>
      </c>
      <c r="I385" s="41">
        <v>46140</v>
      </c>
      <c r="J385" s="37" t="s">
        <v>116</v>
      </c>
      <c r="K385" s="37" t="s">
        <v>62</v>
      </c>
      <c r="L385" s="43" t="s">
        <v>88</v>
      </c>
      <c r="M385" s="43"/>
      <c r="N385" s="43"/>
      <c r="O385" s="42"/>
      <c r="P385" s="43" t="str">
        <f t="shared" si="5"/>
        <v>DÜZELTME</v>
      </c>
    </row>
    <row r="386" spans="1:17" ht="63" customHeight="1" x14ac:dyDescent="0.25">
      <c r="A386" s="36" t="s">
        <v>1871</v>
      </c>
      <c r="B386" s="36" t="s">
        <v>1872</v>
      </c>
      <c r="C386" s="37" t="s">
        <v>506</v>
      </c>
      <c r="D386" s="37" t="s">
        <v>351</v>
      </c>
      <c r="E386" s="38" t="s">
        <v>1873</v>
      </c>
      <c r="F386" s="38" t="s">
        <v>1874</v>
      </c>
      <c r="G386" s="39" t="s">
        <v>34</v>
      </c>
      <c r="H386" s="40">
        <v>46121</v>
      </c>
      <c r="I386" s="41">
        <v>46140</v>
      </c>
      <c r="J386" s="37" t="s">
        <v>95</v>
      </c>
      <c r="K386" s="37" t="s">
        <v>116</v>
      </c>
      <c r="L386" s="43" t="s">
        <v>64</v>
      </c>
      <c r="M386" s="43"/>
      <c r="N386" s="43"/>
      <c r="O386" s="42"/>
      <c r="P386" s="43" t="str">
        <f t="shared" ref="P386:P449" si="6">IF(O386&lt;&gt;"",O386, IF(N386&lt;&gt;"",N386, IF(M386&lt;&gt;"",M386, L386)))</f>
        <v>ONAY</v>
      </c>
    </row>
    <row r="387" spans="1:17" ht="63" customHeight="1" x14ac:dyDescent="0.25">
      <c r="A387" s="36" t="s">
        <v>1875</v>
      </c>
      <c r="B387" s="36" t="s">
        <v>1876</v>
      </c>
      <c r="C387" s="37" t="s">
        <v>311</v>
      </c>
      <c r="D387" s="37" t="s">
        <v>312</v>
      </c>
      <c r="E387" s="38" t="s">
        <v>1877</v>
      </c>
      <c r="F387" s="38" t="s">
        <v>1878</v>
      </c>
      <c r="G387" s="39" t="s">
        <v>35</v>
      </c>
      <c r="H387" s="40">
        <v>46122</v>
      </c>
      <c r="I387" s="41">
        <v>46140</v>
      </c>
      <c r="J387" s="37" t="s">
        <v>86</v>
      </c>
      <c r="K387" s="37" t="s">
        <v>110</v>
      </c>
      <c r="L387" s="43" t="s">
        <v>64</v>
      </c>
      <c r="M387" s="43"/>
      <c r="N387" s="43"/>
      <c r="O387" s="42"/>
      <c r="P387" s="43" t="str">
        <f t="shared" si="6"/>
        <v>ONAY</v>
      </c>
    </row>
    <row r="388" spans="1:17" ht="94.5" customHeight="1" x14ac:dyDescent="0.25">
      <c r="A388" s="36" t="s">
        <v>1879</v>
      </c>
      <c r="B388" s="36" t="s">
        <v>1880</v>
      </c>
      <c r="C388" s="37" t="s">
        <v>1881</v>
      </c>
      <c r="D388" s="37" t="s">
        <v>1882</v>
      </c>
      <c r="E388" s="38" t="s">
        <v>1883</v>
      </c>
      <c r="F388" s="38" t="s">
        <v>1884</v>
      </c>
      <c r="G388" s="39" t="s">
        <v>36</v>
      </c>
      <c r="H388" s="40">
        <v>46125</v>
      </c>
      <c r="I388" s="41">
        <v>46140</v>
      </c>
      <c r="J388" s="37" t="s">
        <v>103</v>
      </c>
      <c r="K388" s="37" t="s">
        <v>71</v>
      </c>
      <c r="L388" s="43" t="s">
        <v>88</v>
      </c>
      <c r="M388" s="43" t="s">
        <v>64</v>
      </c>
      <c r="N388" s="43"/>
      <c r="O388" s="42"/>
      <c r="P388" s="43" t="str">
        <f t="shared" si="6"/>
        <v>ONAY</v>
      </c>
      <c r="Q388" s="26" t="s">
        <v>71</v>
      </c>
    </row>
    <row r="389" spans="1:17" ht="78.75" customHeight="1" x14ac:dyDescent="0.25">
      <c r="A389" s="36" t="s">
        <v>1885</v>
      </c>
      <c r="B389" s="36" t="s">
        <v>1886</v>
      </c>
      <c r="C389" s="37" t="s">
        <v>1234</v>
      </c>
      <c r="D389" s="37" t="s">
        <v>209</v>
      </c>
      <c r="E389" s="38" t="s">
        <v>1887</v>
      </c>
      <c r="F389" s="38" t="s">
        <v>1888</v>
      </c>
      <c r="G389" s="39" t="s">
        <v>34</v>
      </c>
      <c r="H389" s="40">
        <v>46125</v>
      </c>
      <c r="I389" s="41">
        <v>46140</v>
      </c>
      <c r="J389" s="37" t="s">
        <v>78</v>
      </c>
      <c r="K389" s="37" t="s">
        <v>110</v>
      </c>
      <c r="L389" s="43" t="s">
        <v>64</v>
      </c>
      <c r="M389" s="43"/>
      <c r="N389" s="43"/>
      <c r="O389" s="42"/>
      <c r="P389" s="43" t="str">
        <f t="shared" si="6"/>
        <v>ONAY</v>
      </c>
    </row>
    <row r="390" spans="1:17" ht="78.75" customHeight="1" x14ac:dyDescent="0.25">
      <c r="A390" s="36" t="s">
        <v>1889</v>
      </c>
      <c r="B390" s="36" t="s">
        <v>1890</v>
      </c>
      <c r="C390" s="37" t="s">
        <v>1234</v>
      </c>
      <c r="D390" s="37" t="s">
        <v>209</v>
      </c>
      <c r="E390" s="38" t="s">
        <v>1891</v>
      </c>
      <c r="F390" s="38" t="s">
        <v>1892</v>
      </c>
      <c r="G390" s="39" t="s">
        <v>34</v>
      </c>
      <c r="H390" s="40">
        <v>46125</v>
      </c>
      <c r="I390" s="41">
        <v>46140</v>
      </c>
      <c r="J390" s="37" t="s">
        <v>78</v>
      </c>
      <c r="K390" s="37" t="s">
        <v>110</v>
      </c>
      <c r="L390" s="43" t="s">
        <v>88</v>
      </c>
      <c r="M390" s="43" t="s">
        <v>64</v>
      </c>
      <c r="N390" s="43"/>
      <c r="O390" s="42"/>
      <c r="P390" s="43" t="str">
        <f t="shared" si="6"/>
        <v>ONAY</v>
      </c>
      <c r="Q390" s="26" t="s">
        <v>110</v>
      </c>
    </row>
    <row r="391" spans="1:17" ht="96" customHeight="1" x14ac:dyDescent="0.25">
      <c r="A391" s="36" t="s">
        <v>1893</v>
      </c>
      <c r="B391" s="36" t="s">
        <v>1894</v>
      </c>
      <c r="C391" s="37" t="s">
        <v>1576</v>
      </c>
      <c r="D391" s="37" t="s">
        <v>328</v>
      </c>
      <c r="E391" s="38" t="s">
        <v>1895</v>
      </c>
      <c r="F391" s="38" t="s">
        <v>1896</v>
      </c>
      <c r="G391" s="39" t="s">
        <v>35</v>
      </c>
      <c r="H391" s="40">
        <v>46125</v>
      </c>
      <c r="I391" s="41">
        <v>46140</v>
      </c>
      <c r="J391" s="37" t="s">
        <v>116</v>
      </c>
      <c r="K391" s="37" t="s">
        <v>71</v>
      </c>
      <c r="L391" s="43" t="s">
        <v>88</v>
      </c>
      <c r="M391" s="43" t="s">
        <v>64</v>
      </c>
      <c r="N391" s="43"/>
      <c r="O391" s="42"/>
      <c r="P391" s="43" t="str">
        <f t="shared" si="6"/>
        <v>ONAY</v>
      </c>
      <c r="Q391" s="26" t="s">
        <v>71</v>
      </c>
    </row>
    <row r="392" spans="1:17" ht="63" customHeight="1" x14ac:dyDescent="0.25">
      <c r="A392" s="36" t="s">
        <v>1897</v>
      </c>
      <c r="B392" s="36" t="s">
        <v>1898</v>
      </c>
      <c r="C392" s="37" t="s">
        <v>247</v>
      </c>
      <c r="D392" s="37" t="s">
        <v>156</v>
      </c>
      <c r="E392" s="38" t="s">
        <v>1899</v>
      </c>
      <c r="F392" s="38" t="s">
        <v>1900</v>
      </c>
      <c r="G392" s="39" t="s">
        <v>34</v>
      </c>
      <c r="H392" s="40">
        <v>46126</v>
      </c>
      <c r="I392" s="41">
        <v>46140</v>
      </c>
      <c r="J392" s="37" t="s">
        <v>62</v>
      </c>
      <c r="K392" s="37" t="s">
        <v>87</v>
      </c>
      <c r="L392" s="43" t="s">
        <v>64</v>
      </c>
      <c r="M392" s="43"/>
      <c r="N392" s="43"/>
      <c r="O392" s="42"/>
      <c r="P392" s="43" t="str">
        <f t="shared" si="6"/>
        <v>ONAY</v>
      </c>
    </row>
    <row r="393" spans="1:17" ht="63" customHeight="1" x14ac:dyDescent="0.25">
      <c r="A393" s="36" t="s">
        <v>1901</v>
      </c>
      <c r="B393" s="36" t="s">
        <v>1902</v>
      </c>
      <c r="C393" s="37" t="s">
        <v>787</v>
      </c>
      <c r="D393" s="37" t="s">
        <v>384</v>
      </c>
      <c r="E393" s="38" t="s">
        <v>1903</v>
      </c>
      <c r="F393" s="38" t="s">
        <v>1904</v>
      </c>
      <c r="G393" s="39" t="s">
        <v>34</v>
      </c>
      <c r="H393" s="40">
        <v>46127</v>
      </c>
      <c r="I393" s="41">
        <v>46140</v>
      </c>
      <c r="J393" s="37" t="s">
        <v>96</v>
      </c>
      <c r="K393" s="37" t="s">
        <v>79</v>
      </c>
      <c r="L393" s="43" t="s">
        <v>88</v>
      </c>
      <c r="M393" s="43" t="s">
        <v>64</v>
      </c>
      <c r="N393" s="43"/>
      <c r="O393" s="42"/>
      <c r="P393" s="43" t="str">
        <f t="shared" si="6"/>
        <v>ONAY</v>
      </c>
      <c r="Q393" s="26" t="s">
        <v>96</v>
      </c>
    </row>
    <row r="394" spans="1:17" ht="47.25" customHeight="1" x14ac:dyDescent="0.25">
      <c r="A394" s="36" t="s">
        <v>1905</v>
      </c>
      <c r="B394" s="36" t="s">
        <v>1906</v>
      </c>
      <c r="C394" s="37" t="s">
        <v>1907</v>
      </c>
      <c r="D394" s="37" t="s">
        <v>75</v>
      </c>
      <c r="E394" s="38" t="s">
        <v>1908</v>
      </c>
      <c r="F394" s="38" t="s">
        <v>1909</v>
      </c>
      <c r="G394" s="39" t="s">
        <v>34</v>
      </c>
      <c r="H394" s="40">
        <v>46127</v>
      </c>
      <c r="I394" s="41">
        <v>46140</v>
      </c>
      <c r="J394" s="37" t="s">
        <v>79</v>
      </c>
      <c r="K394" s="37" t="s">
        <v>87</v>
      </c>
      <c r="L394" s="43" t="s">
        <v>64</v>
      </c>
      <c r="M394" s="43"/>
      <c r="N394" s="43"/>
      <c r="O394" s="42"/>
      <c r="P394" s="43" t="str">
        <f t="shared" si="6"/>
        <v>ONAY</v>
      </c>
    </row>
    <row r="395" spans="1:17" ht="63" customHeight="1" x14ac:dyDescent="0.25">
      <c r="A395" s="36" t="s">
        <v>1910</v>
      </c>
      <c r="B395" s="36" t="s">
        <v>1911</v>
      </c>
      <c r="C395" s="37" t="s">
        <v>1912</v>
      </c>
      <c r="D395" s="37" t="s">
        <v>75</v>
      </c>
      <c r="E395" s="38" t="s">
        <v>1913</v>
      </c>
      <c r="F395" s="38" t="s">
        <v>1914</v>
      </c>
      <c r="G395" s="39" t="s">
        <v>34</v>
      </c>
      <c r="H395" s="40">
        <v>46127</v>
      </c>
      <c r="I395" s="41">
        <v>46140</v>
      </c>
      <c r="J395" s="37" t="s">
        <v>79</v>
      </c>
      <c r="K395" s="37" t="s">
        <v>116</v>
      </c>
      <c r="L395" s="43" t="s">
        <v>64</v>
      </c>
      <c r="M395" s="43"/>
      <c r="N395" s="43"/>
      <c r="O395" s="42"/>
      <c r="P395" s="43" t="str">
        <f t="shared" si="6"/>
        <v>ONAY</v>
      </c>
    </row>
    <row r="396" spans="1:17" ht="63" customHeight="1" x14ac:dyDescent="0.25">
      <c r="A396" s="36" t="s">
        <v>1915</v>
      </c>
      <c r="B396" s="36" t="s">
        <v>1916</v>
      </c>
      <c r="C396" s="37" t="s">
        <v>87</v>
      </c>
      <c r="D396" s="37" t="s">
        <v>120</v>
      </c>
      <c r="E396" s="38" t="s">
        <v>1917</v>
      </c>
      <c r="F396" s="38" t="s">
        <v>1918</v>
      </c>
      <c r="G396" s="39" t="s">
        <v>35</v>
      </c>
      <c r="H396" s="40">
        <v>46127</v>
      </c>
      <c r="I396" s="41">
        <v>46140</v>
      </c>
      <c r="J396" s="37" t="s">
        <v>95</v>
      </c>
      <c r="K396" s="37" t="s">
        <v>86</v>
      </c>
      <c r="L396" s="43" t="s">
        <v>64</v>
      </c>
      <c r="M396" s="43"/>
      <c r="N396" s="43"/>
      <c r="O396" s="42"/>
      <c r="P396" s="43" t="str">
        <f t="shared" si="6"/>
        <v>ONAY</v>
      </c>
    </row>
    <row r="397" spans="1:17" ht="79.5" customHeight="1" x14ac:dyDescent="0.25">
      <c r="A397" s="36" t="s">
        <v>1919</v>
      </c>
      <c r="B397" s="36" t="s">
        <v>1920</v>
      </c>
      <c r="C397" s="37" t="s">
        <v>1039</v>
      </c>
      <c r="D397" s="37" t="s">
        <v>100</v>
      </c>
      <c r="E397" s="38" t="s">
        <v>1629</v>
      </c>
      <c r="F397" s="38" t="s">
        <v>1921</v>
      </c>
      <c r="G397" s="39" t="s">
        <v>34</v>
      </c>
      <c r="H397" s="40">
        <v>46127</v>
      </c>
      <c r="I397" s="41">
        <v>46140</v>
      </c>
      <c r="J397" s="37" t="s">
        <v>78</v>
      </c>
      <c r="K397" s="37" t="s">
        <v>103</v>
      </c>
      <c r="L397" s="43" t="s">
        <v>88</v>
      </c>
      <c r="M397" s="43" t="s">
        <v>64</v>
      </c>
      <c r="N397" s="43"/>
      <c r="O397" s="42"/>
      <c r="P397" s="43" t="str">
        <f t="shared" si="6"/>
        <v>ONAY</v>
      </c>
      <c r="Q397" s="26" t="s">
        <v>103</v>
      </c>
    </row>
    <row r="398" spans="1:17" ht="94.5" customHeight="1" x14ac:dyDescent="0.25">
      <c r="A398" s="36" t="s">
        <v>1922</v>
      </c>
      <c r="B398" s="36" t="s">
        <v>1923</v>
      </c>
      <c r="C398" s="37" t="s">
        <v>1924</v>
      </c>
      <c r="D398" s="37" t="s">
        <v>137</v>
      </c>
      <c r="E398" s="38" t="s">
        <v>1925</v>
      </c>
      <c r="F398" s="38" t="s">
        <v>1926</v>
      </c>
      <c r="G398" s="39" t="s">
        <v>35</v>
      </c>
      <c r="H398" s="40">
        <v>46127</v>
      </c>
      <c r="I398" s="41">
        <v>46140</v>
      </c>
      <c r="J398" s="37" t="s">
        <v>96</v>
      </c>
      <c r="K398" s="37" t="s">
        <v>71</v>
      </c>
      <c r="L398" s="43" t="s">
        <v>88</v>
      </c>
      <c r="M398" s="43" t="s">
        <v>64</v>
      </c>
      <c r="N398" s="43"/>
      <c r="O398" s="42"/>
      <c r="P398" s="43" t="str">
        <f t="shared" si="6"/>
        <v>ONAY</v>
      </c>
      <c r="Q398" s="26" t="s">
        <v>96</v>
      </c>
    </row>
    <row r="399" spans="1:17" ht="78.75" customHeight="1" x14ac:dyDescent="0.25">
      <c r="A399" s="36" t="s">
        <v>1927</v>
      </c>
      <c r="B399" s="36" t="s">
        <v>1928</v>
      </c>
      <c r="C399" s="37" t="s">
        <v>1929</v>
      </c>
      <c r="D399" s="37" t="s">
        <v>1930</v>
      </c>
      <c r="E399" s="38" t="s">
        <v>1931</v>
      </c>
      <c r="F399" s="38" t="s">
        <v>1932</v>
      </c>
      <c r="G399" s="39" t="s">
        <v>37</v>
      </c>
      <c r="H399" s="40">
        <v>46127</v>
      </c>
      <c r="I399" s="41">
        <v>46140</v>
      </c>
      <c r="J399" s="37" t="s">
        <v>79</v>
      </c>
      <c r="K399" s="37" t="s">
        <v>87</v>
      </c>
      <c r="L399" s="43" t="s">
        <v>64</v>
      </c>
      <c r="M399" s="43"/>
      <c r="N399" s="43"/>
      <c r="O399" s="42"/>
      <c r="P399" s="43" t="str">
        <f t="shared" si="6"/>
        <v>ONAY</v>
      </c>
    </row>
    <row r="400" spans="1:17" ht="63" customHeight="1" x14ac:dyDescent="0.25">
      <c r="A400" s="36" t="s">
        <v>1933</v>
      </c>
      <c r="B400" s="36" t="s">
        <v>1934</v>
      </c>
      <c r="C400" s="37" t="s">
        <v>1935</v>
      </c>
      <c r="D400" s="37" t="s">
        <v>107</v>
      </c>
      <c r="E400" s="38" t="s">
        <v>1936</v>
      </c>
      <c r="F400" s="38" t="s">
        <v>1937</v>
      </c>
      <c r="G400" s="39" t="s">
        <v>34</v>
      </c>
      <c r="H400" s="40">
        <v>46127</v>
      </c>
      <c r="I400" s="41">
        <v>46140</v>
      </c>
      <c r="J400" s="37" t="s">
        <v>110</v>
      </c>
      <c r="K400" s="37" t="s">
        <v>86</v>
      </c>
      <c r="L400" s="43" t="s">
        <v>64</v>
      </c>
      <c r="M400" s="43"/>
      <c r="N400" s="43"/>
      <c r="O400" s="42"/>
      <c r="P400" s="43" t="str">
        <f t="shared" si="6"/>
        <v>ONAY</v>
      </c>
    </row>
    <row r="401" spans="1:17" ht="126" customHeight="1" x14ac:dyDescent="0.25">
      <c r="A401" s="36" t="s">
        <v>1938</v>
      </c>
      <c r="B401" s="36" t="s">
        <v>1939</v>
      </c>
      <c r="C401" s="37" t="s">
        <v>711</v>
      </c>
      <c r="D401" s="37" t="s">
        <v>712</v>
      </c>
      <c r="E401" s="38" t="s">
        <v>1940</v>
      </c>
      <c r="F401" s="38" t="s">
        <v>1941</v>
      </c>
      <c r="G401" s="39" t="s">
        <v>34</v>
      </c>
      <c r="H401" s="40">
        <v>46128</v>
      </c>
      <c r="I401" s="41">
        <v>46140</v>
      </c>
      <c r="J401" s="37" t="s">
        <v>96</v>
      </c>
      <c r="K401" s="37" t="s">
        <v>62</v>
      </c>
      <c r="L401" s="43" t="s">
        <v>88</v>
      </c>
      <c r="M401" s="43"/>
      <c r="N401" s="43"/>
      <c r="O401" s="42"/>
      <c r="P401" s="43" t="str">
        <f t="shared" si="6"/>
        <v>DÜZELTME</v>
      </c>
    </row>
    <row r="402" spans="1:17" ht="78.75" customHeight="1" x14ac:dyDescent="0.25">
      <c r="A402" s="36" t="s">
        <v>1942</v>
      </c>
      <c r="B402" s="36" t="s">
        <v>1943</v>
      </c>
      <c r="C402" s="37" t="s">
        <v>1782</v>
      </c>
      <c r="D402" s="37" t="s">
        <v>100</v>
      </c>
      <c r="E402" s="38" t="s">
        <v>1944</v>
      </c>
      <c r="F402" s="38" t="s">
        <v>1945</v>
      </c>
      <c r="G402" s="39" t="s">
        <v>34</v>
      </c>
      <c r="H402" s="40">
        <v>46134</v>
      </c>
      <c r="I402" s="41">
        <v>46154</v>
      </c>
      <c r="J402" s="37" t="s">
        <v>116</v>
      </c>
      <c r="K402" s="37" t="s">
        <v>96</v>
      </c>
      <c r="L402" s="43" t="s">
        <v>64</v>
      </c>
      <c r="M402" s="43"/>
      <c r="N402" s="43"/>
      <c r="O402" s="42"/>
      <c r="P402" s="43" t="str">
        <f t="shared" si="6"/>
        <v>ONAY</v>
      </c>
    </row>
    <row r="403" spans="1:17" ht="63" customHeight="1" x14ac:dyDescent="0.25">
      <c r="A403" s="36" t="s">
        <v>1946</v>
      </c>
      <c r="B403" s="36" t="s">
        <v>1947</v>
      </c>
      <c r="C403" s="37" t="s">
        <v>179</v>
      </c>
      <c r="D403" s="37" t="s">
        <v>180</v>
      </c>
      <c r="E403" s="38" t="s">
        <v>827</v>
      </c>
      <c r="F403" s="38" t="s">
        <v>1948</v>
      </c>
      <c r="G403" s="39" t="s">
        <v>34</v>
      </c>
      <c r="H403" s="40">
        <v>46134</v>
      </c>
      <c r="I403" s="41">
        <v>46154</v>
      </c>
      <c r="J403" s="37" t="s">
        <v>78</v>
      </c>
      <c r="K403" s="37" t="s">
        <v>71</v>
      </c>
      <c r="L403" s="43"/>
      <c r="M403" s="43"/>
      <c r="N403" s="43"/>
      <c r="O403" s="42"/>
      <c r="P403" s="43">
        <f t="shared" si="6"/>
        <v>0</v>
      </c>
    </row>
    <row r="404" spans="1:17" ht="78.75" customHeight="1" x14ac:dyDescent="0.25">
      <c r="A404" s="36" t="s">
        <v>1949</v>
      </c>
      <c r="B404" s="36" t="s">
        <v>1950</v>
      </c>
      <c r="C404" s="37" t="s">
        <v>1951</v>
      </c>
      <c r="D404" s="37" t="s">
        <v>401</v>
      </c>
      <c r="E404" s="38" t="s">
        <v>1952</v>
      </c>
      <c r="F404" s="38" t="s">
        <v>1953</v>
      </c>
      <c r="G404" s="39" t="s">
        <v>34</v>
      </c>
      <c r="H404" s="40">
        <v>46134</v>
      </c>
      <c r="I404" s="41">
        <v>46154</v>
      </c>
      <c r="J404" s="37" t="s">
        <v>110</v>
      </c>
      <c r="K404" s="37" t="s">
        <v>103</v>
      </c>
      <c r="L404" s="43" t="s">
        <v>64</v>
      </c>
      <c r="M404" s="43"/>
      <c r="N404" s="43"/>
      <c r="O404" s="42"/>
      <c r="P404" s="43" t="str">
        <f t="shared" si="6"/>
        <v>ONAY</v>
      </c>
    </row>
    <row r="405" spans="1:17" ht="78.75" customHeight="1" x14ac:dyDescent="0.25">
      <c r="A405" s="36" t="s">
        <v>1954</v>
      </c>
      <c r="B405" s="36" t="s">
        <v>1955</v>
      </c>
      <c r="C405" s="37" t="s">
        <v>1956</v>
      </c>
      <c r="D405" s="37" t="s">
        <v>1651</v>
      </c>
      <c r="E405" s="38" t="s">
        <v>1957</v>
      </c>
      <c r="F405" s="38" t="s">
        <v>1958</v>
      </c>
      <c r="G405" s="39" t="s">
        <v>35</v>
      </c>
      <c r="H405" s="40">
        <v>46134</v>
      </c>
      <c r="I405" s="41">
        <v>46154</v>
      </c>
      <c r="J405" s="37" t="s">
        <v>62</v>
      </c>
      <c r="K405" s="37" t="s">
        <v>79</v>
      </c>
      <c r="L405" s="43" t="s">
        <v>88</v>
      </c>
      <c r="M405" s="43" t="s">
        <v>64</v>
      </c>
      <c r="N405" s="43"/>
      <c r="O405" s="42"/>
      <c r="P405" s="43" t="str">
        <f t="shared" si="6"/>
        <v>ONAY</v>
      </c>
      <c r="Q405" s="26" t="s">
        <v>62</v>
      </c>
    </row>
    <row r="406" spans="1:17" ht="78.75" customHeight="1" x14ac:dyDescent="0.25">
      <c r="A406" s="36" t="s">
        <v>1959</v>
      </c>
      <c r="B406" s="36" t="s">
        <v>1960</v>
      </c>
      <c r="C406" s="37" t="s">
        <v>1961</v>
      </c>
      <c r="D406" s="37" t="s">
        <v>120</v>
      </c>
      <c r="E406" s="38" t="s">
        <v>1962</v>
      </c>
      <c r="F406" s="38" t="s">
        <v>1963</v>
      </c>
      <c r="G406" s="39" t="s">
        <v>34</v>
      </c>
      <c r="H406" s="40">
        <v>46134</v>
      </c>
      <c r="I406" s="41">
        <v>46154</v>
      </c>
      <c r="J406" s="37" t="s">
        <v>87</v>
      </c>
      <c r="K406" s="37" t="s">
        <v>86</v>
      </c>
      <c r="L406" s="43" t="s">
        <v>64</v>
      </c>
      <c r="M406" s="43"/>
      <c r="N406" s="43"/>
      <c r="O406" s="42"/>
      <c r="P406" s="43" t="str">
        <f t="shared" si="6"/>
        <v>ONAY</v>
      </c>
    </row>
    <row r="407" spans="1:17" ht="78.75" customHeight="1" x14ac:dyDescent="0.25">
      <c r="A407" s="36" t="s">
        <v>1964</v>
      </c>
      <c r="B407" s="36" t="s">
        <v>1965</v>
      </c>
      <c r="C407" s="37" t="s">
        <v>131</v>
      </c>
      <c r="D407" s="37" t="s">
        <v>100</v>
      </c>
      <c r="E407" s="38" t="s">
        <v>1966</v>
      </c>
      <c r="F407" s="38" t="s">
        <v>1967</v>
      </c>
      <c r="G407" s="39" t="s">
        <v>34</v>
      </c>
      <c r="H407" s="40">
        <v>46134</v>
      </c>
      <c r="I407" s="41">
        <v>46154</v>
      </c>
      <c r="J407" s="37" t="s">
        <v>63</v>
      </c>
      <c r="K407" s="37" t="s">
        <v>103</v>
      </c>
      <c r="L407" s="43"/>
      <c r="M407" s="43"/>
      <c r="N407" s="43"/>
      <c r="O407" s="42"/>
      <c r="P407" s="43">
        <f t="shared" si="6"/>
        <v>0</v>
      </c>
    </row>
    <row r="408" spans="1:17" ht="78.75" customHeight="1" x14ac:dyDescent="0.25">
      <c r="A408" s="36" t="s">
        <v>1968</v>
      </c>
      <c r="B408" s="36" t="s">
        <v>1969</v>
      </c>
      <c r="C408" s="37" t="s">
        <v>1079</v>
      </c>
      <c r="D408" s="37" t="s">
        <v>190</v>
      </c>
      <c r="E408" s="38" t="s">
        <v>1970</v>
      </c>
      <c r="F408" s="38" t="s">
        <v>1971</v>
      </c>
      <c r="G408" s="39" t="s">
        <v>37</v>
      </c>
      <c r="H408" s="40">
        <v>46134</v>
      </c>
      <c r="I408" s="41">
        <v>46154</v>
      </c>
      <c r="J408" s="37" t="s">
        <v>63</v>
      </c>
      <c r="K408" s="37" t="s">
        <v>79</v>
      </c>
      <c r="L408" s="43" t="s">
        <v>64</v>
      </c>
      <c r="M408" s="43"/>
      <c r="N408" s="43"/>
      <c r="O408" s="42"/>
      <c r="P408" s="43" t="str">
        <f t="shared" si="6"/>
        <v>ONAY</v>
      </c>
    </row>
    <row r="409" spans="1:17" ht="63.75" customHeight="1" x14ac:dyDescent="0.25">
      <c r="A409" s="36" t="s">
        <v>1972</v>
      </c>
      <c r="B409" s="36" t="s">
        <v>1973</v>
      </c>
      <c r="C409" s="37" t="s">
        <v>1339</v>
      </c>
      <c r="D409" s="37" t="s">
        <v>100</v>
      </c>
      <c r="E409" s="38" t="s">
        <v>1974</v>
      </c>
      <c r="F409" s="38" t="s">
        <v>1975</v>
      </c>
      <c r="G409" s="39" t="s">
        <v>34</v>
      </c>
      <c r="H409" s="40">
        <v>46134</v>
      </c>
      <c r="I409" s="41">
        <v>46154</v>
      </c>
      <c r="J409" s="37" t="s">
        <v>78</v>
      </c>
      <c r="K409" s="37" t="s">
        <v>116</v>
      </c>
      <c r="L409" s="43" t="s">
        <v>88</v>
      </c>
      <c r="M409" s="43"/>
      <c r="N409" s="43"/>
      <c r="O409" s="42"/>
      <c r="P409" s="43" t="str">
        <f t="shared" si="6"/>
        <v>DÜZELTME</v>
      </c>
    </row>
    <row r="410" spans="1:17" ht="78.75" customHeight="1" x14ac:dyDescent="0.25">
      <c r="A410" s="36" t="s">
        <v>1976</v>
      </c>
      <c r="B410" s="36" t="s">
        <v>1977</v>
      </c>
      <c r="C410" s="37" t="s">
        <v>99</v>
      </c>
      <c r="D410" s="37" t="s">
        <v>100</v>
      </c>
      <c r="E410" s="38" t="s">
        <v>1978</v>
      </c>
      <c r="F410" s="38" t="s">
        <v>1979</v>
      </c>
      <c r="G410" s="39" t="s">
        <v>34</v>
      </c>
      <c r="H410" s="40">
        <v>46134</v>
      </c>
      <c r="I410" s="41">
        <v>46154</v>
      </c>
      <c r="J410" s="37" t="s">
        <v>96</v>
      </c>
      <c r="K410" s="37" t="s">
        <v>103</v>
      </c>
      <c r="L410" s="43" t="s">
        <v>64</v>
      </c>
      <c r="M410" s="43"/>
      <c r="N410" s="43"/>
      <c r="O410" s="42"/>
      <c r="P410" s="43" t="str">
        <f t="shared" si="6"/>
        <v>ONAY</v>
      </c>
    </row>
    <row r="411" spans="1:17" ht="63" customHeight="1" x14ac:dyDescent="0.25">
      <c r="A411" s="36" t="s">
        <v>1980</v>
      </c>
      <c r="B411" s="36" t="s">
        <v>1981</v>
      </c>
      <c r="C411" s="37" t="s">
        <v>511</v>
      </c>
      <c r="D411" s="37" t="s">
        <v>100</v>
      </c>
      <c r="E411" s="38" t="s">
        <v>1982</v>
      </c>
      <c r="F411" s="38" t="s">
        <v>1983</v>
      </c>
      <c r="G411" s="39" t="s">
        <v>34</v>
      </c>
      <c r="H411" s="40">
        <v>46134</v>
      </c>
      <c r="I411" s="41">
        <v>46154</v>
      </c>
      <c r="J411" s="37" t="s">
        <v>71</v>
      </c>
      <c r="K411" s="37" t="s">
        <v>110</v>
      </c>
      <c r="L411" s="43" t="s">
        <v>64</v>
      </c>
      <c r="M411" s="43"/>
      <c r="N411" s="43"/>
      <c r="O411" s="42"/>
      <c r="P411" s="43" t="str">
        <f t="shared" si="6"/>
        <v>ONAY</v>
      </c>
    </row>
    <row r="412" spans="1:17" ht="78.75" customHeight="1" x14ac:dyDescent="0.25">
      <c r="A412" s="36" t="s">
        <v>1984</v>
      </c>
      <c r="B412" s="36" t="s">
        <v>1985</v>
      </c>
      <c r="C412" s="37" t="s">
        <v>1986</v>
      </c>
      <c r="D412" s="37" t="s">
        <v>1582</v>
      </c>
      <c r="E412" s="38" t="s">
        <v>1987</v>
      </c>
      <c r="F412" s="38" t="s">
        <v>1988</v>
      </c>
      <c r="G412" s="39" t="s">
        <v>34</v>
      </c>
      <c r="H412" s="40">
        <v>46134</v>
      </c>
      <c r="I412" s="41">
        <v>46154</v>
      </c>
      <c r="J412" s="37" t="s">
        <v>110</v>
      </c>
      <c r="K412" s="37" t="s">
        <v>86</v>
      </c>
      <c r="L412" s="43" t="s">
        <v>64</v>
      </c>
      <c r="M412" s="43"/>
      <c r="N412" s="43"/>
      <c r="O412" s="42"/>
      <c r="P412" s="43" t="str">
        <f t="shared" si="6"/>
        <v>ONAY</v>
      </c>
    </row>
    <row r="413" spans="1:17" ht="94.5" customHeight="1" x14ac:dyDescent="0.25">
      <c r="A413" s="36" t="s">
        <v>1989</v>
      </c>
      <c r="B413" s="36" t="s">
        <v>1990</v>
      </c>
      <c r="C413" s="37" t="s">
        <v>1148</v>
      </c>
      <c r="D413" s="37" t="s">
        <v>1149</v>
      </c>
      <c r="E413" s="38" t="s">
        <v>1991</v>
      </c>
      <c r="F413" s="38" t="s">
        <v>1992</v>
      </c>
      <c r="G413" s="39" t="s">
        <v>34</v>
      </c>
      <c r="H413" s="40">
        <v>46134</v>
      </c>
      <c r="I413" s="41">
        <v>46154</v>
      </c>
      <c r="J413" s="37" t="s">
        <v>110</v>
      </c>
      <c r="K413" s="37" t="s">
        <v>63</v>
      </c>
      <c r="L413" s="43" t="s">
        <v>64</v>
      </c>
      <c r="M413" s="43"/>
      <c r="N413" s="43"/>
      <c r="O413" s="42"/>
      <c r="P413" s="43" t="str">
        <f t="shared" si="6"/>
        <v>ONAY</v>
      </c>
    </row>
    <row r="414" spans="1:17" ht="78.75" customHeight="1" x14ac:dyDescent="0.25">
      <c r="A414" s="36" t="s">
        <v>1993</v>
      </c>
      <c r="B414" s="36" t="s">
        <v>1994</v>
      </c>
      <c r="C414" s="37" t="s">
        <v>131</v>
      </c>
      <c r="D414" s="37" t="s">
        <v>100</v>
      </c>
      <c r="E414" s="38" t="s">
        <v>1995</v>
      </c>
      <c r="F414" s="38" t="s">
        <v>1996</v>
      </c>
      <c r="G414" s="39" t="s">
        <v>34</v>
      </c>
      <c r="H414" s="40">
        <v>46134</v>
      </c>
      <c r="I414" s="41">
        <v>46154</v>
      </c>
      <c r="J414" s="37" t="s">
        <v>86</v>
      </c>
      <c r="K414" s="37" t="s">
        <v>71</v>
      </c>
      <c r="L414" s="43" t="s">
        <v>64</v>
      </c>
      <c r="M414" s="43"/>
      <c r="N414" s="43"/>
      <c r="O414" s="42"/>
      <c r="P414" s="43" t="str">
        <f t="shared" si="6"/>
        <v>ONAY</v>
      </c>
    </row>
    <row r="415" spans="1:17" ht="78.75" customHeight="1" x14ac:dyDescent="0.25">
      <c r="A415" s="36" t="s">
        <v>1997</v>
      </c>
      <c r="B415" s="36" t="s">
        <v>1998</v>
      </c>
      <c r="C415" s="37" t="s">
        <v>1999</v>
      </c>
      <c r="D415" s="37" t="s">
        <v>372</v>
      </c>
      <c r="E415" s="38" t="s">
        <v>2000</v>
      </c>
      <c r="F415" s="38" t="s">
        <v>2001</v>
      </c>
      <c r="G415" s="39" t="s">
        <v>34</v>
      </c>
      <c r="H415" s="40">
        <v>46134</v>
      </c>
      <c r="I415" s="41">
        <v>46154</v>
      </c>
      <c r="J415" s="37" t="s">
        <v>96</v>
      </c>
      <c r="K415" s="37" t="s">
        <v>116</v>
      </c>
      <c r="L415" s="43" t="s">
        <v>64</v>
      </c>
      <c r="M415" s="43"/>
      <c r="N415" s="43"/>
      <c r="O415" s="42"/>
      <c r="P415" s="43" t="str">
        <f t="shared" si="6"/>
        <v>ONAY</v>
      </c>
    </row>
    <row r="416" spans="1:17" ht="63" customHeight="1" x14ac:dyDescent="0.25">
      <c r="A416" s="36" t="s">
        <v>2002</v>
      </c>
      <c r="B416" s="36" t="s">
        <v>2003</v>
      </c>
      <c r="C416" s="37" t="s">
        <v>2004</v>
      </c>
      <c r="D416" s="37" t="s">
        <v>209</v>
      </c>
      <c r="E416" s="38" t="s">
        <v>2005</v>
      </c>
      <c r="F416" s="38" t="s">
        <v>2006</v>
      </c>
      <c r="G416" s="39" t="s">
        <v>35</v>
      </c>
      <c r="H416" s="40">
        <v>46134</v>
      </c>
      <c r="I416" s="41">
        <v>46154</v>
      </c>
      <c r="J416" s="37" t="s">
        <v>63</v>
      </c>
      <c r="K416" s="37" t="s">
        <v>87</v>
      </c>
      <c r="L416" s="43" t="s">
        <v>64</v>
      </c>
      <c r="M416" s="43"/>
      <c r="N416" s="43"/>
      <c r="O416" s="42"/>
      <c r="P416" s="43" t="str">
        <f t="shared" si="6"/>
        <v>ONAY</v>
      </c>
    </row>
    <row r="417" spans="1:17" ht="93" customHeight="1" x14ac:dyDescent="0.25">
      <c r="A417" s="36" t="s">
        <v>2007</v>
      </c>
      <c r="B417" s="36" t="s">
        <v>2008</v>
      </c>
      <c r="C417" s="37" t="s">
        <v>383</v>
      </c>
      <c r="D417" s="37" t="s">
        <v>384</v>
      </c>
      <c r="E417" s="38" t="s">
        <v>2009</v>
      </c>
      <c r="F417" s="38" t="s">
        <v>2010</v>
      </c>
      <c r="G417" s="39" t="s">
        <v>37</v>
      </c>
      <c r="H417" s="40">
        <v>46134</v>
      </c>
      <c r="I417" s="41">
        <v>46154</v>
      </c>
      <c r="J417" s="37" t="s">
        <v>71</v>
      </c>
      <c r="K417" s="37" t="s">
        <v>79</v>
      </c>
      <c r="L417" s="43" t="s">
        <v>193</v>
      </c>
      <c r="M417" s="43"/>
      <c r="N417" s="43"/>
      <c r="O417" s="42"/>
      <c r="P417" s="43" t="str">
        <f t="shared" si="6"/>
        <v>GÖRÜŞ</v>
      </c>
    </row>
    <row r="418" spans="1:17" ht="63" customHeight="1" x14ac:dyDescent="0.25">
      <c r="A418" s="36" t="s">
        <v>2011</v>
      </c>
      <c r="B418" s="36" t="s">
        <v>2012</v>
      </c>
      <c r="C418" s="37" t="s">
        <v>390</v>
      </c>
      <c r="D418" s="37" t="s">
        <v>391</v>
      </c>
      <c r="E418" s="38" t="s">
        <v>2013</v>
      </c>
      <c r="F418" s="38" t="s">
        <v>2014</v>
      </c>
      <c r="G418" s="39" t="s">
        <v>34</v>
      </c>
      <c r="H418" s="40">
        <v>46134</v>
      </c>
      <c r="I418" s="41">
        <v>46154</v>
      </c>
      <c r="J418" s="37" t="s">
        <v>79</v>
      </c>
      <c r="K418" s="37" t="s">
        <v>63</v>
      </c>
      <c r="L418" s="43" t="s">
        <v>64</v>
      </c>
      <c r="M418" s="43"/>
      <c r="N418" s="43"/>
      <c r="O418" s="42"/>
      <c r="P418" s="43" t="str">
        <f t="shared" si="6"/>
        <v>ONAY</v>
      </c>
    </row>
    <row r="419" spans="1:17" ht="63" customHeight="1" x14ac:dyDescent="0.25">
      <c r="A419" s="36" t="s">
        <v>2015</v>
      </c>
      <c r="B419" s="36" t="s">
        <v>2016</v>
      </c>
      <c r="C419" s="37" t="s">
        <v>179</v>
      </c>
      <c r="D419" s="37" t="s">
        <v>180</v>
      </c>
      <c r="E419" s="38" t="s">
        <v>2017</v>
      </c>
      <c r="F419" s="38" t="s">
        <v>2018</v>
      </c>
      <c r="G419" s="39" t="s">
        <v>34</v>
      </c>
      <c r="H419" s="40">
        <v>46134</v>
      </c>
      <c r="I419" s="41">
        <v>46154</v>
      </c>
      <c r="J419" s="37" t="s">
        <v>78</v>
      </c>
      <c r="K419" s="37" t="s">
        <v>86</v>
      </c>
      <c r="L419" s="43"/>
      <c r="M419" s="43"/>
      <c r="N419" s="43"/>
      <c r="O419" s="42"/>
      <c r="P419" s="43">
        <f t="shared" si="6"/>
        <v>0</v>
      </c>
    </row>
    <row r="420" spans="1:17" ht="78.75" customHeight="1" x14ac:dyDescent="0.25">
      <c r="A420" s="36" t="s">
        <v>2019</v>
      </c>
      <c r="B420" s="36" t="s">
        <v>2020</v>
      </c>
      <c r="C420" s="37" t="s">
        <v>411</v>
      </c>
      <c r="D420" s="37" t="s">
        <v>351</v>
      </c>
      <c r="E420" s="38" t="s">
        <v>2021</v>
      </c>
      <c r="F420" s="38" t="s">
        <v>2022</v>
      </c>
      <c r="G420" s="39" t="s">
        <v>34</v>
      </c>
      <c r="H420" s="40">
        <v>46136</v>
      </c>
      <c r="I420" s="41">
        <v>46154</v>
      </c>
      <c r="J420" s="37" t="s">
        <v>95</v>
      </c>
      <c r="K420" s="37" t="s">
        <v>87</v>
      </c>
      <c r="L420" s="43"/>
      <c r="M420" s="43"/>
      <c r="N420" s="43"/>
      <c r="O420" s="42"/>
      <c r="P420" s="43">
        <f t="shared" si="6"/>
        <v>0</v>
      </c>
    </row>
    <row r="421" spans="1:17" ht="94.5" customHeight="1" x14ac:dyDescent="0.25">
      <c r="A421" s="36" t="s">
        <v>2023</v>
      </c>
      <c r="B421" s="36" t="s">
        <v>2024</v>
      </c>
      <c r="C421" s="37" t="s">
        <v>2025</v>
      </c>
      <c r="D421" s="37" t="s">
        <v>209</v>
      </c>
      <c r="E421" s="38" t="s">
        <v>2026</v>
      </c>
      <c r="F421" s="38" t="s">
        <v>2027</v>
      </c>
      <c r="G421" s="39" t="s">
        <v>34</v>
      </c>
      <c r="H421" s="40">
        <v>46136</v>
      </c>
      <c r="I421" s="41">
        <v>46154</v>
      </c>
      <c r="J421" s="37" t="s">
        <v>63</v>
      </c>
      <c r="K421" s="37" t="s">
        <v>96</v>
      </c>
      <c r="L421" s="43" t="s">
        <v>64</v>
      </c>
      <c r="M421" s="43"/>
      <c r="N421" s="43"/>
      <c r="O421" s="42"/>
      <c r="P421" s="43" t="str">
        <f t="shared" si="6"/>
        <v>ONAY</v>
      </c>
    </row>
    <row r="422" spans="1:17" ht="63" customHeight="1" x14ac:dyDescent="0.25">
      <c r="A422" s="36" t="s">
        <v>2028</v>
      </c>
      <c r="B422" s="36" t="s">
        <v>2029</v>
      </c>
      <c r="C422" s="37" t="s">
        <v>1215</v>
      </c>
      <c r="D422" s="37" t="s">
        <v>378</v>
      </c>
      <c r="E422" s="38" t="s">
        <v>2030</v>
      </c>
      <c r="F422" s="38" t="s">
        <v>2031</v>
      </c>
      <c r="G422" s="39" t="s">
        <v>34</v>
      </c>
      <c r="H422" s="40">
        <v>46136</v>
      </c>
      <c r="I422" s="41">
        <v>46154</v>
      </c>
      <c r="J422" s="37" t="s">
        <v>96</v>
      </c>
      <c r="K422" s="37" t="s">
        <v>116</v>
      </c>
      <c r="L422" s="43" t="s">
        <v>64</v>
      </c>
      <c r="M422" s="43"/>
      <c r="N422" s="43"/>
      <c r="O422" s="42"/>
      <c r="P422" s="43" t="str">
        <f t="shared" si="6"/>
        <v>ONAY</v>
      </c>
    </row>
    <row r="423" spans="1:17" ht="78.75" customHeight="1" x14ac:dyDescent="0.25">
      <c r="A423" s="36" t="s">
        <v>2032</v>
      </c>
      <c r="B423" s="36" t="s">
        <v>2033</v>
      </c>
      <c r="C423" s="37" t="s">
        <v>272</v>
      </c>
      <c r="D423" s="37" t="s">
        <v>209</v>
      </c>
      <c r="E423" s="38" t="s">
        <v>2034</v>
      </c>
      <c r="F423" s="38" t="s">
        <v>2035</v>
      </c>
      <c r="G423" s="39" t="s">
        <v>34</v>
      </c>
      <c r="H423" s="40">
        <v>46139</v>
      </c>
      <c r="I423" s="41">
        <v>46154</v>
      </c>
      <c r="J423" s="37" t="s">
        <v>96</v>
      </c>
      <c r="K423" s="37" t="s">
        <v>63</v>
      </c>
      <c r="L423" s="43" t="s">
        <v>88</v>
      </c>
      <c r="M423" s="43"/>
      <c r="N423" s="43"/>
      <c r="O423" s="42"/>
      <c r="P423" s="43" t="str">
        <f t="shared" si="6"/>
        <v>DÜZELTME</v>
      </c>
    </row>
    <row r="424" spans="1:17" ht="78.75" customHeight="1" x14ac:dyDescent="0.25">
      <c r="A424" s="36" t="s">
        <v>2036</v>
      </c>
      <c r="B424" s="36" t="s">
        <v>2037</v>
      </c>
      <c r="C424" s="37" t="s">
        <v>2038</v>
      </c>
      <c r="D424" s="37" t="s">
        <v>209</v>
      </c>
      <c r="E424" s="38" t="s">
        <v>2039</v>
      </c>
      <c r="F424" s="38" t="s">
        <v>2040</v>
      </c>
      <c r="G424" s="39" t="s">
        <v>34</v>
      </c>
      <c r="H424" s="40">
        <v>46139</v>
      </c>
      <c r="I424" s="41">
        <v>46154</v>
      </c>
      <c r="J424" s="37" t="s">
        <v>103</v>
      </c>
      <c r="K424" s="37" t="s">
        <v>116</v>
      </c>
      <c r="L424" s="43" t="s">
        <v>88</v>
      </c>
      <c r="M424" s="43" t="s">
        <v>64</v>
      </c>
      <c r="N424" s="43"/>
      <c r="O424" s="42"/>
      <c r="P424" s="43" t="str">
        <f t="shared" si="6"/>
        <v>ONAY</v>
      </c>
      <c r="Q424" s="26" t="s">
        <v>116</v>
      </c>
    </row>
    <row r="425" spans="1:17" ht="94.5" customHeight="1" x14ac:dyDescent="0.25">
      <c r="A425" s="36" t="s">
        <v>2041</v>
      </c>
      <c r="B425" s="36" t="s">
        <v>2042</v>
      </c>
      <c r="C425" s="37" t="s">
        <v>782</v>
      </c>
      <c r="D425" s="37" t="s">
        <v>209</v>
      </c>
      <c r="E425" s="38" t="s">
        <v>2043</v>
      </c>
      <c r="F425" s="38" t="s">
        <v>2044</v>
      </c>
      <c r="G425" s="39" t="s">
        <v>34</v>
      </c>
      <c r="H425" s="40">
        <v>46139</v>
      </c>
      <c r="I425" s="41">
        <v>46154</v>
      </c>
      <c r="J425" s="37" t="s">
        <v>103</v>
      </c>
      <c r="K425" s="37" t="s">
        <v>63</v>
      </c>
      <c r="L425" s="43" t="s">
        <v>64</v>
      </c>
      <c r="M425" s="43"/>
      <c r="N425" s="43"/>
      <c r="O425" s="42"/>
      <c r="P425" s="43" t="str">
        <f t="shared" si="6"/>
        <v>ONAY</v>
      </c>
    </row>
    <row r="426" spans="1:17" ht="64.5" customHeight="1" x14ac:dyDescent="0.25">
      <c r="A426" s="36" t="s">
        <v>2045</v>
      </c>
      <c r="B426" s="36" t="s">
        <v>2046</v>
      </c>
      <c r="C426" s="37" t="s">
        <v>2047</v>
      </c>
      <c r="D426" s="37" t="s">
        <v>1479</v>
      </c>
      <c r="E426" s="38" t="s">
        <v>2048</v>
      </c>
      <c r="F426" s="38" t="s">
        <v>2049</v>
      </c>
      <c r="G426" s="39" t="s">
        <v>34</v>
      </c>
      <c r="H426" s="40">
        <v>46139</v>
      </c>
      <c r="I426" s="41">
        <v>46154</v>
      </c>
      <c r="J426" s="37" t="s">
        <v>79</v>
      </c>
      <c r="K426" s="37" t="s">
        <v>71</v>
      </c>
      <c r="L426" s="43" t="s">
        <v>64</v>
      </c>
      <c r="M426" s="43"/>
      <c r="N426" s="43"/>
      <c r="O426" s="42"/>
      <c r="P426" s="43" t="str">
        <f t="shared" si="6"/>
        <v>ONAY</v>
      </c>
    </row>
    <row r="427" spans="1:17" ht="75" customHeight="1" x14ac:dyDescent="0.25">
      <c r="A427" s="36" t="s">
        <v>2050</v>
      </c>
      <c r="B427" s="36" t="s">
        <v>2051</v>
      </c>
      <c r="C427" s="37" t="s">
        <v>1234</v>
      </c>
      <c r="D427" s="37" t="s">
        <v>209</v>
      </c>
      <c r="E427" s="38" t="s">
        <v>2052</v>
      </c>
      <c r="F427" s="38" t="s">
        <v>2053</v>
      </c>
      <c r="G427" s="39" t="s">
        <v>34</v>
      </c>
      <c r="H427" s="40">
        <v>46139</v>
      </c>
      <c r="I427" s="41">
        <v>46154</v>
      </c>
      <c r="J427" s="37" t="s">
        <v>62</v>
      </c>
      <c r="K427" s="37" t="s">
        <v>87</v>
      </c>
      <c r="L427" s="43" t="s">
        <v>64</v>
      </c>
      <c r="M427" s="43"/>
      <c r="N427" s="43"/>
      <c r="O427" s="42"/>
      <c r="P427" s="43" t="str">
        <f t="shared" si="6"/>
        <v>ONAY</v>
      </c>
    </row>
    <row r="428" spans="1:17" ht="63" customHeight="1" x14ac:dyDescent="0.25">
      <c r="A428" s="36" t="s">
        <v>2054</v>
      </c>
      <c r="B428" s="36" t="s">
        <v>2055</v>
      </c>
      <c r="C428" s="37" t="s">
        <v>1571</v>
      </c>
      <c r="D428" s="37" t="s">
        <v>100</v>
      </c>
      <c r="E428" s="38" t="s">
        <v>2056</v>
      </c>
      <c r="F428" s="38" t="s">
        <v>2057</v>
      </c>
      <c r="G428" s="39" t="s">
        <v>34</v>
      </c>
      <c r="H428" s="40">
        <v>46139</v>
      </c>
      <c r="I428" s="41">
        <v>46154</v>
      </c>
      <c r="J428" s="37" t="s">
        <v>78</v>
      </c>
      <c r="K428" s="37" t="s">
        <v>116</v>
      </c>
      <c r="L428" s="43" t="s">
        <v>88</v>
      </c>
      <c r="M428" s="43"/>
      <c r="N428" s="43"/>
      <c r="O428" s="42"/>
      <c r="P428" s="43" t="str">
        <f t="shared" si="6"/>
        <v>DÜZELTME</v>
      </c>
    </row>
    <row r="429" spans="1:17" ht="78.75" customHeight="1" x14ac:dyDescent="0.25">
      <c r="A429" s="36" t="s">
        <v>2058</v>
      </c>
      <c r="B429" s="36" t="s">
        <v>2059</v>
      </c>
      <c r="C429" s="37" t="s">
        <v>2060</v>
      </c>
      <c r="D429" s="37" t="s">
        <v>209</v>
      </c>
      <c r="E429" s="38" t="s">
        <v>2061</v>
      </c>
      <c r="F429" s="38" t="s">
        <v>2062</v>
      </c>
      <c r="G429" s="39" t="s">
        <v>34</v>
      </c>
      <c r="H429" s="40">
        <v>46140</v>
      </c>
      <c r="I429" s="41">
        <v>46154</v>
      </c>
      <c r="J429" s="37" t="s">
        <v>95</v>
      </c>
      <c r="K429" s="37" t="s">
        <v>110</v>
      </c>
      <c r="L429" s="43" t="s">
        <v>88</v>
      </c>
      <c r="M429" s="43" t="s">
        <v>64</v>
      </c>
      <c r="N429" s="43"/>
      <c r="O429" s="42"/>
      <c r="P429" s="43" t="str">
        <f t="shared" si="6"/>
        <v>ONAY</v>
      </c>
      <c r="Q429" s="26" t="s">
        <v>95</v>
      </c>
    </row>
    <row r="430" spans="1:17" ht="63" customHeight="1" x14ac:dyDescent="0.25">
      <c r="A430" s="36" t="s">
        <v>2063</v>
      </c>
      <c r="B430" s="36" t="s">
        <v>2064</v>
      </c>
      <c r="C430" s="37" t="s">
        <v>2065</v>
      </c>
      <c r="D430" s="37" t="s">
        <v>100</v>
      </c>
      <c r="E430" s="38" t="s">
        <v>2066</v>
      </c>
      <c r="F430" s="38" t="s">
        <v>2067</v>
      </c>
      <c r="G430" s="39" t="s">
        <v>34</v>
      </c>
      <c r="H430" s="40">
        <v>46140</v>
      </c>
      <c r="I430" s="41">
        <v>46154</v>
      </c>
      <c r="J430" s="37" t="s">
        <v>96</v>
      </c>
      <c r="K430" s="37" t="s">
        <v>71</v>
      </c>
      <c r="L430" s="43" t="s">
        <v>88</v>
      </c>
      <c r="M430" s="43"/>
      <c r="N430" s="43"/>
      <c r="O430" s="42"/>
      <c r="P430" s="43" t="str">
        <f t="shared" si="6"/>
        <v>DÜZELTME</v>
      </c>
    </row>
    <row r="431" spans="1:17" ht="63" customHeight="1" x14ac:dyDescent="0.25">
      <c r="A431" s="36" t="s">
        <v>2068</v>
      </c>
      <c r="B431" s="36" t="s">
        <v>2069</v>
      </c>
      <c r="C431" s="37" t="s">
        <v>2065</v>
      </c>
      <c r="D431" s="37" t="s">
        <v>100</v>
      </c>
      <c r="E431" s="38" t="s">
        <v>2066</v>
      </c>
      <c r="F431" s="38" t="s">
        <v>2070</v>
      </c>
      <c r="G431" s="39" t="s">
        <v>34</v>
      </c>
      <c r="H431" s="40">
        <v>46140</v>
      </c>
      <c r="I431" s="41">
        <v>46154</v>
      </c>
      <c r="J431" s="37" t="s">
        <v>96</v>
      </c>
      <c r="K431" s="37" t="s">
        <v>71</v>
      </c>
      <c r="L431" s="43" t="s">
        <v>64</v>
      </c>
      <c r="M431" s="43"/>
      <c r="N431" s="43"/>
      <c r="O431" s="42"/>
      <c r="P431" s="43" t="str">
        <f t="shared" si="6"/>
        <v>ONAY</v>
      </c>
    </row>
    <row r="432" spans="1:17" ht="63" customHeight="1" x14ac:dyDescent="0.25">
      <c r="A432" s="36" t="s">
        <v>2071</v>
      </c>
      <c r="B432" s="36" t="s">
        <v>2072</v>
      </c>
      <c r="C432" s="37" t="s">
        <v>2073</v>
      </c>
      <c r="D432" s="37" t="s">
        <v>209</v>
      </c>
      <c r="E432" s="38" t="s">
        <v>2074</v>
      </c>
      <c r="F432" s="38" t="s">
        <v>2075</v>
      </c>
      <c r="G432" s="39" t="s">
        <v>35</v>
      </c>
      <c r="H432" s="40">
        <v>46140</v>
      </c>
      <c r="I432" s="41">
        <v>46154</v>
      </c>
      <c r="J432" s="37" t="s">
        <v>78</v>
      </c>
      <c r="K432" s="37" t="s">
        <v>87</v>
      </c>
      <c r="L432" s="43" t="s">
        <v>64</v>
      </c>
      <c r="M432" s="43"/>
      <c r="N432" s="43"/>
      <c r="O432" s="42"/>
      <c r="P432" s="43" t="str">
        <f t="shared" si="6"/>
        <v>ONAY</v>
      </c>
    </row>
    <row r="433" spans="1:16" ht="63" customHeight="1" x14ac:dyDescent="0.25">
      <c r="A433" s="36" t="s">
        <v>2076</v>
      </c>
      <c r="B433" s="36" t="s">
        <v>2077</v>
      </c>
      <c r="C433" s="37" t="s">
        <v>110</v>
      </c>
      <c r="D433" s="37" t="s">
        <v>107</v>
      </c>
      <c r="E433" s="38" t="s">
        <v>2078</v>
      </c>
      <c r="F433" s="38" t="s">
        <v>2079</v>
      </c>
      <c r="G433" s="39" t="s">
        <v>34</v>
      </c>
      <c r="H433" s="40">
        <v>46140</v>
      </c>
      <c r="I433" s="41">
        <v>46154</v>
      </c>
      <c r="J433" s="37" t="s">
        <v>103</v>
      </c>
      <c r="K433" s="37" t="s">
        <v>78</v>
      </c>
      <c r="L433" s="43" t="s">
        <v>64</v>
      </c>
      <c r="M433" s="43"/>
      <c r="N433" s="43"/>
      <c r="O433" s="42"/>
      <c r="P433" s="43" t="str">
        <f t="shared" si="6"/>
        <v>ONAY</v>
      </c>
    </row>
    <row r="434" spans="1:16" ht="78.75" customHeight="1" x14ac:dyDescent="0.25">
      <c r="A434" s="36" t="s">
        <v>2080</v>
      </c>
      <c r="B434" s="36" t="s">
        <v>2081</v>
      </c>
      <c r="C434" s="37" t="s">
        <v>2082</v>
      </c>
      <c r="D434" s="37" t="s">
        <v>328</v>
      </c>
      <c r="E434" s="38" t="s">
        <v>2083</v>
      </c>
      <c r="F434" s="38" t="s">
        <v>2084</v>
      </c>
      <c r="G434" s="39" t="s">
        <v>34</v>
      </c>
      <c r="H434" s="40">
        <v>46140</v>
      </c>
      <c r="I434" s="41">
        <v>46154</v>
      </c>
      <c r="J434" s="37" t="s">
        <v>79</v>
      </c>
      <c r="K434" s="37" t="s">
        <v>86</v>
      </c>
      <c r="L434" s="43" t="s">
        <v>64</v>
      </c>
      <c r="M434" s="43"/>
      <c r="N434" s="43"/>
      <c r="O434" s="42"/>
      <c r="P434" s="43" t="str">
        <f t="shared" si="6"/>
        <v>ONAY</v>
      </c>
    </row>
    <row r="435" spans="1:16" ht="78.75" customHeight="1" x14ac:dyDescent="0.25">
      <c r="A435" s="36" t="s">
        <v>2085</v>
      </c>
      <c r="B435" s="36" t="s">
        <v>2086</v>
      </c>
      <c r="C435" s="37" t="s">
        <v>2087</v>
      </c>
      <c r="D435" s="37" t="s">
        <v>190</v>
      </c>
      <c r="E435" s="38" t="s">
        <v>2088</v>
      </c>
      <c r="F435" s="38" t="s">
        <v>2089</v>
      </c>
      <c r="G435" s="39" t="s">
        <v>34</v>
      </c>
      <c r="H435" s="40">
        <v>46141</v>
      </c>
      <c r="I435" s="41">
        <v>46154</v>
      </c>
      <c r="J435" s="37" t="s">
        <v>62</v>
      </c>
      <c r="K435" s="37" t="s">
        <v>86</v>
      </c>
      <c r="L435" s="43" t="s">
        <v>88</v>
      </c>
      <c r="M435" s="43"/>
      <c r="N435" s="43"/>
      <c r="O435" s="42"/>
      <c r="P435" s="43" t="str">
        <f t="shared" si="6"/>
        <v>DÜZELTME</v>
      </c>
    </row>
    <row r="436" spans="1:16" ht="63" customHeight="1" x14ac:dyDescent="0.25">
      <c r="A436" s="36" t="s">
        <v>2090</v>
      </c>
      <c r="B436" s="36" t="s">
        <v>2091</v>
      </c>
      <c r="C436" s="37" t="s">
        <v>2092</v>
      </c>
      <c r="D436" s="37" t="s">
        <v>209</v>
      </c>
      <c r="E436" s="38" t="s">
        <v>2093</v>
      </c>
      <c r="F436" s="38" t="s">
        <v>2094</v>
      </c>
      <c r="G436" s="39" t="s">
        <v>34</v>
      </c>
      <c r="H436" s="40">
        <v>46141</v>
      </c>
      <c r="I436" s="41">
        <v>46154</v>
      </c>
      <c r="J436" s="37" t="s">
        <v>95</v>
      </c>
      <c r="K436" s="37" t="s">
        <v>87</v>
      </c>
      <c r="L436" s="43" t="s">
        <v>140</v>
      </c>
      <c r="M436" s="43"/>
      <c r="N436" s="43"/>
      <c r="O436" s="42"/>
      <c r="P436" s="43" t="str">
        <f t="shared" si="6"/>
        <v>KAPSAM DIŞI</v>
      </c>
    </row>
    <row r="437" spans="1:16" ht="64.5" customHeight="1" x14ac:dyDescent="0.25">
      <c r="A437" s="36" t="s">
        <v>2095</v>
      </c>
      <c r="B437" s="36" t="s">
        <v>2096</v>
      </c>
      <c r="C437" s="37" t="s">
        <v>1339</v>
      </c>
      <c r="D437" s="37" t="s">
        <v>100</v>
      </c>
      <c r="E437" s="38" t="s">
        <v>2097</v>
      </c>
      <c r="F437" s="38" t="s">
        <v>2098</v>
      </c>
      <c r="G437" s="39" t="s">
        <v>34</v>
      </c>
      <c r="H437" s="40">
        <v>46141</v>
      </c>
      <c r="I437" s="41">
        <v>46154</v>
      </c>
      <c r="J437" s="37" t="s">
        <v>116</v>
      </c>
      <c r="K437" s="37" t="s">
        <v>103</v>
      </c>
      <c r="L437" s="43" t="s">
        <v>88</v>
      </c>
      <c r="M437" s="43"/>
      <c r="N437" s="43"/>
      <c r="O437" s="42"/>
      <c r="P437" s="43" t="str">
        <f t="shared" si="6"/>
        <v>DÜZELTME</v>
      </c>
    </row>
    <row r="438" spans="1:16" ht="47.25" customHeight="1" x14ac:dyDescent="0.25">
      <c r="A438" s="36" t="s">
        <v>2099</v>
      </c>
      <c r="B438" s="36" t="s">
        <v>2100</v>
      </c>
      <c r="C438" s="37" t="s">
        <v>506</v>
      </c>
      <c r="D438" s="37" t="s">
        <v>351</v>
      </c>
      <c r="E438" s="38" t="s">
        <v>2101</v>
      </c>
      <c r="F438" s="38" t="s">
        <v>2102</v>
      </c>
      <c r="G438" s="39" t="s">
        <v>34</v>
      </c>
      <c r="H438" s="40">
        <v>46141</v>
      </c>
      <c r="I438" s="41">
        <v>46154</v>
      </c>
      <c r="J438" s="37" t="s">
        <v>95</v>
      </c>
      <c r="K438" s="37" t="s">
        <v>79</v>
      </c>
      <c r="L438" s="43" t="s">
        <v>64</v>
      </c>
      <c r="M438" s="43"/>
      <c r="N438" s="43"/>
      <c r="O438" s="42"/>
      <c r="P438" s="43" t="str">
        <f t="shared" si="6"/>
        <v>ONAY</v>
      </c>
    </row>
    <row r="439" spans="1:16" ht="78.75" customHeight="1" x14ac:dyDescent="0.25">
      <c r="A439" s="36" t="s">
        <v>2103</v>
      </c>
      <c r="B439" s="36" t="s">
        <v>2104</v>
      </c>
      <c r="C439" s="37" t="s">
        <v>1365</v>
      </c>
      <c r="D439" s="37" t="s">
        <v>209</v>
      </c>
      <c r="E439" s="38" t="s">
        <v>2105</v>
      </c>
      <c r="F439" s="38" t="s">
        <v>2106</v>
      </c>
      <c r="G439" s="39" t="s">
        <v>34</v>
      </c>
      <c r="H439" s="40">
        <v>46142</v>
      </c>
      <c r="I439" s="41">
        <v>46154</v>
      </c>
      <c r="J439" s="37" t="s">
        <v>62</v>
      </c>
      <c r="K439" s="37" t="s">
        <v>103</v>
      </c>
      <c r="L439" s="43" t="s">
        <v>64</v>
      </c>
      <c r="M439" s="43"/>
      <c r="N439" s="43"/>
      <c r="O439" s="42"/>
      <c r="P439" s="43" t="str">
        <f t="shared" si="6"/>
        <v>ONAY</v>
      </c>
    </row>
    <row r="440" spans="1:16" ht="78.75" customHeight="1" x14ac:dyDescent="0.25">
      <c r="A440" s="36" t="s">
        <v>2107</v>
      </c>
      <c r="B440" s="36" t="s">
        <v>2108</v>
      </c>
      <c r="C440" s="37" t="s">
        <v>1684</v>
      </c>
      <c r="D440" s="37" t="s">
        <v>1130</v>
      </c>
      <c r="E440" s="38" t="s">
        <v>2109</v>
      </c>
      <c r="F440" s="38" t="s">
        <v>2110</v>
      </c>
      <c r="G440" s="39" t="s">
        <v>34</v>
      </c>
      <c r="H440" s="40">
        <v>46142</v>
      </c>
      <c r="I440" s="41">
        <v>46154</v>
      </c>
      <c r="J440" s="37" t="s">
        <v>78</v>
      </c>
      <c r="K440" s="37" t="s">
        <v>71</v>
      </c>
      <c r="L440" s="43" t="s">
        <v>64</v>
      </c>
      <c r="M440" s="43"/>
      <c r="N440" s="43"/>
      <c r="O440" s="42"/>
      <c r="P440" s="43" t="str">
        <f t="shared" si="6"/>
        <v>ONAY</v>
      </c>
    </row>
    <row r="441" spans="1:16" ht="63" customHeight="1" x14ac:dyDescent="0.25">
      <c r="A441" s="36" t="s">
        <v>2111</v>
      </c>
      <c r="B441" s="36" t="s">
        <v>2112</v>
      </c>
      <c r="C441" s="37" t="s">
        <v>2113</v>
      </c>
      <c r="D441" s="37" t="s">
        <v>2114</v>
      </c>
      <c r="E441" s="38" t="s">
        <v>2115</v>
      </c>
      <c r="F441" s="38" t="s">
        <v>2116</v>
      </c>
      <c r="G441" s="39" t="s">
        <v>37</v>
      </c>
      <c r="H441" s="40">
        <v>46146</v>
      </c>
      <c r="I441" s="41">
        <v>46154</v>
      </c>
      <c r="J441" s="37" t="s">
        <v>95</v>
      </c>
      <c r="K441" s="37" t="s">
        <v>87</v>
      </c>
      <c r="L441" s="43" t="s">
        <v>64</v>
      </c>
      <c r="M441" s="43"/>
      <c r="N441" s="43"/>
      <c r="O441" s="42"/>
      <c r="P441" s="43" t="str">
        <f t="shared" si="6"/>
        <v>ONAY</v>
      </c>
    </row>
    <row r="442" spans="1:16" ht="78.75" customHeight="1" x14ac:dyDescent="0.25">
      <c r="A442" s="36" t="s">
        <v>2117</v>
      </c>
      <c r="B442" s="36" t="s">
        <v>2118</v>
      </c>
      <c r="C442" s="37" t="s">
        <v>2119</v>
      </c>
      <c r="D442" s="37" t="s">
        <v>209</v>
      </c>
      <c r="E442" s="38" t="s">
        <v>2120</v>
      </c>
      <c r="F442" s="38" t="s">
        <v>2121</v>
      </c>
      <c r="G442" s="39" t="s">
        <v>34</v>
      </c>
      <c r="H442" s="40">
        <v>46146</v>
      </c>
      <c r="I442" s="41">
        <v>46154</v>
      </c>
      <c r="J442" s="37" t="s">
        <v>62</v>
      </c>
      <c r="K442" s="37" t="s">
        <v>110</v>
      </c>
      <c r="L442" s="43" t="s">
        <v>64</v>
      </c>
      <c r="M442" s="43"/>
      <c r="N442" s="43"/>
      <c r="O442" s="42"/>
      <c r="P442" s="43" t="str">
        <f t="shared" si="6"/>
        <v>ONAY</v>
      </c>
    </row>
    <row r="443" spans="1:16" ht="63" customHeight="1" x14ac:dyDescent="0.25">
      <c r="A443" s="36" t="s">
        <v>2122</v>
      </c>
      <c r="B443" s="36" t="s">
        <v>2123</v>
      </c>
      <c r="C443" s="37" t="s">
        <v>99</v>
      </c>
      <c r="D443" s="37" t="s">
        <v>100</v>
      </c>
      <c r="E443" s="38" t="s">
        <v>1169</v>
      </c>
      <c r="F443" s="38" t="s">
        <v>2124</v>
      </c>
      <c r="G443" s="39" t="s">
        <v>34</v>
      </c>
      <c r="H443" s="40">
        <v>46146</v>
      </c>
      <c r="I443" s="41">
        <v>46154</v>
      </c>
      <c r="J443" s="37" t="s">
        <v>62</v>
      </c>
      <c r="K443" s="37" t="s">
        <v>116</v>
      </c>
      <c r="L443" s="43" t="s">
        <v>64</v>
      </c>
      <c r="M443" s="43"/>
      <c r="N443" s="43"/>
      <c r="O443" s="42"/>
      <c r="P443" s="43" t="str">
        <f t="shared" si="6"/>
        <v>ONAY</v>
      </c>
    </row>
    <row r="444" spans="1:16" ht="80.25" customHeight="1" x14ac:dyDescent="0.25">
      <c r="A444" s="36" t="s">
        <v>2125</v>
      </c>
      <c r="B444" s="36" t="s">
        <v>2126</v>
      </c>
      <c r="C444" s="37" t="s">
        <v>639</v>
      </c>
      <c r="D444" s="37" t="s">
        <v>351</v>
      </c>
      <c r="E444" s="38" t="s">
        <v>2127</v>
      </c>
      <c r="F444" s="38" t="s">
        <v>2128</v>
      </c>
      <c r="G444" s="39" t="s">
        <v>34</v>
      </c>
      <c r="H444" s="40">
        <v>46146</v>
      </c>
      <c r="I444" s="41">
        <v>46154</v>
      </c>
      <c r="J444" s="37" t="s">
        <v>95</v>
      </c>
      <c r="K444" s="37" t="s">
        <v>79</v>
      </c>
      <c r="L444" s="43" t="s">
        <v>64</v>
      </c>
      <c r="M444" s="43"/>
      <c r="N444" s="43"/>
      <c r="O444" s="42"/>
      <c r="P444" s="43" t="str">
        <f t="shared" si="6"/>
        <v>ONAY</v>
      </c>
    </row>
    <row r="445" spans="1:16" ht="78.75" customHeight="1" x14ac:dyDescent="0.25">
      <c r="A445" s="36" t="s">
        <v>2129</v>
      </c>
      <c r="B445" s="36" t="s">
        <v>2130</v>
      </c>
      <c r="C445" s="37" t="s">
        <v>2131</v>
      </c>
      <c r="D445" s="37" t="s">
        <v>1155</v>
      </c>
      <c r="E445" s="38" t="s">
        <v>2132</v>
      </c>
      <c r="F445" s="38" t="s">
        <v>2133</v>
      </c>
      <c r="G445" s="39" t="s">
        <v>34</v>
      </c>
      <c r="H445" s="40">
        <v>46146</v>
      </c>
      <c r="I445" s="41">
        <v>46154</v>
      </c>
      <c r="J445" s="37" t="s">
        <v>86</v>
      </c>
      <c r="K445" s="37" t="s">
        <v>63</v>
      </c>
      <c r="L445" s="43" t="s">
        <v>64</v>
      </c>
      <c r="M445" s="43"/>
      <c r="N445" s="43"/>
      <c r="O445" s="42"/>
      <c r="P445" s="43" t="str">
        <f t="shared" si="6"/>
        <v>ONAY</v>
      </c>
    </row>
    <row r="446" spans="1:16" ht="63" customHeight="1" x14ac:dyDescent="0.25">
      <c r="A446" s="36" t="s">
        <v>2134</v>
      </c>
      <c r="B446" s="36" t="s">
        <v>2135</v>
      </c>
      <c r="C446" s="37" t="s">
        <v>1935</v>
      </c>
      <c r="D446" s="37" t="s">
        <v>107</v>
      </c>
      <c r="E446" s="38" t="s">
        <v>2136</v>
      </c>
      <c r="F446" s="38" t="s">
        <v>2137</v>
      </c>
      <c r="G446" s="39" t="s">
        <v>34</v>
      </c>
      <c r="H446" s="40">
        <v>46146</v>
      </c>
      <c r="I446" s="41">
        <v>46154</v>
      </c>
      <c r="J446" s="37" t="s">
        <v>110</v>
      </c>
      <c r="K446" s="37" t="s">
        <v>103</v>
      </c>
      <c r="L446" s="43" t="s">
        <v>64</v>
      </c>
      <c r="M446" s="43"/>
      <c r="N446" s="43"/>
      <c r="O446" s="42"/>
      <c r="P446" s="43" t="str">
        <f t="shared" si="6"/>
        <v>ONAY</v>
      </c>
    </row>
    <row r="447" spans="1:16" ht="47.25" customHeight="1" x14ac:dyDescent="0.25">
      <c r="A447" s="36" t="s">
        <v>2138</v>
      </c>
      <c r="B447" s="36" t="s">
        <v>2139</v>
      </c>
      <c r="C447" s="37" t="s">
        <v>496</v>
      </c>
      <c r="D447" s="37" t="s">
        <v>209</v>
      </c>
      <c r="E447" s="38" t="s">
        <v>2140</v>
      </c>
      <c r="F447" s="38" t="s">
        <v>2141</v>
      </c>
      <c r="G447" s="39" t="s">
        <v>34</v>
      </c>
      <c r="H447" s="40">
        <v>46146</v>
      </c>
      <c r="I447" s="41">
        <v>46154</v>
      </c>
      <c r="J447" s="37" t="s">
        <v>96</v>
      </c>
      <c r="K447" s="37" t="s">
        <v>110</v>
      </c>
      <c r="L447" s="43"/>
      <c r="M447" s="43"/>
      <c r="N447" s="43"/>
      <c r="O447" s="42"/>
      <c r="P447" s="43">
        <f t="shared" si="6"/>
        <v>0</v>
      </c>
    </row>
    <row r="448" spans="1:16" ht="46.5" customHeight="1" x14ac:dyDescent="0.25">
      <c r="A448" s="36" t="s">
        <v>2142</v>
      </c>
      <c r="B448" s="36" t="s">
        <v>2143</v>
      </c>
      <c r="C448" s="37" t="s">
        <v>511</v>
      </c>
      <c r="D448" s="37" t="s">
        <v>100</v>
      </c>
      <c r="E448" s="38" t="s">
        <v>2144</v>
      </c>
      <c r="F448" s="38" t="s">
        <v>2145</v>
      </c>
      <c r="G448" s="39" t="s">
        <v>34</v>
      </c>
      <c r="H448" s="40">
        <v>46146</v>
      </c>
      <c r="I448" s="41">
        <v>46154</v>
      </c>
      <c r="J448" s="37" t="s">
        <v>95</v>
      </c>
      <c r="K448" s="37" t="s">
        <v>71</v>
      </c>
      <c r="L448" s="43"/>
      <c r="M448" s="43"/>
      <c r="N448" s="43"/>
      <c r="O448" s="42"/>
      <c r="P448" s="43">
        <f t="shared" si="6"/>
        <v>0</v>
      </c>
    </row>
    <row r="449" spans="1:16" ht="78.75" customHeight="1" x14ac:dyDescent="0.25">
      <c r="A449" s="36" t="s">
        <v>2146</v>
      </c>
      <c r="B449" s="36" t="s">
        <v>2147</v>
      </c>
      <c r="C449" s="37" t="s">
        <v>2148</v>
      </c>
      <c r="D449" s="37" t="s">
        <v>202</v>
      </c>
      <c r="E449" s="38" t="s">
        <v>2149</v>
      </c>
      <c r="F449" s="38" t="s">
        <v>2150</v>
      </c>
      <c r="G449" s="39" t="s">
        <v>34</v>
      </c>
      <c r="H449" s="40">
        <v>46146</v>
      </c>
      <c r="I449" s="41">
        <v>46154</v>
      </c>
      <c r="J449" s="37" t="s">
        <v>110</v>
      </c>
      <c r="K449" s="37" t="s">
        <v>116</v>
      </c>
      <c r="L449" s="43" t="s">
        <v>64</v>
      </c>
      <c r="M449" s="43"/>
      <c r="N449" s="43"/>
      <c r="O449" s="42"/>
      <c r="P449" s="43" t="str">
        <f t="shared" si="6"/>
        <v>ONAY</v>
      </c>
    </row>
    <row r="450" spans="1:16" ht="78.75" customHeight="1" x14ac:dyDescent="0.25">
      <c r="A450" s="36" t="s">
        <v>2151</v>
      </c>
      <c r="B450" s="36" t="s">
        <v>2152</v>
      </c>
      <c r="C450" s="37" t="s">
        <v>1413</v>
      </c>
      <c r="D450" s="37" t="s">
        <v>953</v>
      </c>
      <c r="E450" s="38" t="s">
        <v>2153</v>
      </c>
      <c r="F450" s="38" t="s">
        <v>2154</v>
      </c>
      <c r="G450" s="39" t="s">
        <v>34</v>
      </c>
      <c r="H450" s="40">
        <v>46146</v>
      </c>
      <c r="I450" s="41">
        <v>46154</v>
      </c>
      <c r="J450" s="37" t="s">
        <v>95</v>
      </c>
      <c r="K450" s="37" t="s">
        <v>87</v>
      </c>
      <c r="L450" s="43" t="s">
        <v>88</v>
      </c>
      <c r="M450" s="43" t="s">
        <v>88</v>
      </c>
      <c r="N450" s="43"/>
      <c r="O450" s="42"/>
      <c r="P450" s="43" t="str">
        <f t="shared" ref="P450:P513" si="7">IF(O450&lt;&gt;"",O450, IF(N450&lt;&gt;"",N450, IF(M450&lt;&gt;"",M450, L450)))</f>
        <v>DÜZELTME</v>
      </c>
    </row>
    <row r="451" spans="1:16" ht="110.25" customHeight="1" x14ac:dyDescent="0.25">
      <c r="A451" s="36" t="s">
        <v>2155</v>
      </c>
      <c r="B451" s="36" t="s">
        <v>2156</v>
      </c>
      <c r="C451" s="37" t="s">
        <v>196</v>
      </c>
      <c r="D451" s="37" t="s">
        <v>120</v>
      </c>
      <c r="E451" s="38" t="s">
        <v>2157</v>
      </c>
      <c r="F451" s="38" t="s">
        <v>2158</v>
      </c>
      <c r="G451" s="39" t="s">
        <v>34</v>
      </c>
      <c r="H451" s="40">
        <v>46146</v>
      </c>
      <c r="I451" s="41">
        <v>46154</v>
      </c>
      <c r="J451" s="37" t="s">
        <v>87</v>
      </c>
      <c r="K451" s="37" t="s">
        <v>78</v>
      </c>
      <c r="L451" s="43" t="s">
        <v>88</v>
      </c>
      <c r="M451" s="43"/>
      <c r="N451" s="43"/>
      <c r="O451" s="42"/>
      <c r="P451" s="43" t="str">
        <f t="shared" si="7"/>
        <v>DÜZELTME</v>
      </c>
    </row>
    <row r="452" spans="1:16" ht="63" customHeight="1" x14ac:dyDescent="0.25">
      <c r="A452" s="36" t="s">
        <v>2159</v>
      </c>
      <c r="B452" s="36" t="s">
        <v>2160</v>
      </c>
      <c r="C452" s="37" t="s">
        <v>2161</v>
      </c>
      <c r="D452" s="37" t="s">
        <v>144</v>
      </c>
      <c r="E452" s="38" t="s">
        <v>2162</v>
      </c>
      <c r="F452" s="38" t="s">
        <v>2163</v>
      </c>
      <c r="G452" s="39" t="s">
        <v>34</v>
      </c>
      <c r="H452" s="40">
        <v>46146</v>
      </c>
      <c r="I452" s="41">
        <v>46154</v>
      </c>
      <c r="J452" s="37" t="s">
        <v>78</v>
      </c>
      <c r="K452" s="37" t="s">
        <v>79</v>
      </c>
      <c r="L452" s="43" t="s">
        <v>64</v>
      </c>
      <c r="M452" s="43"/>
      <c r="N452" s="43"/>
      <c r="O452" s="42"/>
      <c r="P452" s="43" t="str">
        <f t="shared" si="7"/>
        <v>ONAY</v>
      </c>
    </row>
    <row r="453" spans="1:16" ht="94.5" customHeight="1" x14ac:dyDescent="0.25">
      <c r="A453" s="36" t="s">
        <v>2164</v>
      </c>
      <c r="B453" s="36" t="s">
        <v>2165</v>
      </c>
      <c r="C453" s="37" t="s">
        <v>96</v>
      </c>
      <c r="D453" s="37" t="s">
        <v>2166</v>
      </c>
      <c r="E453" s="38" t="s">
        <v>2167</v>
      </c>
      <c r="F453" s="38" t="s">
        <v>2168</v>
      </c>
      <c r="G453" s="39" t="s">
        <v>35</v>
      </c>
      <c r="H453" s="40">
        <v>46146</v>
      </c>
      <c r="I453" s="41">
        <v>46154</v>
      </c>
      <c r="J453" s="37" t="s">
        <v>62</v>
      </c>
      <c r="K453" s="37" t="s">
        <v>86</v>
      </c>
      <c r="L453" s="43" t="s">
        <v>64</v>
      </c>
      <c r="M453" s="43"/>
      <c r="N453" s="43"/>
      <c r="O453" s="42"/>
      <c r="P453" s="43" t="str">
        <f t="shared" si="7"/>
        <v>ONAY</v>
      </c>
    </row>
    <row r="454" spans="1:16" ht="63" customHeight="1" x14ac:dyDescent="0.25">
      <c r="A454" s="36" t="s">
        <v>2169</v>
      </c>
      <c r="B454" s="36" t="s">
        <v>2170</v>
      </c>
      <c r="C454" s="37" t="s">
        <v>2065</v>
      </c>
      <c r="D454" s="37" t="s">
        <v>100</v>
      </c>
      <c r="E454" s="38" t="s">
        <v>2066</v>
      </c>
      <c r="F454" s="38" t="s">
        <v>2171</v>
      </c>
      <c r="G454" s="39" t="s">
        <v>34</v>
      </c>
      <c r="H454" s="40">
        <v>46154</v>
      </c>
      <c r="I454" s="41">
        <v>46175</v>
      </c>
      <c r="J454" s="37" t="s">
        <v>103</v>
      </c>
      <c r="K454" s="37" t="s">
        <v>71</v>
      </c>
      <c r="L454" s="43" t="s">
        <v>64</v>
      </c>
      <c r="M454" s="43"/>
      <c r="N454" s="43"/>
      <c r="O454" s="42"/>
      <c r="P454" s="43" t="str">
        <f t="shared" si="7"/>
        <v>ONAY</v>
      </c>
    </row>
    <row r="455" spans="1:16" ht="63" customHeight="1" x14ac:dyDescent="0.25">
      <c r="A455" s="36" t="s">
        <v>2172</v>
      </c>
      <c r="B455" s="36" t="s">
        <v>2173</v>
      </c>
      <c r="C455" s="37" t="s">
        <v>2065</v>
      </c>
      <c r="D455" s="37" t="s">
        <v>100</v>
      </c>
      <c r="E455" s="38" t="s">
        <v>2066</v>
      </c>
      <c r="F455" s="38" t="s">
        <v>2174</v>
      </c>
      <c r="G455" s="39" t="s">
        <v>34</v>
      </c>
      <c r="H455" s="40">
        <v>46154</v>
      </c>
      <c r="I455" s="41">
        <v>46175</v>
      </c>
      <c r="J455" s="37" t="s">
        <v>116</v>
      </c>
      <c r="K455" s="37" t="s">
        <v>71</v>
      </c>
      <c r="L455" s="43" t="s">
        <v>64</v>
      </c>
      <c r="M455" s="43"/>
      <c r="N455" s="43"/>
      <c r="O455" s="42"/>
      <c r="P455" s="43" t="str">
        <f t="shared" si="7"/>
        <v>ONAY</v>
      </c>
    </row>
    <row r="456" spans="1:16" ht="78.75" customHeight="1" x14ac:dyDescent="0.25">
      <c r="A456" s="36" t="s">
        <v>2175</v>
      </c>
      <c r="B456" s="36" t="s">
        <v>2176</v>
      </c>
      <c r="C456" s="37" t="s">
        <v>2177</v>
      </c>
      <c r="D456" s="37" t="s">
        <v>278</v>
      </c>
      <c r="E456" s="38" t="s">
        <v>2178</v>
      </c>
      <c r="F456" s="38" t="s">
        <v>2179</v>
      </c>
      <c r="G456" s="39" t="s">
        <v>34</v>
      </c>
      <c r="H456" s="40">
        <v>46154</v>
      </c>
      <c r="I456" s="41">
        <v>46175</v>
      </c>
      <c r="J456" s="37" t="s">
        <v>62</v>
      </c>
      <c r="K456" s="37" t="s">
        <v>103</v>
      </c>
      <c r="L456" s="43" t="s">
        <v>64</v>
      </c>
      <c r="M456" s="43"/>
      <c r="N456" s="43"/>
      <c r="O456" s="42"/>
      <c r="P456" s="43" t="str">
        <f t="shared" si="7"/>
        <v>ONAY</v>
      </c>
    </row>
    <row r="457" spans="1:16" ht="63" customHeight="1" x14ac:dyDescent="0.25">
      <c r="A457" s="36" t="s">
        <v>2180</v>
      </c>
      <c r="B457" s="36" t="s">
        <v>2181</v>
      </c>
      <c r="C457" s="37" t="s">
        <v>506</v>
      </c>
      <c r="D457" s="37" t="s">
        <v>351</v>
      </c>
      <c r="E457" s="38" t="s">
        <v>2182</v>
      </c>
      <c r="F457" s="38" t="s">
        <v>2183</v>
      </c>
      <c r="G457" s="39" t="s">
        <v>34</v>
      </c>
      <c r="H457" s="40">
        <v>46154</v>
      </c>
      <c r="I457" s="41">
        <v>46175</v>
      </c>
      <c r="J457" s="37" t="s">
        <v>95</v>
      </c>
      <c r="K457" s="37" t="s">
        <v>86</v>
      </c>
      <c r="L457" s="43" t="s">
        <v>64</v>
      </c>
      <c r="M457" s="43"/>
      <c r="N457" s="43"/>
      <c r="O457" s="42"/>
      <c r="P457" s="43" t="str">
        <f t="shared" si="7"/>
        <v>ONAY</v>
      </c>
    </row>
    <row r="458" spans="1:16" ht="47.25" customHeight="1" x14ac:dyDescent="0.25">
      <c r="A458" s="36" t="s">
        <v>2184</v>
      </c>
      <c r="B458" s="36" t="s">
        <v>2185</v>
      </c>
      <c r="C458" s="37" t="s">
        <v>511</v>
      </c>
      <c r="D458" s="37" t="s">
        <v>100</v>
      </c>
      <c r="E458" s="38" t="s">
        <v>2144</v>
      </c>
      <c r="F458" s="38" t="s">
        <v>2186</v>
      </c>
      <c r="G458" s="39" t="s">
        <v>34</v>
      </c>
      <c r="H458" s="40">
        <v>46154</v>
      </c>
      <c r="I458" s="41">
        <v>46175</v>
      </c>
      <c r="J458" s="37" t="s">
        <v>96</v>
      </c>
      <c r="K458" s="37" t="s">
        <v>110</v>
      </c>
      <c r="L458" s="43" t="s">
        <v>64</v>
      </c>
      <c r="M458" s="43"/>
      <c r="N458" s="43"/>
      <c r="O458" s="42"/>
      <c r="P458" s="43" t="str">
        <f t="shared" si="7"/>
        <v>ONAY</v>
      </c>
    </row>
    <row r="459" spans="1:16" ht="47.25" customHeight="1" x14ac:dyDescent="0.25">
      <c r="A459" s="36" t="s">
        <v>2187</v>
      </c>
      <c r="B459" s="36" t="s">
        <v>2188</v>
      </c>
      <c r="C459" s="37" t="s">
        <v>2189</v>
      </c>
      <c r="D459" s="37" t="s">
        <v>221</v>
      </c>
      <c r="E459" s="38" t="s">
        <v>2190</v>
      </c>
      <c r="F459" s="38" t="s">
        <v>2191</v>
      </c>
      <c r="G459" s="39" t="s">
        <v>34</v>
      </c>
      <c r="H459" s="40">
        <v>46154</v>
      </c>
      <c r="I459" s="41">
        <v>46175</v>
      </c>
      <c r="J459" s="37" t="s">
        <v>79</v>
      </c>
      <c r="K459" s="37" t="s">
        <v>87</v>
      </c>
      <c r="L459" s="43" t="s">
        <v>88</v>
      </c>
      <c r="M459" s="43"/>
      <c r="N459" s="43"/>
      <c r="O459" s="42"/>
      <c r="P459" s="43" t="str">
        <f t="shared" si="7"/>
        <v>DÜZELTME</v>
      </c>
    </row>
    <row r="460" spans="1:16" ht="78.75" customHeight="1" x14ac:dyDescent="0.25">
      <c r="A460" s="36" t="s">
        <v>2192</v>
      </c>
      <c r="B460" s="36" t="s">
        <v>2193</v>
      </c>
      <c r="C460" s="37" t="s">
        <v>1576</v>
      </c>
      <c r="D460" s="37" t="s">
        <v>328</v>
      </c>
      <c r="E460" s="38" t="s">
        <v>2194</v>
      </c>
      <c r="F460" s="38" t="s">
        <v>2195</v>
      </c>
      <c r="G460" s="39" t="s">
        <v>34</v>
      </c>
      <c r="H460" s="40">
        <v>46154</v>
      </c>
      <c r="I460" s="41">
        <v>46175</v>
      </c>
      <c r="J460" s="37" t="s">
        <v>96</v>
      </c>
      <c r="K460" s="37" t="s">
        <v>103</v>
      </c>
      <c r="L460" s="43" t="s">
        <v>88</v>
      </c>
      <c r="M460" s="43"/>
      <c r="N460" s="43"/>
      <c r="O460" s="42"/>
      <c r="P460" s="43" t="str">
        <f t="shared" si="7"/>
        <v>DÜZELTME</v>
      </c>
    </row>
    <row r="461" spans="1:16" ht="67.5" customHeight="1" x14ac:dyDescent="0.25">
      <c r="A461" s="36" t="s">
        <v>2196</v>
      </c>
      <c r="B461" s="36" t="s">
        <v>2197</v>
      </c>
      <c r="C461" s="37" t="s">
        <v>1030</v>
      </c>
      <c r="D461" s="37" t="s">
        <v>75</v>
      </c>
      <c r="E461" s="38" t="s">
        <v>2198</v>
      </c>
      <c r="F461" s="38" t="s">
        <v>2199</v>
      </c>
      <c r="G461" s="39" t="s">
        <v>34</v>
      </c>
      <c r="H461" s="40">
        <v>46154</v>
      </c>
      <c r="I461" s="41">
        <v>46175</v>
      </c>
      <c r="J461" s="37" t="s">
        <v>79</v>
      </c>
      <c r="K461" s="37" t="s">
        <v>110</v>
      </c>
      <c r="L461" s="43" t="s">
        <v>64</v>
      </c>
      <c r="M461" s="43"/>
      <c r="N461" s="43"/>
      <c r="O461" s="42"/>
      <c r="P461" s="43" t="str">
        <f t="shared" si="7"/>
        <v>ONAY</v>
      </c>
    </row>
    <row r="462" spans="1:16" ht="63" customHeight="1" x14ac:dyDescent="0.25">
      <c r="A462" s="36" t="s">
        <v>2200</v>
      </c>
      <c r="B462" s="36" t="s">
        <v>2201</v>
      </c>
      <c r="C462" s="37" t="s">
        <v>2202</v>
      </c>
      <c r="D462" s="37" t="s">
        <v>2203</v>
      </c>
      <c r="E462" s="38" t="s">
        <v>2204</v>
      </c>
      <c r="F462" s="38" t="s">
        <v>2205</v>
      </c>
      <c r="G462" s="39" t="s">
        <v>34</v>
      </c>
      <c r="H462" s="40">
        <v>46154</v>
      </c>
      <c r="I462" s="41">
        <v>46175</v>
      </c>
      <c r="J462" s="37" t="s">
        <v>62</v>
      </c>
      <c r="K462" s="37" t="s">
        <v>71</v>
      </c>
      <c r="L462" s="43" t="s">
        <v>193</v>
      </c>
      <c r="M462" s="43"/>
      <c r="N462" s="43"/>
      <c r="O462" s="42"/>
      <c r="P462" s="43" t="str">
        <f t="shared" si="7"/>
        <v>GÖRÜŞ</v>
      </c>
    </row>
    <row r="463" spans="1:16" ht="94.5" customHeight="1" x14ac:dyDescent="0.25">
      <c r="A463" s="36" t="s">
        <v>2206</v>
      </c>
      <c r="B463" s="36" t="s">
        <v>2207</v>
      </c>
      <c r="C463" s="37" t="s">
        <v>2208</v>
      </c>
      <c r="D463" s="37" t="s">
        <v>417</v>
      </c>
      <c r="E463" s="38" t="s">
        <v>2209</v>
      </c>
      <c r="F463" s="38" t="s">
        <v>2210</v>
      </c>
      <c r="G463" s="39" t="s">
        <v>34</v>
      </c>
      <c r="H463" s="40">
        <v>46154</v>
      </c>
      <c r="I463" s="41">
        <v>46175</v>
      </c>
      <c r="J463" s="37" t="s">
        <v>96</v>
      </c>
      <c r="K463" s="37" t="s">
        <v>87</v>
      </c>
      <c r="L463" s="43" t="s">
        <v>64</v>
      </c>
      <c r="M463" s="43"/>
      <c r="N463" s="43"/>
      <c r="O463" s="42"/>
      <c r="P463" s="43" t="str">
        <f t="shared" si="7"/>
        <v>ONAY</v>
      </c>
    </row>
    <row r="464" spans="1:16" ht="110.25" customHeight="1" x14ac:dyDescent="0.25">
      <c r="A464" s="36" t="s">
        <v>2211</v>
      </c>
      <c r="B464" s="36" t="s">
        <v>2212</v>
      </c>
      <c r="C464" s="37" t="s">
        <v>2213</v>
      </c>
      <c r="D464" s="37" t="s">
        <v>137</v>
      </c>
      <c r="E464" s="38" t="s">
        <v>2214</v>
      </c>
      <c r="F464" s="38" t="s">
        <v>2215</v>
      </c>
      <c r="G464" s="39" t="s">
        <v>35</v>
      </c>
      <c r="H464" s="40">
        <v>46154</v>
      </c>
      <c r="I464" s="41">
        <v>46175</v>
      </c>
      <c r="J464" s="37" t="s">
        <v>95</v>
      </c>
      <c r="K464" s="37" t="s">
        <v>86</v>
      </c>
      <c r="L464" s="43" t="s">
        <v>88</v>
      </c>
      <c r="M464" s="43"/>
      <c r="N464" s="43"/>
      <c r="O464" s="42"/>
      <c r="P464" s="43" t="str">
        <f t="shared" si="7"/>
        <v>DÜZELTME</v>
      </c>
    </row>
    <row r="465" spans="1:16" ht="80.25" customHeight="1" x14ac:dyDescent="0.25">
      <c r="A465" s="36" t="s">
        <v>2216</v>
      </c>
      <c r="B465" s="36" t="s">
        <v>2217</v>
      </c>
      <c r="C465" s="37" t="s">
        <v>2218</v>
      </c>
      <c r="D465" s="37" t="s">
        <v>471</v>
      </c>
      <c r="E465" s="38" t="s">
        <v>2219</v>
      </c>
      <c r="F465" s="38" t="s">
        <v>2220</v>
      </c>
      <c r="G465" s="39" t="s">
        <v>34</v>
      </c>
      <c r="H465" s="40">
        <v>46154</v>
      </c>
      <c r="I465" s="41">
        <v>46175</v>
      </c>
      <c r="J465" s="37" t="s">
        <v>110</v>
      </c>
      <c r="K465" s="37" t="s">
        <v>79</v>
      </c>
      <c r="L465" s="43" t="s">
        <v>88</v>
      </c>
      <c r="M465" s="43"/>
      <c r="N465" s="43"/>
      <c r="O465" s="42"/>
      <c r="P465" s="43" t="str">
        <f t="shared" si="7"/>
        <v>DÜZELTME</v>
      </c>
    </row>
    <row r="466" spans="1:16" ht="96" customHeight="1" x14ac:dyDescent="0.25">
      <c r="A466" s="36" t="s">
        <v>2221</v>
      </c>
      <c r="B466" s="36" t="s">
        <v>2222</v>
      </c>
      <c r="C466" s="37" t="s">
        <v>2223</v>
      </c>
      <c r="D466" s="37" t="s">
        <v>2224</v>
      </c>
      <c r="E466" s="38" t="s">
        <v>2225</v>
      </c>
      <c r="F466" s="38" t="s">
        <v>2226</v>
      </c>
      <c r="G466" s="39" t="s">
        <v>36</v>
      </c>
      <c r="H466" s="40">
        <v>46154</v>
      </c>
      <c r="I466" s="41">
        <v>46175</v>
      </c>
      <c r="J466" s="37" t="s">
        <v>96</v>
      </c>
      <c r="K466" s="37" t="s">
        <v>62</v>
      </c>
      <c r="L466" s="43" t="s">
        <v>88</v>
      </c>
      <c r="M466" s="43"/>
      <c r="N466" s="43"/>
      <c r="O466" s="42"/>
      <c r="P466" s="43" t="str">
        <f t="shared" si="7"/>
        <v>DÜZELTME</v>
      </c>
    </row>
    <row r="467" spans="1:16" ht="78.75" customHeight="1" x14ac:dyDescent="0.25">
      <c r="A467" s="36" t="s">
        <v>2227</v>
      </c>
      <c r="B467" s="36" t="s">
        <v>2228</v>
      </c>
      <c r="C467" s="37" t="s">
        <v>1524</v>
      </c>
      <c r="D467" s="37" t="s">
        <v>267</v>
      </c>
      <c r="E467" s="38" t="s">
        <v>2229</v>
      </c>
      <c r="F467" s="38" t="s">
        <v>2230</v>
      </c>
      <c r="G467" s="39" t="s">
        <v>34</v>
      </c>
      <c r="H467" s="40">
        <v>46154</v>
      </c>
      <c r="I467" s="41">
        <v>46175</v>
      </c>
      <c r="J467" s="37" t="s">
        <v>95</v>
      </c>
      <c r="K467" s="37" t="s">
        <v>79</v>
      </c>
      <c r="L467" s="43" t="s">
        <v>64</v>
      </c>
      <c r="M467" s="43"/>
      <c r="N467" s="43"/>
      <c r="O467" s="42"/>
      <c r="P467" s="43" t="str">
        <f t="shared" si="7"/>
        <v>ONAY</v>
      </c>
    </row>
    <row r="468" spans="1:16" ht="78.75" customHeight="1" x14ac:dyDescent="0.25">
      <c r="A468" s="36" t="s">
        <v>2231</v>
      </c>
      <c r="B468" s="36" t="s">
        <v>2232</v>
      </c>
      <c r="C468" s="37" t="s">
        <v>2233</v>
      </c>
      <c r="D468" s="37" t="s">
        <v>491</v>
      </c>
      <c r="E468" s="38" t="s">
        <v>2234</v>
      </c>
      <c r="F468" s="38" t="s">
        <v>2235</v>
      </c>
      <c r="G468" s="39" t="s">
        <v>34</v>
      </c>
      <c r="H468" s="40">
        <v>46154</v>
      </c>
      <c r="I468" s="41">
        <v>46175</v>
      </c>
      <c r="J468" s="37" t="s">
        <v>86</v>
      </c>
      <c r="K468" s="37" t="s">
        <v>116</v>
      </c>
      <c r="L468" s="43"/>
      <c r="M468" s="43"/>
      <c r="N468" s="43"/>
      <c r="O468" s="42"/>
      <c r="P468" s="43">
        <f t="shared" si="7"/>
        <v>0</v>
      </c>
    </row>
    <row r="469" spans="1:16" ht="63" customHeight="1" x14ac:dyDescent="0.25">
      <c r="A469" s="36" t="s">
        <v>2236</v>
      </c>
      <c r="B469" s="36" t="s">
        <v>2237</v>
      </c>
      <c r="C469" s="37" t="s">
        <v>1571</v>
      </c>
      <c r="D469" s="37" t="s">
        <v>100</v>
      </c>
      <c r="E469" s="38" t="s">
        <v>1572</v>
      </c>
      <c r="F469" s="38" t="s">
        <v>2238</v>
      </c>
      <c r="G469" s="39" t="s">
        <v>34</v>
      </c>
      <c r="H469" s="40">
        <v>46154</v>
      </c>
      <c r="I469" s="41">
        <v>46175</v>
      </c>
      <c r="J469" s="37" t="s">
        <v>103</v>
      </c>
      <c r="K469" s="37" t="s">
        <v>116</v>
      </c>
      <c r="L469" s="43"/>
      <c r="M469" s="43"/>
      <c r="N469" s="43"/>
      <c r="O469" s="42"/>
      <c r="P469" s="43">
        <f t="shared" si="7"/>
        <v>0</v>
      </c>
    </row>
    <row r="470" spans="1:16" ht="47.25" customHeight="1" x14ac:dyDescent="0.25">
      <c r="A470" s="36" t="s">
        <v>2239</v>
      </c>
      <c r="B470" s="36" t="s">
        <v>2240</v>
      </c>
      <c r="C470" s="37" t="s">
        <v>99</v>
      </c>
      <c r="D470" s="37" t="s">
        <v>100</v>
      </c>
      <c r="E470" s="38" t="s">
        <v>2241</v>
      </c>
      <c r="F470" s="38" t="s">
        <v>2242</v>
      </c>
      <c r="G470" s="39" t="s">
        <v>34</v>
      </c>
      <c r="H470" s="40">
        <v>46154</v>
      </c>
      <c r="I470" s="41">
        <v>46175</v>
      </c>
      <c r="J470" s="37" t="s">
        <v>62</v>
      </c>
      <c r="K470" s="37" t="s">
        <v>95</v>
      </c>
      <c r="L470" s="43" t="s">
        <v>88</v>
      </c>
      <c r="M470" s="43"/>
      <c r="N470" s="43"/>
      <c r="O470" s="42"/>
      <c r="P470" s="43" t="str">
        <f t="shared" si="7"/>
        <v>DÜZELTME</v>
      </c>
    </row>
    <row r="471" spans="1:16" ht="63" customHeight="1" x14ac:dyDescent="0.25">
      <c r="A471" s="36" t="s">
        <v>2243</v>
      </c>
      <c r="B471" s="36" t="s">
        <v>2244</v>
      </c>
      <c r="C471" s="37" t="s">
        <v>2245</v>
      </c>
      <c r="D471" s="37" t="s">
        <v>168</v>
      </c>
      <c r="E471" s="38" t="s">
        <v>2246</v>
      </c>
      <c r="F471" s="38" t="s">
        <v>2247</v>
      </c>
      <c r="G471" s="39" t="s">
        <v>35</v>
      </c>
      <c r="H471" s="40">
        <v>46154</v>
      </c>
      <c r="I471" s="41">
        <v>46175</v>
      </c>
      <c r="J471" s="37" t="s">
        <v>96</v>
      </c>
      <c r="K471" s="37" t="s">
        <v>110</v>
      </c>
      <c r="L471" s="43" t="s">
        <v>64</v>
      </c>
      <c r="M471" s="43"/>
      <c r="N471" s="43"/>
      <c r="O471" s="42"/>
      <c r="P471" s="43" t="str">
        <f t="shared" si="7"/>
        <v>ONAY</v>
      </c>
    </row>
    <row r="472" spans="1:16" ht="63" customHeight="1" x14ac:dyDescent="0.25">
      <c r="A472" s="36" t="s">
        <v>2248</v>
      </c>
      <c r="B472" s="36" t="s">
        <v>2249</v>
      </c>
      <c r="C472" s="37" t="s">
        <v>2250</v>
      </c>
      <c r="D472" s="37" t="s">
        <v>378</v>
      </c>
      <c r="E472" s="38" t="s">
        <v>2251</v>
      </c>
      <c r="F472" s="38" t="s">
        <v>2252</v>
      </c>
      <c r="G472" s="39" t="s">
        <v>34</v>
      </c>
      <c r="H472" s="40">
        <v>46154</v>
      </c>
      <c r="I472" s="41">
        <v>46175</v>
      </c>
      <c r="J472" s="37" t="s">
        <v>87</v>
      </c>
      <c r="K472" s="37" t="s">
        <v>71</v>
      </c>
      <c r="L472" s="43" t="s">
        <v>64</v>
      </c>
      <c r="M472" s="43"/>
      <c r="N472" s="43"/>
      <c r="O472" s="42"/>
      <c r="P472" s="43" t="str">
        <f t="shared" si="7"/>
        <v>ONAY</v>
      </c>
    </row>
    <row r="473" spans="1:16" ht="63" customHeight="1" x14ac:dyDescent="0.25">
      <c r="A473" s="36" t="s">
        <v>2253</v>
      </c>
      <c r="B473" s="36" t="s">
        <v>2254</v>
      </c>
      <c r="C473" s="37" t="s">
        <v>2255</v>
      </c>
      <c r="D473" s="37" t="s">
        <v>2256</v>
      </c>
      <c r="E473" s="38" t="s">
        <v>2257</v>
      </c>
      <c r="F473" s="38" t="s">
        <v>2258</v>
      </c>
      <c r="G473" s="39" t="s">
        <v>37</v>
      </c>
      <c r="H473" s="40">
        <v>46154</v>
      </c>
      <c r="I473" s="41">
        <v>46175</v>
      </c>
      <c r="J473" s="37" t="s">
        <v>86</v>
      </c>
      <c r="K473" s="37" t="s">
        <v>87</v>
      </c>
      <c r="L473" s="43" t="s">
        <v>64</v>
      </c>
      <c r="M473" s="43"/>
      <c r="N473" s="43"/>
      <c r="O473" s="42"/>
      <c r="P473" s="43" t="str">
        <f t="shared" si="7"/>
        <v>ONAY</v>
      </c>
    </row>
    <row r="474" spans="1:16" ht="78.75" customHeight="1" x14ac:dyDescent="0.25">
      <c r="A474" s="36" t="s">
        <v>2259</v>
      </c>
      <c r="B474" s="36" t="s">
        <v>2260</v>
      </c>
      <c r="C474" s="37" t="s">
        <v>2261</v>
      </c>
      <c r="D474" s="37" t="s">
        <v>168</v>
      </c>
      <c r="E474" s="38" t="s">
        <v>2262</v>
      </c>
      <c r="F474" s="38" t="s">
        <v>2263</v>
      </c>
      <c r="G474" s="39" t="s">
        <v>34</v>
      </c>
      <c r="H474" s="40">
        <v>46154</v>
      </c>
      <c r="I474" s="41">
        <v>46175</v>
      </c>
      <c r="J474" s="37" t="s">
        <v>79</v>
      </c>
      <c r="K474" s="37" t="s">
        <v>103</v>
      </c>
      <c r="L474" s="43" t="s">
        <v>88</v>
      </c>
      <c r="M474" s="43"/>
      <c r="N474" s="43"/>
      <c r="O474" s="42"/>
      <c r="P474" s="43" t="str">
        <f t="shared" si="7"/>
        <v>DÜZELTME</v>
      </c>
    </row>
    <row r="475" spans="1:16" ht="110.25" customHeight="1" x14ac:dyDescent="0.25">
      <c r="A475" s="36" t="s">
        <v>2264</v>
      </c>
      <c r="B475" s="36" t="s">
        <v>2265</v>
      </c>
      <c r="C475" s="37" t="s">
        <v>2266</v>
      </c>
      <c r="D475" s="37" t="s">
        <v>526</v>
      </c>
      <c r="E475" s="38" t="s">
        <v>2267</v>
      </c>
      <c r="F475" s="38" t="s">
        <v>2268</v>
      </c>
      <c r="G475" s="39" t="s">
        <v>35</v>
      </c>
      <c r="H475" s="40">
        <v>46154</v>
      </c>
      <c r="I475" s="41">
        <v>46175</v>
      </c>
      <c r="J475" s="37" t="s">
        <v>110</v>
      </c>
      <c r="K475" s="37" t="s">
        <v>71</v>
      </c>
      <c r="L475" s="43" t="s">
        <v>88</v>
      </c>
      <c r="M475" s="43"/>
      <c r="N475" s="43"/>
      <c r="O475" s="42"/>
      <c r="P475" s="43" t="str">
        <f t="shared" si="7"/>
        <v>DÜZELTME</v>
      </c>
    </row>
    <row r="476" spans="1:16" ht="63" customHeight="1" x14ac:dyDescent="0.25">
      <c r="A476" s="36" t="s">
        <v>2269</v>
      </c>
      <c r="B476" s="36" t="s">
        <v>2270</v>
      </c>
      <c r="C476" s="37" t="s">
        <v>2271</v>
      </c>
      <c r="D476" s="37" t="s">
        <v>378</v>
      </c>
      <c r="E476" s="38" t="s">
        <v>2272</v>
      </c>
      <c r="F476" s="38" t="s">
        <v>2273</v>
      </c>
      <c r="G476" s="39" t="s">
        <v>34</v>
      </c>
      <c r="H476" s="40">
        <v>46154</v>
      </c>
      <c r="I476" s="41">
        <v>46175</v>
      </c>
      <c r="J476" s="37" t="s">
        <v>79</v>
      </c>
      <c r="K476" s="37" t="s">
        <v>86</v>
      </c>
      <c r="L476" s="43" t="s">
        <v>88</v>
      </c>
      <c r="M476" s="43"/>
      <c r="N476" s="43"/>
      <c r="O476" s="42"/>
      <c r="P476" s="43" t="str">
        <f t="shared" si="7"/>
        <v>DÜZELTME</v>
      </c>
    </row>
    <row r="477" spans="1:16" ht="47.25" customHeight="1" x14ac:dyDescent="0.25">
      <c r="A477" s="36" t="s">
        <v>2274</v>
      </c>
      <c r="B477" s="36" t="s">
        <v>2275</v>
      </c>
      <c r="C477" s="37" t="s">
        <v>2189</v>
      </c>
      <c r="D477" s="37" t="s">
        <v>221</v>
      </c>
      <c r="E477" s="38" t="s">
        <v>2190</v>
      </c>
      <c r="F477" s="38" t="s">
        <v>2276</v>
      </c>
      <c r="G477" s="39" t="s">
        <v>34</v>
      </c>
      <c r="H477" s="40">
        <v>46154</v>
      </c>
      <c r="I477" s="41">
        <v>46175</v>
      </c>
      <c r="J477" s="37" t="s">
        <v>87</v>
      </c>
      <c r="K477" s="37" t="s">
        <v>116</v>
      </c>
      <c r="L477" s="43" t="s">
        <v>64</v>
      </c>
      <c r="M477" s="43"/>
      <c r="N477" s="43"/>
      <c r="O477" s="42"/>
      <c r="P477" s="43" t="str">
        <f t="shared" si="7"/>
        <v>ONAY</v>
      </c>
    </row>
    <row r="478" spans="1:16" ht="110.25" customHeight="1" x14ac:dyDescent="0.25">
      <c r="A478" s="36" t="s">
        <v>2277</v>
      </c>
      <c r="B478" s="36" t="s">
        <v>2278</v>
      </c>
      <c r="C478" s="37" t="s">
        <v>1489</v>
      </c>
      <c r="D478" s="37" t="s">
        <v>209</v>
      </c>
      <c r="E478" s="38" t="s">
        <v>2279</v>
      </c>
      <c r="F478" s="38" t="s">
        <v>2280</v>
      </c>
      <c r="G478" s="39" t="s">
        <v>34</v>
      </c>
      <c r="H478" s="40">
        <v>46154</v>
      </c>
      <c r="I478" s="41">
        <v>46175</v>
      </c>
      <c r="J478" s="37" t="s">
        <v>95</v>
      </c>
      <c r="K478" s="37" t="s">
        <v>103</v>
      </c>
      <c r="L478" s="43" t="s">
        <v>88</v>
      </c>
      <c r="M478" s="43"/>
      <c r="N478" s="43"/>
      <c r="O478" s="42"/>
      <c r="P478" s="43" t="str">
        <f t="shared" si="7"/>
        <v>DÜZELTME</v>
      </c>
    </row>
    <row r="479" spans="1:16" ht="63" customHeight="1" x14ac:dyDescent="0.25">
      <c r="A479" s="36" t="s">
        <v>2281</v>
      </c>
      <c r="B479" s="36" t="s">
        <v>2282</v>
      </c>
      <c r="C479" s="37" t="s">
        <v>2283</v>
      </c>
      <c r="D479" s="37" t="s">
        <v>209</v>
      </c>
      <c r="E479" s="38" t="s">
        <v>2284</v>
      </c>
      <c r="F479" s="38" t="s">
        <v>2285</v>
      </c>
      <c r="G479" s="39" t="s">
        <v>34</v>
      </c>
      <c r="H479" s="40">
        <v>46154</v>
      </c>
      <c r="I479" s="41">
        <v>46175</v>
      </c>
      <c r="J479" s="37" t="s">
        <v>96</v>
      </c>
      <c r="K479" s="37" t="s">
        <v>87</v>
      </c>
      <c r="L479" s="43" t="s">
        <v>64</v>
      </c>
      <c r="M479" s="43"/>
      <c r="N479" s="43"/>
      <c r="O479" s="42"/>
      <c r="P479" s="43" t="str">
        <f t="shared" si="7"/>
        <v>ONAY</v>
      </c>
    </row>
    <row r="480" spans="1:16" ht="78.75" customHeight="1" x14ac:dyDescent="0.25">
      <c r="A480" s="36" t="s">
        <v>2286</v>
      </c>
      <c r="B480" s="36" t="s">
        <v>2287</v>
      </c>
      <c r="C480" s="37" t="s">
        <v>731</v>
      </c>
      <c r="D480" s="37" t="s">
        <v>278</v>
      </c>
      <c r="E480" s="38" t="s">
        <v>2288</v>
      </c>
      <c r="F480" s="38" t="s">
        <v>2289</v>
      </c>
      <c r="G480" s="39" t="s">
        <v>34</v>
      </c>
      <c r="H480" s="40">
        <v>46154</v>
      </c>
      <c r="I480" s="41">
        <v>46175</v>
      </c>
      <c r="J480" s="37" t="s">
        <v>110</v>
      </c>
      <c r="K480" s="37" t="s">
        <v>62</v>
      </c>
      <c r="L480" s="43" t="s">
        <v>159</v>
      </c>
      <c r="M480" s="43"/>
      <c r="N480" s="43"/>
      <c r="O480" s="42"/>
      <c r="P480" s="43" t="str">
        <f t="shared" si="7"/>
        <v>RET</v>
      </c>
    </row>
    <row r="481" spans="1:16" ht="81" customHeight="1" x14ac:dyDescent="0.25">
      <c r="A481" s="36" t="s">
        <v>2290</v>
      </c>
      <c r="B481" s="36" t="s">
        <v>2291</v>
      </c>
      <c r="C481" s="37" t="s">
        <v>1650</v>
      </c>
      <c r="D481" s="37" t="s">
        <v>1651</v>
      </c>
      <c r="E481" s="38" t="s">
        <v>2292</v>
      </c>
      <c r="F481" s="38" t="s">
        <v>2293</v>
      </c>
      <c r="G481" s="39" t="s">
        <v>34</v>
      </c>
      <c r="H481" s="40">
        <v>46154</v>
      </c>
      <c r="I481" s="41">
        <v>46175</v>
      </c>
      <c r="J481" s="37" t="s">
        <v>62</v>
      </c>
      <c r="K481" s="37" t="s">
        <v>116</v>
      </c>
      <c r="L481" s="43" t="s">
        <v>88</v>
      </c>
      <c r="M481" s="43"/>
      <c r="N481" s="43"/>
      <c r="O481" s="42"/>
      <c r="P481" s="43" t="str">
        <f t="shared" si="7"/>
        <v>DÜZELTME</v>
      </c>
    </row>
    <row r="482" spans="1:16" ht="110.25" customHeight="1" x14ac:dyDescent="0.25">
      <c r="A482" s="36" t="s">
        <v>2294</v>
      </c>
      <c r="B482" s="36" t="s">
        <v>2295</v>
      </c>
      <c r="C482" s="37" t="s">
        <v>2296</v>
      </c>
      <c r="D482" s="37" t="s">
        <v>156</v>
      </c>
      <c r="E482" s="38" t="s">
        <v>2297</v>
      </c>
      <c r="F482" s="38" t="s">
        <v>2298</v>
      </c>
      <c r="G482" s="39" t="s">
        <v>35</v>
      </c>
      <c r="H482" s="40">
        <v>46155</v>
      </c>
      <c r="I482" s="41">
        <v>46175</v>
      </c>
      <c r="J482" s="37" t="s">
        <v>86</v>
      </c>
      <c r="K482" s="37" t="s">
        <v>95</v>
      </c>
      <c r="L482" s="43" t="s">
        <v>88</v>
      </c>
      <c r="M482" s="43"/>
      <c r="N482" s="43"/>
      <c r="O482" s="42"/>
      <c r="P482" s="43" t="str">
        <f t="shared" si="7"/>
        <v>DÜZELTME</v>
      </c>
    </row>
    <row r="483" spans="1:16" ht="78.75" customHeight="1" x14ac:dyDescent="0.25">
      <c r="A483" s="36" t="s">
        <v>2299</v>
      </c>
      <c r="B483" s="36" t="s">
        <v>2300</v>
      </c>
      <c r="C483" s="37" t="s">
        <v>2301</v>
      </c>
      <c r="D483" s="37" t="s">
        <v>209</v>
      </c>
      <c r="E483" s="38" t="s">
        <v>2302</v>
      </c>
      <c r="F483" s="38" t="s">
        <v>2303</v>
      </c>
      <c r="G483" s="39" t="s">
        <v>35</v>
      </c>
      <c r="H483" s="40">
        <v>46155</v>
      </c>
      <c r="I483" s="41">
        <v>46175</v>
      </c>
      <c r="J483" s="37" t="s">
        <v>62</v>
      </c>
      <c r="K483" s="37" t="s">
        <v>71</v>
      </c>
      <c r="L483" s="43" t="s">
        <v>64</v>
      </c>
      <c r="M483" s="43"/>
      <c r="N483" s="43"/>
      <c r="O483" s="42"/>
      <c r="P483" s="43" t="str">
        <f t="shared" si="7"/>
        <v>ONAY</v>
      </c>
    </row>
    <row r="484" spans="1:16" ht="78.75" customHeight="1" x14ac:dyDescent="0.25">
      <c r="A484" s="36" t="s">
        <v>2304</v>
      </c>
      <c r="B484" s="36" t="s">
        <v>2305</v>
      </c>
      <c r="C484" s="37" t="s">
        <v>2306</v>
      </c>
      <c r="D484" s="37" t="s">
        <v>100</v>
      </c>
      <c r="E484" s="38" t="s">
        <v>2307</v>
      </c>
      <c r="F484" s="38" t="s">
        <v>2308</v>
      </c>
      <c r="G484" s="39" t="s">
        <v>35</v>
      </c>
      <c r="H484" s="40">
        <v>46155</v>
      </c>
      <c r="I484" s="41">
        <v>46175</v>
      </c>
      <c r="J484" s="37" t="s">
        <v>96</v>
      </c>
      <c r="K484" s="37" t="s">
        <v>116</v>
      </c>
      <c r="L484" s="43" t="s">
        <v>64</v>
      </c>
      <c r="M484" s="43"/>
      <c r="N484" s="43"/>
      <c r="O484" s="42"/>
      <c r="P484" s="43" t="str">
        <f t="shared" si="7"/>
        <v>ONAY</v>
      </c>
    </row>
    <row r="485" spans="1:16" ht="63" customHeight="1" x14ac:dyDescent="0.25">
      <c r="A485" s="36" t="s">
        <v>2309</v>
      </c>
      <c r="B485" s="36" t="s">
        <v>2310</v>
      </c>
      <c r="C485" s="37" t="s">
        <v>1514</v>
      </c>
      <c r="D485" s="37" t="s">
        <v>221</v>
      </c>
      <c r="E485" s="38" t="s">
        <v>2311</v>
      </c>
      <c r="F485" s="38" t="s">
        <v>2312</v>
      </c>
      <c r="G485" s="39" t="s">
        <v>34</v>
      </c>
      <c r="H485" s="40">
        <v>46155</v>
      </c>
      <c r="I485" s="41">
        <v>46175</v>
      </c>
      <c r="J485" s="37" t="s">
        <v>103</v>
      </c>
      <c r="K485" s="37" t="s">
        <v>79</v>
      </c>
      <c r="L485" s="43" t="s">
        <v>88</v>
      </c>
      <c r="M485" s="43"/>
      <c r="N485" s="43"/>
      <c r="O485" s="42"/>
      <c r="P485" s="43" t="str">
        <f t="shared" si="7"/>
        <v>DÜZELTME</v>
      </c>
    </row>
    <row r="486" spans="1:16" ht="63" customHeight="1" x14ac:dyDescent="0.25">
      <c r="A486" s="36" t="s">
        <v>2313</v>
      </c>
      <c r="B486" s="36" t="s">
        <v>2314</v>
      </c>
      <c r="C486" s="37" t="s">
        <v>1514</v>
      </c>
      <c r="D486" s="37" t="s">
        <v>221</v>
      </c>
      <c r="E486" s="38" t="s">
        <v>2311</v>
      </c>
      <c r="F486" s="38" t="s">
        <v>2315</v>
      </c>
      <c r="G486" s="39" t="s">
        <v>34</v>
      </c>
      <c r="H486" s="40">
        <v>46155</v>
      </c>
      <c r="I486" s="41">
        <v>46175</v>
      </c>
      <c r="J486" s="37" t="s">
        <v>103</v>
      </c>
      <c r="K486" s="37" t="s">
        <v>79</v>
      </c>
      <c r="L486" s="43" t="s">
        <v>88</v>
      </c>
      <c r="M486" s="43"/>
      <c r="N486" s="43"/>
      <c r="O486" s="42"/>
      <c r="P486" s="43" t="str">
        <f t="shared" si="7"/>
        <v>DÜZELTME</v>
      </c>
    </row>
    <row r="487" spans="1:16" ht="78.75" customHeight="1" x14ac:dyDescent="0.25">
      <c r="A487" s="36" t="s">
        <v>2316</v>
      </c>
      <c r="B487" s="36" t="s">
        <v>2317</v>
      </c>
      <c r="C487" s="37" t="s">
        <v>2318</v>
      </c>
      <c r="D487" s="37" t="s">
        <v>100</v>
      </c>
      <c r="E487" s="38" t="s">
        <v>2319</v>
      </c>
      <c r="F487" s="38" t="s">
        <v>2320</v>
      </c>
      <c r="G487" s="39" t="s">
        <v>34</v>
      </c>
      <c r="H487" s="40">
        <v>46156</v>
      </c>
      <c r="I487" s="41">
        <v>46175</v>
      </c>
      <c r="J487" s="37" t="s">
        <v>95</v>
      </c>
      <c r="K487" s="37" t="s">
        <v>116</v>
      </c>
      <c r="L487" s="43" t="s">
        <v>88</v>
      </c>
      <c r="M487" s="43"/>
      <c r="N487" s="43"/>
      <c r="O487" s="42"/>
      <c r="P487" s="43" t="str">
        <f t="shared" si="7"/>
        <v>DÜZELTME</v>
      </c>
    </row>
    <row r="488" spans="1:16" ht="78.75" customHeight="1" x14ac:dyDescent="0.25">
      <c r="A488" s="36" t="s">
        <v>2321</v>
      </c>
      <c r="B488" s="36" t="s">
        <v>2322</v>
      </c>
      <c r="C488" s="37" t="s">
        <v>2318</v>
      </c>
      <c r="D488" s="37" t="s">
        <v>100</v>
      </c>
      <c r="E488" s="38" t="s">
        <v>2319</v>
      </c>
      <c r="F488" s="38" t="s">
        <v>2323</v>
      </c>
      <c r="G488" s="39" t="s">
        <v>34</v>
      </c>
      <c r="H488" s="40">
        <v>46156</v>
      </c>
      <c r="I488" s="41">
        <v>46175</v>
      </c>
      <c r="J488" s="37" t="s">
        <v>95</v>
      </c>
      <c r="K488" s="37" t="s">
        <v>116</v>
      </c>
      <c r="L488" s="43" t="s">
        <v>88</v>
      </c>
      <c r="M488" s="43"/>
      <c r="N488" s="43"/>
      <c r="O488" s="42"/>
      <c r="P488" s="43" t="str">
        <f t="shared" si="7"/>
        <v>DÜZELTME</v>
      </c>
    </row>
    <row r="489" spans="1:16" ht="63" customHeight="1" x14ac:dyDescent="0.25">
      <c r="A489" s="36" t="s">
        <v>2324</v>
      </c>
      <c r="B489" s="36" t="s">
        <v>2325</v>
      </c>
      <c r="C489" s="37" t="s">
        <v>620</v>
      </c>
      <c r="D489" s="37" t="s">
        <v>215</v>
      </c>
      <c r="E489" s="38" t="s">
        <v>2326</v>
      </c>
      <c r="F489" s="38" t="s">
        <v>2327</v>
      </c>
      <c r="G489" s="39" t="s">
        <v>35</v>
      </c>
      <c r="H489" s="40">
        <v>46156</v>
      </c>
      <c r="I489" s="41">
        <v>46175</v>
      </c>
      <c r="J489" s="37" t="s">
        <v>71</v>
      </c>
      <c r="K489" s="37" t="s">
        <v>86</v>
      </c>
      <c r="L489" s="43" t="s">
        <v>88</v>
      </c>
      <c r="M489" s="43"/>
      <c r="N489" s="43"/>
      <c r="O489" s="42"/>
      <c r="P489" s="43" t="str">
        <f t="shared" si="7"/>
        <v>DÜZELTME</v>
      </c>
    </row>
    <row r="490" spans="1:16" ht="63" customHeight="1" x14ac:dyDescent="0.25">
      <c r="A490" s="36" t="s">
        <v>2328</v>
      </c>
      <c r="B490" s="36" t="s">
        <v>2329</v>
      </c>
      <c r="C490" s="37" t="s">
        <v>2330</v>
      </c>
      <c r="D490" s="37" t="s">
        <v>372</v>
      </c>
      <c r="E490" s="38" t="s">
        <v>2331</v>
      </c>
      <c r="F490" s="38" t="s">
        <v>2332</v>
      </c>
      <c r="G490" s="39" t="s">
        <v>34</v>
      </c>
      <c r="H490" s="40">
        <v>46156</v>
      </c>
      <c r="I490" s="41">
        <v>46175</v>
      </c>
      <c r="J490" s="37" t="s">
        <v>86</v>
      </c>
      <c r="K490" s="37" t="s">
        <v>87</v>
      </c>
      <c r="L490" s="43" t="s">
        <v>64</v>
      </c>
      <c r="M490" s="43"/>
      <c r="N490" s="43"/>
      <c r="O490" s="42"/>
      <c r="P490" s="43" t="str">
        <f t="shared" si="7"/>
        <v>ONAY</v>
      </c>
    </row>
    <row r="491" spans="1:16" ht="63" customHeight="1" x14ac:dyDescent="0.25">
      <c r="A491" s="36" t="s">
        <v>2333</v>
      </c>
      <c r="B491" s="36" t="s">
        <v>2334</v>
      </c>
      <c r="C491" s="37" t="s">
        <v>2335</v>
      </c>
      <c r="D491" s="37" t="s">
        <v>100</v>
      </c>
      <c r="E491" s="38" t="s">
        <v>2336</v>
      </c>
      <c r="F491" s="38" t="s">
        <v>2337</v>
      </c>
      <c r="G491" s="39" t="s">
        <v>34</v>
      </c>
      <c r="H491" s="40">
        <v>46157</v>
      </c>
      <c r="I491" s="41">
        <v>46175</v>
      </c>
      <c r="J491" s="37" t="s">
        <v>110</v>
      </c>
      <c r="K491" s="37" t="s">
        <v>71</v>
      </c>
      <c r="L491" s="43" t="s">
        <v>64</v>
      </c>
      <c r="M491" s="43"/>
      <c r="N491" s="43"/>
      <c r="O491" s="42"/>
      <c r="P491" s="43" t="str">
        <f t="shared" si="7"/>
        <v>ONAY</v>
      </c>
    </row>
    <row r="492" spans="1:16" ht="63" customHeight="1" x14ac:dyDescent="0.25">
      <c r="A492" s="36" t="s">
        <v>2338</v>
      </c>
      <c r="B492" s="36" t="s">
        <v>2339</v>
      </c>
      <c r="C492" s="37" t="s">
        <v>501</v>
      </c>
      <c r="D492" s="37" t="s">
        <v>278</v>
      </c>
      <c r="E492" s="38" t="s">
        <v>2340</v>
      </c>
      <c r="F492" s="38" t="s">
        <v>2341</v>
      </c>
      <c r="G492" s="39" t="s">
        <v>34</v>
      </c>
      <c r="H492" s="40">
        <v>46157</v>
      </c>
      <c r="I492" s="41">
        <v>46175</v>
      </c>
      <c r="J492" s="37" t="s">
        <v>87</v>
      </c>
      <c r="K492" s="37" t="s">
        <v>96</v>
      </c>
      <c r="L492" s="43" t="s">
        <v>64</v>
      </c>
      <c r="M492" s="43"/>
      <c r="N492" s="43"/>
      <c r="O492" s="42"/>
      <c r="P492" s="43" t="str">
        <f t="shared" si="7"/>
        <v>ONAY</v>
      </c>
    </row>
    <row r="493" spans="1:16" ht="78.75" customHeight="1" x14ac:dyDescent="0.25">
      <c r="A493" s="36" t="s">
        <v>2342</v>
      </c>
      <c r="B493" s="36" t="s">
        <v>2343</v>
      </c>
      <c r="C493" s="37" t="s">
        <v>620</v>
      </c>
      <c r="D493" s="37" t="s">
        <v>215</v>
      </c>
      <c r="E493" s="38" t="s">
        <v>2344</v>
      </c>
      <c r="F493" s="38" t="s">
        <v>2345</v>
      </c>
      <c r="G493" s="39" t="s">
        <v>34</v>
      </c>
      <c r="H493" s="40">
        <v>46157</v>
      </c>
      <c r="I493" s="41">
        <v>46175</v>
      </c>
      <c r="J493" s="37" t="s">
        <v>110</v>
      </c>
      <c r="K493" s="37" t="s">
        <v>62</v>
      </c>
      <c r="L493" s="43" t="s">
        <v>64</v>
      </c>
      <c r="M493" s="43"/>
      <c r="N493" s="43"/>
      <c r="O493" s="42"/>
      <c r="P493" s="43" t="str">
        <f t="shared" si="7"/>
        <v>ONAY</v>
      </c>
    </row>
    <row r="494" spans="1:16" x14ac:dyDescent="0.25">
      <c r="A494" s="36" t="s">
        <v>2346</v>
      </c>
      <c r="B494" s="36" t="s">
        <v>2347</v>
      </c>
      <c r="C494" s="37"/>
      <c r="D494" s="37"/>
      <c r="E494" s="38"/>
      <c r="F494" s="38"/>
      <c r="G494" s="39"/>
      <c r="H494" s="40"/>
      <c r="I494" s="41"/>
      <c r="J494" s="37"/>
      <c r="K494" s="37"/>
      <c r="L494" s="43"/>
      <c r="M494" s="43"/>
      <c r="N494" s="43"/>
      <c r="O494" s="42"/>
      <c r="P494" s="43">
        <f t="shared" si="7"/>
        <v>0</v>
      </c>
    </row>
    <row r="495" spans="1:16" x14ac:dyDescent="0.25">
      <c r="A495" s="36" t="s">
        <v>2348</v>
      </c>
      <c r="B495" s="36" t="s">
        <v>2349</v>
      </c>
      <c r="C495" s="37"/>
      <c r="D495" s="37"/>
      <c r="E495" s="38"/>
      <c r="F495" s="38"/>
      <c r="G495" s="39"/>
      <c r="H495" s="40"/>
      <c r="I495" s="41"/>
      <c r="J495" s="37"/>
      <c r="K495" s="37"/>
      <c r="L495" s="43"/>
      <c r="M495" s="43"/>
      <c r="N495" s="43"/>
      <c r="O495" s="42"/>
      <c r="P495" s="43">
        <f t="shared" si="7"/>
        <v>0</v>
      </c>
    </row>
    <row r="496" spans="1:16" x14ac:dyDescent="0.25">
      <c r="A496" s="36" t="s">
        <v>2350</v>
      </c>
      <c r="B496" s="36" t="s">
        <v>2351</v>
      </c>
      <c r="C496" s="37"/>
      <c r="D496" s="37"/>
      <c r="E496" s="38"/>
      <c r="F496" s="38"/>
      <c r="G496" s="39"/>
      <c r="H496" s="40"/>
      <c r="I496" s="41"/>
      <c r="J496" s="37"/>
      <c r="K496" s="37"/>
      <c r="L496" s="43"/>
      <c r="M496" s="43"/>
      <c r="N496" s="43"/>
      <c r="O496" s="42"/>
      <c r="P496" s="43">
        <f t="shared" si="7"/>
        <v>0</v>
      </c>
    </row>
    <row r="497" spans="1:16" x14ac:dyDescent="0.25">
      <c r="A497" s="36" t="s">
        <v>2352</v>
      </c>
      <c r="B497" s="36" t="s">
        <v>2353</v>
      </c>
      <c r="C497" s="37"/>
      <c r="D497" s="37"/>
      <c r="E497" s="38"/>
      <c r="F497" s="38"/>
      <c r="G497" s="39"/>
      <c r="H497" s="40"/>
      <c r="I497" s="41"/>
      <c r="J497" s="37"/>
      <c r="K497" s="37"/>
      <c r="L497" s="43"/>
      <c r="M497" s="43"/>
      <c r="N497" s="43"/>
      <c r="O497" s="42"/>
      <c r="P497" s="43">
        <f t="shared" si="7"/>
        <v>0</v>
      </c>
    </row>
    <row r="498" spans="1:16" x14ac:dyDescent="0.25">
      <c r="A498" s="36" t="s">
        <v>2354</v>
      </c>
      <c r="B498" s="36" t="s">
        <v>2355</v>
      </c>
      <c r="C498" s="37"/>
      <c r="D498" s="37"/>
      <c r="E498" s="38"/>
      <c r="F498" s="38"/>
      <c r="G498" s="39"/>
      <c r="H498" s="40"/>
      <c r="I498" s="41"/>
      <c r="J498" s="37"/>
      <c r="K498" s="37"/>
      <c r="L498" s="43"/>
      <c r="M498" s="43"/>
      <c r="N498" s="43"/>
      <c r="O498" s="42"/>
      <c r="P498" s="43">
        <f t="shared" si="7"/>
        <v>0</v>
      </c>
    </row>
    <row r="499" spans="1:16" x14ac:dyDescent="0.25">
      <c r="A499" s="36" t="s">
        <v>2356</v>
      </c>
      <c r="B499" s="36" t="s">
        <v>2357</v>
      </c>
      <c r="C499" s="37"/>
      <c r="D499" s="37"/>
      <c r="E499" s="38"/>
      <c r="F499" s="38"/>
      <c r="G499" s="39"/>
      <c r="H499" s="40"/>
      <c r="I499" s="41"/>
      <c r="J499" s="37"/>
      <c r="K499" s="37"/>
      <c r="L499" s="43"/>
      <c r="M499" s="43"/>
      <c r="N499" s="43"/>
      <c r="O499" s="42"/>
      <c r="P499" s="43">
        <f t="shared" si="7"/>
        <v>0</v>
      </c>
    </row>
    <row r="500" spans="1:16" x14ac:dyDescent="0.25">
      <c r="A500" s="36" t="s">
        <v>2358</v>
      </c>
      <c r="B500" s="36" t="s">
        <v>2359</v>
      </c>
      <c r="C500" s="37"/>
      <c r="D500" s="37"/>
      <c r="E500" s="38"/>
      <c r="F500" s="38"/>
      <c r="G500" s="39"/>
      <c r="H500" s="40"/>
      <c r="I500" s="41"/>
      <c r="J500" s="37"/>
      <c r="K500" s="37"/>
      <c r="L500" s="43"/>
      <c r="M500" s="43"/>
      <c r="N500" s="43"/>
      <c r="O500" s="42"/>
      <c r="P500" s="43">
        <f t="shared" si="7"/>
        <v>0</v>
      </c>
    </row>
    <row r="501" spans="1:16" x14ac:dyDescent="0.25">
      <c r="A501" s="36" t="s">
        <v>2360</v>
      </c>
      <c r="B501" s="36" t="s">
        <v>2361</v>
      </c>
      <c r="C501" s="37"/>
      <c r="D501" s="37"/>
      <c r="E501" s="38"/>
      <c r="F501" s="38"/>
      <c r="G501" s="39"/>
      <c r="H501" s="40"/>
      <c r="I501" s="41"/>
      <c r="J501" s="37"/>
      <c r="K501" s="37"/>
      <c r="L501" s="43"/>
      <c r="M501" s="43"/>
      <c r="N501" s="43"/>
      <c r="O501" s="42"/>
      <c r="P501" s="43">
        <f t="shared" si="7"/>
        <v>0</v>
      </c>
    </row>
    <row r="502" spans="1:16" x14ac:dyDescent="0.25">
      <c r="A502" s="36" t="s">
        <v>2362</v>
      </c>
      <c r="B502" s="36" t="s">
        <v>2363</v>
      </c>
      <c r="C502" s="37"/>
      <c r="D502" s="37"/>
      <c r="E502" s="38"/>
      <c r="F502" s="38"/>
      <c r="G502" s="39"/>
      <c r="H502" s="40"/>
      <c r="I502" s="41"/>
      <c r="J502" s="37"/>
      <c r="K502" s="37"/>
      <c r="L502" s="43"/>
      <c r="M502" s="43"/>
      <c r="N502" s="43"/>
      <c r="O502" s="42"/>
      <c r="P502" s="43">
        <f t="shared" si="7"/>
        <v>0</v>
      </c>
    </row>
    <row r="503" spans="1:16" x14ac:dyDescent="0.25">
      <c r="A503" s="36" t="s">
        <v>2364</v>
      </c>
      <c r="B503" s="36" t="s">
        <v>2365</v>
      </c>
      <c r="C503" s="37"/>
      <c r="D503" s="37"/>
      <c r="E503" s="38"/>
      <c r="F503" s="38"/>
      <c r="G503" s="39"/>
      <c r="H503" s="40"/>
      <c r="I503" s="41"/>
      <c r="J503" s="37"/>
      <c r="K503" s="37"/>
      <c r="L503" s="43"/>
      <c r="M503" s="43"/>
      <c r="N503" s="43"/>
      <c r="O503" s="42"/>
      <c r="P503" s="43">
        <f t="shared" si="7"/>
        <v>0</v>
      </c>
    </row>
    <row r="504" spans="1:16" x14ac:dyDescent="0.25">
      <c r="A504" s="36" t="s">
        <v>2366</v>
      </c>
      <c r="B504" s="36" t="s">
        <v>2367</v>
      </c>
      <c r="C504" s="37"/>
      <c r="D504" s="37"/>
      <c r="E504" s="38"/>
      <c r="F504" s="38"/>
      <c r="G504" s="39"/>
      <c r="H504" s="40"/>
      <c r="I504" s="41"/>
      <c r="J504" s="37"/>
      <c r="K504" s="37"/>
      <c r="L504" s="43"/>
      <c r="M504" s="43"/>
      <c r="N504" s="43"/>
      <c r="O504" s="42"/>
      <c r="P504" s="43">
        <f t="shared" si="7"/>
        <v>0</v>
      </c>
    </row>
    <row r="505" spans="1:16" x14ac:dyDescent="0.25">
      <c r="A505" s="36" t="s">
        <v>2368</v>
      </c>
      <c r="B505" s="36" t="s">
        <v>2369</v>
      </c>
      <c r="C505" s="37"/>
      <c r="D505" s="37"/>
      <c r="E505" s="38"/>
      <c r="F505" s="38"/>
      <c r="G505" s="39"/>
      <c r="H505" s="40"/>
      <c r="I505" s="41"/>
      <c r="J505" s="37"/>
      <c r="K505" s="37"/>
      <c r="L505" s="43"/>
      <c r="M505" s="43"/>
      <c r="N505" s="43"/>
      <c r="O505" s="42"/>
      <c r="P505" s="43">
        <f t="shared" si="7"/>
        <v>0</v>
      </c>
    </row>
    <row r="506" spans="1:16" x14ac:dyDescent="0.25">
      <c r="A506" s="36" t="s">
        <v>2370</v>
      </c>
      <c r="B506" s="36" t="s">
        <v>2371</v>
      </c>
      <c r="C506" s="37"/>
      <c r="D506" s="37"/>
      <c r="E506" s="38"/>
      <c r="F506" s="38"/>
      <c r="G506" s="39"/>
      <c r="H506" s="40"/>
      <c r="I506" s="41"/>
      <c r="J506" s="37"/>
      <c r="K506" s="37"/>
      <c r="L506" s="43"/>
      <c r="M506" s="43"/>
      <c r="N506" s="43"/>
      <c r="O506" s="42"/>
      <c r="P506" s="43">
        <f t="shared" si="7"/>
        <v>0</v>
      </c>
    </row>
    <row r="507" spans="1:16" x14ac:dyDescent="0.25">
      <c r="A507" s="36" t="s">
        <v>2372</v>
      </c>
      <c r="B507" s="36" t="s">
        <v>2373</v>
      </c>
      <c r="C507" s="37"/>
      <c r="D507" s="37"/>
      <c r="E507" s="38"/>
      <c r="F507" s="38"/>
      <c r="G507" s="39"/>
      <c r="H507" s="40"/>
      <c r="I507" s="41"/>
      <c r="J507" s="37"/>
      <c r="K507" s="37"/>
      <c r="L507" s="43"/>
      <c r="M507" s="43"/>
      <c r="N507" s="43"/>
      <c r="O507" s="42"/>
      <c r="P507" s="43">
        <f t="shared" si="7"/>
        <v>0</v>
      </c>
    </row>
    <row r="508" spans="1:16" x14ac:dyDescent="0.25">
      <c r="A508" s="36" t="s">
        <v>2374</v>
      </c>
      <c r="B508" s="36" t="s">
        <v>2375</v>
      </c>
      <c r="C508" s="37"/>
      <c r="D508" s="37"/>
      <c r="E508" s="38"/>
      <c r="F508" s="38"/>
      <c r="G508" s="39"/>
      <c r="H508" s="40"/>
      <c r="I508" s="41"/>
      <c r="J508" s="37"/>
      <c r="K508" s="37"/>
      <c r="L508" s="43"/>
      <c r="M508" s="43"/>
      <c r="N508" s="43"/>
      <c r="O508" s="42"/>
      <c r="P508" s="43">
        <f t="shared" si="7"/>
        <v>0</v>
      </c>
    </row>
    <row r="509" spans="1:16" x14ac:dyDescent="0.25">
      <c r="A509" s="36" t="s">
        <v>2376</v>
      </c>
      <c r="B509" s="36" t="s">
        <v>2377</v>
      </c>
      <c r="C509" s="37"/>
      <c r="D509" s="37"/>
      <c r="E509" s="38"/>
      <c r="F509" s="38"/>
      <c r="G509" s="39"/>
      <c r="H509" s="40"/>
      <c r="I509" s="41"/>
      <c r="J509" s="37"/>
      <c r="K509" s="37"/>
      <c r="L509" s="43"/>
      <c r="M509" s="43"/>
      <c r="N509" s="43"/>
      <c r="O509" s="42"/>
      <c r="P509" s="43">
        <f t="shared" si="7"/>
        <v>0</v>
      </c>
    </row>
    <row r="510" spans="1:16" x14ac:dyDescent="0.25">
      <c r="A510" s="36" t="s">
        <v>2378</v>
      </c>
      <c r="B510" s="36" t="s">
        <v>2379</v>
      </c>
      <c r="C510" s="37"/>
      <c r="D510" s="37"/>
      <c r="E510" s="38"/>
      <c r="F510" s="38"/>
      <c r="G510" s="39"/>
      <c r="H510" s="40"/>
      <c r="I510" s="41"/>
      <c r="J510" s="37"/>
      <c r="K510" s="37"/>
      <c r="L510" s="43"/>
      <c r="M510" s="43"/>
      <c r="N510" s="43"/>
      <c r="O510" s="42"/>
      <c r="P510" s="43">
        <f t="shared" si="7"/>
        <v>0</v>
      </c>
    </row>
    <row r="511" spans="1:16" x14ac:dyDescent="0.25">
      <c r="A511" s="36" t="s">
        <v>2380</v>
      </c>
      <c r="B511" s="36" t="s">
        <v>2381</v>
      </c>
      <c r="C511" s="37"/>
      <c r="D511" s="37"/>
      <c r="E511" s="38"/>
      <c r="F511" s="38"/>
      <c r="G511" s="39"/>
      <c r="H511" s="40"/>
      <c r="I511" s="41"/>
      <c r="J511" s="37"/>
      <c r="K511" s="37"/>
      <c r="L511" s="43"/>
      <c r="M511" s="43"/>
      <c r="N511" s="43"/>
      <c r="O511" s="42"/>
      <c r="P511" s="43">
        <f t="shared" si="7"/>
        <v>0</v>
      </c>
    </row>
    <row r="512" spans="1:16" x14ac:dyDescent="0.25">
      <c r="A512" s="36" t="s">
        <v>2382</v>
      </c>
      <c r="B512" s="36" t="s">
        <v>2383</v>
      </c>
      <c r="C512" s="37"/>
      <c r="D512" s="37"/>
      <c r="E512" s="38"/>
      <c r="F512" s="38"/>
      <c r="G512" s="39"/>
      <c r="H512" s="40"/>
      <c r="I512" s="41"/>
      <c r="J512" s="37"/>
      <c r="K512" s="37"/>
      <c r="L512" s="43"/>
      <c r="M512" s="43"/>
      <c r="N512" s="43"/>
      <c r="O512" s="42"/>
      <c r="P512" s="43">
        <f t="shared" si="7"/>
        <v>0</v>
      </c>
    </row>
    <row r="513" spans="1:16" x14ac:dyDescent="0.25">
      <c r="A513" s="36" t="s">
        <v>2384</v>
      </c>
      <c r="B513" s="36" t="s">
        <v>2385</v>
      </c>
      <c r="C513" s="37"/>
      <c r="D513" s="37"/>
      <c r="E513" s="38"/>
      <c r="F513" s="38"/>
      <c r="G513" s="39"/>
      <c r="H513" s="40"/>
      <c r="I513" s="41"/>
      <c r="J513" s="37"/>
      <c r="K513" s="37"/>
      <c r="L513" s="43"/>
      <c r="M513" s="43"/>
      <c r="N513" s="43"/>
      <c r="O513" s="42"/>
      <c r="P513" s="43">
        <f t="shared" si="7"/>
        <v>0</v>
      </c>
    </row>
    <row r="514" spans="1:16" x14ac:dyDescent="0.25">
      <c r="A514" s="36" t="s">
        <v>2386</v>
      </c>
      <c r="B514" s="36" t="s">
        <v>2387</v>
      </c>
      <c r="C514" s="37"/>
      <c r="D514" s="37"/>
      <c r="E514" s="38"/>
      <c r="F514" s="38"/>
      <c r="G514" s="39"/>
      <c r="H514" s="40"/>
      <c r="I514" s="41"/>
      <c r="J514" s="37"/>
      <c r="K514" s="37"/>
      <c r="L514" s="43"/>
      <c r="M514" s="43"/>
      <c r="N514" s="43"/>
      <c r="O514" s="42"/>
      <c r="P514" s="43">
        <f t="shared" ref="P514:P524" si="8">IF(O514&lt;&gt;"",O514, IF(N514&lt;&gt;"",N514, IF(M514&lt;&gt;"",M514, L514)))</f>
        <v>0</v>
      </c>
    </row>
    <row r="515" spans="1:16" x14ac:dyDescent="0.25">
      <c r="A515" s="36" t="s">
        <v>2388</v>
      </c>
      <c r="B515" s="36" t="s">
        <v>2389</v>
      </c>
      <c r="C515" s="37"/>
      <c r="D515" s="37"/>
      <c r="E515" s="38"/>
      <c r="F515" s="38"/>
      <c r="G515" s="39"/>
      <c r="H515" s="40"/>
      <c r="I515" s="41"/>
      <c r="J515" s="37"/>
      <c r="K515" s="37"/>
      <c r="L515" s="43"/>
      <c r="M515" s="43"/>
      <c r="N515" s="43"/>
      <c r="O515" s="42"/>
      <c r="P515" s="43">
        <f t="shared" si="8"/>
        <v>0</v>
      </c>
    </row>
    <row r="516" spans="1:16" x14ac:dyDescent="0.25">
      <c r="A516" s="36" t="s">
        <v>2390</v>
      </c>
      <c r="B516" s="36" t="s">
        <v>2391</v>
      </c>
      <c r="C516" s="37"/>
      <c r="D516" s="37"/>
      <c r="E516" s="38"/>
      <c r="F516" s="38"/>
      <c r="G516" s="39"/>
      <c r="H516" s="40"/>
      <c r="I516" s="41"/>
      <c r="J516" s="37"/>
      <c r="K516" s="37"/>
      <c r="L516" s="43"/>
      <c r="M516" s="43"/>
      <c r="N516" s="43"/>
      <c r="O516" s="42"/>
      <c r="P516" s="43">
        <f t="shared" si="8"/>
        <v>0</v>
      </c>
    </row>
    <row r="517" spans="1:16" x14ac:dyDescent="0.25">
      <c r="A517" s="36" t="s">
        <v>2392</v>
      </c>
      <c r="B517" s="36" t="s">
        <v>2393</v>
      </c>
      <c r="C517" s="37"/>
      <c r="D517" s="37"/>
      <c r="E517" s="38"/>
      <c r="F517" s="38"/>
      <c r="G517" s="39"/>
      <c r="H517" s="40"/>
      <c r="I517" s="41"/>
      <c r="J517" s="37"/>
      <c r="K517" s="37"/>
      <c r="L517" s="43"/>
      <c r="M517" s="43"/>
      <c r="N517" s="43"/>
      <c r="O517" s="42"/>
      <c r="P517" s="43">
        <f t="shared" si="8"/>
        <v>0</v>
      </c>
    </row>
    <row r="518" spans="1:16" x14ac:dyDescent="0.25">
      <c r="A518" s="36" t="s">
        <v>2394</v>
      </c>
      <c r="B518" s="36" t="s">
        <v>2395</v>
      </c>
      <c r="C518" s="37"/>
      <c r="D518" s="37"/>
      <c r="E518" s="38"/>
      <c r="F518" s="38"/>
      <c r="G518" s="39"/>
      <c r="H518" s="40"/>
      <c r="I518" s="41"/>
      <c r="J518" s="37"/>
      <c r="K518" s="37"/>
      <c r="L518" s="43"/>
      <c r="M518" s="43"/>
      <c r="N518" s="43"/>
      <c r="O518" s="42"/>
      <c r="P518" s="43">
        <f t="shared" si="8"/>
        <v>0</v>
      </c>
    </row>
    <row r="519" spans="1:16" x14ac:dyDescent="0.25">
      <c r="A519" s="36" t="s">
        <v>2396</v>
      </c>
      <c r="B519" s="36" t="s">
        <v>2397</v>
      </c>
      <c r="C519" s="37"/>
      <c r="D519" s="37"/>
      <c r="E519" s="38"/>
      <c r="F519" s="38"/>
      <c r="G519" s="39"/>
      <c r="H519" s="40"/>
      <c r="I519" s="41"/>
      <c r="J519" s="37"/>
      <c r="K519" s="37"/>
      <c r="L519" s="43"/>
      <c r="M519" s="43"/>
      <c r="N519" s="43"/>
      <c r="O519" s="42"/>
      <c r="P519" s="43">
        <f t="shared" si="8"/>
        <v>0</v>
      </c>
    </row>
    <row r="520" spans="1:16" x14ac:dyDescent="0.25">
      <c r="A520" s="36" t="s">
        <v>2398</v>
      </c>
      <c r="B520" s="36" t="s">
        <v>2399</v>
      </c>
      <c r="C520" s="37"/>
      <c r="D520" s="37"/>
      <c r="E520" s="38"/>
      <c r="F520" s="38"/>
      <c r="G520" s="39"/>
      <c r="H520" s="40"/>
      <c r="I520" s="41"/>
      <c r="J520" s="37"/>
      <c r="K520" s="37"/>
      <c r="L520" s="43"/>
      <c r="M520" s="43"/>
      <c r="N520" s="43"/>
      <c r="O520" s="42"/>
      <c r="P520" s="43">
        <f t="shared" si="8"/>
        <v>0</v>
      </c>
    </row>
    <row r="521" spans="1:16" x14ac:dyDescent="0.25">
      <c r="A521" s="36" t="s">
        <v>2400</v>
      </c>
      <c r="B521" s="36" t="s">
        <v>2401</v>
      </c>
      <c r="C521" s="37"/>
      <c r="D521" s="37"/>
      <c r="E521" s="38"/>
      <c r="F521" s="38"/>
      <c r="G521" s="39"/>
      <c r="H521" s="40"/>
      <c r="I521" s="41"/>
      <c r="J521" s="37"/>
      <c r="K521" s="37"/>
      <c r="L521" s="43"/>
      <c r="M521" s="43"/>
      <c r="N521" s="43"/>
      <c r="O521" s="42"/>
      <c r="P521" s="43">
        <f t="shared" si="8"/>
        <v>0</v>
      </c>
    </row>
    <row r="522" spans="1:16" x14ac:dyDescent="0.25">
      <c r="A522" s="36" t="s">
        <v>2402</v>
      </c>
      <c r="B522" s="36" t="s">
        <v>2403</v>
      </c>
      <c r="C522" s="37"/>
      <c r="D522" s="37"/>
      <c r="E522" s="38"/>
      <c r="F522" s="38"/>
      <c r="G522" s="39"/>
      <c r="H522" s="40"/>
      <c r="I522" s="41"/>
      <c r="J522" s="37"/>
      <c r="K522" s="37"/>
      <c r="L522" s="43"/>
      <c r="M522" s="43"/>
      <c r="N522" s="43"/>
      <c r="O522" s="42"/>
      <c r="P522" s="43">
        <f t="shared" si="8"/>
        <v>0</v>
      </c>
    </row>
    <row r="523" spans="1:16" x14ac:dyDescent="0.25">
      <c r="A523" s="36" t="s">
        <v>2404</v>
      </c>
      <c r="B523" s="36" t="s">
        <v>2405</v>
      </c>
      <c r="C523" s="37"/>
      <c r="D523" s="37"/>
      <c r="E523" s="38"/>
      <c r="F523" s="38"/>
      <c r="G523" s="39"/>
      <c r="H523" s="40"/>
      <c r="I523" s="41"/>
      <c r="J523" s="37"/>
      <c r="K523" s="37"/>
      <c r="L523" s="43"/>
      <c r="M523" s="43"/>
      <c r="N523" s="43"/>
      <c r="O523" s="42"/>
      <c r="P523" s="43">
        <f t="shared" si="8"/>
        <v>0</v>
      </c>
    </row>
    <row r="524" spans="1:16" x14ac:dyDescent="0.25">
      <c r="A524" s="36" t="s">
        <v>2406</v>
      </c>
      <c r="B524" s="36" t="s">
        <v>2407</v>
      </c>
      <c r="C524" s="37"/>
      <c r="D524" s="37"/>
      <c r="E524" s="38"/>
      <c r="F524" s="38"/>
      <c r="G524" s="39"/>
      <c r="H524" s="40"/>
      <c r="I524" s="41"/>
      <c r="J524" s="37"/>
      <c r="K524" s="37"/>
      <c r="L524" s="43"/>
      <c r="M524" s="43"/>
      <c r="N524" s="43"/>
      <c r="O524" s="42"/>
      <c r="P524" s="43">
        <f t="shared" si="8"/>
        <v>0</v>
      </c>
    </row>
    <row r="525" spans="1:16" x14ac:dyDescent="0.25">
      <c r="C525" s="26"/>
      <c r="D525" s="26"/>
      <c r="E525" s="49"/>
      <c r="F525" s="49"/>
      <c r="G525" s="27"/>
      <c r="H525" s="50"/>
      <c r="I525" s="51"/>
      <c r="J525" s="26"/>
      <c r="K525" s="26"/>
      <c r="L525" s="29"/>
      <c r="M525" s="29"/>
      <c r="N525" s="29"/>
      <c r="O525" s="29"/>
    </row>
    <row r="526" spans="1:16" x14ac:dyDescent="0.25">
      <c r="C526" s="26"/>
      <c r="D526" s="26"/>
      <c r="E526" s="49"/>
      <c r="F526" s="49"/>
      <c r="G526" s="27"/>
      <c r="H526" s="50"/>
      <c r="I526" s="51"/>
      <c r="J526" s="26"/>
      <c r="K526" s="26"/>
      <c r="L526" s="29"/>
      <c r="M526" s="29"/>
      <c r="N526" s="29"/>
      <c r="O526" s="29"/>
    </row>
    <row r="527" spans="1:16" x14ac:dyDescent="0.25">
      <c r="C527" s="26"/>
      <c r="D527" s="26"/>
      <c r="E527" s="49"/>
      <c r="F527" s="49"/>
      <c r="G527" s="27"/>
      <c r="H527" s="50"/>
      <c r="I527" s="51"/>
      <c r="J527" s="26"/>
      <c r="K527" s="26"/>
      <c r="L527" s="29"/>
      <c r="M527" s="29"/>
      <c r="N527" s="29"/>
      <c r="O527" s="29"/>
    </row>
    <row r="529" spans="6:16" ht="31.5" customHeight="1" x14ac:dyDescent="0.25">
      <c r="F529" s="52" t="s">
        <v>2408</v>
      </c>
      <c r="K529" s="53" t="s">
        <v>64</v>
      </c>
      <c r="L529" s="54">
        <f>COUNTIF(L2:L524,"ONAY")</f>
        <v>264</v>
      </c>
      <c r="M529" s="55">
        <f>COUNTIF(M2:M524,"ONAY")</f>
        <v>107</v>
      </c>
      <c r="N529" s="54">
        <f>COUNTIF(N2:N524,"ONAY")</f>
        <v>15</v>
      </c>
      <c r="O529" s="56">
        <f>COUNTIF(O2:O524,"ONAY")</f>
        <v>1</v>
      </c>
      <c r="P529" s="55">
        <f>COUNTIF(P2:P524,"ONAY")</f>
        <v>387</v>
      </c>
    </row>
    <row r="530" spans="6:16" ht="31.5" customHeight="1" x14ac:dyDescent="0.25">
      <c r="F530" s="52" t="s">
        <v>2409</v>
      </c>
      <c r="K530" s="57" t="s">
        <v>88</v>
      </c>
      <c r="L530" s="58">
        <f>COUNTIF(L2:L524,"DÜZELTME")</f>
        <v>168</v>
      </c>
      <c r="M530" s="59">
        <f>COUNTIF(M2:M524,"DÜZELTME")</f>
        <v>23</v>
      </c>
      <c r="N530" s="58">
        <f>COUNTIF(N2:N524,"DÜZELTME")</f>
        <v>3</v>
      </c>
      <c r="O530" s="59">
        <f>COUNTIF(O2:O524,"DÜZELTME")</f>
        <v>0</v>
      </c>
      <c r="P530" s="60">
        <f>COUNTIF(P2:P524,"DÜZELTME")</f>
        <v>61</v>
      </c>
    </row>
    <row r="531" spans="6:16" ht="47.25" customHeight="1" x14ac:dyDescent="0.25">
      <c r="F531" s="52" t="s">
        <v>2410</v>
      </c>
      <c r="K531" s="61" t="s">
        <v>205</v>
      </c>
      <c r="L531" s="62">
        <f>COUNTIF(L2:L524,"KAEK")</f>
        <v>7</v>
      </c>
      <c r="M531" s="63">
        <f>COUNTIF(M2:M524,"KAEK")</f>
        <v>1</v>
      </c>
      <c r="N531" s="62">
        <f>COUNTIF(N2:N524,"KAEK")</f>
        <v>0</v>
      </c>
      <c r="O531" s="63">
        <f>COUNTIF(O2:O524,"KAEK")</f>
        <v>0</v>
      </c>
      <c r="P531" s="63">
        <f>COUNTIF(P2:P524,"KAEK")</f>
        <v>8</v>
      </c>
    </row>
    <row r="532" spans="6:16" ht="63" customHeight="1" x14ac:dyDescent="0.25">
      <c r="F532" s="52" t="s">
        <v>2411</v>
      </c>
      <c r="K532" s="64" t="s">
        <v>193</v>
      </c>
      <c r="L532" s="65">
        <f>COUNTIF(L2:L524,"GÖRÜŞ")</f>
        <v>21</v>
      </c>
      <c r="M532" s="66">
        <f>COUNTIF(M2:M524,"GÖRÜŞ")</f>
        <v>4</v>
      </c>
      <c r="N532" s="65">
        <f>COUNTIF(N2:N524,"GÖRÜŞ")</f>
        <v>0</v>
      </c>
      <c r="O532" s="66">
        <f>COUNTIF(O2:O524,"GÖRÜŞ")</f>
        <v>0</v>
      </c>
      <c r="P532" s="66">
        <f>COUNTIF(P2:P524,"GÖRÜŞ")</f>
        <v>2</v>
      </c>
    </row>
    <row r="533" spans="6:16" ht="47.25" customHeight="1" x14ac:dyDescent="0.25">
      <c r="F533" s="52" t="s">
        <v>2412</v>
      </c>
      <c r="K533" s="67" t="s">
        <v>140</v>
      </c>
      <c r="L533" s="68">
        <f>COUNTIF(L2:L524,"KAPSAM DIŞI")</f>
        <v>7</v>
      </c>
      <c r="M533" s="69">
        <f>COUNTIF(M2:M524,"KAPSAM DIŞI")</f>
        <v>1</v>
      </c>
      <c r="N533" s="68">
        <f>COUNTIF(N2:N524,"KAPSAM DIŞI")</f>
        <v>0</v>
      </c>
      <c r="O533" s="69">
        <f>COUNTIF(O2:O524,"KAPSAM DIŞI")</f>
        <v>0</v>
      </c>
      <c r="P533" s="69">
        <f>COUNTIF(P2:P524,"KAPSAM DIŞI")</f>
        <v>8</v>
      </c>
    </row>
    <row r="534" spans="6:16" ht="31.5" customHeight="1" x14ac:dyDescent="0.25">
      <c r="F534" s="52" t="s">
        <v>2413</v>
      </c>
      <c r="K534" s="70" t="s">
        <v>159</v>
      </c>
      <c r="L534" s="71">
        <f>COUNTIF(L2:L524,"RET")</f>
        <v>17</v>
      </c>
      <c r="M534" s="72">
        <f>COUNTIF(M2:M524,"RET")</f>
        <v>1</v>
      </c>
      <c r="N534" s="71">
        <f>COUNTIF(N2:N524,"RET")</f>
        <v>0</v>
      </c>
      <c r="O534" s="72">
        <f>COUNTIF(O2:O524,"RET")</f>
        <v>0</v>
      </c>
      <c r="P534" s="72">
        <f>COUNTIF(P2:P524,"RET")</f>
        <v>14</v>
      </c>
    </row>
    <row r="535" spans="6:16" ht="31.5" customHeight="1" x14ac:dyDescent="0.25">
      <c r="F535" s="52" t="s">
        <v>2414</v>
      </c>
      <c r="K535" s="73" t="s">
        <v>387</v>
      </c>
      <c r="L535" s="74">
        <f>COUNTIF(L2:L524,"GERİ ÇEKİLDİ")</f>
        <v>0</v>
      </c>
      <c r="M535" s="75">
        <f>COUNTIF(M2:M524,"GERİ ÇEKİLDİ")</f>
        <v>4</v>
      </c>
      <c r="N535" s="74">
        <f>COUNTIF(N2:N524,"GERİ ÇEKİLDİ")</f>
        <v>0</v>
      </c>
      <c r="O535" s="75">
        <f>COUNTIF(O2:O524,"GERİ ÇEKİLDİ")</f>
        <v>0</v>
      </c>
      <c r="P535" s="75">
        <f>COUNTIF(P2:P524,"GERİ ÇEKİLDİ")</f>
        <v>4</v>
      </c>
    </row>
    <row r="536" spans="6:16" ht="47.25" customHeight="1" x14ac:dyDescent="0.25">
      <c r="F536" s="52" t="s">
        <v>2415</v>
      </c>
      <c r="K536" s="76" t="s">
        <v>4</v>
      </c>
      <c r="L536" s="77">
        <f>SUM(L529:L535)</f>
        <v>484</v>
      </c>
      <c r="M536" s="78">
        <f>SUM(M529:M535)</f>
        <v>141</v>
      </c>
      <c r="N536" s="77">
        <f>SUM(N529:N535)</f>
        <v>18</v>
      </c>
      <c r="O536" s="78">
        <f>SUM(O529:O535)</f>
        <v>1</v>
      </c>
      <c r="P536" s="78">
        <f>SUM(P529:P535)</f>
        <v>484</v>
      </c>
    </row>
    <row r="537" spans="6:16" ht="31.5" customHeight="1" x14ac:dyDescent="0.25">
      <c r="F537" s="52" t="s">
        <v>2416</v>
      </c>
    </row>
    <row r="538" spans="6:16" ht="47.25" customHeight="1" x14ac:dyDescent="0.25">
      <c r="F538" s="52" t="s">
        <v>2417</v>
      </c>
    </row>
    <row r="539" spans="6:16" ht="63" customHeight="1" x14ac:dyDescent="0.25">
      <c r="F539" s="52" t="s">
        <v>2418</v>
      </c>
      <c r="L539" s="26">
        <f>COUNTIF(L2:L524,"")</f>
        <v>39</v>
      </c>
    </row>
    <row r="540" spans="6:16" ht="31.5" customHeight="1" x14ac:dyDescent="0.25">
      <c r="F540" s="52" t="s">
        <v>2419</v>
      </c>
    </row>
    <row r="541" spans="6:16" ht="31.5" customHeight="1" x14ac:dyDescent="0.25">
      <c r="F541" s="52" t="s">
        <v>2420</v>
      </c>
      <c r="L541" s="79" t="str">
        <f>IF(COUNTIF(L2:L524,"")&gt;0, "⚠ DİKKAT: Boş bırakılan alanlar var!", "✓ Tüm alanlar dolu")</f>
        <v>⚠ DİKKAT: Boş bırakılan alanlar var!</v>
      </c>
      <c r="M541" s="79"/>
    </row>
    <row r="542" spans="6:16" ht="31.5" customHeight="1" x14ac:dyDescent="0.25">
      <c r="F542" s="52" t="s">
        <v>2421</v>
      </c>
      <c r="M542" s="79"/>
    </row>
    <row r="543" spans="6:16" ht="31.5" customHeight="1" x14ac:dyDescent="0.25">
      <c r="F543" s="52" t="s">
        <v>2422</v>
      </c>
      <c r="L543" s="79"/>
    </row>
    <row r="544" spans="6:16" ht="31.5" customHeight="1" x14ac:dyDescent="0.25">
      <c r="F544" s="52" t="s">
        <v>2423</v>
      </c>
    </row>
    <row r="545" spans="6:6" ht="47.25" customHeight="1" x14ac:dyDescent="0.25">
      <c r="F545" s="52" t="s">
        <v>2424</v>
      </c>
    </row>
    <row r="546" spans="6:6" ht="31.5" customHeight="1" x14ac:dyDescent="0.25">
      <c r="F546" s="52" t="s">
        <v>2425</v>
      </c>
    </row>
    <row r="547" spans="6:6" ht="47.25" customHeight="1" x14ac:dyDescent="0.25">
      <c r="F547" s="52" t="s">
        <v>2426</v>
      </c>
    </row>
    <row r="548" spans="6:6" ht="47.25" customHeight="1" x14ac:dyDescent="0.25">
      <c r="F548" s="52" t="s">
        <v>2427</v>
      </c>
    </row>
    <row r="549" spans="6:6" ht="47.25" customHeight="1" x14ac:dyDescent="0.25">
      <c r="F549" s="52" t="s">
        <v>2428</v>
      </c>
    </row>
    <row r="550" spans="6:6" ht="47.25" customHeight="1" x14ac:dyDescent="0.25">
      <c r="F550" s="52" t="s">
        <v>2429</v>
      </c>
    </row>
    <row r="551" spans="6:6" ht="31.5" customHeight="1" x14ac:dyDescent="0.25">
      <c r="F551" s="52" t="s">
        <v>2430</v>
      </c>
    </row>
    <row r="552" spans="6:6" ht="31.5" customHeight="1" x14ac:dyDescent="0.25">
      <c r="F552" s="52" t="s">
        <v>2431</v>
      </c>
    </row>
    <row r="553" spans="6:6" ht="31.5" customHeight="1" x14ac:dyDescent="0.25">
      <c r="F553" s="52" t="s">
        <v>2432</v>
      </c>
    </row>
    <row r="554" spans="6:6" ht="31.5" customHeight="1" x14ac:dyDescent="0.25">
      <c r="F554" s="52" t="s">
        <v>2433</v>
      </c>
    </row>
    <row r="555" spans="6:6" ht="47.25" customHeight="1" x14ac:dyDescent="0.25">
      <c r="F555" s="52" t="s">
        <v>2434</v>
      </c>
    </row>
    <row r="556" spans="6:6" ht="47.25" customHeight="1" x14ac:dyDescent="0.25">
      <c r="F556" s="52" t="s">
        <v>2435</v>
      </c>
    </row>
    <row r="557" spans="6:6" ht="47.25" customHeight="1" x14ac:dyDescent="0.25">
      <c r="F557" s="52" t="s">
        <v>2436</v>
      </c>
    </row>
    <row r="558" spans="6:6" ht="31.5" customHeight="1" x14ac:dyDescent="0.25">
      <c r="F558" s="52" t="s">
        <v>2437</v>
      </c>
    </row>
    <row r="559" spans="6:6" ht="63" customHeight="1" x14ac:dyDescent="0.25">
      <c r="F559" s="52" t="s">
        <v>2438</v>
      </c>
    </row>
    <row r="560" spans="6:6" ht="47.25" customHeight="1" x14ac:dyDescent="0.25">
      <c r="F560" s="52" t="s">
        <v>2439</v>
      </c>
    </row>
    <row r="561" spans="6:6" ht="63" customHeight="1" x14ac:dyDescent="0.25">
      <c r="F561" s="52" t="s">
        <v>2440</v>
      </c>
    </row>
    <row r="562" spans="6:6" ht="47.25" customHeight="1" x14ac:dyDescent="0.25">
      <c r="F562" s="52" t="s">
        <v>2441</v>
      </c>
    </row>
    <row r="563" spans="6:6" ht="47.25" customHeight="1" x14ac:dyDescent="0.25">
      <c r="F563" s="52" t="s">
        <v>2442</v>
      </c>
    </row>
    <row r="564" spans="6:6" ht="47.25" customHeight="1" x14ac:dyDescent="0.25">
      <c r="F564" s="52" t="s">
        <v>2443</v>
      </c>
    </row>
    <row r="565" spans="6:6" ht="47.25" customHeight="1" x14ac:dyDescent="0.25">
      <c r="F565" s="52" t="s">
        <v>2444</v>
      </c>
    </row>
    <row r="566" spans="6:6" ht="47.25" customHeight="1" x14ac:dyDescent="0.25">
      <c r="F566" s="52" t="s">
        <v>2445</v>
      </c>
    </row>
    <row r="567" spans="6:6" ht="63" customHeight="1" x14ac:dyDescent="0.25">
      <c r="F567" s="52" t="s">
        <v>2446</v>
      </c>
    </row>
    <row r="568" spans="6:6" ht="78.75" customHeight="1" x14ac:dyDescent="0.25">
      <c r="F568" s="52" t="s">
        <v>2447</v>
      </c>
    </row>
    <row r="569" spans="6:6" ht="31.5" customHeight="1" x14ac:dyDescent="0.25">
      <c r="F569" s="52" t="s">
        <v>2448</v>
      </c>
    </row>
    <row r="570" spans="6:6" ht="47.25" customHeight="1" x14ac:dyDescent="0.25">
      <c r="F570" s="52" t="s">
        <v>2449</v>
      </c>
    </row>
    <row r="571" spans="6:6" ht="63" customHeight="1" x14ac:dyDescent="0.25">
      <c r="F571" s="52" t="s">
        <v>2450</v>
      </c>
    </row>
    <row r="572" spans="6:6" ht="63" customHeight="1" x14ac:dyDescent="0.25">
      <c r="F572" s="52" t="s">
        <v>2451</v>
      </c>
    </row>
    <row r="573" spans="6:6" ht="31.5" customHeight="1" x14ac:dyDescent="0.25">
      <c r="F573" s="52" t="s">
        <v>2452</v>
      </c>
    </row>
    <row r="574" spans="6:6" ht="31.5" customHeight="1" x14ac:dyDescent="0.25">
      <c r="F574" s="52" t="s">
        <v>2453</v>
      </c>
    </row>
    <row r="575" spans="6:6" ht="31.5" customHeight="1" x14ac:dyDescent="0.25">
      <c r="F575" s="52" t="s">
        <v>2454</v>
      </c>
    </row>
    <row r="576" spans="6:6" ht="31.5" customHeight="1" x14ac:dyDescent="0.25">
      <c r="F576" s="52" t="s">
        <v>2455</v>
      </c>
    </row>
    <row r="577" spans="6:6" ht="31.5" customHeight="1" x14ac:dyDescent="0.25">
      <c r="F577" s="52" t="s">
        <v>2456</v>
      </c>
    </row>
    <row r="578" spans="6:6" ht="31.5" customHeight="1" x14ac:dyDescent="0.25">
      <c r="F578" s="52" t="s">
        <v>2457</v>
      </c>
    </row>
    <row r="579" spans="6:6" ht="31.5" customHeight="1" x14ac:dyDescent="0.25">
      <c r="F579" s="52" t="s">
        <v>2458</v>
      </c>
    </row>
    <row r="580" spans="6:6" ht="47.25" customHeight="1" x14ac:dyDescent="0.25">
      <c r="F580" s="52" t="s">
        <v>2459</v>
      </c>
    </row>
    <row r="581" spans="6:6" ht="31.5" customHeight="1" x14ac:dyDescent="0.25">
      <c r="F581" s="52" t="s">
        <v>2460</v>
      </c>
    </row>
    <row r="582" spans="6:6" ht="63" customHeight="1" x14ac:dyDescent="0.25">
      <c r="F582" s="52" t="s">
        <v>2461</v>
      </c>
    </row>
    <row r="583" spans="6:6" ht="47.25" customHeight="1" x14ac:dyDescent="0.25">
      <c r="F583" s="52" t="s">
        <v>2462</v>
      </c>
    </row>
    <row r="584" spans="6:6" ht="47.25" customHeight="1" x14ac:dyDescent="0.25">
      <c r="F584" s="52" t="s">
        <v>2463</v>
      </c>
    </row>
    <row r="585" spans="6:6" ht="31.5" customHeight="1" x14ac:dyDescent="0.25">
      <c r="F585" s="52" t="s">
        <v>2464</v>
      </c>
    </row>
    <row r="586" spans="6:6" ht="31.5" customHeight="1" x14ac:dyDescent="0.25">
      <c r="F586" s="52" t="s">
        <v>2465</v>
      </c>
    </row>
    <row r="587" spans="6:6" ht="47.25" customHeight="1" x14ac:dyDescent="0.25">
      <c r="F587" s="52" t="s">
        <v>2466</v>
      </c>
    </row>
    <row r="588" spans="6:6" ht="31.5" customHeight="1" x14ac:dyDescent="0.25">
      <c r="F588" s="52" t="s">
        <v>2467</v>
      </c>
    </row>
    <row r="589" spans="6:6" ht="47.25" customHeight="1" x14ac:dyDescent="0.25">
      <c r="F589" s="52" t="s">
        <v>2468</v>
      </c>
    </row>
    <row r="590" spans="6:6" ht="63" customHeight="1" x14ac:dyDescent="0.25">
      <c r="F590" s="52" t="s">
        <v>2469</v>
      </c>
    </row>
    <row r="591" spans="6:6" ht="31.5" customHeight="1" x14ac:dyDescent="0.25">
      <c r="F591" s="52" t="s">
        <v>2470</v>
      </c>
    </row>
    <row r="592" spans="6:6" ht="47.25" customHeight="1" x14ac:dyDescent="0.25">
      <c r="F592" s="52" t="s">
        <v>2471</v>
      </c>
    </row>
    <row r="593" spans="6:6" ht="31.5" customHeight="1" x14ac:dyDescent="0.25">
      <c r="F593" s="52" t="s">
        <v>2472</v>
      </c>
    </row>
    <row r="594" spans="6:6" ht="31.5" customHeight="1" x14ac:dyDescent="0.25">
      <c r="F594" s="52" t="s">
        <v>2473</v>
      </c>
    </row>
    <row r="595" spans="6:6" ht="63" customHeight="1" x14ac:dyDescent="0.25">
      <c r="F595" s="52" t="s">
        <v>2474</v>
      </c>
    </row>
    <row r="596" spans="6:6" ht="47.25" customHeight="1" x14ac:dyDescent="0.25">
      <c r="F596" s="52" t="s">
        <v>2475</v>
      </c>
    </row>
    <row r="597" spans="6:6" ht="31.5" customHeight="1" x14ac:dyDescent="0.25">
      <c r="F597" s="52" t="s">
        <v>2476</v>
      </c>
    </row>
    <row r="598" spans="6:6" ht="31.5" customHeight="1" x14ac:dyDescent="0.25">
      <c r="F598" s="52" t="s">
        <v>2477</v>
      </c>
    </row>
    <row r="599" spans="6:6" ht="31.5" customHeight="1" x14ac:dyDescent="0.25">
      <c r="F599" s="52" t="s">
        <v>2478</v>
      </c>
    </row>
    <row r="600" spans="6:6" ht="31.5" customHeight="1" x14ac:dyDescent="0.25">
      <c r="F600" s="38" t="s">
        <v>2479</v>
      </c>
    </row>
    <row r="601" spans="6:6" ht="63" customHeight="1" x14ac:dyDescent="0.25">
      <c r="F601" s="38" t="s">
        <v>2480</v>
      </c>
    </row>
    <row r="602" spans="6:6" ht="63" customHeight="1" x14ac:dyDescent="0.25">
      <c r="F602" s="38" t="s">
        <v>2481</v>
      </c>
    </row>
    <row r="603" spans="6:6" ht="31.5" customHeight="1" x14ac:dyDescent="0.25">
      <c r="F603" s="38" t="s">
        <v>2482</v>
      </c>
    </row>
    <row r="604" spans="6:6" ht="47.25" customHeight="1" x14ac:dyDescent="0.25">
      <c r="F604" s="38" t="s">
        <v>2483</v>
      </c>
    </row>
    <row r="605" spans="6:6" ht="31.5" customHeight="1" x14ac:dyDescent="0.25">
      <c r="F605" s="38" t="s">
        <v>2484</v>
      </c>
    </row>
    <row r="606" spans="6:6" ht="31.5" customHeight="1" x14ac:dyDescent="0.25">
      <c r="F606" s="38" t="s">
        <v>2485</v>
      </c>
    </row>
    <row r="607" spans="6:6" ht="63" customHeight="1" x14ac:dyDescent="0.25">
      <c r="F607" s="38" t="s">
        <v>2486</v>
      </c>
    </row>
    <row r="608" spans="6:6" ht="31.5" customHeight="1" x14ac:dyDescent="0.25">
      <c r="F608" s="38" t="s">
        <v>2487</v>
      </c>
    </row>
    <row r="609" spans="6:6" ht="47.25" customHeight="1" x14ac:dyDescent="0.25">
      <c r="F609" s="38" t="s">
        <v>2488</v>
      </c>
    </row>
    <row r="610" spans="6:6" ht="47.25" customHeight="1" x14ac:dyDescent="0.25">
      <c r="F610" s="38" t="s">
        <v>2489</v>
      </c>
    </row>
    <row r="611" spans="6:6" ht="47.25" customHeight="1" x14ac:dyDescent="0.25">
      <c r="F611" s="38" t="s">
        <v>2490</v>
      </c>
    </row>
    <row r="612" spans="6:6" ht="47.25" customHeight="1" x14ac:dyDescent="0.25">
      <c r="F612" s="38" t="s">
        <v>2491</v>
      </c>
    </row>
    <row r="613" spans="6:6" ht="31.5" customHeight="1" x14ac:dyDescent="0.25">
      <c r="F613" s="38" t="s">
        <v>2492</v>
      </c>
    </row>
    <row r="614" spans="6:6" ht="47.25" customHeight="1" x14ac:dyDescent="0.25">
      <c r="F614" s="38" t="s">
        <v>2493</v>
      </c>
    </row>
    <row r="615" spans="6:6" ht="31.5" customHeight="1" x14ac:dyDescent="0.25">
      <c r="F615" s="38" t="s">
        <v>2494</v>
      </c>
    </row>
    <row r="616" spans="6:6" ht="47.25" customHeight="1" x14ac:dyDescent="0.25">
      <c r="F616" s="38" t="s">
        <v>2495</v>
      </c>
    </row>
    <row r="617" spans="6:6" ht="47.25" customHeight="1" x14ac:dyDescent="0.25">
      <c r="F617" s="38" t="s">
        <v>2496</v>
      </c>
    </row>
    <row r="618" spans="6:6" ht="47.25" customHeight="1" x14ac:dyDescent="0.25">
      <c r="F618" s="38" t="s">
        <v>2497</v>
      </c>
    </row>
    <row r="619" spans="6:6" ht="47.25" customHeight="1" x14ac:dyDescent="0.25">
      <c r="F619" s="38" t="s">
        <v>2498</v>
      </c>
    </row>
    <row r="620" spans="6:6" ht="47.25" customHeight="1" x14ac:dyDescent="0.25">
      <c r="F620" s="38" t="s">
        <v>2499</v>
      </c>
    </row>
    <row r="621" spans="6:6" ht="78.75" customHeight="1" x14ac:dyDescent="0.25">
      <c r="F621" s="38" t="s">
        <v>2500</v>
      </c>
    </row>
    <row r="622" spans="6:6" ht="78.75" customHeight="1" x14ac:dyDescent="0.25">
      <c r="F622" s="38" t="s">
        <v>2501</v>
      </c>
    </row>
    <row r="623" spans="6:6" ht="31.5" customHeight="1" x14ac:dyDescent="0.25">
      <c r="F623" s="38" t="s">
        <v>2502</v>
      </c>
    </row>
    <row r="624" spans="6:6" ht="31.5" customHeight="1" x14ac:dyDescent="0.25">
      <c r="F624" s="38" t="s">
        <v>2503</v>
      </c>
    </row>
    <row r="625" spans="6:6" ht="63" customHeight="1" x14ac:dyDescent="0.25">
      <c r="F625" s="38" t="s">
        <v>2504</v>
      </c>
    </row>
    <row r="626" spans="6:6" ht="31.5" customHeight="1" x14ac:dyDescent="0.25">
      <c r="F626" s="38" t="s">
        <v>2505</v>
      </c>
    </row>
    <row r="627" spans="6:6" ht="47.25" customHeight="1" x14ac:dyDescent="0.25">
      <c r="F627" s="38" t="s">
        <v>2506</v>
      </c>
    </row>
    <row r="628" spans="6:6" ht="47.25" customHeight="1" x14ac:dyDescent="0.25">
      <c r="F628" s="38" t="s">
        <v>2507</v>
      </c>
    </row>
    <row r="629" spans="6:6" ht="63" customHeight="1" x14ac:dyDescent="0.25">
      <c r="F629" s="38" t="s">
        <v>2508</v>
      </c>
    </row>
    <row r="630" spans="6:6" ht="31.5" customHeight="1" x14ac:dyDescent="0.25">
      <c r="F630" s="38" t="s">
        <v>2509</v>
      </c>
    </row>
    <row r="631" spans="6:6" ht="47.25" customHeight="1" x14ac:dyDescent="0.25">
      <c r="F631" s="38" t="s">
        <v>2510</v>
      </c>
    </row>
    <row r="632" spans="6:6" ht="63" customHeight="1" x14ac:dyDescent="0.25">
      <c r="F632" s="38" t="s">
        <v>2511</v>
      </c>
    </row>
    <row r="633" spans="6:6" ht="47.25" customHeight="1" x14ac:dyDescent="0.25">
      <c r="F633" s="38" t="s">
        <v>2512</v>
      </c>
    </row>
    <row r="634" spans="6:6" ht="47.25" customHeight="1" x14ac:dyDescent="0.25">
      <c r="F634" s="38" t="s">
        <v>2513</v>
      </c>
    </row>
    <row r="635" spans="6:6" ht="47.25" customHeight="1" x14ac:dyDescent="0.25">
      <c r="F635" s="38" t="s">
        <v>2514</v>
      </c>
    </row>
    <row r="636" spans="6:6" ht="47.25" customHeight="1" x14ac:dyDescent="0.25">
      <c r="F636" s="38" t="s">
        <v>2515</v>
      </c>
    </row>
    <row r="637" spans="6:6" ht="47.25" customHeight="1" x14ac:dyDescent="0.25">
      <c r="F637" s="38" t="s">
        <v>2516</v>
      </c>
    </row>
    <row r="638" spans="6:6" ht="31.5" customHeight="1" x14ac:dyDescent="0.25">
      <c r="F638" s="38" t="s">
        <v>2517</v>
      </c>
    </row>
    <row r="639" spans="6:6" ht="31.5" customHeight="1" x14ac:dyDescent="0.25">
      <c r="F639" s="38" t="s">
        <v>2518</v>
      </c>
    </row>
    <row r="640" spans="6:6" ht="63" customHeight="1" x14ac:dyDescent="0.25">
      <c r="F640" s="38" t="s">
        <v>2519</v>
      </c>
    </row>
    <row r="641" spans="6:6" ht="47.25" customHeight="1" x14ac:dyDescent="0.25">
      <c r="F641" s="38" t="s">
        <v>2520</v>
      </c>
    </row>
    <row r="642" spans="6:6" ht="47.25" customHeight="1" x14ac:dyDescent="0.25">
      <c r="F642" s="38" t="s">
        <v>2521</v>
      </c>
    </row>
    <row r="643" spans="6:6" ht="47.25" customHeight="1" x14ac:dyDescent="0.25">
      <c r="F643" s="38" t="s">
        <v>2522</v>
      </c>
    </row>
    <row r="644" spans="6:6" ht="63" customHeight="1" x14ac:dyDescent="0.25">
      <c r="F644" s="38" t="s">
        <v>2523</v>
      </c>
    </row>
    <row r="645" spans="6:6" ht="31.5" customHeight="1" x14ac:dyDescent="0.25">
      <c r="F645" s="38" t="s">
        <v>2524</v>
      </c>
    </row>
    <row r="646" spans="6:6" ht="31.5" customHeight="1" x14ac:dyDescent="0.25">
      <c r="F646" s="38" t="s">
        <v>2525</v>
      </c>
    </row>
    <row r="647" spans="6:6" ht="63" customHeight="1" x14ac:dyDescent="0.25">
      <c r="F647" s="38" t="s">
        <v>2526</v>
      </c>
    </row>
    <row r="648" spans="6:6" ht="47.25" customHeight="1" x14ac:dyDescent="0.25">
      <c r="F648" s="38" t="s">
        <v>2527</v>
      </c>
    </row>
    <row r="649" spans="6:6" ht="47.25" customHeight="1" x14ac:dyDescent="0.25">
      <c r="F649" s="38" t="s">
        <v>2528</v>
      </c>
    </row>
    <row r="650" spans="6:6" ht="31.5" customHeight="1" x14ac:dyDescent="0.25">
      <c r="F650" s="38" t="s">
        <v>2529</v>
      </c>
    </row>
    <row r="651" spans="6:6" ht="63" customHeight="1" x14ac:dyDescent="0.25">
      <c r="F651" s="38" t="s">
        <v>2530</v>
      </c>
    </row>
    <row r="652" spans="6:6" ht="78.75" customHeight="1" x14ac:dyDescent="0.25">
      <c r="F652" s="38" t="s">
        <v>2531</v>
      </c>
    </row>
    <row r="653" spans="6:6" ht="31.5" customHeight="1" x14ac:dyDescent="0.25">
      <c r="F653" s="38" t="s">
        <v>2532</v>
      </c>
    </row>
    <row r="654" spans="6:6" ht="31.5" customHeight="1" x14ac:dyDescent="0.25">
      <c r="F654" s="38" t="s">
        <v>2533</v>
      </c>
    </row>
    <row r="655" spans="6:6" ht="31.5" customHeight="1" x14ac:dyDescent="0.25">
      <c r="F655" s="38" t="s">
        <v>2534</v>
      </c>
    </row>
    <row r="656" spans="6:6" ht="31.5" customHeight="1" x14ac:dyDescent="0.25">
      <c r="F656" s="38" t="s">
        <v>2535</v>
      </c>
    </row>
    <row r="657" spans="6:6" ht="31.5" customHeight="1" x14ac:dyDescent="0.25">
      <c r="F657" s="38" t="s">
        <v>2536</v>
      </c>
    </row>
    <row r="658" spans="6:6" ht="31.5" customHeight="1" x14ac:dyDescent="0.25">
      <c r="F658" s="38" t="s">
        <v>2537</v>
      </c>
    </row>
    <row r="659" spans="6:6" ht="47.25" customHeight="1" x14ac:dyDescent="0.25">
      <c r="F659" s="38" t="s">
        <v>2538</v>
      </c>
    </row>
    <row r="660" spans="6:6" ht="47.25" customHeight="1" x14ac:dyDescent="0.25">
      <c r="F660" s="38" t="s">
        <v>2539</v>
      </c>
    </row>
    <row r="661" spans="6:6" ht="47.25" customHeight="1" x14ac:dyDescent="0.25">
      <c r="F661" s="38" t="s">
        <v>2540</v>
      </c>
    </row>
    <row r="662" spans="6:6" ht="78.75" customHeight="1" x14ac:dyDescent="0.25">
      <c r="F662" s="38" t="s">
        <v>2541</v>
      </c>
    </row>
    <row r="663" spans="6:6" ht="47.25" customHeight="1" x14ac:dyDescent="0.25">
      <c r="F663" s="38" t="s">
        <v>2542</v>
      </c>
    </row>
    <row r="664" spans="6:6" ht="47.25" customHeight="1" x14ac:dyDescent="0.25">
      <c r="F664" s="38" t="s">
        <v>2543</v>
      </c>
    </row>
    <row r="665" spans="6:6" ht="47.25" customHeight="1" x14ac:dyDescent="0.25">
      <c r="F665" s="38" t="s">
        <v>2544</v>
      </c>
    </row>
    <row r="666" spans="6:6" ht="47.25" customHeight="1" x14ac:dyDescent="0.25">
      <c r="F666" s="38" t="s">
        <v>2545</v>
      </c>
    </row>
    <row r="667" spans="6:6" ht="31.5" customHeight="1" x14ac:dyDescent="0.25">
      <c r="F667" s="38" t="s">
        <v>2546</v>
      </c>
    </row>
    <row r="668" spans="6:6" ht="47.25" customHeight="1" x14ac:dyDescent="0.25">
      <c r="F668" s="38" t="s">
        <v>2547</v>
      </c>
    </row>
    <row r="669" spans="6:6" ht="31.5" customHeight="1" x14ac:dyDescent="0.25">
      <c r="F669" s="38" t="s">
        <v>2548</v>
      </c>
    </row>
    <row r="670" spans="6:6" ht="110.25" customHeight="1" x14ac:dyDescent="0.25">
      <c r="F670" s="38" t="s">
        <v>2549</v>
      </c>
    </row>
    <row r="671" spans="6:6" ht="31.5" customHeight="1" x14ac:dyDescent="0.25">
      <c r="F671" s="38" t="s">
        <v>2550</v>
      </c>
    </row>
    <row r="672" spans="6:6" ht="47.25" customHeight="1" x14ac:dyDescent="0.25">
      <c r="F672" s="38" t="s">
        <v>2551</v>
      </c>
    </row>
    <row r="673" spans="6:6" ht="31.5" customHeight="1" x14ac:dyDescent="0.25">
      <c r="F673" s="38" t="s">
        <v>2552</v>
      </c>
    </row>
    <row r="674" spans="6:6" ht="47.25" customHeight="1" x14ac:dyDescent="0.25">
      <c r="F674" s="38" t="s">
        <v>2553</v>
      </c>
    </row>
    <row r="675" spans="6:6" ht="63" customHeight="1" x14ac:dyDescent="0.25">
      <c r="F675" s="38" t="s">
        <v>2554</v>
      </c>
    </row>
    <row r="676" spans="6:6" ht="63" customHeight="1" x14ac:dyDescent="0.25">
      <c r="F676" s="38" t="s">
        <v>2555</v>
      </c>
    </row>
    <row r="677" spans="6:6" ht="31.5" customHeight="1" x14ac:dyDescent="0.25">
      <c r="F677" s="38" t="s">
        <v>2556</v>
      </c>
    </row>
    <row r="678" spans="6:6" ht="47.25" customHeight="1" x14ac:dyDescent="0.25">
      <c r="F678" s="38" t="s">
        <v>2557</v>
      </c>
    </row>
    <row r="679" spans="6:6" ht="47.25" customHeight="1" x14ac:dyDescent="0.25">
      <c r="F679" s="38" t="s">
        <v>2558</v>
      </c>
    </row>
    <row r="680" spans="6:6" ht="47.25" customHeight="1" x14ac:dyDescent="0.25">
      <c r="F680" s="38" t="s">
        <v>2559</v>
      </c>
    </row>
    <row r="681" spans="6:6" ht="47.25" customHeight="1" x14ac:dyDescent="0.25">
      <c r="F681" s="38" t="s">
        <v>2560</v>
      </c>
    </row>
    <row r="682" spans="6:6" ht="47.25" customHeight="1" x14ac:dyDescent="0.25">
      <c r="F682" s="38" t="s">
        <v>2561</v>
      </c>
    </row>
    <row r="683" spans="6:6" ht="47.25" customHeight="1" x14ac:dyDescent="0.25">
      <c r="F683" s="38" t="s">
        <v>2562</v>
      </c>
    </row>
    <row r="684" spans="6:6" ht="63" customHeight="1" x14ac:dyDescent="0.25">
      <c r="F684" s="38" t="s">
        <v>2563</v>
      </c>
    </row>
    <row r="685" spans="6:6" ht="63" customHeight="1" x14ac:dyDescent="0.25">
      <c r="F685" s="38" t="s">
        <v>2564</v>
      </c>
    </row>
    <row r="686" spans="6:6" ht="78.75" customHeight="1" x14ac:dyDescent="0.25">
      <c r="F686" s="38" t="s">
        <v>2565</v>
      </c>
    </row>
    <row r="687" spans="6:6" ht="47.25" customHeight="1" x14ac:dyDescent="0.25">
      <c r="F687" s="38" t="s">
        <v>2566</v>
      </c>
    </row>
    <row r="688" spans="6:6" ht="31.5" customHeight="1" x14ac:dyDescent="0.25">
      <c r="F688" s="38" t="s">
        <v>2567</v>
      </c>
    </row>
    <row r="689" spans="6:6" ht="31.5" customHeight="1" x14ac:dyDescent="0.25">
      <c r="F689" s="38" t="s">
        <v>2568</v>
      </c>
    </row>
    <row r="690" spans="6:6" x14ac:dyDescent="0.25">
      <c r="F690" s="38" t="s">
        <v>2569</v>
      </c>
    </row>
    <row r="691" spans="6:6" ht="31.5" customHeight="1" x14ac:dyDescent="0.25">
      <c r="F691" s="38" t="s">
        <v>2570</v>
      </c>
    </row>
    <row r="692" spans="6:6" ht="47.25" customHeight="1" x14ac:dyDescent="0.25">
      <c r="F692" s="38" t="s">
        <v>2571</v>
      </c>
    </row>
    <row r="693" spans="6:6" ht="47.25" customHeight="1" x14ac:dyDescent="0.25">
      <c r="F693" s="38" t="s">
        <v>2572</v>
      </c>
    </row>
    <row r="694" spans="6:6" ht="47.25" customHeight="1" x14ac:dyDescent="0.25">
      <c r="F694" s="38" t="s">
        <v>2573</v>
      </c>
    </row>
    <row r="695" spans="6:6" ht="47.25" customHeight="1" x14ac:dyDescent="0.25">
      <c r="F695" s="38" t="s">
        <v>2574</v>
      </c>
    </row>
    <row r="696" spans="6:6" ht="47.25" customHeight="1" x14ac:dyDescent="0.25">
      <c r="F696" s="38" t="s">
        <v>2575</v>
      </c>
    </row>
    <row r="697" spans="6:6" ht="47.25" customHeight="1" x14ac:dyDescent="0.25">
      <c r="F697" s="38" t="s">
        <v>2576</v>
      </c>
    </row>
    <row r="698" spans="6:6" ht="31.5" customHeight="1" x14ac:dyDescent="0.25">
      <c r="F698" s="38" t="s">
        <v>2577</v>
      </c>
    </row>
    <row r="699" spans="6:6" ht="47.25" customHeight="1" x14ac:dyDescent="0.25">
      <c r="F699" s="38" t="s">
        <v>2578</v>
      </c>
    </row>
    <row r="700" spans="6:6" ht="47.25" customHeight="1" x14ac:dyDescent="0.25">
      <c r="F700" s="38" t="s">
        <v>2579</v>
      </c>
    </row>
    <row r="701" spans="6:6" ht="47.25" customHeight="1" x14ac:dyDescent="0.25">
      <c r="F701" s="38" t="s">
        <v>2580</v>
      </c>
    </row>
    <row r="702" spans="6:6" ht="47.25" customHeight="1" x14ac:dyDescent="0.25">
      <c r="F702" s="38" t="s">
        <v>2581</v>
      </c>
    </row>
    <row r="703" spans="6:6" ht="31.5" customHeight="1" x14ac:dyDescent="0.25">
      <c r="F703" s="38" t="s">
        <v>2582</v>
      </c>
    </row>
    <row r="704" spans="6:6" ht="31.5" customHeight="1" x14ac:dyDescent="0.25">
      <c r="F704" s="38" t="s">
        <v>2583</v>
      </c>
    </row>
    <row r="705" spans="6:6" ht="47.25" customHeight="1" x14ac:dyDescent="0.25">
      <c r="F705" s="38" t="s">
        <v>2584</v>
      </c>
    </row>
    <row r="706" spans="6:6" ht="63" customHeight="1" x14ac:dyDescent="0.25">
      <c r="F706" s="38" t="s">
        <v>2585</v>
      </c>
    </row>
    <row r="707" spans="6:6" ht="31.5" customHeight="1" x14ac:dyDescent="0.25">
      <c r="F707" s="38" t="s">
        <v>2586</v>
      </c>
    </row>
    <row r="708" spans="6:6" ht="31.5" customHeight="1" x14ac:dyDescent="0.25">
      <c r="F708" s="38" t="s">
        <v>2587</v>
      </c>
    </row>
    <row r="709" spans="6:6" ht="63" customHeight="1" x14ac:dyDescent="0.25">
      <c r="F709" s="38" t="s">
        <v>2588</v>
      </c>
    </row>
    <row r="710" spans="6:6" ht="47.25" customHeight="1" x14ac:dyDescent="0.25">
      <c r="F710" s="38" t="s">
        <v>2589</v>
      </c>
    </row>
    <row r="711" spans="6:6" ht="31.5" customHeight="1" x14ac:dyDescent="0.25">
      <c r="F711" s="38" t="s">
        <v>2590</v>
      </c>
    </row>
    <row r="712" spans="6:6" ht="47.25" customHeight="1" x14ac:dyDescent="0.25">
      <c r="F712" s="38" t="s">
        <v>2591</v>
      </c>
    </row>
    <row r="713" spans="6:6" ht="47.25" customHeight="1" x14ac:dyDescent="0.25">
      <c r="F713" s="38" t="s">
        <v>2592</v>
      </c>
    </row>
    <row r="714" spans="6:6" ht="31.5" customHeight="1" x14ac:dyDescent="0.25">
      <c r="F714" s="38" t="s">
        <v>2593</v>
      </c>
    </row>
    <row r="715" spans="6:6" ht="31.5" customHeight="1" x14ac:dyDescent="0.25">
      <c r="F715" s="38" t="s">
        <v>2594</v>
      </c>
    </row>
    <row r="716" spans="6:6" ht="63" customHeight="1" x14ac:dyDescent="0.25">
      <c r="F716" s="38" t="s">
        <v>2595</v>
      </c>
    </row>
    <row r="717" spans="6:6" ht="31.5" customHeight="1" x14ac:dyDescent="0.25">
      <c r="F717" s="38" t="s">
        <v>2596</v>
      </c>
    </row>
    <row r="718" spans="6:6" ht="47.25" customHeight="1" x14ac:dyDescent="0.25">
      <c r="F718" s="38" t="s">
        <v>2597</v>
      </c>
    </row>
    <row r="719" spans="6:6" ht="31.5" customHeight="1" x14ac:dyDescent="0.25">
      <c r="F719" s="38" t="s">
        <v>2598</v>
      </c>
    </row>
    <row r="720" spans="6:6" ht="63" customHeight="1" x14ac:dyDescent="0.25">
      <c r="F720" s="38" t="s">
        <v>2599</v>
      </c>
    </row>
    <row r="721" spans="6:6" ht="78.75" customHeight="1" x14ac:dyDescent="0.25">
      <c r="F721" s="38" t="s">
        <v>2600</v>
      </c>
    </row>
    <row r="722" spans="6:6" ht="31.5" customHeight="1" x14ac:dyDescent="0.25">
      <c r="F722" s="38" t="s">
        <v>2601</v>
      </c>
    </row>
    <row r="723" spans="6:6" ht="63" customHeight="1" x14ac:dyDescent="0.25">
      <c r="F723" s="38" t="s">
        <v>2602</v>
      </c>
    </row>
    <row r="724" spans="6:6" ht="47.25" customHeight="1" x14ac:dyDescent="0.25">
      <c r="F724" s="38" t="s">
        <v>2603</v>
      </c>
    </row>
    <row r="725" spans="6:6" ht="47.25" customHeight="1" x14ac:dyDescent="0.25">
      <c r="F725" s="38" t="s">
        <v>2604</v>
      </c>
    </row>
    <row r="726" spans="6:6" ht="31.5" customHeight="1" x14ac:dyDescent="0.25">
      <c r="F726" s="38" t="s">
        <v>2605</v>
      </c>
    </row>
    <row r="727" spans="6:6" ht="31.5" customHeight="1" x14ac:dyDescent="0.25">
      <c r="F727" s="38" t="s">
        <v>2606</v>
      </c>
    </row>
    <row r="728" spans="6:6" ht="31.5" customHeight="1" x14ac:dyDescent="0.25">
      <c r="F728" s="38" t="s">
        <v>2607</v>
      </c>
    </row>
    <row r="729" spans="6:6" ht="31.5" customHeight="1" x14ac:dyDescent="0.25">
      <c r="F729" s="38" t="s">
        <v>2608</v>
      </c>
    </row>
    <row r="730" spans="6:6" ht="47.25" customHeight="1" x14ac:dyDescent="0.25">
      <c r="F730" s="38" t="s">
        <v>2609</v>
      </c>
    </row>
    <row r="731" spans="6:6" ht="47.25" customHeight="1" x14ac:dyDescent="0.25">
      <c r="F731" s="38" t="s">
        <v>2610</v>
      </c>
    </row>
    <row r="732" spans="6:6" ht="63" customHeight="1" x14ac:dyDescent="0.25">
      <c r="F732" s="38" t="s">
        <v>2611</v>
      </c>
    </row>
    <row r="733" spans="6:6" ht="63" customHeight="1" x14ac:dyDescent="0.25">
      <c r="F733" s="38" t="s">
        <v>2612</v>
      </c>
    </row>
    <row r="734" spans="6:6" ht="31.5" customHeight="1" x14ac:dyDescent="0.25">
      <c r="F734" s="38" t="s">
        <v>2613</v>
      </c>
    </row>
    <row r="735" spans="6:6" ht="31.5" customHeight="1" x14ac:dyDescent="0.25">
      <c r="F735" s="38" t="s">
        <v>2614</v>
      </c>
    </row>
    <row r="736" spans="6:6" ht="47.25" customHeight="1" x14ac:dyDescent="0.25">
      <c r="F736" s="38" t="s">
        <v>2615</v>
      </c>
    </row>
    <row r="737" spans="6:6" ht="31.5" customHeight="1" x14ac:dyDescent="0.25">
      <c r="F737" s="38" t="s">
        <v>2616</v>
      </c>
    </row>
    <row r="738" spans="6:6" ht="31.5" customHeight="1" x14ac:dyDescent="0.25">
      <c r="F738" s="38" t="s">
        <v>2617</v>
      </c>
    </row>
    <row r="739" spans="6:6" ht="63" customHeight="1" x14ac:dyDescent="0.25">
      <c r="F739" s="38" t="s">
        <v>2618</v>
      </c>
    </row>
    <row r="740" spans="6:6" ht="31.5" customHeight="1" x14ac:dyDescent="0.25">
      <c r="F740" s="38" t="s">
        <v>2619</v>
      </c>
    </row>
    <row r="741" spans="6:6" ht="47.25" customHeight="1" x14ac:dyDescent="0.25">
      <c r="F741" s="38" t="s">
        <v>2620</v>
      </c>
    </row>
    <row r="742" spans="6:6" ht="47.25" customHeight="1" x14ac:dyDescent="0.25">
      <c r="F742" s="38" t="s">
        <v>2621</v>
      </c>
    </row>
    <row r="743" spans="6:6" ht="47.25" customHeight="1" x14ac:dyDescent="0.25">
      <c r="F743" s="38" t="s">
        <v>2622</v>
      </c>
    </row>
    <row r="744" spans="6:6" ht="47.25" customHeight="1" x14ac:dyDescent="0.25">
      <c r="F744" s="38" t="s">
        <v>2623</v>
      </c>
    </row>
    <row r="745" spans="6:6" ht="47.25" customHeight="1" x14ac:dyDescent="0.25">
      <c r="F745" s="38" t="s">
        <v>2624</v>
      </c>
    </row>
    <row r="746" spans="6:6" ht="47.25" customHeight="1" x14ac:dyDescent="0.25">
      <c r="F746" s="38" t="s">
        <v>2625</v>
      </c>
    </row>
    <row r="747" spans="6:6" ht="47.25" customHeight="1" x14ac:dyDescent="0.25">
      <c r="F747" s="38" t="s">
        <v>2626</v>
      </c>
    </row>
    <row r="748" spans="6:6" ht="63" customHeight="1" x14ac:dyDescent="0.25">
      <c r="F748" s="38" t="s">
        <v>2627</v>
      </c>
    </row>
    <row r="749" spans="6:6" ht="47.25" customHeight="1" x14ac:dyDescent="0.25">
      <c r="F749" s="38" t="s">
        <v>2628</v>
      </c>
    </row>
    <row r="750" spans="6:6" ht="47.25" customHeight="1" x14ac:dyDescent="0.25">
      <c r="F750" s="38" t="s">
        <v>2629</v>
      </c>
    </row>
    <row r="751" spans="6:6" ht="31.5" customHeight="1" x14ac:dyDescent="0.25">
      <c r="F751" s="38" t="s">
        <v>2630</v>
      </c>
    </row>
    <row r="752" spans="6:6" ht="31.5" customHeight="1" x14ac:dyDescent="0.25">
      <c r="F752" s="38" t="s">
        <v>2631</v>
      </c>
    </row>
    <row r="753" spans="6:6" ht="47.25" customHeight="1" x14ac:dyDescent="0.25">
      <c r="F753" s="38" t="s">
        <v>2632</v>
      </c>
    </row>
    <row r="754" spans="6:6" ht="47.25" customHeight="1" x14ac:dyDescent="0.25">
      <c r="F754" s="38" t="s">
        <v>2633</v>
      </c>
    </row>
    <row r="755" spans="6:6" ht="31.5" customHeight="1" x14ac:dyDescent="0.25">
      <c r="F755" s="38" t="s">
        <v>2634</v>
      </c>
    </row>
    <row r="756" spans="6:6" ht="31.5" customHeight="1" x14ac:dyDescent="0.25">
      <c r="F756" s="38" t="s">
        <v>2635</v>
      </c>
    </row>
    <row r="757" spans="6:6" ht="31.5" customHeight="1" x14ac:dyDescent="0.25">
      <c r="F757" s="38" t="s">
        <v>2636</v>
      </c>
    </row>
    <row r="758" spans="6:6" ht="31.5" customHeight="1" x14ac:dyDescent="0.25">
      <c r="F758" s="38" t="s">
        <v>2637</v>
      </c>
    </row>
    <row r="759" spans="6:6" ht="31.5" customHeight="1" x14ac:dyDescent="0.25">
      <c r="F759" s="38" t="s">
        <v>2638</v>
      </c>
    </row>
    <row r="760" spans="6:6" ht="63" customHeight="1" x14ac:dyDescent="0.25">
      <c r="F760" s="38" t="s">
        <v>2639</v>
      </c>
    </row>
    <row r="761" spans="6:6" ht="31.5" customHeight="1" x14ac:dyDescent="0.25">
      <c r="F761" s="38" t="s">
        <v>2640</v>
      </c>
    </row>
    <row r="762" spans="6:6" ht="47.25" customHeight="1" x14ac:dyDescent="0.25">
      <c r="F762" s="38" t="s">
        <v>2641</v>
      </c>
    </row>
    <row r="763" spans="6:6" ht="47.25" customHeight="1" x14ac:dyDescent="0.25">
      <c r="F763" s="38" t="s">
        <v>2642</v>
      </c>
    </row>
    <row r="764" spans="6:6" ht="47.25" customHeight="1" x14ac:dyDescent="0.25">
      <c r="F764" s="38" t="s">
        <v>2643</v>
      </c>
    </row>
    <row r="765" spans="6:6" ht="47.25" customHeight="1" x14ac:dyDescent="0.25">
      <c r="F765" s="38" t="s">
        <v>2644</v>
      </c>
    </row>
    <row r="766" spans="6:6" ht="47.25" customHeight="1" x14ac:dyDescent="0.25">
      <c r="F766" s="38" t="s">
        <v>2645</v>
      </c>
    </row>
    <row r="767" spans="6:6" ht="47.25" customHeight="1" x14ac:dyDescent="0.25">
      <c r="F767" s="38" t="s">
        <v>2646</v>
      </c>
    </row>
    <row r="768" spans="6:6" ht="47.25" customHeight="1" x14ac:dyDescent="0.25">
      <c r="F768" s="38" t="s">
        <v>2647</v>
      </c>
    </row>
    <row r="769" spans="6:6" ht="31.5" customHeight="1" x14ac:dyDescent="0.25">
      <c r="F769" s="38" t="s">
        <v>2648</v>
      </c>
    </row>
    <row r="770" spans="6:6" ht="31.5" customHeight="1" x14ac:dyDescent="0.25">
      <c r="F770" s="38" t="s">
        <v>2649</v>
      </c>
    </row>
    <row r="771" spans="6:6" ht="47.25" customHeight="1" x14ac:dyDescent="0.25">
      <c r="F771" s="38" t="s">
        <v>2650</v>
      </c>
    </row>
    <row r="772" spans="6:6" ht="31.5" customHeight="1" x14ac:dyDescent="0.25">
      <c r="F772" s="38" t="s">
        <v>2651</v>
      </c>
    </row>
    <row r="773" spans="6:6" ht="47.25" customHeight="1" x14ac:dyDescent="0.25">
      <c r="F773" s="38" t="s">
        <v>2652</v>
      </c>
    </row>
    <row r="774" spans="6:6" ht="47.25" customHeight="1" x14ac:dyDescent="0.25">
      <c r="F774" s="38" t="s">
        <v>2653</v>
      </c>
    </row>
    <row r="775" spans="6:6" ht="31.5" customHeight="1" x14ac:dyDescent="0.25">
      <c r="F775" s="38" t="s">
        <v>2654</v>
      </c>
    </row>
    <row r="776" spans="6:6" ht="47.25" customHeight="1" x14ac:dyDescent="0.25">
      <c r="F776" s="38" t="s">
        <v>2655</v>
      </c>
    </row>
    <row r="777" spans="6:6" ht="31.5" customHeight="1" x14ac:dyDescent="0.25">
      <c r="F777" s="38" t="s">
        <v>2656</v>
      </c>
    </row>
    <row r="778" spans="6:6" ht="47.25" customHeight="1" x14ac:dyDescent="0.25">
      <c r="F778" s="38" t="s">
        <v>2657</v>
      </c>
    </row>
    <row r="779" spans="6:6" ht="31.5" customHeight="1" x14ac:dyDescent="0.25">
      <c r="F779" s="38" t="s">
        <v>2658</v>
      </c>
    </row>
    <row r="780" spans="6:6" ht="31.5" customHeight="1" x14ac:dyDescent="0.25">
      <c r="F780" s="38" t="s">
        <v>2659</v>
      </c>
    </row>
    <row r="781" spans="6:6" ht="31.5" customHeight="1" x14ac:dyDescent="0.25">
      <c r="F781" s="38" t="s">
        <v>2660</v>
      </c>
    </row>
    <row r="782" spans="6:6" ht="63" customHeight="1" x14ac:dyDescent="0.25">
      <c r="F782" s="38" t="s">
        <v>2661</v>
      </c>
    </row>
    <row r="783" spans="6:6" ht="31.5" customHeight="1" x14ac:dyDescent="0.25">
      <c r="F783" s="38" t="s">
        <v>2662</v>
      </c>
    </row>
    <row r="784" spans="6:6" ht="31.5" customHeight="1" x14ac:dyDescent="0.25">
      <c r="F784" s="38" t="s">
        <v>2663</v>
      </c>
    </row>
    <row r="785" spans="6:6" ht="47.25" customHeight="1" x14ac:dyDescent="0.25">
      <c r="F785" s="38" t="s">
        <v>2664</v>
      </c>
    </row>
    <row r="786" spans="6:6" ht="31.5" customHeight="1" x14ac:dyDescent="0.25">
      <c r="F786" s="38" t="s">
        <v>2665</v>
      </c>
    </row>
    <row r="787" spans="6:6" ht="31.5" customHeight="1" x14ac:dyDescent="0.25">
      <c r="F787" s="38" t="s">
        <v>2666</v>
      </c>
    </row>
    <row r="788" spans="6:6" ht="31.5" customHeight="1" x14ac:dyDescent="0.25">
      <c r="F788" s="38" t="s">
        <v>2667</v>
      </c>
    </row>
    <row r="789" spans="6:6" ht="47.25" customHeight="1" x14ac:dyDescent="0.25">
      <c r="F789" s="38" t="s">
        <v>2668</v>
      </c>
    </row>
    <row r="790" spans="6:6" ht="47.25" customHeight="1" x14ac:dyDescent="0.25">
      <c r="F790" s="38" t="s">
        <v>2669</v>
      </c>
    </row>
    <row r="791" spans="6:6" ht="47.25" customHeight="1" x14ac:dyDescent="0.25">
      <c r="F791" s="38" t="s">
        <v>2670</v>
      </c>
    </row>
    <row r="792" spans="6:6" ht="78.75" customHeight="1" x14ac:dyDescent="0.25">
      <c r="F792" s="38" t="s">
        <v>2671</v>
      </c>
    </row>
    <row r="793" spans="6:6" ht="31.5" customHeight="1" x14ac:dyDescent="0.25">
      <c r="F793" s="38" t="s">
        <v>2672</v>
      </c>
    </row>
    <row r="794" spans="6:6" ht="47.25" customHeight="1" x14ac:dyDescent="0.25">
      <c r="F794" s="38" t="s">
        <v>2673</v>
      </c>
    </row>
    <row r="795" spans="6:6" ht="63" customHeight="1" x14ac:dyDescent="0.25">
      <c r="F795" s="38" t="s">
        <v>2674</v>
      </c>
    </row>
    <row r="796" spans="6:6" ht="47.25" customHeight="1" x14ac:dyDescent="0.25">
      <c r="F796" s="38" t="s">
        <v>2675</v>
      </c>
    </row>
    <row r="797" spans="6:6" ht="47.25" customHeight="1" x14ac:dyDescent="0.25">
      <c r="F797" s="38" t="s">
        <v>2676</v>
      </c>
    </row>
    <row r="798" spans="6:6" ht="63" customHeight="1" x14ac:dyDescent="0.25">
      <c r="F798" s="38" t="s">
        <v>2677</v>
      </c>
    </row>
    <row r="799" spans="6:6" ht="47.25" customHeight="1" x14ac:dyDescent="0.25">
      <c r="F799" s="38" t="s">
        <v>2678</v>
      </c>
    </row>
    <row r="800" spans="6:6" ht="31.5" customHeight="1" x14ac:dyDescent="0.25">
      <c r="F800" s="38" t="s">
        <v>2679</v>
      </c>
    </row>
    <row r="801" spans="6:6" ht="47.25" customHeight="1" x14ac:dyDescent="0.25">
      <c r="F801" s="38" t="s">
        <v>2680</v>
      </c>
    </row>
    <row r="802" spans="6:6" ht="78.75" customHeight="1" x14ac:dyDescent="0.25">
      <c r="F802" s="38" t="s">
        <v>2681</v>
      </c>
    </row>
    <row r="803" spans="6:6" ht="47.25" customHeight="1" x14ac:dyDescent="0.25">
      <c r="F803" s="38" t="s">
        <v>2682</v>
      </c>
    </row>
    <row r="804" spans="6:6" ht="47.25" customHeight="1" x14ac:dyDescent="0.25">
      <c r="F804" s="38" t="s">
        <v>2683</v>
      </c>
    </row>
    <row r="805" spans="6:6" ht="47.25" customHeight="1" x14ac:dyDescent="0.25">
      <c r="F805" s="38" t="s">
        <v>2684</v>
      </c>
    </row>
    <row r="806" spans="6:6" ht="31.5" customHeight="1" x14ac:dyDescent="0.25">
      <c r="F806" s="38" t="s">
        <v>2685</v>
      </c>
    </row>
    <row r="807" spans="6:6" ht="63" customHeight="1" x14ac:dyDescent="0.25">
      <c r="F807" s="38" t="s">
        <v>2686</v>
      </c>
    </row>
    <row r="808" spans="6:6" ht="47.25" customHeight="1" x14ac:dyDescent="0.25">
      <c r="F808" s="38" t="s">
        <v>2687</v>
      </c>
    </row>
    <row r="809" spans="6:6" ht="47.25" customHeight="1" x14ac:dyDescent="0.25">
      <c r="F809" s="38" t="s">
        <v>2688</v>
      </c>
    </row>
    <row r="810" spans="6:6" ht="47.25" customHeight="1" x14ac:dyDescent="0.25">
      <c r="F810" s="38" t="s">
        <v>2689</v>
      </c>
    </row>
    <row r="811" spans="6:6" ht="47.25" customHeight="1" x14ac:dyDescent="0.25">
      <c r="F811" s="38" t="s">
        <v>2690</v>
      </c>
    </row>
    <row r="812" spans="6:6" ht="31.5" customHeight="1" x14ac:dyDescent="0.25">
      <c r="F812" s="38" t="s">
        <v>2691</v>
      </c>
    </row>
    <row r="813" spans="6:6" ht="31.5" customHeight="1" x14ac:dyDescent="0.25">
      <c r="F813" s="38" t="s">
        <v>2692</v>
      </c>
    </row>
    <row r="814" spans="6:6" ht="31.5" customHeight="1" x14ac:dyDescent="0.25">
      <c r="F814" s="38" t="s">
        <v>2693</v>
      </c>
    </row>
    <row r="815" spans="6:6" ht="31.5" customHeight="1" x14ac:dyDescent="0.25">
      <c r="F815" s="38" t="s">
        <v>2694</v>
      </c>
    </row>
    <row r="816" spans="6:6" ht="31.5" customHeight="1" x14ac:dyDescent="0.25">
      <c r="F816" s="38" t="s">
        <v>2695</v>
      </c>
    </row>
    <row r="817" spans="6:6" ht="31.5" customHeight="1" x14ac:dyDescent="0.25">
      <c r="F817" s="38" t="s">
        <v>2696</v>
      </c>
    </row>
    <row r="818" spans="6:6" ht="47.25" customHeight="1" x14ac:dyDescent="0.25">
      <c r="F818" s="38" t="s">
        <v>2697</v>
      </c>
    </row>
    <row r="819" spans="6:6" ht="31.5" customHeight="1" x14ac:dyDescent="0.25">
      <c r="F819" s="38" t="s">
        <v>2698</v>
      </c>
    </row>
    <row r="820" spans="6:6" ht="31.5" customHeight="1" x14ac:dyDescent="0.25">
      <c r="F820" s="38" t="s">
        <v>2699</v>
      </c>
    </row>
    <row r="821" spans="6:6" ht="31.5" customHeight="1" x14ac:dyDescent="0.25">
      <c r="F821" s="38" t="s">
        <v>2700</v>
      </c>
    </row>
    <row r="822" spans="6:6" ht="63" customHeight="1" x14ac:dyDescent="0.25">
      <c r="F822" s="38" t="s">
        <v>2701</v>
      </c>
    </row>
    <row r="823" spans="6:6" ht="31.5" customHeight="1" x14ac:dyDescent="0.25">
      <c r="F823" s="38" t="s">
        <v>2702</v>
      </c>
    </row>
    <row r="824" spans="6:6" ht="63" customHeight="1" x14ac:dyDescent="0.25">
      <c r="F824" s="38" t="s">
        <v>2703</v>
      </c>
    </row>
    <row r="825" spans="6:6" ht="47.25" customHeight="1" x14ac:dyDescent="0.25">
      <c r="F825" s="38" t="s">
        <v>2704</v>
      </c>
    </row>
    <row r="826" spans="6:6" ht="63" customHeight="1" x14ac:dyDescent="0.25">
      <c r="F826" s="38" t="s">
        <v>2705</v>
      </c>
    </row>
    <row r="827" spans="6:6" ht="31.5" customHeight="1" x14ac:dyDescent="0.25">
      <c r="F827" s="38" t="s">
        <v>2706</v>
      </c>
    </row>
    <row r="828" spans="6:6" ht="63" customHeight="1" x14ac:dyDescent="0.25">
      <c r="F828" s="38" t="s">
        <v>2707</v>
      </c>
    </row>
    <row r="829" spans="6:6" ht="63" customHeight="1" x14ac:dyDescent="0.25">
      <c r="F829" s="38" t="s">
        <v>2708</v>
      </c>
    </row>
    <row r="830" spans="6:6" ht="31.5" customHeight="1" x14ac:dyDescent="0.25">
      <c r="F830" s="38" t="s">
        <v>2709</v>
      </c>
    </row>
    <row r="831" spans="6:6" ht="31.5" customHeight="1" x14ac:dyDescent="0.25">
      <c r="F831" s="38" t="s">
        <v>2710</v>
      </c>
    </row>
    <row r="832" spans="6:6" ht="31.5" customHeight="1" x14ac:dyDescent="0.25">
      <c r="F832" s="38" t="s">
        <v>2711</v>
      </c>
    </row>
    <row r="833" spans="6:6" ht="47.25" customHeight="1" x14ac:dyDescent="0.25">
      <c r="F833" s="38" t="s">
        <v>2712</v>
      </c>
    </row>
    <row r="834" spans="6:6" ht="31.5" customHeight="1" x14ac:dyDescent="0.25">
      <c r="F834" s="38" t="s">
        <v>2713</v>
      </c>
    </row>
    <row r="835" spans="6:6" ht="31.5" customHeight="1" x14ac:dyDescent="0.25">
      <c r="F835" s="38" t="s">
        <v>2714</v>
      </c>
    </row>
    <row r="836" spans="6:6" ht="31.5" customHeight="1" x14ac:dyDescent="0.25">
      <c r="F836" s="38" t="s">
        <v>2715</v>
      </c>
    </row>
    <row r="837" spans="6:6" ht="31.5" customHeight="1" x14ac:dyDescent="0.25">
      <c r="F837" s="38" t="s">
        <v>2716</v>
      </c>
    </row>
    <row r="838" spans="6:6" ht="47.25" customHeight="1" x14ac:dyDescent="0.25">
      <c r="F838" s="38" t="s">
        <v>2717</v>
      </c>
    </row>
    <row r="839" spans="6:6" ht="63" customHeight="1" x14ac:dyDescent="0.25">
      <c r="F839" s="38" t="s">
        <v>2718</v>
      </c>
    </row>
    <row r="840" spans="6:6" ht="63" customHeight="1" x14ac:dyDescent="0.25">
      <c r="F840" s="38" t="s">
        <v>2719</v>
      </c>
    </row>
    <row r="841" spans="6:6" ht="47.25" customHeight="1" x14ac:dyDescent="0.25">
      <c r="F841" s="38" t="s">
        <v>2720</v>
      </c>
    </row>
    <row r="842" spans="6:6" ht="47.25" customHeight="1" x14ac:dyDescent="0.25">
      <c r="F842" s="38" t="s">
        <v>2721</v>
      </c>
    </row>
    <row r="843" spans="6:6" ht="47.25" customHeight="1" x14ac:dyDescent="0.25">
      <c r="F843" s="38" t="s">
        <v>2722</v>
      </c>
    </row>
    <row r="844" spans="6:6" ht="31.5" customHeight="1" x14ac:dyDescent="0.25">
      <c r="F844" s="38" t="s">
        <v>2723</v>
      </c>
    </row>
    <row r="845" spans="6:6" ht="47.25" customHeight="1" x14ac:dyDescent="0.25">
      <c r="F845" s="38" t="s">
        <v>2724</v>
      </c>
    </row>
    <row r="846" spans="6:6" ht="31.5" customHeight="1" x14ac:dyDescent="0.25">
      <c r="F846" s="38" t="s">
        <v>2725</v>
      </c>
    </row>
    <row r="847" spans="6:6" ht="47.25" customHeight="1" x14ac:dyDescent="0.25">
      <c r="F847" s="38" t="s">
        <v>2726</v>
      </c>
    </row>
    <row r="848" spans="6:6" ht="31.5" customHeight="1" x14ac:dyDescent="0.25">
      <c r="F848" s="38" t="s">
        <v>2727</v>
      </c>
    </row>
    <row r="849" spans="6:6" ht="31.5" customHeight="1" x14ac:dyDescent="0.25">
      <c r="F849" s="38" t="s">
        <v>2728</v>
      </c>
    </row>
    <row r="850" spans="6:6" ht="94.5" customHeight="1" x14ac:dyDescent="0.25">
      <c r="F850" s="38" t="s">
        <v>2729</v>
      </c>
    </row>
    <row r="851" spans="6:6" ht="31.5" customHeight="1" x14ac:dyDescent="0.25">
      <c r="F851" s="38" t="s">
        <v>2730</v>
      </c>
    </row>
    <row r="852" spans="6:6" ht="47.25" customHeight="1" x14ac:dyDescent="0.25">
      <c r="F852" s="38" t="s">
        <v>2731</v>
      </c>
    </row>
    <row r="853" spans="6:6" ht="47.25" customHeight="1" x14ac:dyDescent="0.25">
      <c r="F853" s="38" t="s">
        <v>2732</v>
      </c>
    </row>
    <row r="854" spans="6:6" ht="31.5" customHeight="1" x14ac:dyDescent="0.25">
      <c r="F854" s="38" t="s">
        <v>2733</v>
      </c>
    </row>
    <row r="855" spans="6:6" ht="63" customHeight="1" x14ac:dyDescent="0.25">
      <c r="F855" s="38" t="s">
        <v>2734</v>
      </c>
    </row>
    <row r="856" spans="6:6" ht="31.5" customHeight="1" x14ac:dyDescent="0.25">
      <c r="F856" s="38" t="s">
        <v>2735</v>
      </c>
    </row>
    <row r="857" spans="6:6" ht="47.25" customHeight="1" x14ac:dyDescent="0.25">
      <c r="F857" s="38" t="s">
        <v>2736</v>
      </c>
    </row>
    <row r="858" spans="6:6" ht="31.5" customHeight="1" x14ac:dyDescent="0.25">
      <c r="F858" s="38" t="s">
        <v>2737</v>
      </c>
    </row>
    <row r="859" spans="6:6" ht="31.5" customHeight="1" x14ac:dyDescent="0.25">
      <c r="F859" s="38" t="s">
        <v>2738</v>
      </c>
    </row>
    <row r="860" spans="6:6" ht="47.25" customHeight="1" x14ac:dyDescent="0.25">
      <c r="F860" s="38" t="s">
        <v>2739</v>
      </c>
    </row>
    <row r="861" spans="6:6" ht="47.25" customHeight="1" x14ac:dyDescent="0.25">
      <c r="F861" s="38" t="s">
        <v>2740</v>
      </c>
    </row>
    <row r="862" spans="6:6" ht="47.25" customHeight="1" x14ac:dyDescent="0.25">
      <c r="F862" s="38" t="s">
        <v>2741</v>
      </c>
    </row>
    <row r="863" spans="6:6" ht="47.25" customHeight="1" x14ac:dyDescent="0.25">
      <c r="F863" s="38" t="s">
        <v>2742</v>
      </c>
    </row>
    <row r="864" spans="6:6" ht="47.25" customHeight="1" x14ac:dyDescent="0.25">
      <c r="F864" s="38" t="s">
        <v>2743</v>
      </c>
    </row>
    <row r="865" spans="6:6" ht="31.5" customHeight="1" x14ac:dyDescent="0.25">
      <c r="F865" s="38" t="s">
        <v>2744</v>
      </c>
    </row>
    <row r="866" spans="6:6" ht="47.25" customHeight="1" x14ac:dyDescent="0.25">
      <c r="F866" s="38" t="s">
        <v>2745</v>
      </c>
    </row>
    <row r="867" spans="6:6" ht="47.25" customHeight="1" x14ac:dyDescent="0.25">
      <c r="F867" s="38" t="s">
        <v>2746</v>
      </c>
    </row>
    <row r="868" spans="6:6" ht="31.5" customHeight="1" x14ac:dyDescent="0.25">
      <c r="F868" s="38" t="s">
        <v>2747</v>
      </c>
    </row>
    <row r="869" spans="6:6" ht="31.5" customHeight="1" x14ac:dyDescent="0.25">
      <c r="F869" s="38" t="s">
        <v>2748</v>
      </c>
    </row>
    <row r="870" spans="6:6" ht="31.5" customHeight="1" x14ac:dyDescent="0.25">
      <c r="F870" s="38" t="s">
        <v>2749</v>
      </c>
    </row>
    <row r="871" spans="6:6" ht="47.25" customHeight="1" x14ac:dyDescent="0.25">
      <c r="F871" s="38" t="s">
        <v>2750</v>
      </c>
    </row>
    <row r="872" spans="6:6" ht="31.5" customHeight="1" x14ac:dyDescent="0.25">
      <c r="F872" s="38" t="s">
        <v>2751</v>
      </c>
    </row>
    <row r="873" spans="6:6" ht="31.5" customHeight="1" x14ac:dyDescent="0.25">
      <c r="F873" s="38" t="s">
        <v>2752</v>
      </c>
    </row>
    <row r="874" spans="6:6" ht="63" customHeight="1" x14ac:dyDescent="0.25">
      <c r="F874" s="38" t="s">
        <v>2753</v>
      </c>
    </row>
    <row r="875" spans="6:6" ht="47.25" customHeight="1" x14ac:dyDescent="0.25">
      <c r="F875" s="38" t="s">
        <v>2754</v>
      </c>
    </row>
    <row r="876" spans="6:6" ht="47.25" customHeight="1" x14ac:dyDescent="0.25">
      <c r="F876" s="38" t="s">
        <v>2755</v>
      </c>
    </row>
    <row r="877" spans="6:6" ht="47.25" customHeight="1" x14ac:dyDescent="0.25">
      <c r="F877" s="38" t="s">
        <v>2756</v>
      </c>
    </row>
    <row r="878" spans="6:6" ht="47.25" customHeight="1" x14ac:dyDescent="0.25">
      <c r="F878" s="38" t="s">
        <v>2757</v>
      </c>
    </row>
    <row r="879" spans="6:6" ht="63" customHeight="1" x14ac:dyDescent="0.25">
      <c r="F879" s="38" t="s">
        <v>2758</v>
      </c>
    </row>
    <row r="880" spans="6:6" ht="63" customHeight="1" x14ac:dyDescent="0.25">
      <c r="F880" s="38" t="s">
        <v>2759</v>
      </c>
    </row>
    <row r="881" spans="6:6" ht="47.25" customHeight="1" x14ac:dyDescent="0.25">
      <c r="F881" s="38" t="s">
        <v>2760</v>
      </c>
    </row>
    <row r="882" spans="6:6" ht="63" customHeight="1" x14ac:dyDescent="0.25">
      <c r="F882" s="38" t="s">
        <v>2761</v>
      </c>
    </row>
    <row r="883" spans="6:6" ht="78.75" customHeight="1" x14ac:dyDescent="0.25">
      <c r="F883" s="38" t="s">
        <v>2762</v>
      </c>
    </row>
    <row r="884" spans="6:6" ht="31.5" customHeight="1" x14ac:dyDescent="0.25">
      <c r="F884" s="38" t="s">
        <v>2763</v>
      </c>
    </row>
    <row r="885" spans="6:6" ht="78.75" customHeight="1" x14ac:dyDescent="0.25">
      <c r="F885" s="38" t="s">
        <v>2764</v>
      </c>
    </row>
    <row r="886" spans="6:6" ht="47.25" customHeight="1" x14ac:dyDescent="0.25">
      <c r="F886" s="38" t="s">
        <v>2765</v>
      </c>
    </row>
    <row r="887" spans="6:6" ht="31.5" customHeight="1" x14ac:dyDescent="0.25">
      <c r="F887" s="38" t="s">
        <v>2766</v>
      </c>
    </row>
    <row r="888" spans="6:6" ht="78.75" customHeight="1" x14ac:dyDescent="0.25">
      <c r="F888" s="38" t="s">
        <v>2767</v>
      </c>
    </row>
    <row r="889" spans="6:6" ht="31.5" customHeight="1" x14ac:dyDescent="0.25">
      <c r="F889" s="38" t="s">
        <v>2768</v>
      </c>
    </row>
    <row r="890" spans="6:6" ht="47.25" customHeight="1" x14ac:dyDescent="0.25">
      <c r="F890" s="38" t="s">
        <v>2769</v>
      </c>
    </row>
    <row r="891" spans="6:6" ht="31.5" customHeight="1" x14ac:dyDescent="0.25">
      <c r="F891" s="38" t="s">
        <v>2770</v>
      </c>
    </row>
    <row r="892" spans="6:6" ht="63" customHeight="1" x14ac:dyDescent="0.25">
      <c r="F892" s="38" t="s">
        <v>2771</v>
      </c>
    </row>
    <row r="893" spans="6:6" ht="78.75" customHeight="1" x14ac:dyDescent="0.25">
      <c r="F893" s="38" t="s">
        <v>2772</v>
      </c>
    </row>
    <row r="894" spans="6:6" ht="63" customHeight="1" x14ac:dyDescent="0.25">
      <c r="F894" s="38" t="s">
        <v>2773</v>
      </c>
    </row>
    <row r="895" spans="6:6" ht="31.5" customHeight="1" x14ac:dyDescent="0.25">
      <c r="F895" s="38" t="s">
        <v>2774</v>
      </c>
    </row>
    <row r="896" spans="6:6" ht="31.5" customHeight="1" x14ac:dyDescent="0.25">
      <c r="F896" s="38" t="s">
        <v>2775</v>
      </c>
    </row>
    <row r="897" spans="6:6" ht="31.5" customHeight="1" x14ac:dyDescent="0.25">
      <c r="F897" s="38" t="s">
        <v>2776</v>
      </c>
    </row>
    <row r="898" spans="6:6" ht="47.25" customHeight="1" x14ac:dyDescent="0.25">
      <c r="F898" s="38" t="s">
        <v>2777</v>
      </c>
    </row>
    <row r="899" spans="6:6" ht="47.25" customHeight="1" x14ac:dyDescent="0.25">
      <c r="F899" s="38" t="s">
        <v>2778</v>
      </c>
    </row>
    <row r="900" spans="6:6" ht="31.5" customHeight="1" x14ac:dyDescent="0.25">
      <c r="F900" s="38" t="s">
        <v>2779</v>
      </c>
    </row>
    <row r="901" spans="6:6" ht="31.5" customHeight="1" x14ac:dyDescent="0.25">
      <c r="F901" s="38" t="s">
        <v>2780</v>
      </c>
    </row>
    <row r="902" spans="6:6" x14ac:dyDescent="0.25">
      <c r="F902" s="38" t="s">
        <v>2781</v>
      </c>
    </row>
    <row r="903" spans="6:6" ht="31.5" customHeight="1" x14ac:dyDescent="0.25">
      <c r="F903" s="38" t="s">
        <v>2782</v>
      </c>
    </row>
    <row r="904" spans="6:6" ht="31.5" customHeight="1" x14ac:dyDescent="0.25">
      <c r="F904" s="38" t="s">
        <v>2783</v>
      </c>
    </row>
    <row r="905" spans="6:6" ht="31.5" customHeight="1" x14ac:dyDescent="0.25">
      <c r="F905" s="38" t="s">
        <v>2784</v>
      </c>
    </row>
    <row r="906" spans="6:6" ht="63" customHeight="1" x14ac:dyDescent="0.25">
      <c r="F906" s="38" t="s">
        <v>2785</v>
      </c>
    </row>
    <row r="907" spans="6:6" ht="47.25" customHeight="1" x14ac:dyDescent="0.25">
      <c r="F907" s="38" t="s">
        <v>2786</v>
      </c>
    </row>
    <row r="908" spans="6:6" ht="47.25" customHeight="1" x14ac:dyDescent="0.25">
      <c r="F908" s="38" t="s">
        <v>2787</v>
      </c>
    </row>
    <row r="909" spans="6:6" ht="31.5" customHeight="1" x14ac:dyDescent="0.25">
      <c r="F909" s="38" t="s">
        <v>2788</v>
      </c>
    </row>
    <row r="910" spans="6:6" ht="31.5" customHeight="1" x14ac:dyDescent="0.25">
      <c r="F910" s="38" t="s">
        <v>2789</v>
      </c>
    </row>
    <row r="911" spans="6:6" ht="31.5" customHeight="1" x14ac:dyDescent="0.25">
      <c r="F911" s="38" t="s">
        <v>2790</v>
      </c>
    </row>
    <row r="912" spans="6:6" ht="47.25" customHeight="1" x14ac:dyDescent="0.25">
      <c r="F912" s="38" t="s">
        <v>2791</v>
      </c>
    </row>
    <row r="913" spans="6:6" ht="47.25" customHeight="1" x14ac:dyDescent="0.25">
      <c r="F913" s="38" t="s">
        <v>2792</v>
      </c>
    </row>
    <row r="914" spans="6:6" ht="31.5" customHeight="1" x14ac:dyDescent="0.25">
      <c r="F914" s="38" t="s">
        <v>2793</v>
      </c>
    </row>
    <row r="915" spans="6:6" ht="47.25" customHeight="1" x14ac:dyDescent="0.25">
      <c r="F915" s="38" t="s">
        <v>2794</v>
      </c>
    </row>
    <row r="916" spans="6:6" ht="31.5" customHeight="1" x14ac:dyDescent="0.25">
      <c r="F916" s="38" t="s">
        <v>2795</v>
      </c>
    </row>
    <row r="917" spans="6:6" ht="47.25" customHeight="1" x14ac:dyDescent="0.25">
      <c r="F917" s="38" t="s">
        <v>2796</v>
      </c>
    </row>
    <row r="918" spans="6:6" ht="31.5" customHeight="1" x14ac:dyDescent="0.25">
      <c r="F918" s="38" t="s">
        <v>2797</v>
      </c>
    </row>
    <row r="919" spans="6:6" ht="63" customHeight="1" x14ac:dyDescent="0.25">
      <c r="F919" s="38" t="s">
        <v>2798</v>
      </c>
    </row>
    <row r="920" spans="6:6" ht="47.25" customHeight="1" x14ac:dyDescent="0.25">
      <c r="F920" s="38" t="s">
        <v>2799</v>
      </c>
    </row>
    <row r="921" spans="6:6" ht="47.25" customHeight="1" x14ac:dyDescent="0.25">
      <c r="F921" s="38" t="s">
        <v>2800</v>
      </c>
    </row>
    <row r="922" spans="6:6" ht="31.5" customHeight="1" x14ac:dyDescent="0.25">
      <c r="F922" s="38" t="s">
        <v>2801</v>
      </c>
    </row>
    <row r="923" spans="6:6" ht="47.25" customHeight="1" x14ac:dyDescent="0.25">
      <c r="F923" s="38" t="s">
        <v>2802</v>
      </c>
    </row>
    <row r="924" spans="6:6" ht="31.5" customHeight="1" x14ac:dyDescent="0.25">
      <c r="F924" s="38" t="s">
        <v>2803</v>
      </c>
    </row>
    <row r="925" spans="6:6" ht="63" customHeight="1" x14ac:dyDescent="0.25">
      <c r="F925" s="38" t="s">
        <v>2804</v>
      </c>
    </row>
    <row r="926" spans="6:6" ht="63" customHeight="1" x14ac:dyDescent="0.25">
      <c r="F926" s="38" t="s">
        <v>2805</v>
      </c>
    </row>
    <row r="927" spans="6:6" ht="47.25" customHeight="1" x14ac:dyDescent="0.25">
      <c r="F927" s="38" t="s">
        <v>2806</v>
      </c>
    </row>
    <row r="928" spans="6:6" ht="31.5" customHeight="1" x14ac:dyDescent="0.25">
      <c r="F928" s="38" t="s">
        <v>2807</v>
      </c>
    </row>
    <row r="929" spans="6:6" ht="47.25" customHeight="1" x14ac:dyDescent="0.25">
      <c r="F929" s="38" t="s">
        <v>2808</v>
      </c>
    </row>
    <row r="930" spans="6:6" ht="47.25" customHeight="1" x14ac:dyDescent="0.25">
      <c r="F930" s="38" t="s">
        <v>2809</v>
      </c>
    </row>
    <row r="931" spans="6:6" ht="63" customHeight="1" x14ac:dyDescent="0.25">
      <c r="F931" s="38" t="s">
        <v>2810</v>
      </c>
    </row>
    <row r="932" spans="6:6" ht="47.25" customHeight="1" x14ac:dyDescent="0.25">
      <c r="F932" s="38" t="s">
        <v>2811</v>
      </c>
    </row>
    <row r="933" spans="6:6" ht="31.5" customHeight="1" x14ac:dyDescent="0.25">
      <c r="F933" s="38" t="s">
        <v>2812</v>
      </c>
    </row>
    <row r="934" spans="6:6" ht="47.25" customHeight="1" x14ac:dyDescent="0.25">
      <c r="F934" s="38" t="s">
        <v>2813</v>
      </c>
    </row>
    <row r="935" spans="6:6" ht="47.25" customHeight="1" x14ac:dyDescent="0.25">
      <c r="F935" s="38" t="s">
        <v>2814</v>
      </c>
    </row>
    <row r="936" spans="6:6" ht="31.5" customHeight="1" x14ac:dyDescent="0.25">
      <c r="F936" s="38" t="s">
        <v>2815</v>
      </c>
    </row>
    <row r="937" spans="6:6" ht="63" customHeight="1" x14ac:dyDescent="0.25">
      <c r="F937" s="38" t="s">
        <v>2816</v>
      </c>
    </row>
    <row r="938" spans="6:6" ht="47.25" customHeight="1" x14ac:dyDescent="0.25">
      <c r="F938" s="38" t="s">
        <v>2817</v>
      </c>
    </row>
    <row r="939" spans="6:6" ht="47.25" customHeight="1" x14ac:dyDescent="0.25">
      <c r="F939" s="38" t="s">
        <v>2818</v>
      </c>
    </row>
    <row r="940" spans="6:6" ht="47.25" customHeight="1" x14ac:dyDescent="0.25">
      <c r="F940" s="38" t="s">
        <v>2819</v>
      </c>
    </row>
    <row r="941" spans="6:6" ht="31.5" customHeight="1" x14ac:dyDescent="0.25">
      <c r="F941" s="38" t="s">
        <v>2820</v>
      </c>
    </row>
    <row r="942" spans="6:6" ht="47.25" customHeight="1" x14ac:dyDescent="0.25">
      <c r="F942" s="38" t="s">
        <v>2821</v>
      </c>
    </row>
    <row r="943" spans="6:6" ht="31.5" customHeight="1" x14ac:dyDescent="0.25">
      <c r="F943" s="38" t="s">
        <v>2822</v>
      </c>
    </row>
    <row r="944" spans="6:6" ht="31.5" customHeight="1" x14ac:dyDescent="0.25">
      <c r="F944" s="38" t="s">
        <v>2823</v>
      </c>
    </row>
    <row r="945" spans="6:6" ht="47.25" customHeight="1" x14ac:dyDescent="0.25">
      <c r="F945" s="38" t="s">
        <v>2824</v>
      </c>
    </row>
    <row r="946" spans="6:6" ht="63" customHeight="1" x14ac:dyDescent="0.25">
      <c r="F946" s="38" t="s">
        <v>2825</v>
      </c>
    </row>
    <row r="947" spans="6:6" ht="47.25" customHeight="1" x14ac:dyDescent="0.25">
      <c r="F947" s="38" t="s">
        <v>2826</v>
      </c>
    </row>
    <row r="948" spans="6:6" ht="63" customHeight="1" x14ac:dyDescent="0.25">
      <c r="F948" s="38" t="s">
        <v>2827</v>
      </c>
    </row>
    <row r="949" spans="6:6" ht="47.25" customHeight="1" x14ac:dyDescent="0.25">
      <c r="F949" s="38" t="s">
        <v>2828</v>
      </c>
    </row>
    <row r="950" spans="6:6" ht="47.25" customHeight="1" x14ac:dyDescent="0.25">
      <c r="F950" s="38" t="s">
        <v>2829</v>
      </c>
    </row>
    <row r="951" spans="6:6" ht="31.5" customHeight="1" x14ac:dyDescent="0.25">
      <c r="F951" s="38" t="s">
        <v>2830</v>
      </c>
    </row>
    <row r="952" spans="6:6" ht="63" customHeight="1" x14ac:dyDescent="0.25">
      <c r="F952" s="38" t="s">
        <v>2831</v>
      </c>
    </row>
    <row r="953" spans="6:6" ht="31.5" customHeight="1" x14ac:dyDescent="0.25">
      <c r="F953" s="38" t="s">
        <v>2832</v>
      </c>
    </row>
    <row r="954" spans="6:6" ht="63" customHeight="1" x14ac:dyDescent="0.25">
      <c r="F954" s="38" t="s">
        <v>2833</v>
      </c>
    </row>
    <row r="955" spans="6:6" ht="47.25" customHeight="1" x14ac:dyDescent="0.25">
      <c r="F955" s="38" t="s">
        <v>2834</v>
      </c>
    </row>
    <row r="956" spans="6:6" ht="47.25" customHeight="1" x14ac:dyDescent="0.25">
      <c r="F956" s="38" t="s">
        <v>2835</v>
      </c>
    </row>
    <row r="957" spans="6:6" ht="47.25" customHeight="1" x14ac:dyDescent="0.25">
      <c r="F957" s="38" t="s">
        <v>2836</v>
      </c>
    </row>
    <row r="958" spans="6:6" ht="47.25" customHeight="1" x14ac:dyDescent="0.25">
      <c r="F958" s="38" t="s">
        <v>2837</v>
      </c>
    </row>
    <row r="959" spans="6:6" ht="47.25" customHeight="1" x14ac:dyDescent="0.25">
      <c r="F959" s="38" t="s">
        <v>2838</v>
      </c>
    </row>
    <row r="960" spans="6:6" ht="47.25" customHeight="1" x14ac:dyDescent="0.25">
      <c r="F960" s="38" t="s">
        <v>2839</v>
      </c>
    </row>
    <row r="961" spans="6:6" ht="47.25" customHeight="1" x14ac:dyDescent="0.25">
      <c r="F961" s="38" t="s">
        <v>2840</v>
      </c>
    </row>
    <row r="962" spans="6:6" ht="31.5" customHeight="1" x14ac:dyDescent="0.25">
      <c r="F962" s="38" t="s">
        <v>2841</v>
      </c>
    </row>
    <row r="963" spans="6:6" ht="63" customHeight="1" x14ac:dyDescent="0.25">
      <c r="F963" s="38" t="s">
        <v>2842</v>
      </c>
    </row>
    <row r="964" spans="6:6" ht="63" customHeight="1" x14ac:dyDescent="0.25">
      <c r="F964" s="38" t="s">
        <v>2843</v>
      </c>
    </row>
    <row r="965" spans="6:6" ht="63" customHeight="1" x14ac:dyDescent="0.25">
      <c r="F965" s="38" t="s">
        <v>2844</v>
      </c>
    </row>
    <row r="966" spans="6:6" ht="47.25" customHeight="1" x14ac:dyDescent="0.25">
      <c r="F966" s="38" t="s">
        <v>2845</v>
      </c>
    </row>
    <row r="967" spans="6:6" ht="31.5" customHeight="1" x14ac:dyDescent="0.25">
      <c r="F967" s="38" t="s">
        <v>2846</v>
      </c>
    </row>
    <row r="968" spans="6:6" ht="47.25" customHeight="1" x14ac:dyDescent="0.25">
      <c r="F968" s="38" t="s">
        <v>2847</v>
      </c>
    </row>
    <row r="969" spans="6:6" ht="47.25" customHeight="1" x14ac:dyDescent="0.25">
      <c r="F969" s="38" t="s">
        <v>2848</v>
      </c>
    </row>
    <row r="970" spans="6:6" ht="31.5" customHeight="1" x14ac:dyDescent="0.25">
      <c r="F970" s="38" t="s">
        <v>2849</v>
      </c>
    </row>
    <row r="971" spans="6:6" ht="94.5" customHeight="1" x14ac:dyDescent="0.25">
      <c r="F971" s="38" t="s">
        <v>2850</v>
      </c>
    </row>
    <row r="972" spans="6:6" ht="31.5" customHeight="1" x14ac:dyDescent="0.25">
      <c r="F972" s="38" t="s">
        <v>2851</v>
      </c>
    </row>
    <row r="973" spans="6:6" ht="31.5" customHeight="1" x14ac:dyDescent="0.25">
      <c r="F973" s="38" t="s">
        <v>2852</v>
      </c>
    </row>
    <row r="974" spans="6:6" x14ac:dyDescent="0.25">
      <c r="F974" s="38" t="s">
        <v>2853</v>
      </c>
    </row>
    <row r="975" spans="6:6" ht="47.25" customHeight="1" x14ac:dyDescent="0.25">
      <c r="F975" s="38" t="s">
        <v>2854</v>
      </c>
    </row>
    <row r="976" spans="6:6" ht="31.5" customHeight="1" x14ac:dyDescent="0.25">
      <c r="F976" s="38" t="s">
        <v>2855</v>
      </c>
    </row>
    <row r="977" spans="6:6" ht="47.25" customHeight="1" x14ac:dyDescent="0.25">
      <c r="F977" s="38" t="s">
        <v>2856</v>
      </c>
    </row>
    <row r="978" spans="6:6" ht="47.25" customHeight="1" x14ac:dyDescent="0.25">
      <c r="F978" s="38" t="s">
        <v>2857</v>
      </c>
    </row>
    <row r="979" spans="6:6" ht="47.25" customHeight="1" x14ac:dyDescent="0.25">
      <c r="F979" s="38" t="s">
        <v>2858</v>
      </c>
    </row>
    <row r="980" spans="6:6" ht="47.25" customHeight="1" x14ac:dyDescent="0.25">
      <c r="F980" s="38" t="s">
        <v>2859</v>
      </c>
    </row>
    <row r="981" spans="6:6" ht="47.25" customHeight="1" x14ac:dyDescent="0.25">
      <c r="F981" s="38" t="s">
        <v>2860</v>
      </c>
    </row>
    <row r="982" spans="6:6" ht="47.25" customHeight="1" x14ac:dyDescent="0.25">
      <c r="F982" s="38" t="s">
        <v>2861</v>
      </c>
    </row>
    <row r="983" spans="6:6" ht="63" customHeight="1" x14ac:dyDescent="0.25">
      <c r="F983" s="38" t="s">
        <v>2862</v>
      </c>
    </row>
    <row r="984" spans="6:6" ht="47.25" customHeight="1" x14ac:dyDescent="0.25">
      <c r="F984" s="38" t="s">
        <v>2863</v>
      </c>
    </row>
    <row r="985" spans="6:6" ht="47.25" customHeight="1" x14ac:dyDescent="0.25">
      <c r="F985" s="38" t="s">
        <v>2864</v>
      </c>
    </row>
    <row r="986" spans="6:6" ht="31.5" customHeight="1" x14ac:dyDescent="0.25">
      <c r="F986" s="38" t="s">
        <v>2865</v>
      </c>
    </row>
    <row r="987" spans="6:6" ht="63" customHeight="1" x14ac:dyDescent="0.25">
      <c r="F987" s="38" t="s">
        <v>2866</v>
      </c>
    </row>
    <row r="988" spans="6:6" ht="47.25" customHeight="1" x14ac:dyDescent="0.25">
      <c r="F988" s="38" t="s">
        <v>2867</v>
      </c>
    </row>
    <row r="989" spans="6:6" ht="47.25" customHeight="1" x14ac:dyDescent="0.25">
      <c r="F989" s="38" t="s">
        <v>2868</v>
      </c>
    </row>
    <row r="990" spans="6:6" ht="47.25" customHeight="1" x14ac:dyDescent="0.25">
      <c r="F990" s="38" t="s">
        <v>2869</v>
      </c>
    </row>
    <row r="991" spans="6:6" ht="31.5" customHeight="1" x14ac:dyDescent="0.25">
      <c r="F991" s="38" t="s">
        <v>2870</v>
      </c>
    </row>
    <row r="992" spans="6:6" ht="47.25" customHeight="1" x14ac:dyDescent="0.25">
      <c r="F992" s="38" t="s">
        <v>2871</v>
      </c>
    </row>
    <row r="993" spans="6:6" ht="31.5" customHeight="1" x14ac:dyDescent="0.25">
      <c r="F993" s="38" t="s">
        <v>2872</v>
      </c>
    </row>
    <row r="994" spans="6:6" ht="31.5" customHeight="1" x14ac:dyDescent="0.25">
      <c r="F994" s="38" t="s">
        <v>2873</v>
      </c>
    </row>
    <row r="995" spans="6:6" ht="31.5" customHeight="1" x14ac:dyDescent="0.25">
      <c r="F995" s="38" t="s">
        <v>2874</v>
      </c>
    </row>
    <row r="996" spans="6:6" ht="31.5" customHeight="1" x14ac:dyDescent="0.25">
      <c r="F996" s="38" t="s">
        <v>2875</v>
      </c>
    </row>
    <row r="997" spans="6:6" ht="47.25" customHeight="1" x14ac:dyDescent="0.25">
      <c r="F997" s="38" t="s">
        <v>2876</v>
      </c>
    </row>
    <row r="998" spans="6:6" ht="47.25" customHeight="1" x14ac:dyDescent="0.25">
      <c r="F998" s="38" t="s">
        <v>2877</v>
      </c>
    </row>
    <row r="999" spans="6:6" ht="63" customHeight="1" x14ac:dyDescent="0.25">
      <c r="F999" s="38" t="s">
        <v>2878</v>
      </c>
    </row>
    <row r="1000" spans="6:6" ht="63" customHeight="1" x14ac:dyDescent="0.25">
      <c r="F1000" s="38" t="s">
        <v>2879</v>
      </c>
    </row>
    <row r="1001" spans="6:6" ht="31.5" customHeight="1" x14ac:dyDescent="0.25">
      <c r="F1001" s="38" t="s">
        <v>2880</v>
      </c>
    </row>
    <row r="1002" spans="6:6" ht="31.5" customHeight="1" x14ac:dyDescent="0.25">
      <c r="F1002" s="38" t="s">
        <v>2881</v>
      </c>
    </row>
    <row r="1003" spans="6:6" ht="31.5" customHeight="1" x14ac:dyDescent="0.25">
      <c r="F1003" s="38" t="s">
        <v>2882</v>
      </c>
    </row>
    <row r="1004" spans="6:6" ht="31.5" customHeight="1" x14ac:dyDescent="0.25">
      <c r="F1004" s="38" t="s">
        <v>2883</v>
      </c>
    </row>
    <row r="1005" spans="6:6" ht="63" customHeight="1" x14ac:dyDescent="0.25">
      <c r="F1005" s="38" t="s">
        <v>2884</v>
      </c>
    </row>
    <row r="1006" spans="6:6" ht="31.5" customHeight="1" x14ac:dyDescent="0.25">
      <c r="F1006" s="38" t="s">
        <v>2885</v>
      </c>
    </row>
    <row r="1007" spans="6:6" ht="31.5" customHeight="1" x14ac:dyDescent="0.25">
      <c r="F1007" s="38" t="s">
        <v>2886</v>
      </c>
    </row>
    <row r="1008" spans="6:6" ht="47.25" customHeight="1" x14ac:dyDescent="0.25">
      <c r="F1008" s="38" t="s">
        <v>2887</v>
      </c>
    </row>
    <row r="1009" spans="6:6" ht="47.25" customHeight="1" x14ac:dyDescent="0.25">
      <c r="F1009" s="38" t="s">
        <v>2888</v>
      </c>
    </row>
    <row r="1010" spans="6:6" ht="47.25" customHeight="1" x14ac:dyDescent="0.25">
      <c r="F1010" s="38" t="s">
        <v>2889</v>
      </c>
    </row>
    <row r="1011" spans="6:6" ht="31.5" customHeight="1" x14ac:dyDescent="0.25">
      <c r="F1011" s="38" t="s">
        <v>2890</v>
      </c>
    </row>
    <row r="1012" spans="6:6" ht="63" customHeight="1" x14ac:dyDescent="0.25">
      <c r="F1012" s="38" t="s">
        <v>2891</v>
      </c>
    </row>
    <row r="1013" spans="6:6" ht="31.5" customHeight="1" x14ac:dyDescent="0.25">
      <c r="F1013" s="38" t="s">
        <v>2892</v>
      </c>
    </row>
    <row r="1014" spans="6:6" ht="63" customHeight="1" x14ac:dyDescent="0.25">
      <c r="F1014" s="38" t="s">
        <v>2893</v>
      </c>
    </row>
    <row r="1015" spans="6:6" ht="47.25" customHeight="1" x14ac:dyDescent="0.25">
      <c r="F1015" s="38" t="s">
        <v>2894</v>
      </c>
    </row>
    <row r="1016" spans="6:6" ht="63" customHeight="1" x14ac:dyDescent="0.25">
      <c r="F1016" s="38" t="s">
        <v>2895</v>
      </c>
    </row>
    <row r="1017" spans="6:6" ht="31.5" customHeight="1" x14ac:dyDescent="0.25">
      <c r="F1017" s="38" t="s">
        <v>2896</v>
      </c>
    </row>
    <row r="1018" spans="6:6" ht="47.25" customHeight="1" x14ac:dyDescent="0.25">
      <c r="F1018" s="38" t="s">
        <v>2897</v>
      </c>
    </row>
    <row r="1019" spans="6:6" ht="47.25" customHeight="1" x14ac:dyDescent="0.25">
      <c r="F1019" s="38" t="s">
        <v>2898</v>
      </c>
    </row>
    <row r="1020" spans="6:6" ht="47.25" customHeight="1" x14ac:dyDescent="0.25">
      <c r="F1020" s="38" t="s">
        <v>2899</v>
      </c>
    </row>
    <row r="1021" spans="6:6" ht="31.5" customHeight="1" x14ac:dyDescent="0.25">
      <c r="F1021" s="38" t="s">
        <v>2900</v>
      </c>
    </row>
    <row r="1022" spans="6:6" ht="31.5" customHeight="1" x14ac:dyDescent="0.25">
      <c r="F1022" s="38" t="s">
        <v>2901</v>
      </c>
    </row>
    <row r="1023" spans="6:6" ht="47.25" customHeight="1" x14ac:dyDescent="0.25">
      <c r="F1023" s="38" t="s">
        <v>2902</v>
      </c>
    </row>
    <row r="1024" spans="6:6" ht="47.25" customHeight="1" x14ac:dyDescent="0.25">
      <c r="F1024" s="38" t="s">
        <v>2903</v>
      </c>
    </row>
    <row r="1025" spans="6:6" ht="47.25" customHeight="1" x14ac:dyDescent="0.25">
      <c r="F1025" s="38" t="s">
        <v>2904</v>
      </c>
    </row>
    <row r="1026" spans="6:6" ht="47.25" customHeight="1" x14ac:dyDescent="0.25">
      <c r="F1026" s="38" t="s">
        <v>2905</v>
      </c>
    </row>
    <row r="1027" spans="6:6" ht="31.5" customHeight="1" x14ac:dyDescent="0.25">
      <c r="F1027" s="38" t="s">
        <v>2906</v>
      </c>
    </row>
    <row r="1028" spans="6:6" ht="63" customHeight="1" x14ac:dyDescent="0.25">
      <c r="F1028" s="38" t="s">
        <v>2907</v>
      </c>
    </row>
    <row r="1029" spans="6:6" ht="31.5" customHeight="1" x14ac:dyDescent="0.25">
      <c r="F1029" s="38" t="s">
        <v>2908</v>
      </c>
    </row>
    <row r="1030" spans="6:6" ht="78.75" customHeight="1" x14ac:dyDescent="0.25">
      <c r="F1030" s="38" t="s">
        <v>2909</v>
      </c>
    </row>
    <row r="1031" spans="6:6" ht="31.5" customHeight="1" x14ac:dyDescent="0.25">
      <c r="F1031" s="38" t="s">
        <v>2910</v>
      </c>
    </row>
    <row r="1032" spans="6:6" ht="47.25" customHeight="1" x14ac:dyDescent="0.25">
      <c r="F1032" s="38" t="s">
        <v>2911</v>
      </c>
    </row>
    <row r="1033" spans="6:6" ht="31.5" customHeight="1" x14ac:dyDescent="0.25">
      <c r="F1033" s="38" t="s">
        <v>2912</v>
      </c>
    </row>
    <row r="1034" spans="6:6" ht="63" customHeight="1" x14ac:dyDescent="0.25">
      <c r="F1034" s="38" t="s">
        <v>2913</v>
      </c>
    </row>
    <row r="1035" spans="6:6" ht="31.5" customHeight="1" x14ac:dyDescent="0.25">
      <c r="F1035" s="38" t="s">
        <v>2914</v>
      </c>
    </row>
    <row r="1036" spans="6:6" ht="47.25" customHeight="1" x14ac:dyDescent="0.25">
      <c r="F1036" s="38" t="s">
        <v>2915</v>
      </c>
    </row>
    <row r="1037" spans="6:6" ht="63" customHeight="1" x14ac:dyDescent="0.25">
      <c r="F1037" s="38" t="s">
        <v>2916</v>
      </c>
    </row>
    <row r="1038" spans="6:6" ht="47.25" customHeight="1" x14ac:dyDescent="0.25">
      <c r="F1038" s="38" t="s">
        <v>2917</v>
      </c>
    </row>
    <row r="1039" spans="6:6" ht="78.75" customHeight="1" x14ac:dyDescent="0.25">
      <c r="F1039" s="38" t="s">
        <v>2918</v>
      </c>
    </row>
    <row r="1040" spans="6:6" ht="63" customHeight="1" x14ac:dyDescent="0.25">
      <c r="F1040" s="38" t="s">
        <v>2919</v>
      </c>
    </row>
    <row r="1041" spans="6:6" ht="63" customHeight="1" x14ac:dyDescent="0.25">
      <c r="F1041" s="38" t="s">
        <v>2920</v>
      </c>
    </row>
    <row r="1042" spans="6:6" ht="31.5" customHeight="1" x14ac:dyDescent="0.25">
      <c r="F1042" s="38" t="s">
        <v>2921</v>
      </c>
    </row>
    <row r="1043" spans="6:6" ht="31.5" customHeight="1" x14ac:dyDescent="0.25">
      <c r="F1043" s="38" t="s">
        <v>2922</v>
      </c>
    </row>
    <row r="1044" spans="6:6" ht="31.5" customHeight="1" x14ac:dyDescent="0.25">
      <c r="F1044" s="38" t="s">
        <v>2923</v>
      </c>
    </row>
    <row r="1045" spans="6:6" ht="31.5" customHeight="1" x14ac:dyDescent="0.25">
      <c r="F1045" s="38" t="s">
        <v>2924</v>
      </c>
    </row>
    <row r="1046" spans="6:6" ht="47.25" customHeight="1" x14ac:dyDescent="0.25">
      <c r="F1046" s="38" t="s">
        <v>2925</v>
      </c>
    </row>
    <row r="1047" spans="6:6" ht="31.5" customHeight="1" x14ac:dyDescent="0.25">
      <c r="F1047" s="38" t="s">
        <v>2926</v>
      </c>
    </row>
    <row r="1048" spans="6:6" ht="47.25" customHeight="1" x14ac:dyDescent="0.25">
      <c r="F1048" s="38" t="s">
        <v>2927</v>
      </c>
    </row>
    <row r="1049" spans="6:6" ht="31.5" customHeight="1" x14ac:dyDescent="0.25">
      <c r="F1049" s="38" t="s">
        <v>2928</v>
      </c>
    </row>
    <row r="1050" spans="6:6" ht="47.25" customHeight="1" x14ac:dyDescent="0.25">
      <c r="F1050" s="38" t="s">
        <v>2929</v>
      </c>
    </row>
    <row r="1051" spans="6:6" ht="31.5" customHeight="1" x14ac:dyDescent="0.25">
      <c r="F1051" s="38" t="s">
        <v>2930</v>
      </c>
    </row>
    <row r="1052" spans="6:6" ht="47.25" customHeight="1" x14ac:dyDescent="0.25">
      <c r="F1052" s="38" t="s">
        <v>2931</v>
      </c>
    </row>
    <row r="1053" spans="6:6" ht="31.5" customHeight="1" x14ac:dyDescent="0.25">
      <c r="F1053" s="38" t="s">
        <v>2932</v>
      </c>
    </row>
    <row r="1054" spans="6:6" ht="47.25" customHeight="1" x14ac:dyDescent="0.25">
      <c r="F1054" s="38" t="s">
        <v>2933</v>
      </c>
    </row>
    <row r="1055" spans="6:6" ht="47.25" customHeight="1" x14ac:dyDescent="0.25">
      <c r="F1055" s="38" t="s">
        <v>2934</v>
      </c>
    </row>
    <row r="1056" spans="6:6" ht="47.25" customHeight="1" x14ac:dyDescent="0.25">
      <c r="F1056" s="38" t="s">
        <v>2935</v>
      </c>
    </row>
    <row r="1057" spans="6:6" ht="47.25" customHeight="1" x14ac:dyDescent="0.25">
      <c r="F1057" s="38" t="s">
        <v>2936</v>
      </c>
    </row>
    <row r="1058" spans="6:6" ht="47.25" customHeight="1" x14ac:dyDescent="0.25">
      <c r="F1058" s="38" t="s">
        <v>2937</v>
      </c>
    </row>
    <row r="1059" spans="6:6" ht="63" customHeight="1" x14ac:dyDescent="0.25">
      <c r="F1059" s="38" t="s">
        <v>2938</v>
      </c>
    </row>
    <row r="1060" spans="6:6" ht="47.25" customHeight="1" x14ac:dyDescent="0.25">
      <c r="F1060" s="38" t="s">
        <v>2939</v>
      </c>
    </row>
    <row r="1061" spans="6:6" ht="47.25" customHeight="1" x14ac:dyDescent="0.25">
      <c r="F1061" s="38" t="s">
        <v>2940</v>
      </c>
    </row>
    <row r="1062" spans="6:6" ht="31.5" customHeight="1" x14ac:dyDescent="0.25">
      <c r="F1062" s="38" t="s">
        <v>2941</v>
      </c>
    </row>
    <row r="1063" spans="6:6" ht="31.5" customHeight="1" x14ac:dyDescent="0.25">
      <c r="F1063" s="38" t="s">
        <v>2942</v>
      </c>
    </row>
    <row r="1064" spans="6:6" ht="31.5" customHeight="1" x14ac:dyDescent="0.25">
      <c r="F1064" s="38" t="s">
        <v>2943</v>
      </c>
    </row>
    <row r="1065" spans="6:6" ht="47.25" customHeight="1" x14ac:dyDescent="0.25">
      <c r="F1065" s="38" t="s">
        <v>2944</v>
      </c>
    </row>
    <row r="1066" spans="6:6" ht="47.25" customHeight="1" x14ac:dyDescent="0.25">
      <c r="F1066" s="38" t="s">
        <v>2945</v>
      </c>
    </row>
    <row r="1067" spans="6:6" ht="47.25" customHeight="1" x14ac:dyDescent="0.25">
      <c r="F1067" s="38" t="s">
        <v>2946</v>
      </c>
    </row>
    <row r="1068" spans="6:6" ht="63" customHeight="1" x14ac:dyDescent="0.25">
      <c r="F1068" s="38" t="s">
        <v>2947</v>
      </c>
    </row>
    <row r="1069" spans="6:6" ht="47.25" customHeight="1" x14ac:dyDescent="0.25">
      <c r="F1069" s="38" t="s">
        <v>2948</v>
      </c>
    </row>
    <row r="1070" spans="6:6" ht="31.5" customHeight="1" x14ac:dyDescent="0.25">
      <c r="F1070" s="38" t="s">
        <v>2949</v>
      </c>
    </row>
    <row r="1071" spans="6:6" ht="63" customHeight="1" x14ac:dyDescent="0.25">
      <c r="F1071" s="38" t="s">
        <v>2950</v>
      </c>
    </row>
    <row r="1072" spans="6:6" ht="31.5" customHeight="1" x14ac:dyDescent="0.25">
      <c r="F1072" s="38" t="s">
        <v>2951</v>
      </c>
    </row>
    <row r="1073" spans="6:6" ht="47.25" customHeight="1" x14ac:dyDescent="0.25">
      <c r="F1073" s="38" t="s">
        <v>2952</v>
      </c>
    </row>
    <row r="1074" spans="6:6" ht="47.25" customHeight="1" x14ac:dyDescent="0.25">
      <c r="F1074" s="38" t="s">
        <v>2953</v>
      </c>
    </row>
    <row r="1075" spans="6:6" ht="47.25" customHeight="1" x14ac:dyDescent="0.25">
      <c r="F1075" s="38" t="s">
        <v>2954</v>
      </c>
    </row>
    <row r="1076" spans="6:6" ht="47.25" customHeight="1" x14ac:dyDescent="0.25">
      <c r="F1076" s="38" t="s">
        <v>2955</v>
      </c>
    </row>
    <row r="1077" spans="6:6" ht="47.25" customHeight="1" x14ac:dyDescent="0.25">
      <c r="F1077" s="38" t="s">
        <v>2956</v>
      </c>
    </row>
    <row r="1078" spans="6:6" ht="63" customHeight="1" x14ac:dyDescent="0.25">
      <c r="F1078" s="38" t="s">
        <v>2957</v>
      </c>
    </row>
    <row r="1079" spans="6:6" ht="78.75" customHeight="1" x14ac:dyDescent="0.25">
      <c r="F1079" s="38" t="s">
        <v>2958</v>
      </c>
    </row>
    <row r="1080" spans="6:6" ht="63" customHeight="1" x14ac:dyDescent="0.25">
      <c r="F1080" s="38" t="s">
        <v>2959</v>
      </c>
    </row>
    <row r="1081" spans="6:6" ht="47.25" customHeight="1" x14ac:dyDescent="0.25">
      <c r="F1081" s="38" t="s">
        <v>2856</v>
      </c>
    </row>
    <row r="1082" spans="6:6" ht="47.25" customHeight="1" x14ac:dyDescent="0.25">
      <c r="F1082" s="38" t="s">
        <v>2960</v>
      </c>
    </row>
    <row r="1083" spans="6:6" ht="63" customHeight="1" x14ac:dyDescent="0.25">
      <c r="F1083" s="38" t="s">
        <v>2961</v>
      </c>
    </row>
    <row r="1084" spans="6:6" ht="63" customHeight="1" x14ac:dyDescent="0.25">
      <c r="F1084" s="38" t="s">
        <v>2962</v>
      </c>
    </row>
    <row r="1085" spans="6:6" ht="63" customHeight="1" x14ac:dyDescent="0.25">
      <c r="F1085" s="38" t="s">
        <v>2963</v>
      </c>
    </row>
    <row r="1086" spans="6:6" ht="78.75" customHeight="1" x14ac:dyDescent="0.25">
      <c r="F1086" s="38" t="s">
        <v>2964</v>
      </c>
    </row>
    <row r="1087" spans="6:6" ht="31.5" customHeight="1" x14ac:dyDescent="0.25">
      <c r="F1087" s="38" t="s">
        <v>2965</v>
      </c>
    </row>
    <row r="1088" spans="6:6" ht="47.25" customHeight="1" x14ac:dyDescent="0.25">
      <c r="F1088" s="38" t="s">
        <v>2966</v>
      </c>
    </row>
    <row r="1089" spans="6:6" ht="31.5" customHeight="1" x14ac:dyDescent="0.25">
      <c r="F1089" s="38" t="s">
        <v>2967</v>
      </c>
    </row>
    <row r="1090" spans="6:6" ht="47.25" customHeight="1" x14ac:dyDescent="0.25">
      <c r="F1090" s="38" t="s">
        <v>2968</v>
      </c>
    </row>
    <row r="1091" spans="6:6" ht="31.5" customHeight="1" x14ac:dyDescent="0.25">
      <c r="F1091" s="38" t="s">
        <v>2969</v>
      </c>
    </row>
    <row r="1092" spans="6:6" ht="31.5" customHeight="1" x14ac:dyDescent="0.25">
      <c r="F1092" s="38" t="s">
        <v>2970</v>
      </c>
    </row>
    <row r="1093" spans="6:6" ht="31.5" customHeight="1" x14ac:dyDescent="0.25">
      <c r="F1093" s="38" t="s">
        <v>2971</v>
      </c>
    </row>
    <row r="1094" spans="6:6" ht="31.5" customHeight="1" x14ac:dyDescent="0.25">
      <c r="F1094" s="38" t="s">
        <v>2972</v>
      </c>
    </row>
    <row r="1095" spans="6:6" ht="47.25" customHeight="1" x14ac:dyDescent="0.25">
      <c r="F1095" s="38" t="s">
        <v>2973</v>
      </c>
    </row>
    <row r="1096" spans="6:6" ht="31.5" customHeight="1" x14ac:dyDescent="0.25">
      <c r="F1096" s="38" t="s">
        <v>2974</v>
      </c>
    </row>
    <row r="1097" spans="6:6" ht="31.5" customHeight="1" x14ac:dyDescent="0.25">
      <c r="F1097" s="38" t="s">
        <v>2975</v>
      </c>
    </row>
    <row r="1098" spans="6:6" ht="47.25" customHeight="1" x14ac:dyDescent="0.25">
      <c r="F1098" s="38" t="s">
        <v>2976</v>
      </c>
    </row>
    <row r="1099" spans="6:6" ht="47.25" customHeight="1" x14ac:dyDescent="0.25">
      <c r="F1099" s="38" t="s">
        <v>2977</v>
      </c>
    </row>
    <row r="1100" spans="6:6" ht="31.5" customHeight="1" x14ac:dyDescent="0.25">
      <c r="F1100" s="38" t="s">
        <v>2978</v>
      </c>
    </row>
    <row r="1101" spans="6:6" ht="63" customHeight="1" x14ac:dyDescent="0.25">
      <c r="F1101" s="38" t="s">
        <v>2979</v>
      </c>
    </row>
    <row r="1102" spans="6:6" ht="47.25" customHeight="1" x14ac:dyDescent="0.25">
      <c r="F1102" s="38" t="s">
        <v>2980</v>
      </c>
    </row>
    <row r="1103" spans="6:6" ht="47.25" customHeight="1" x14ac:dyDescent="0.25">
      <c r="F1103" s="38" t="s">
        <v>2981</v>
      </c>
    </row>
    <row r="1104" spans="6:6" ht="63" customHeight="1" x14ac:dyDescent="0.25">
      <c r="F1104" s="38" t="s">
        <v>2982</v>
      </c>
    </row>
    <row r="1105" spans="6:6" ht="94.5" customHeight="1" x14ac:dyDescent="0.25">
      <c r="F1105" s="38" t="s">
        <v>2983</v>
      </c>
    </row>
    <row r="1106" spans="6:6" ht="110.25" customHeight="1" x14ac:dyDescent="0.25">
      <c r="F1106" s="38" t="s">
        <v>2984</v>
      </c>
    </row>
    <row r="1107" spans="6:6" ht="47.25" customHeight="1" x14ac:dyDescent="0.25">
      <c r="F1107" s="38" t="s">
        <v>2985</v>
      </c>
    </row>
    <row r="1108" spans="6:6" ht="63" customHeight="1" x14ac:dyDescent="0.25">
      <c r="F1108" s="38" t="s">
        <v>2986</v>
      </c>
    </row>
    <row r="1109" spans="6:6" ht="31.5" customHeight="1" x14ac:dyDescent="0.25">
      <c r="F1109" s="38" t="s">
        <v>2987</v>
      </c>
    </row>
    <row r="1110" spans="6:6" ht="47.25" customHeight="1" x14ac:dyDescent="0.25">
      <c r="F1110" s="38" t="s">
        <v>2988</v>
      </c>
    </row>
    <row r="1111" spans="6:6" ht="47.25" customHeight="1" x14ac:dyDescent="0.25">
      <c r="F1111" s="38" t="s">
        <v>2989</v>
      </c>
    </row>
    <row r="1112" spans="6:6" ht="47.25" customHeight="1" x14ac:dyDescent="0.25">
      <c r="F1112" s="38" t="s">
        <v>2990</v>
      </c>
    </row>
    <row r="1113" spans="6:6" ht="63" customHeight="1" x14ac:dyDescent="0.25">
      <c r="F1113" s="38" t="s">
        <v>2991</v>
      </c>
    </row>
    <row r="1114" spans="6:6" ht="63" customHeight="1" x14ac:dyDescent="0.25">
      <c r="F1114" s="38" t="s">
        <v>2992</v>
      </c>
    </row>
    <row r="1115" spans="6:6" ht="31.5" customHeight="1" x14ac:dyDescent="0.25">
      <c r="F1115" s="38" t="s">
        <v>2993</v>
      </c>
    </row>
    <row r="1116" spans="6:6" ht="63" customHeight="1" x14ac:dyDescent="0.25">
      <c r="F1116" s="38" t="s">
        <v>2994</v>
      </c>
    </row>
    <row r="1117" spans="6:6" ht="47.25" customHeight="1" x14ac:dyDescent="0.25">
      <c r="F1117" s="38" t="s">
        <v>2995</v>
      </c>
    </row>
    <row r="1118" spans="6:6" ht="31.5" customHeight="1" x14ac:dyDescent="0.25">
      <c r="F1118" s="38" t="s">
        <v>2996</v>
      </c>
    </row>
    <row r="1119" spans="6:6" ht="47.25" customHeight="1" x14ac:dyDescent="0.25">
      <c r="F1119" s="38" t="s">
        <v>2997</v>
      </c>
    </row>
    <row r="1120" spans="6:6" ht="47.25" customHeight="1" x14ac:dyDescent="0.25">
      <c r="F1120" s="38" t="s">
        <v>2998</v>
      </c>
    </row>
    <row r="1121" spans="6:6" ht="47.25" customHeight="1" x14ac:dyDescent="0.25">
      <c r="F1121" s="38" t="s">
        <v>2999</v>
      </c>
    </row>
    <row r="1122" spans="6:6" ht="47.25" customHeight="1" x14ac:dyDescent="0.25">
      <c r="F1122" s="38" t="s">
        <v>3000</v>
      </c>
    </row>
    <row r="1123" spans="6:6" ht="31.5" customHeight="1" x14ac:dyDescent="0.25">
      <c r="F1123" s="38" t="s">
        <v>3001</v>
      </c>
    </row>
    <row r="1124" spans="6:6" ht="63" customHeight="1" x14ac:dyDescent="0.25">
      <c r="F1124" s="38" t="s">
        <v>3002</v>
      </c>
    </row>
    <row r="1125" spans="6:6" ht="31.5" customHeight="1" x14ac:dyDescent="0.25">
      <c r="F1125" s="38" t="s">
        <v>3003</v>
      </c>
    </row>
    <row r="1126" spans="6:6" ht="63" customHeight="1" x14ac:dyDescent="0.25">
      <c r="F1126" s="38" t="s">
        <v>3004</v>
      </c>
    </row>
    <row r="1127" spans="6:6" ht="31.5" customHeight="1" x14ac:dyDescent="0.25">
      <c r="F1127" s="38" t="s">
        <v>3005</v>
      </c>
    </row>
    <row r="1128" spans="6:6" ht="31.5" customHeight="1" x14ac:dyDescent="0.25">
      <c r="F1128" s="38" t="s">
        <v>3006</v>
      </c>
    </row>
    <row r="1129" spans="6:6" ht="47.25" customHeight="1" x14ac:dyDescent="0.25">
      <c r="F1129" s="38" t="s">
        <v>3007</v>
      </c>
    </row>
    <row r="1130" spans="6:6" ht="31.5" customHeight="1" x14ac:dyDescent="0.25">
      <c r="F1130" s="38" t="s">
        <v>3008</v>
      </c>
    </row>
    <row r="1131" spans="6:6" ht="31.5" customHeight="1" x14ac:dyDescent="0.25">
      <c r="F1131" s="38" t="s">
        <v>3009</v>
      </c>
    </row>
    <row r="1132" spans="6:6" ht="31.5" customHeight="1" x14ac:dyDescent="0.25">
      <c r="F1132" s="38" t="s">
        <v>3010</v>
      </c>
    </row>
    <row r="1133" spans="6:6" ht="31.5" customHeight="1" x14ac:dyDescent="0.25">
      <c r="F1133" s="38" t="s">
        <v>3011</v>
      </c>
    </row>
    <row r="1134" spans="6:6" ht="31.5" customHeight="1" x14ac:dyDescent="0.25">
      <c r="F1134" s="38" t="s">
        <v>3012</v>
      </c>
    </row>
    <row r="1135" spans="6:6" ht="47.25" customHeight="1" x14ac:dyDescent="0.25">
      <c r="F1135" s="38" t="s">
        <v>3013</v>
      </c>
    </row>
    <row r="1136" spans="6:6" ht="31.5" customHeight="1" x14ac:dyDescent="0.25">
      <c r="F1136" s="38" t="s">
        <v>3014</v>
      </c>
    </row>
    <row r="1137" spans="6:6" ht="47.25" customHeight="1" x14ac:dyDescent="0.25">
      <c r="F1137" s="38" t="s">
        <v>3015</v>
      </c>
    </row>
    <row r="1138" spans="6:6" ht="31.5" customHeight="1" x14ac:dyDescent="0.25">
      <c r="F1138" s="38" t="s">
        <v>3016</v>
      </c>
    </row>
    <row r="1139" spans="6:6" ht="47.25" customHeight="1" x14ac:dyDescent="0.25">
      <c r="F1139" s="38" t="s">
        <v>3017</v>
      </c>
    </row>
    <row r="1140" spans="6:6" ht="47.25" customHeight="1" x14ac:dyDescent="0.25">
      <c r="F1140" s="38" t="s">
        <v>3018</v>
      </c>
    </row>
    <row r="1141" spans="6:6" ht="47.25" customHeight="1" x14ac:dyDescent="0.25">
      <c r="F1141" s="38" t="s">
        <v>3019</v>
      </c>
    </row>
    <row r="1142" spans="6:6" ht="31.5" customHeight="1" x14ac:dyDescent="0.25">
      <c r="F1142" s="38" t="s">
        <v>3020</v>
      </c>
    </row>
    <row r="1143" spans="6:6" ht="31.5" customHeight="1" x14ac:dyDescent="0.25">
      <c r="F1143" s="38" t="s">
        <v>3021</v>
      </c>
    </row>
    <row r="1144" spans="6:6" ht="47.25" customHeight="1" x14ac:dyDescent="0.25">
      <c r="F1144" s="38" t="s">
        <v>3022</v>
      </c>
    </row>
    <row r="1145" spans="6:6" ht="31.5" customHeight="1" x14ac:dyDescent="0.25">
      <c r="F1145" s="38" t="s">
        <v>3023</v>
      </c>
    </row>
    <row r="1146" spans="6:6" ht="31.5" customHeight="1" x14ac:dyDescent="0.25">
      <c r="F1146" s="38" t="s">
        <v>3024</v>
      </c>
    </row>
    <row r="1147" spans="6:6" ht="78.75" customHeight="1" x14ac:dyDescent="0.25">
      <c r="F1147" s="38" t="s">
        <v>3025</v>
      </c>
    </row>
    <row r="1148" spans="6:6" ht="47.25" customHeight="1" x14ac:dyDescent="0.25">
      <c r="F1148" s="38" t="s">
        <v>3026</v>
      </c>
    </row>
    <row r="1149" spans="6:6" ht="47.25" customHeight="1" x14ac:dyDescent="0.25">
      <c r="F1149" s="38" t="s">
        <v>3027</v>
      </c>
    </row>
    <row r="1150" spans="6:6" ht="31.5" customHeight="1" x14ac:dyDescent="0.25">
      <c r="F1150" s="38" t="s">
        <v>3028</v>
      </c>
    </row>
    <row r="1151" spans="6:6" ht="63" customHeight="1" x14ac:dyDescent="0.25">
      <c r="F1151" s="38" t="s">
        <v>3029</v>
      </c>
    </row>
    <row r="1152" spans="6:6" ht="47.25" customHeight="1" x14ac:dyDescent="0.25">
      <c r="F1152" s="38" t="s">
        <v>3030</v>
      </c>
    </row>
    <row r="1153" spans="6:6" ht="47.25" customHeight="1" x14ac:dyDescent="0.25">
      <c r="F1153" s="38" t="s">
        <v>3031</v>
      </c>
    </row>
    <row r="1154" spans="6:6" ht="47.25" customHeight="1" x14ac:dyDescent="0.25">
      <c r="F1154" s="38" t="s">
        <v>3032</v>
      </c>
    </row>
    <row r="1155" spans="6:6" ht="31.5" customHeight="1" x14ac:dyDescent="0.25">
      <c r="F1155" s="38" t="s">
        <v>3033</v>
      </c>
    </row>
    <row r="1156" spans="6:6" ht="31.5" customHeight="1" x14ac:dyDescent="0.25">
      <c r="F1156" s="38" t="s">
        <v>3034</v>
      </c>
    </row>
    <row r="1157" spans="6:6" ht="47.25" customHeight="1" x14ac:dyDescent="0.25">
      <c r="F1157" s="38" t="s">
        <v>3035</v>
      </c>
    </row>
    <row r="1158" spans="6:6" ht="47.25" customHeight="1" x14ac:dyDescent="0.25">
      <c r="F1158" s="38" t="s">
        <v>3036</v>
      </c>
    </row>
    <row r="1159" spans="6:6" ht="63" customHeight="1" x14ac:dyDescent="0.25">
      <c r="F1159" s="38" t="s">
        <v>3037</v>
      </c>
    </row>
    <row r="1160" spans="6:6" ht="47.25" customHeight="1" x14ac:dyDescent="0.25">
      <c r="F1160" s="38" t="s">
        <v>3038</v>
      </c>
    </row>
    <row r="1161" spans="6:6" ht="63" customHeight="1" x14ac:dyDescent="0.25">
      <c r="F1161" s="38" t="s">
        <v>3039</v>
      </c>
    </row>
    <row r="1162" spans="6:6" ht="31.5" customHeight="1" x14ac:dyDescent="0.25">
      <c r="F1162" s="38" t="s">
        <v>3040</v>
      </c>
    </row>
    <row r="1163" spans="6:6" ht="31.5" customHeight="1" x14ac:dyDescent="0.25">
      <c r="F1163" s="38" t="s">
        <v>3041</v>
      </c>
    </row>
    <row r="1164" spans="6:6" ht="31.5" customHeight="1" x14ac:dyDescent="0.25">
      <c r="F1164" s="38" t="s">
        <v>3042</v>
      </c>
    </row>
    <row r="1165" spans="6:6" ht="63" customHeight="1" x14ac:dyDescent="0.25">
      <c r="F1165" s="38" t="s">
        <v>3043</v>
      </c>
    </row>
    <row r="1166" spans="6:6" ht="31.5" customHeight="1" x14ac:dyDescent="0.25">
      <c r="F1166" s="38" t="s">
        <v>3044</v>
      </c>
    </row>
    <row r="1167" spans="6:6" ht="63" customHeight="1" x14ac:dyDescent="0.25">
      <c r="F1167" s="38" t="s">
        <v>3045</v>
      </c>
    </row>
    <row r="1168" spans="6:6" ht="47.25" customHeight="1" x14ac:dyDescent="0.25">
      <c r="F1168" s="38" t="s">
        <v>3046</v>
      </c>
    </row>
    <row r="1169" spans="6:6" ht="47.25" customHeight="1" x14ac:dyDescent="0.25">
      <c r="F1169" s="38" t="s">
        <v>3047</v>
      </c>
    </row>
    <row r="1170" spans="6:6" ht="47.25" customHeight="1" x14ac:dyDescent="0.25">
      <c r="F1170" s="38" t="s">
        <v>3048</v>
      </c>
    </row>
    <row r="1171" spans="6:6" ht="47.25" customHeight="1" x14ac:dyDescent="0.25">
      <c r="F1171" s="38" t="s">
        <v>3049</v>
      </c>
    </row>
    <row r="1172" spans="6:6" ht="63" customHeight="1" x14ac:dyDescent="0.25">
      <c r="F1172" s="38" t="s">
        <v>3050</v>
      </c>
    </row>
    <row r="1173" spans="6:6" ht="94.5" customHeight="1" x14ac:dyDescent="0.25">
      <c r="F1173" s="38" t="s">
        <v>3051</v>
      </c>
    </row>
    <row r="1174" spans="6:6" ht="47.25" customHeight="1" x14ac:dyDescent="0.25">
      <c r="F1174" s="38" t="s">
        <v>3052</v>
      </c>
    </row>
    <row r="1175" spans="6:6" ht="63" customHeight="1" x14ac:dyDescent="0.25">
      <c r="F1175" s="38" t="s">
        <v>3053</v>
      </c>
    </row>
    <row r="1176" spans="6:6" x14ac:dyDescent="0.25">
      <c r="F1176" s="38" t="s">
        <v>3054</v>
      </c>
    </row>
    <row r="1177" spans="6:6" ht="47.25" customHeight="1" x14ac:dyDescent="0.25">
      <c r="F1177" s="38" t="s">
        <v>3055</v>
      </c>
    </row>
    <row r="1178" spans="6:6" ht="47.25" customHeight="1" x14ac:dyDescent="0.25">
      <c r="F1178" s="38" t="s">
        <v>3056</v>
      </c>
    </row>
    <row r="1179" spans="6:6" ht="47.25" customHeight="1" x14ac:dyDescent="0.25">
      <c r="F1179" s="38" t="s">
        <v>3057</v>
      </c>
    </row>
    <row r="1180" spans="6:6" ht="63" customHeight="1" x14ac:dyDescent="0.25">
      <c r="F1180" s="38" t="s">
        <v>3058</v>
      </c>
    </row>
    <row r="1181" spans="6:6" ht="63" customHeight="1" x14ac:dyDescent="0.25">
      <c r="F1181" s="38" t="s">
        <v>3059</v>
      </c>
    </row>
    <row r="1182" spans="6:6" ht="47.25" customHeight="1" x14ac:dyDescent="0.25">
      <c r="F1182" s="38" t="s">
        <v>3060</v>
      </c>
    </row>
    <row r="1183" spans="6:6" ht="47.25" customHeight="1" x14ac:dyDescent="0.25">
      <c r="F1183" s="38" t="s">
        <v>3061</v>
      </c>
    </row>
    <row r="1184" spans="6:6" ht="31.5" customHeight="1" x14ac:dyDescent="0.25">
      <c r="F1184" s="38" t="s">
        <v>3062</v>
      </c>
    </row>
    <row r="1185" spans="6:6" ht="47.25" customHeight="1" x14ac:dyDescent="0.25">
      <c r="F1185" s="38" t="s">
        <v>3063</v>
      </c>
    </row>
    <row r="1186" spans="6:6" ht="63" customHeight="1" x14ac:dyDescent="0.25">
      <c r="F1186" s="38" t="s">
        <v>3064</v>
      </c>
    </row>
    <row r="1187" spans="6:6" ht="47.25" customHeight="1" x14ac:dyDescent="0.25">
      <c r="F1187" s="38" t="s">
        <v>3065</v>
      </c>
    </row>
    <row r="1188" spans="6:6" ht="31.5" customHeight="1" x14ac:dyDescent="0.25">
      <c r="F1188" s="38" t="s">
        <v>3066</v>
      </c>
    </row>
    <row r="1189" spans="6:6" ht="47.25" customHeight="1" x14ac:dyDescent="0.25">
      <c r="F1189" s="38" t="s">
        <v>3067</v>
      </c>
    </row>
    <row r="1190" spans="6:6" ht="31.5" customHeight="1" x14ac:dyDescent="0.25">
      <c r="F1190" s="38" t="s">
        <v>3068</v>
      </c>
    </row>
    <row r="1191" spans="6:6" ht="31.5" customHeight="1" x14ac:dyDescent="0.25">
      <c r="F1191" s="38" t="s">
        <v>3069</v>
      </c>
    </row>
    <row r="1192" spans="6:6" ht="47.25" customHeight="1" x14ac:dyDescent="0.25">
      <c r="F1192" s="38" t="s">
        <v>3070</v>
      </c>
    </row>
    <row r="1193" spans="6:6" ht="31.5" customHeight="1" x14ac:dyDescent="0.25">
      <c r="F1193" s="38" t="s">
        <v>3071</v>
      </c>
    </row>
    <row r="1194" spans="6:6" ht="47.25" customHeight="1" x14ac:dyDescent="0.25">
      <c r="F1194" s="38" t="s">
        <v>3072</v>
      </c>
    </row>
    <row r="1195" spans="6:6" ht="47.25" customHeight="1" x14ac:dyDescent="0.25">
      <c r="F1195" s="38" t="s">
        <v>3073</v>
      </c>
    </row>
    <row r="1196" spans="6:6" ht="63" customHeight="1" x14ac:dyDescent="0.25">
      <c r="F1196" s="38" t="s">
        <v>3074</v>
      </c>
    </row>
    <row r="1197" spans="6:6" ht="31.5" customHeight="1" x14ac:dyDescent="0.25">
      <c r="F1197" s="38" t="s">
        <v>3075</v>
      </c>
    </row>
    <row r="1198" spans="6:6" ht="31.5" customHeight="1" x14ac:dyDescent="0.25">
      <c r="F1198" s="38" t="s">
        <v>3076</v>
      </c>
    </row>
    <row r="1199" spans="6:6" ht="31.5" customHeight="1" x14ac:dyDescent="0.25">
      <c r="F1199" s="38" t="s">
        <v>3077</v>
      </c>
    </row>
    <row r="1200" spans="6:6" ht="63" customHeight="1" x14ac:dyDescent="0.25">
      <c r="F1200" s="38" t="s">
        <v>3078</v>
      </c>
    </row>
    <row r="1201" spans="6:6" ht="47.25" customHeight="1" x14ac:dyDescent="0.25">
      <c r="F1201" s="38" t="s">
        <v>3079</v>
      </c>
    </row>
    <row r="1202" spans="6:6" ht="63" customHeight="1" x14ac:dyDescent="0.25">
      <c r="F1202" s="38" t="s">
        <v>3080</v>
      </c>
    </row>
    <row r="1203" spans="6:6" ht="63" customHeight="1" x14ac:dyDescent="0.25">
      <c r="F1203" s="38" t="s">
        <v>3081</v>
      </c>
    </row>
    <row r="1204" spans="6:6" ht="47.25" customHeight="1" x14ac:dyDescent="0.25">
      <c r="F1204" s="38" t="s">
        <v>3082</v>
      </c>
    </row>
    <row r="1205" spans="6:6" ht="31.5" customHeight="1" x14ac:dyDescent="0.25">
      <c r="F1205" s="38" t="s">
        <v>3083</v>
      </c>
    </row>
    <row r="1206" spans="6:6" ht="31.5" customHeight="1" x14ac:dyDescent="0.25">
      <c r="F1206" s="38" t="s">
        <v>3084</v>
      </c>
    </row>
    <row r="1207" spans="6:6" ht="47.25" customHeight="1" x14ac:dyDescent="0.25">
      <c r="F1207" s="38" t="s">
        <v>3085</v>
      </c>
    </row>
    <row r="1208" spans="6:6" ht="31.5" customHeight="1" x14ac:dyDescent="0.25">
      <c r="F1208" s="38" t="s">
        <v>3086</v>
      </c>
    </row>
    <row r="1209" spans="6:6" ht="47.25" customHeight="1" x14ac:dyDescent="0.25">
      <c r="F1209" s="38" t="s">
        <v>3087</v>
      </c>
    </row>
    <row r="1210" spans="6:6" ht="31.5" customHeight="1" x14ac:dyDescent="0.25">
      <c r="F1210" s="38" t="s">
        <v>3088</v>
      </c>
    </row>
    <row r="1211" spans="6:6" ht="31.5" customHeight="1" x14ac:dyDescent="0.25">
      <c r="F1211" s="38" t="s">
        <v>3089</v>
      </c>
    </row>
    <row r="1212" spans="6:6" ht="31.5" customHeight="1" x14ac:dyDescent="0.25">
      <c r="F1212" s="38" t="s">
        <v>3090</v>
      </c>
    </row>
    <row r="1213" spans="6:6" ht="31.5" customHeight="1" x14ac:dyDescent="0.25">
      <c r="F1213" s="38" t="s">
        <v>3091</v>
      </c>
    </row>
    <row r="1214" spans="6:6" ht="31.5" customHeight="1" x14ac:dyDescent="0.25">
      <c r="F1214" s="38" t="s">
        <v>3092</v>
      </c>
    </row>
    <row r="1215" spans="6:6" ht="47.25" customHeight="1" x14ac:dyDescent="0.25">
      <c r="F1215" s="38" t="s">
        <v>3093</v>
      </c>
    </row>
    <row r="1216" spans="6:6" ht="47.25" customHeight="1" x14ac:dyDescent="0.25">
      <c r="F1216" s="38" t="s">
        <v>3094</v>
      </c>
    </row>
    <row r="1217" spans="6:6" ht="47.25" customHeight="1" x14ac:dyDescent="0.25">
      <c r="F1217" s="38" t="s">
        <v>3095</v>
      </c>
    </row>
    <row r="1218" spans="6:6" ht="63" customHeight="1" x14ac:dyDescent="0.25">
      <c r="F1218" s="38" t="s">
        <v>3096</v>
      </c>
    </row>
    <row r="1219" spans="6:6" ht="47.25" customHeight="1" x14ac:dyDescent="0.25">
      <c r="F1219" s="38" t="s">
        <v>3097</v>
      </c>
    </row>
    <row r="1220" spans="6:6" ht="47.25" customHeight="1" x14ac:dyDescent="0.25">
      <c r="F1220" s="38" t="s">
        <v>3098</v>
      </c>
    </row>
    <row r="1221" spans="6:6" ht="63" customHeight="1" x14ac:dyDescent="0.25">
      <c r="F1221" s="38" t="s">
        <v>3099</v>
      </c>
    </row>
    <row r="1222" spans="6:6" ht="47.25" customHeight="1" x14ac:dyDescent="0.25">
      <c r="F1222" s="38" t="s">
        <v>3100</v>
      </c>
    </row>
    <row r="1223" spans="6:6" ht="47.25" customHeight="1" x14ac:dyDescent="0.25">
      <c r="F1223" s="38" t="s">
        <v>3101</v>
      </c>
    </row>
    <row r="1224" spans="6:6" ht="63" customHeight="1" x14ac:dyDescent="0.25">
      <c r="F1224" s="38" t="s">
        <v>3102</v>
      </c>
    </row>
    <row r="1225" spans="6:6" ht="63" customHeight="1" x14ac:dyDescent="0.25">
      <c r="F1225" s="38" t="s">
        <v>3103</v>
      </c>
    </row>
    <row r="1226" spans="6:6" ht="47.25" customHeight="1" x14ac:dyDescent="0.25">
      <c r="F1226" s="38" t="s">
        <v>3104</v>
      </c>
    </row>
    <row r="1227" spans="6:6" ht="47.25" customHeight="1" x14ac:dyDescent="0.25">
      <c r="F1227" s="38" t="s">
        <v>3105</v>
      </c>
    </row>
    <row r="1228" spans="6:6" ht="31.5" customHeight="1" x14ac:dyDescent="0.25">
      <c r="F1228" s="38" t="s">
        <v>3106</v>
      </c>
    </row>
    <row r="1229" spans="6:6" ht="47.25" customHeight="1" x14ac:dyDescent="0.25">
      <c r="F1229" s="38" t="s">
        <v>3107</v>
      </c>
    </row>
    <row r="1230" spans="6:6" ht="63" customHeight="1" x14ac:dyDescent="0.25">
      <c r="F1230" s="38" t="s">
        <v>3108</v>
      </c>
    </row>
    <row r="1231" spans="6:6" ht="31.5" customHeight="1" x14ac:dyDescent="0.25">
      <c r="F1231" s="38" t="s">
        <v>3109</v>
      </c>
    </row>
    <row r="1232" spans="6:6" ht="31.5" customHeight="1" x14ac:dyDescent="0.25">
      <c r="F1232" s="38" t="s">
        <v>3110</v>
      </c>
    </row>
    <row r="1233" spans="6:6" ht="63" customHeight="1" x14ac:dyDescent="0.25">
      <c r="F1233" s="38" t="s">
        <v>3111</v>
      </c>
    </row>
    <row r="1234" spans="6:6" ht="31.5" customHeight="1" x14ac:dyDescent="0.25">
      <c r="F1234" s="38" t="s">
        <v>3112</v>
      </c>
    </row>
    <row r="1235" spans="6:6" ht="63" customHeight="1" x14ac:dyDescent="0.25">
      <c r="F1235" s="38" t="s">
        <v>3113</v>
      </c>
    </row>
    <row r="1236" spans="6:6" ht="47.25" customHeight="1" x14ac:dyDescent="0.25">
      <c r="F1236" s="38" t="s">
        <v>3114</v>
      </c>
    </row>
    <row r="1237" spans="6:6" ht="31.5" customHeight="1" x14ac:dyDescent="0.25">
      <c r="F1237" s="38" t="s">
        <v>3115</v>
      </c>
    </row>
    <row r="1238" spans="6:6" ht="63" customHeight="1" x14ac:dyDescent="0.25">
      <c r="F1238" s="38" t="s">
        <v>3116</v>
      </c>
    </row>
    <row r="1239" spans="6:6" ht="47.25" customHeight="1" x14ac:dyDescent="0.25">
      <c r="F1239" s="38" t="s">
        <v>3117</v>
      </c>
    </row>
    <row r="1240" spans="6:6" ht="31.5" customHeight="1" x14ac:dyDescent="0.25">
      <c r="F1240" s="38" t="s">
        <v>3118</v>
      </c>
    </row>
    <row r="1241" spans="6:6" ht="47.25" customHeight="1" x14ac:dyDescent="0.25">
      <c r="F1241" s="38" t="s">
        <v>3119</v>
      </c>
    </row>
    <row r="1242" spans="6:6" ht="31.5" customHeight="1" x14ac:dyDescent="0.25">
      <c r="F1242" s="38" t="s">
        <v>3120</v>
      </c>
    </row>
    <row r="1243" spans="6:6" ht="78.75" customHeight="1" x14ac:dyDescent="0.25">
      <c r="F1243" s="38" t="s">
        <v>3121</v>
      </c>
    </row>
    <row r="1244" spans="6:6" ht="47.25" customHeight="1" x14ac:dyDescent="0.25">
      <c r="F1244" s="38" t="s">
        <v>3122</v>
      </c>
    </row>
    <row r="1245" spans="6:6" ht="31.5" customHeight="1" x14ac:dyDescent="0.25">
      <c r="F1245" s="38" t="s">
        <v>3123</v>
      </c>
    </row>
    <row r="1246" spans="6:6" ht="31.5" customHeight="1" x14ac:dyDescent="0.25">
      <c r="F1246" s="38" t="s">
        <v>3124</v>
      </c>
    </row>
    <row r="1247" spans="6:6" ht="47.25" customHeight="1" x14ac:dyDescent="0.25">
      <c r="F1247" s="38" t="s">
        <v>3125</v>
      </c>
    </row>
    <row r="1248" spans="6:6" ht="63" customHeight="1" x14ac:dyDescent="0.25">
      <c r="F1248" s="38" t="s">
        <v>3126</v>
      </c>
    </row>
    <row r="1249" spans="6:6" ht="47.25" customHeight="1" x14ac:dyDescent="0.25">
      <c r="F1249" s="38" t="s">
        <v>3127</v>
      </c>
    </row>
    <row r="1250" spans="6:6" ht="47.25" customHeight="1" x14ac:dyDescent="0.25">
      <c r="F1250" s="38" t="s">
        <v>3128</v>
      </c>
    </row>
    <row r="1251" spans="6:6" ht="47.25" customHeight="1" x14ac:dyDescent="0.25">
      <c r="F1251" s="38" t="s">
        <v>3129</v>
      </c>
    </row>
    <row r="1252" spans="6:6" ht="47.25" customHeight="1" x14ac:dyDescent="0.25">
      <c r="F1252" s="38" t="s">
        <v>3130</v>
      </c>
    </row>
    <row r="1253" spans="6:6" ht="47.25" customHeight="1" x14ac:dyDescent="0.25">
      <c r="F1253" s="38" t="s">
        <v>3131</v>
      </c>
    </row>
    <row r="1254" spans="6:6" ht="63" customHeight="1" x14ac:dyDescent="0.25">
      <c r="F1254" s="38" t="s">
        <v>3132</v>
      </c>
    </row>
    <row r="1255" spans="6:6" ht="31.5" customHeight="1" x14ac:dyDescent="0.25">
      <c r="F1255" s="38" t="s">
        <v>3133</v>
      </c>
    </row>
    <row r="1256" spans="6:6" ht="31.5" customHeight="1" x14ac:dyDescent="0.25">
      <c r="F1256" s="38" t="s">
        <v>3134</v>
      </c>
    </row>
    <row r="1257" spans="6:6" ht="31.5" customHeight="1" x14ac:dyDescent="0.25">
      <c r="F1257" s="38" t="s">
        <v>3135</v>
      </c>
    </row>
    <row r="1258" spans="6:6" ht="47.25" customHeight="1" x14ac:dyDescent="0.25">
      <c r="F1258" s="38" t="s">
        <v>3136</v>
      </c>
    </row>
    <row r="1259" spans="6:6" ht="31.5" customHeight="1" x14ac:dyDescent="0.25">
      <c r="F1259" s="38" t="s">
        <v>3137</v>
      </c>
    </row>
    <row r="1260" spans="6:6" ht="31.5" customHeight="1" x14ac:dyDescent="0.25">
      <c r="F1260" s="38" t="s">
        <v>3138</v>
      </c>
    </row>
    <row r="1261" spans="6:6" ht="47.25" customHeight="1" x14ac:dyDescent="0.25">
      <c r="F1261" s="38" t="s">
        <v>3139</v>
      </c>
    </row>
    <row r="1262" spans="6:6" ht="31.5" customHeight="1" x14ac:dyDescent="0.25">
      <c r="F1262" s="38" t="s">
        <v>3140</v>
      </c>
    </row>
    <row r="1263" spans="6:6" ht="31.5" customHeight="1" x14ac:dyDescent="0.25">
      <c r="F1263" s="38" t="s">
        <v>3141</v>
      </c>
    </row>
    <row r="1264" spans="6:6" ht="31.5" customHeight="1" x14ac:dyDescent="0.25">
      <c r="F1264" s="38" t="s">
        <v>3142</v>
      </c>
    </row>
    <row r="1265" spans="6:6" ht="31.5" customHeight="1" x14ac:dyDescent="0.25">
      <c r="F1265" s="38" t="s">
        <v>3143</v>
      </c>
    </row>
    <row r="1266" spans="6:6" ht="47.25" customHeight="1" x14ac:dyDescent="0.25">
      <c r="F1266" s="38" t="s">
        <v>3144</v>
      </c>
    </row>
    <row r="1267" spans="6:6" ht="31.5" customHeight="1" x14ac:dyDescent="0.25">
      <c r="F1267" s="38" t="s">
        <v>3145</v>
      </c>
    </row>
    <row r="1268" spans="6:6" ht="31.5" customHeight="1" x14ac:dyDescent="0.25">
      <c r="F1268" s="38" t="s">
        <v>3146</v>
      </c>
    </row>
    <row r="1269" spans="6:6" ht="31.5" customHeight="1" x14ac:dyDescent="0.25">
      <c r="F1269" s="38" t="s">
        <v>3147</v>
      </c>
    </row>
    <row r="1270" spans="6:6" ht="47.25" customHeight="1" x14ac:dyDescent="0.25">
      <c r="F1270" s="38" t="s">
        <v>3148</v>
      </c>
    </row>
    <row r="1271" spans="6:6" ht="31.5" customHeight="1" x14ac:dyDescent="0.25">
      <c r="F1271" s="38" t="s">
        <v>3149</v>
      </c>
    </row>
    <row r="1272" spans="6:6" ht="78.75" customHeight="1" x14ac:dyDescent="0.25">
      <c r="F1272" s="38" t="s">
        <v>3150</v>
      </c>
    </row>
    <row r="1273" spans="6:6" ht="31.5" customHeight="1" x14ac:dyDescent="0.25">
      <c r="F1273" s="38" t="s">
        <v>3151</v>
      </c>
    </row>
    <row r="1274" spans="6:6" ht="63" customHeight="1" x14ac:dyDescent="0.25">
      <c r="F1274" s="38" t="s">
        <v>3152</v>
      </c>
    </row>
    <row r="1275" spans="6:6" ht="31.5" customHeight="1" x14ac:dyDescent="0.25">
      <c r="F1275" s="38" t="s">
        <v>3153</v>
      </c>
    </row>
    <row r="1276" spans="6:6" ht="31.5" customHeight="1" x14ac:dyDescent="0.25">
      <c r="F1276" s="38" t="s">
        <v>3154</v>
      </c>
    </row>
    <row r="1277" spans="6:6" ht="47.25" customHeight="1" x14ac:dyDescent="0.25">
      <c r="F1277" s="38" t="s">
        <v>3155</v>
      </c>
    </row>
    <row r="1278" spans="6:6" ht="47.25" customHeight="1" x14ac:dyDescent="0.25">
      <c r="F1278" s="38" t="s">
        <v>3156</v>
      </c>
    </row>
    <row r="1279" spans="6:6" ht="47.25" customHeight="1" x14ac:dyDescent="0.25">
      <c r="F1279" s="38" t="s">
        <v>3157</v>
      </c>
    </row>
    <row r="1280" spans="6:6" ht="31.5" customHeight="1" x14ac:dyDescent="0.25">
      <c r="F1280" s="38" t="s">
        <v>3158</v>
      </c>
    </row>
    <row r="1281" spans="6:6" ht="47.25" customHeight="1" x14ac:dyDescent="0.25">
      <c r="F1281" s="38" t="s">
        <v>3159</v>
      </c>
    </row>
    <row r="1282" spans="6:6" ht="31.5" customHeight="1" x14ac:dyDescent="0.25">
      <c r="F1282" s="38" t="s">
        <v>3160</v>
      </c>
    </row>
    <row r="1283" spans="6:6" ht="31.5" customHeight="1" x14ac:dyDescent="0.25">
      <c r="F1283" s="38" t="s">
        <v>3161</v>
      </c>
    </row>
    <row r="1284" spans="6:6" ht="47.25" customHeight="1" x14ac:dyDescent="0.25">
      <c r="F1284" s="38" t="s">
        <v>3162</v>
      </c>
    </row>
    <row r="1285" spans="6:6" ht="31.5" customHeight="1" x14ac:dyDescent="0.25">
      <c r="F1285" s="38" t="s">
        <v>3163</v>
      </c>
    </row>
    <row r="1286" spans="6:6" ht="63" customHeight="1" x14ac:dyDescent="0.25">
      <c r="F1286" s="38" t="s">
        <v>3164</v>
      </c>
    </row>
    <row r="1287" spans="6:6" ht="47.25" customHeight="1" x14ac:dyDescent="0.25">
      <c r="F1287" s="38" t="s">
        <v>3165</v>
      </c>
    </row>
    <row r="1288" spans="6:6" ht="47.25" customHeight="1" x14ac:dyDescent="0.25">
      <c r="F1288" s="38" t="s">
        <v>3166</v>
      </c>
    </row>
    <row r="1289" spans="6:6" ht="47.25" customHeight="1" x14ac:dyDescent="0.25">
      <c r="F1289" s="38" t="s">
        <v>3167</v>
      </c>
    </row>
    <row r="1290" spans="6:6" ht="31.5" customHeight="1" x14ac:dyDescent="0.25">
      <c r="F1290" s="38" t="s">
        <v>3168</v>
      </c>
    </row>
    <row r="1291" spans="6:6" ht="47.25" customHeight="1" x14ac:dyDescent="0.25">
      <c r="F1291" s="38" t="s">
        <v>3169</v>
      </c>
    </row>
    <row r="1292" spans="6:6" ht="31.5" customHeight="1" x14ac:dyDescent="0.25">
      <c r="F1292" s="38" t="s">
        <v>3170</v>
      </c>
    </row>
    <row r="1293" spans="6:6" ht="31.5" customHeight="1" x14ac:dyDescent="0.25">
      <c r="F1293" s="38" t="s">
        <v>3171</v>
      </c>
    </row>
    <row r="1294" spans="6:6" ht="47.25" customHeight="1" x14ac:dyDescent="0.25">
      <c r="F1294" s="38" t="s">
        <v>3172</v>
      </c>
    </row>
    <row r="1295" spans="6:6" ht="31.5" customHeight="1" x14ac:dyDescent="0.25">
      <c r="F1295" s="38" t="s">
        <v>3173</v>
      </c>
    </row>
    <row r="1296" spans="6:6" ht="47.25" customHeight="1" x14ac:dyDescent="0.25">
      <c r="F1296" s="38" t="s">
        <v>3174</v>
      </c>
    </row>
    <row r="1297" spans="6:6" ht="47.25" customHeight="1" x14ac:dyDescent="0.25">
      <c r="F1297" s="38" t="s">
        <v>3175</v>
      </c>
    </row>
    <row r="1298" spans="6:6" ht="31.5" customHeight="1" x14ac:dyDescent="0.25">
      <c r="F1298" s="38" t="s">
        <v>3176</v>
      </c>
    </row>
    <row r="1299" spans="6:6" ht="63" customHeight="1" x14ac:dyDescent="0.25">
      <c r="F1299" s="38" t="s">
        <v>3177</v>
      </c>
    </row>
    <row r="1300" spans="6:6" ht="47.25" customHeight="1" x14ac:dyDescent="0.25">
      <c r="F1300" s="38" t="s">
        <v>3178</v>
      </c>
    </row>
    <row r="1301" spans="6:6" ht="31.5" customHeight="1" x14ac:dyDescent="0.25">
      <c r="F1301" s="38" t="s">
        <v>3179</v>
      </c>
    </row>
    <row r="1302" spans="6:6" ht="47.25" customHeight="1" x14ac:dyDescent="0.25">
      <c r="F1302" s="38" t="s">
        <v>3180</v>
      </c>
    </row>
    <row r="1303" spans="6:6" ht="47.25" customHeight="1" x14ac:dyDescent="0.25">
      <c r="F1303" s="38" t="s">
        <v>3181</v>
      </c>
    </row>
    <row r="1304" spans="6:6" ht="47.25" customHeight="1" x14ac:dyDescent="0.25">
      <c r="F1304" s="38" t="s">
        <v>3182</v>
      </c>
    </row>
    <row r="1305" spans="6:6" ht="63" customHeight="1" x14ac:dyDescent="0.25">
      <c r="F1305" s="38" t="s">
        <v>3183</v>
      </c>
    </row>
    <row r="1306" spans="6:6" ht="63" customHeight="1" x14ac:dyDescent="0.25">
      <c r="F1306" s="38" t="s">
        <v>3184</v>
      </c>
    </row>
    <row r="1307" spans="6:6" ht="31.5" customHeight="1" x14ac:dyDescent="0.25">
      <c r="F1307" s="38" t="s">
        <v>3185</v>
      </c>
    </row>
    <row r="1308" spans="6:6" ht="31.5" customHeight="1" x14ac:dyDescent="0.25">
      <c r="F1308" s="38" t="s">
        <v>3186</v>
      </c>
    </row>
    <row r="1309" spans="6:6" ht="47.25" customHeight="1" x14ac:dyDescent="0.25">
      <c r="F1309" s="38" t="s">
        <v>3187</v>
      </c>
    </row>
    <row r="1310" spans="6:6" ht="47.25" customHeight="1" x14ac:dyDescent="0.25">
      <c r="F1310" s="38" t="s">
        <v>3188</v>
      </c>
    </row>
    <row r="1311" spans="6:6" ht="31.5" customHeight="1" x14ac:dyDescent="0.25">
      <c r="F1311" s="38" t="s">
        <v>3189</v>
      </c>
    </row>
    <row r="1312" spans="6:6" ht="47.25" customHeight="1" x14ac:dyDescent="0.25">
      <c r="F1312" s="38" t="s">
        <v>3190</v>
      </c>
    </row>
    <row r="1313" spans="6:6" ht="31.5" customHeight="1" x14ac:dyDescent="0.25">
      <c r="F1313" s="38" t="s">
        <v>3191</v>
      </c>
    </row>
    <row r="1314" spans="6:6" ht="47.25" customHeight="1" x14ac:dyDescent="0.25">
      <c r="F1314" s="38" t="s">
        <v>3192</v>
      </c>
    </row>
    <row r="1315" spans="6:6" ht="47.25" customHeight="1" x14ac:dyDescent="0.25">
      <c r="F1315" s="38" t="s">
        <v>3193</v>
      </c>
    </row>
    <row r="1316" spans="6:6" ht="47.25" customHeight="1" x14ac:dyDescent="0.25">
      <c r="F1316" s="38" t="s">
        <v>3194</v>
      </c>
    </row>
    <row r="1317" spans="6:6" ht="31.5" customHeight="1" x14ac:dyDescent="0.25">
      <c r="F1317" s="38" t="s">
        <v>3195</v>
      </c>
    </row>
    <row r="1318" spans="6:6" ht="47.25" customHeight="1" x14ac:dyDescent="0.25">
      <c r="F1318" s="38" t="s">
        <v>3196</v>
      </c>
    </row>
    <row r="1319" spans="6:6" ht="31.5" customHeight="1" x14ac:dyDescent="0.25">
      <c r="F1319" s="38" t="s">
        <v>3197</v>
      </c>
    </row>
    <row r="1320" spans="6:6" ht="47.25" customHeight="1" x14ac:dyDescent="0.25">
      <c r="F1320" s="38" t="s">
        <v>3198</v>
      </c>
    </row>
    <row r="1321" spans="6:6" ht="47.25" customHeight="1" x14ac:dyDescent="0.25">
      <c r="F1321" s="38" t="s">
        <v>3199</v>
      </c>
    </row>
    <row r="1322" spans="6:6" ht="63" customHeight="1" x14ac:dyDescent="0.25">
      <c r="F1322" s="38" t="s">
        <v>3200</v>
      </c>
    </row>
    <row r="1323" spans="6:6" ht="63" customHeight="1" x14ac:dyDescent="0.25">
      <c r="F1323" s="38" t="s">
        <v>3201</v>
      </c>
    </row>
    <row r="1324" spans="6:6" ht="47.25" customHeight="1" x14ac:dyDescent="0.25">
      <c r="F1324" s="38" t="s">
        <v>3202</v>
      </c>
    </row>
    <row r="1325" spans="6:6" ht="78.75" customHeight="1" x14ac:dyDescent="0.25">
      <c r="F1325" s="38" t="s">
        <v>3203</v>
      </c>
    </row>
    <row r="1326" spans="6:6" ht="63" customHeight="1" x14ac:dyDescent="0.25">
      <c r="F1326" s="38" t="s">
        <v>3204</v>
      </c>
    </row>
    <row r="1327" spans="6:6" ht="31.5" customHeight="1" x14ac:dyDescent="0.25">
      <c r="F1327" s="38" t="s">
        <v>3205</v>
      </c>
    </row>
    <row r="1328" spans="6:6" ht="31.5" customHeight="1" x14ac:dyDescent="0.25">
      <c r="F1328" s="38" t="s">
        <v>3206</v>
      </c>
    </row>
    <row r="1329" spans="6:6" ht="47.25" customHeight="1" x14ac:dyDescent="0.25">
      <c r="F1329" s="38" t="s">
        <v>3207</v>
      </c>
    </row>
    <row r="1330" spans="6:6" ht="31.5" customHeight="1" x14ac:dyDescent="0.25">
      <c r="F1330" s="38" t="s">
        <v>3208</v>
      </c>
    </row>
    <row r="1331" spans="6:6" ht="47.25" customHeight="1" x14ac:dyDescent="0.25">
      <c r="F1331" s="38" t="s">
        <v>3209</v>
      </c>
    </row>
    <row r="1332" spans="6:6" ht="47.25" customHeight="1" x14ac:dyDescent="0.25">
      <c r="F1332" s="38" t="s">
        <v>3210</v>
      </c>
    </row>
    <row r="1333" spans="6:6" ht="47.25" customHeight="1" x14ac:dyDescent="0.25">
      <c r="F1333" s="38" t="s">
        <v>3211</v>
      </c>
    </row>
    <row r="1334" spans="6:6" ht="47.25" customHeight="1" x14ac:dyDescent="0.25">
      <c r="F1334" s="38" t="s">
        <v>3212</v>
      </c>
    </row>
    <row r="1335" spans="6:6" ht="63" customHeight="1" x14ac:dyDescent="0.25">
      <c r="F1335" s="38" t="s">
        <v>3213</v>
      </c>
    </row>
    <row r="1336" spans="6:6" ht="47.25" customHeight="1" x14ac:dyDescent="0.25">
      <c r="F1336" s="38" t="s">
        <v>3214</v>
      </c>
    </row>
    <row r="1337" spans="6:6" ht="47.25" customHeight="1" x14ac:dyDescent="0.25">
      <c r="F1337" s="38" t="s">
        <v>3215</v>
      </c>
    </row>
    <row r="1338" spans="6:6" ht="47.25" customHeight="1" x14ac:dyDescent="0.25">
      <c r="F1338" s="38" t="s">
        <v>3216</v>
      </c>
    </row>
    <row r="1339" spans="6:6" ht="47.25" customHeight="1" x14ac:dyDescent="0.25">
      <c r="F1339" s="38" t="s">
        <v>3217</v>
      </c>
    </row>
    <row r="1340" spans="6:6" ht="47.25" customHeight="1" x14ac:dyDescent="0.25">
      <c r="F1340" s="38" t="s">
        <v>3218</v>
      </c>
    </row>
    <row r="1341" spans="6:6" ht="63" customHeight="1" x14ac:dyDescent="0.25">
      <c r="F1341" s="38" t="s">
        <v>3219</v>
      </c>
    </row>
    <row r="1342" spans="6:6" ht="31.5" customHeight="1" x14ac:dyDescent="0.25">
      <c r="F1342" s="38" t="s">
        <v>3220</v>
      </c>
    </row>
    <row r="1343" spans="6:6" ht="78.75" customHeight="1" x14ac:dyDescent="0.25">
      <c r="F1343" s="38" t="s">
        <v>3221</v>
      </c>
    </row>
    <row r="1344" spans="6:6" ht="63" customHeight="1" x14ac:dyDescent="0.25">
      <c r="F1344" s="38" t="s">
        <v>3222</v>
      </c>
    </row>
    <row r="1345" spans="6:6" ht="78.75" customHeight="1" x14ac:dyDescent="0.25">
      <c r="F1345" s="38" t="s">
        <v>3223</v>
      </c>
    </row>
    <row r="1346" spans="6:6" ht="31.5" customHeight="1" x14ac:dyDescent="0.25">
      <c r="F1346" s="38" t="s">
        <v>3224</v>
      </c>
    </row>
    <row r="1347" spans="6:6" ht="31.5" customHeight="1" x14ac:dyDescent="0.25">
      <c r="F1347" s="38" t="s">
        <v>3225</v>
      </c>
    </row>
    <row r="1348" spans="6:6" ht="47.25" customHeight="1" x14ac:dyDescent="0.25">
      <c r="F1348" s="38" t="s">
        <v>3226</v>
      </c>
    </row>
    <row r="1349" spans="6:6" ht="63" customHeight="1" x14ac:dyDescent="0.25">
      <c r="F1349" s="38" t="s">
        <v>3227</v>
      </c>
    </row>
    <row r="1350" spans="6:6" ht="31.5" customHeight="1" x14ac:dyDescent="0.25">
      <c r="F1350" s="38" t="s">
        <v>3228</v>
      </c>
    </row>
    <row r="1351" spans="6:6" ht="31.5" customHeight="1" x14ac:dyDescent="0.25">
      <c r="F1351" s="38" t="s">
        <v>3229</v>
      </c>
    </row>
    <row r="1352" spans="6:6" x14ac:dyDescent="0.25">
      <c r="F1352" s="38" t="s">
        <v>3230</v>
      </c>
    </row>
    <row r="1353" spans="6:6" ht="31.5" customHeight="1" x14ac:dyDescent="0.25">
      <c r="F1353" s="38" t="s">
        <v>3231</v>
      </c>
    </row>
    <row r="1354" spans="6:6" ht="63" customHeight="1" x14ac:dyDescent="0.25">
      <c r="F1354" s="38" t="s">
        <v>3232</v>
      </c>
    </row>
    <row r="1355" spans="6:6" ht="78.75" customHeight="1" x14ac:dyDescent="0.25">
      <c r="F1355" s="38" t="s">
        <v>3233</v>
      </c>
    </row>
    <row r="1356" spans="6:6" ht="47.25" customHeight="1" x14ac:dyDescent="0.25">
      <c r="F1356" s="38" t="s">
        <v>3234</v>
      </c>
    </row>
    <row r="1357" spans="6:6" ht="31.5" customHeight="1" x14ac:dyDescent="0.25">
      <c r="F1357" s="38" t="s">
        <v>3235</v>
      </c>
    </row>
    <row r="1358" spans="6:6" ht="63" customHeight="1" x14ac:dyDescent="0.25">
      <c r="F1358" s="38" t="s">
        <v>3236</v>
      </c>
    </row>
    <row r="1359" spans="6:6" ht="47.25" customHeight="1" x14ac:dyDescent="0.25">
      <c r="F1359" s="38" t="s">
        <v>3237</v>
      </c>
    </row>
    <row r="1360" spans="6:6" ht="63" customHeight="1" x14ac:dyDescent="0.25">
      <c r="F1360" s="38" t="s">
        <v>3238</v>
      </c>
    </row>
    <row r="1361" spans="6:6" ht="31.5" customHeight="1" x14ac:dyDescent="0.25">
      <c r="F1361" s="38" t="s">
        <v>3239</v>
      </c>
    </row>
    <row r="1362" spans="6:6" ht="31.5" customHeight="1" x14ac:dyDescent="0.25">
      <c r="F1362" s="38" t="s">
        <v>3240</v>
      </c>
    </row>
    <row r="1363" spans="6:6" ht="47.25" customHeight="1" x14ac:dyDescent="0.25">
      <c r="F1363" s="38" t="s">
        <v>3241</v>
      </c>
    </row>
    <row r="1364" spans="6:6" ht="47.25" customHeight="1" x14ac:dyDescent="0.25">
      <c r="F1364" s="38" t="s">
        <v>3242</v>
      </c>
    </row>
    <row r="1365" spans="6:6" ht="63" customHeight="1" x14ac:dyDescent="0.25">
      <c r="F1365" s="38" t="s">
        <v>3243</v>
      </c>
    </row>
    <row r="1366" spans="6:6" ht="31.5" customHeight="1" x14ac:dyDescent="0.25">
      <c r="F1366" s="38" t="s">
        <v>3244</v>
      </c>
    </row>
    <row r="1367" spans="6:6" ht="47.25" customHeight="1" x14ac:dyDescent="0.25">
      <c r="F1367" s="38" t="s">
        <v>3245</v>
      </c>
    </row>
    <row r="1368" spans="6:6" ht="31.5" customHeight="1" x14ac:dyDescent="0.25">
      <c r="F1368" s="38" t="s">
        <v>3246</v>
      </c>
    </row>
    <row r="1369" spans="6:6" ht="63" customHeight="1" x14ac:dyDescent="0.25">
      <c r="F1369" s="38" t="s">
        <v>3247</v>
      </c>
    </row>
    <row r="1370" spans="6:6" ht="47.25" customHeight="1" x14ac:dyDescent="0.25">
      <c r="F1370" s="38" t="s">
        <v>3248</v>
      </c>
    </row>
    <row r="1371" spans="6:6" ht="63" customHeight="1" x14ac:dyDescent="0.25">
      <c r="F1371" s="38" t="s">
        <v>3249</v>
      </c>
    </row>
    <row r="1372" spans="6:6" ht="31.5" customHeight="1" x14ac:dyDescent="0.25">
      <c r="F1372" s="38" t="s">
        <v>3250</v>
      </c>
    </row>
    <row r="1373" spans="6:6" ht="31.5" customHeight="1" x14ac:dyDescent="0.25">
      <c r="F1373" s="38" t="s">
        <v>3251</v>
      </c>
    </row>
    <row r="1374" spans="6:6" ht="63" customHeight="1" x14ac:dyDescent="0.25">
      <c r="F1374" s="38" t="s">
        <v>3252</v>
      </c>
    </row>
    <row r="1375" spans="6:6" ht="31.5" customHeight="1" x14ac:dyDescent="0.25">
      <c r="F1375" s="38" t="s">
        <v>3253</v>
      </c>
    </row>
    <row r="1376" spans="6:6" ht="47.25" customHeight="1" x14ac:dyDescent="0.25">
      <c r="F1376" s="38" t="s">
        <v>3254</v>
      </c>
    </row>
    <row r="1377" spans="6:6" ht="31.5" customHeight="1" x14ac:dyDescent="0.25">
      <c r="F1377" s="38" t="s">
        <v>3255</v>
      </c>
    </row>
    <row r="1378" spans="6:6" ht="31.5" customHeight="1" x14ac:dyDescent="0.25">
      <c r="F1378" s="38" t="s">
        <v>3256</v>
      </c>
    </row>
    <row r="1379" spans="6:6" ht="47.25" customHeight="1" x14ac:dyDescent="0.25">
      <c r="F1379" s="38" t="s">
        <v>3257</v>
      </c>
    </row>
    <row r="1380" spans="6:6" ht="31.5" customHeight="1" x14ac:dyDescent="0.25">
      <c r="F1380" s="38" t="s">
        <v>3258</v>
      </c>
    </row>
    <row r="1381" spans="6:6" ht="63" customHeight="1" x14ac:dyDescent="0.25">
      <c r="F1381" s="38" t="s">
        <v>3259</v>
      </c>
    </row>
    <row r="1382" spans="6:6" ht="31.5" customHeight="1" x14ac:dyDescent="0.25">
      <c r="F1382" s="38" t="s">
        <v>3260</v>
      </c>
    </row>
    <row r="1383" spans="6:6" ht="31.5" customHeight="1" x14ac:dyDescent="0.25">
      <c r="F1383" s="38" t="s">
        <v>3261</v>
      </c>
    </row>
    <row r="1384" spans="6:6" ht="47.25" customHeight="1" x14ac:dyDescent="0.25">
      <c r="F1384" s="38" t="s">
        <v>3262</v>
      </c>
    </row>
    <row r="1385" spans="6:6" ht="63" customHeight="1" x14ac:dyDescent="0.25">
      <c r="F1385" s="38" t="s">
        <v>3263</v>
      </c>
    </row>
    <row r="1386" spans="6:6" ht="31.5" customHeight="1" x14ac:dyDescent="0.25">
      <c r="F1386" s="38" t="s">
        <v>3264</v>
      </c>
    </row>
    <row r="1387" spans="6:6" ht="47.25" customHeight="1" x14ac:dyDescent="0.25">
      <c r="F1387" s="38" t="s">
        <v>3265</v>
      </c>
    </row>
    <row r="1388" spans="6:6" ht="47.25" customHeight="1" x14ac:dyDescent="0.25">
      <c r="F1388" s="38" t="s">
        <v>3266</v>
      </c>
    </row>
    <row r="1389" spans="6:6" ht="31.5" customHeight="1" x14ac:dyDescent="0.25">
      <c r="F1389" s="38" t="s">
        <v>3267</v>
      </c>
    </row>
    <row r="1390" spans="6:6" ht="47.25" customHeight="1" x14ac:dyDescent="0.25">
      <c r="F1390" s="38" t="s">
        <v>3268</v>
      </c>
    </row>
    <row r="1391" spans="6:6" ht="47.25" customHeight="1" x14ac:dyDescent="0.25">
      <c r="F1391" s="38" t="s">
        <v>3269</v>
      </c>
    </row>
    <row r="1392" spans="6:6" ht="31.5" customHeight="1" x14ac:dyDescent="0.25">
      <c r="F1392" s="38" t="s">
        <v>3270</v>
      </c>
    </row>
    <row r="1393" spans="6:6" ht="31.5" customHeight="1" x14ac:dyDescent="0.25">
      <c r="F1393" s="38" t="s">
        <v>3271</v>
      </c>
    </row>
    <row r="1394" spans="6:6" ht="47.25" customHeight="1" x14ac:dyDescent="0.25">
      <c r="F1394" s="38" t="s">
        <v>3272</v>
      </c>
    </row>
    <row r="1395" spans="6:6" ht="47.25" customHeight="1" x14ac:dyDescent="0.25">
      <c r="F1395" s="38" t="s">
        <v>3273</v>
      </c>
    </row>
    <row r="1396" spans="6:6" ht="63" customHeight="1" x14ac:dyDescent="0.25">
      <c r="F1396" s="38" t="s">
        <v>3274</v>
      </c>
    </row>
    <row r="1397" spans="6:6" ht="47.25" customHeight="1" x14ac:dyDescent="0.25">
      <c r="F1397" s="38" t="s">
        <v>3275</v>
      </c>
    </row>
    <row r="1398" spans="6:6" ht="31.5" customHeight="1" x14ac:dyDescent="0.25">
      <c r="F1398" s="38" t="s">
        <v>3276</v>
      </c>
    </row>
    <row r="1399" spans="6:6" ht="31.5" customHeight="1" x14ac:dyDescent="0.25">
      <c r="F1399" s="38" t="s">
        <v>3277</v>
      </c>
    </row>
    <row r="1400" spans="6:6" ht="31.5" customHeight="1" x14ac:dyDescent="0.25">
      <c r="F1400" s="38" t="s">
        <v>3278</v>
      </c>
    </row>
    <row r="1401" spans="6:6" ht="31.5" customHeight="1" x14ac:dyDescent="0.25">
      <c r="F1401" s="38" t="s">
        <v>3279</v>
      </c>
    </row>
    <row r="1402" spans="6:6" ht="47.25" customHeight="1" x14ac:dyDescent="0.25">
      <c r="F1402" s="38" t="s">
        <v>3280</v>
      </c>
    </row>
    <row r="1403" spans="6:6" ht="31.5" customHeight="1" x14ac:dyDescent="0.25">
      <c r="F1403" s="38" t="s">
        <v>3281</v>
      </c>
    </row>
    <row r="1404" spans="6:6" ht="47.25" customHeight="1" x14ac:dyDescent="0.25">
      <c r="F1404" s="38" t="s">
        <v>3282</v>
      </c>
    </row>
    <row r="1405" spans="6:6" ht="31.5" customHeight="1" x14ac:dyDescent="0.25">
      <c r="F1405" s="38" t="s">
        <v>3283</v>
      </c>
    </row>
    <row r="1406" spans="6:6" ht="47.25" customHeight="1" x14ac:dyDescent="0.25">
      <c r="F1406" s="38" t="s">
        <v>3284</v>
      </c>
    </row>
    <row r="1407" spans="6:6" ht="63" customHeight="1" x14ac:dyDescent="0.25">
      <c r="F1407" s="38" t="s">
        <v>3285</v>
      </c>
    </row>
    <row r="1408" spans="6:6" ht="63" customHeight="1" x14ac:dyDescent="0.25">
      <c r="F1408" s="38" t="s">
        <v>3286</v>
      </c>
    </row>
    <row r="1409" spans="6:6" ht="63" customHeight="1" x14ac:dyDescent="0.25">
      <c r="F1409" s="38" t="s">
        <v>3287</v>
      </c>
    </row>
    <row r="1410" spans="6:6" ht="63" customHeight="1" x14ac:dyDescent="0.25">
      <c r="F1410" s="38" t="s">
        <v>3288</v>
      </c>
    </row>
    <row r="1411" spans="6:6" ht="63" customHeight="1" x14ac:dyDescent="0.25">
      <c r="F1411" s="38" t="s">
        <v>3289</v>
      </c>
    </row>
    <row r="1412" spans="6:6" ht="47.25" customHeight="1" x14ac:dyDescent="0.25">
      <c r="F1412" s="38" t="s">
        <v>3290</v>
      </c>
    </row>
    <row r="1413" spans="6:6" ht="47.25" customHeight="1" x14ac:dyDescent="0.25">
      <c r="F1413" s="38" t="s">
        <v>3291</v>
      </c>
    </row>
    <row r="1414" spans="6:6" ht="47.25" customHeight="1" x14ac:dyDescent="0.25">
      <c r="F1414" s="38" t="s">
        <v>3292</v>
      </c>
    </row>
    <row r="1415" spans="6:6" ht="31.5" customHeight="1" x14ac:dyDescent="0.25">
      <c r="F1415" s="38" t="s">
        <v>3293</v>
      </c>
    </row>
    <row r="1416" spans="6:6" ht="31.5" customHeight="1" x14ac:dyDescent="0.25">
      <c r="F1416" s="38" t="s">
        <v>3294</v>
      </c>
    </row>
    <row r="1417" spans="6:6" ht="31.5" customHeight="1" x14ac:dyDescent="0.25">
      <c r="F1417" s="38" t="s">
        <v>3295</v>
      </c>
    </row>
    <row r="1418" spans="6:6" ht="31.5" customHeight="1" x14ac:dyDescent="0.25">
      <c r="F1418" s="38" t="s">
        <v>3296</v>
      </c>
    </row>
    <row r="1419" spans="6:6" ht="31.5" customHeight="1" x14ac:dyDescent="0.25">
      <c r="F1419" s="38" t="s">
        <v>3297</v>
      </c>
    </row>
    <row r="1420" spans="6:6" ht="47.25" customHeight="1" x14ac:dyDescent="0.25">
      <c r="F1420" s="38" t="s">
        <v>3298</v>
      </c>
    </row>
    <row r="1421" spans="6:6" ht="47.25" customHeight="1" x14ac:dyDescent="0.25">
      <c r="F1421" s="38" t="s">
        <v>3299</v>
      </c>
    </row>
    <row r="1422" spans="6:6" ht="31.5" customHeight="1" x14ac:dyDescent="0.25">
      <c r="F1422" s="38" t="s">
        <v>3300</v>
      </c>
    </row>
    <row r="1423" spans="6:6" ht="63" customHeight="1" x14ac:dyDescent="0.25">
      <c r="F1423" s="38" t="s">
        <v>3301</v>
      </c>
    </row>
    <row r="1424" spans="6:6" ht="47.25" customHeight="1" x14ac:dyDescent="0.25">
      <c r="F1424" s="38" t="s">
        <v>3302</v>
      </c>
    </row>
    <row r="1425" spans="6:6" ht="47.25" customHeight="1" x14ac:dyDescent="0.25">
      <c r="F1425" s="38" t="s">
        <v>3303</v>
      </c>
    </row>
    <row r="1426" spans="6:6" ht="63" customHeight="1" x14ac:dyDescent="0.25">
      <c r="F1426" s="38" t="s">
        <v>3304</v>
      </c>
    </row>
    <row r="1427" spans="6:6" ht="47.25" customHeight="1" x14ac:dyDescent="0.25">
      <c r="F1427" s="38" t="s">
        <v>3305</v>
      </c>
    </row>
    <row r="1428" spans="6:6" ht="47.25" customHeight="1" x14ac:dyDescent="0.25">
      <c r="F1428" s="38" t="s">
        <v>3306</v>
      </c>
    </row>
    <row r="1429" spans="6:6" ht="31.5" customHeight="1" x14ac:dyDescent="0.25">
      <c r="F1429" s="38" t="s">
        <v>3307</v>
      </c>
    </row>
    <row r="1430" spans="6:6" ht="63" customHeight="1" x14ac:dyDescent="0.25">
      <c r="F1430" s="38" t="s">
        <v>3308</v>
      </c>
    </row>
    <row r="1431" spans="6:6" ht="47.25" customHeight="1" x14ac:dyDescent="0.25">
      <c r="F1431" s="38" t="s">
        <v>3309</v>
      </c>
    </row>
    <row r="1432" spans="6:6" ht="47.25" customHeight="1" x14ac:dyDescent="0.25">
      <c r="F1432" s="38" t="s">
        <v>3310</v>
      </c>
    </row>
    <row r="1433" spans="6:6" ht="47.25" customHeight="1" x14ac:dyDescent="0.25">
      <c r="F1433" s="38" t="s">
        <v>3311</v>
      </c>
    </row>
    <row r="1434" spans="6:6" ht="31.5" customHeight="1" x14ac:dyDescent="0.25">
      <c r="F1434" s="38" t="s">
        <v>3312</v>
      </c>
    </row>
    <row r="1435" spans="6:6" ht="31.5" customHeight="1" x14ac:dyDescent="0.25">
      <c r="F1435" s="38" t="s">
        <v>3313</v>
      </c>
    </row>
    <row r="1436" spans="6:6" ht="47.25" customHeight="1" x14ac:dyDescent="0.25">
      <c r="F1436" s="38" t="s">
        <v>3314</v>
      </c>
    </row>
    <row r="1437" spans="6:6" ht="78.75" customHeight="1" x14ac:dyDescent="0.25">
      <c r="F1437" s="38" t="s">
        <v>3315</v>
      </c>
    </row>
    <row r="1438" spans="6:6" ht="31.5" customHeight="1" x14ac:dyDescent="0.25">
      <c r="F1438" s="38" t="s">
        <v>3316</v>
      </c>
    </row>
    <row r="1439" spans="6:6" ht="47.25" customHeight="1" x14ac:dyDescent="0.25">
      <c r="F1439" s="38" t="s">
        <v>3317</v>
      </c>
    </row>
    <row r="1440" spans="6:6" ht="31.5" customHeight="1" x14ac:dyDescent="0.25">
      <c r="F1440" s="38" t="s">
        <v>3318</v>
      </c>
    </row>
    <row r="1441" spans="6:6" ht="31.5" customHeight="1" x14ac:dyDescent="0.25">
      <c r="F1441" s="38" t="s">
        <v>3319</v>
      </c>
    </row>
    <row r="1442" spans="6:6" ht="31.5" customHeight="1" x14ac:dyDescent="0.25">
      <c r="F1442" s="38" t="s">
        <v>3320</v>
      </c>
    </row>
    <row r="1443" spans="6:6" ht="47.25" customHeight="1" x14ac:dyDescent="0.25">
      <c r="F1443" s="38" t="s">
        <v>3321</v>
      </c>
    </row>
    <row r="1444" spans="6:6" ht="31.5" customHeight="1" x14ac:dyDescent="0.25">
      <c r="F1444" s="38" t="s">
        <v>3322</v>
      </c>
    </row>
    <row r="1445" spans="6:6" ht="31.5" customHeight="1" x14ac:dyDescent="0.25">
      <c r="F1445" s="38" t="s">
        <v>3323</v>
      </c>
    </row>
    <row r="1446" spans="6:6" ht="47.25" customHeight="1" x14ac:dyDescent="0.25">
      <c r="F1446" s="38" t="s">
        <v>3324</v>
      </c>
    </row>
    <row r="1447" spans="6:6" ht="31.5" customHeight="1" x14ac:dyDescent="0.25">
      <c r="F1447" s="38" t="s">
        <v>3325</v>
      </c>
    </row>
    <row r="1448" spans="6:6" ht="31.5" customHeight="1" x14ac:dyDescent="0.25">
      <c r="F1448" s="38" t="s">
        <v>3326</v>
      </c>
    </row>
    <row r="1449" spans="6:6" ht="31.5" customHeight="1" x14ac:dyDescent="0.25">
      <c r="F1449" s="38" t="s">
        <v>3327</v>
      </c>
    </row>
    <row r="1450" spans="6:6" ht="63" customHeight="1" x14ac:dyDescent="0.25">
      <c r="F1450" s="38" t="s">
        <v>3328</v>
      </c>
    </row>
    <row r="1451" spans="6:6" ht="63" customHeight="1" x14ac:dyDescent="0.25">
      <c r="F1451" s="38" t="s">
        <v>3329</v>
      </c>
    </row>
    <row r="1452" spans="6:6" ht="47.25" customHeight="1" x14ac:dyDescent="0.25">
      <c r="F1452" s="38" t="s">
        <v>3330</v>
      </c>
    </row>
    <row r="1453" spans="6:6" ht="47.25" customHeight="1" x14ac:dyDescent="0.25">
      <c r="F1453" s="38" t="s">
        <v>3331</v>
      </c>
    </row>
    <row r="1454" spans="6:6" ht="47.25" customHeight="1" x14ac:dyDescent="0.25">
      <c r="F1454" s="38" t="s">
        <v>3332</v>
      </c>
    </row>
    <row r="1455" spans="6:6" ht="47.25" customHeight="1" x14ac:dyDescent="0.25">
      <c r="F1455" s="38" t="s">
        <v>3333</v>
      </c>
    </row>
    <row r="1456" spans="6:6" ht="31.5" customHeight="1" x14ac:dyDescent="0.25">
      <c r="F1456" s="38" t="s">
        <v>3334</v>
      </c>
    </row>
    <row r="1457" spans="6:6" ht="63" customHeight="1" x14ac:dyDescent="0.25">
      <c r="F1457" s="38" t="s">
        <v>3335</v>
      </c>
    </row>
    <row r="1458" spans="6:6" ht="47.25" customHeight="1" x14ac:dyDescent="0.25">
      <c r="F1458" s="38" t="s">
        <v>3336</v>
      </c>
    </row>
    <row r="1459" spans="6:6" ht="31.5" customHeight="1" x14ac:dyDescent="0.25">
      <c r="F1459" s="38" t="s">
        <v>3337</v>
      </c>
    </row>
    <row r="1460" spans="6:6" ht="47.25" customHeight="1" x14ac:dyDescent="0.25">
      <c r="F1460" s="38" t="s">
        <v>3338</v>
      </c>
    </row>
    <row r="1461" spans="6:6" ht="31.5" customHeight="1" x14ac:dyDescent="0.25">
      <c r="F1461" s="38" t="s">
        <v>3339</v>
      </c>
    </row>
    <row r="1462" spans="6:6" ht="47.25" customHeight="1" x14ac:dyDescent="0.25">
      <c r="F1462" s="38" t="s">
        <v>3340</v>
      </c>
    </row>
    <row r="1463" spans="6:6" ht="47.25" customHeight="1" x14ac:dyDescent="0.25">
      <c r="F1463" s="38" t="s">
        <v>3341</v>
      </c>
    </row>
    <row r="1464" spans="6:6" ht="31.5" customHeight="1" x14ac:dyDescent="0.25">
      <c r="F1464" s="38" t="s">
        <v>3342</v>
      </c>
    </row>
    <row r="1465" spans="6:6" ht="47.25" customHeight="1" x14ac:dyDescent="0.25">
      <c r="F1465" s="38" t="s">
        <v>3343</v>
      </c>
    </row>
    <row r="1466" spans="6:6" ht="47.25" customHeight="1" x14ac:dyDescent="0.25">
      <c r="F1466" s="38" t="s">
        <v>3344</v>
      </c>
    </row>
    <row r="1467" spans="6:6" ht="31.5" customHeight="1" x14ac:dyDescent="0.25">
      <c r="F1467" s="38" t="s">
        <v>3345</v>
      </c>
    </row>
    <row r="1468" spans="6:6" ht="31.5" customHeight="1" x14ac:dyDescent="0.25">
      <c r="F1468" s="38" t="s">
        <v>3346</v>
      </c>
    </row>
    <row r="1469" spans="6:6" ht="63" customHeight="1" x14ac:dyDescent="0.25">
      <c r="F1469" s="38" t="s">
        <v>3347</v>
      </c>
    </row>
    <row r="1470" spans="6:6" ht="47.25" customHeight="1" x14ac:dyDescent="0.25">
      <c r="F1470" s="38" t="s">
        <v>3348</v>
      </c>
    </row>
    <row r="1471" spans="6:6" ht="31.5" customHeight="1" x14ac:dyDescent="0.25">
      <c r="F1471" s="38" t="s">
        <v>3349</v>
      </c>
    </row>
    <row r="1472" spans="6:6" ht="47.25" customHeight="1" x14ac:dyDescent="0.25">
      <c r="F1472" s="38" t="s">
        <v>3350</v>
      </c>
    </row>
    <row r="1473" spans="6:6" ht="47.25" customHeight="1" x14ac:dyDescent="0.25">
      <c r="F1473" s="38" t="s">
        <v>3351</v>
      </c>
    </row>
    <row r="1474" spans="6:6" ht="63" customHeight="1" x14ac:dyDescent="0.25">
      <c r="F1474" s="38" t="s">
        <v>3352</v>
      </c>
    </row>
    <row r="1475" spans="6:6" ht="31.5" customHeight="1" x14ac:dyDescent="0.25">
      <c r="F1475" s="38" t="s">
        <v>3353</v>
      </c>
    </row>
    <row r="1476" spans="6:6" ht="31.5" customHeight="1" x14ac:dyDescent="0.25">
      <c r="F1476" s="38" t="s">
        <v>3354</v>
      </c>
    </row>
    <row r="1477" spans="6:6" ht="47.25" customHeight="1" x14ac:dyDescent="0.25">
      <c r="F1477" s="38" t="s">
        <v>3355</v>
      </c>
    </row>
    <row r="1478" spans="6:6" ht="31.5" customHeight="1" x14ac:dyDescent="0.25">
      <c r="F1478" s="38" t="s">
        <v>3356</v>
      </c>
    </row>
    <row r="1479" spans="6:6" ht="47.25" customHeight="1" x14ac:dyDescent="0.25">
      <c r="F1479" s="38" t="s">
        <v>3357</v>
      </c>
    </row>
    <row r="1480" spans="6:6" ht="47.25" customHeight="1" x14ac:dyDescent="0.25">
      <c r="F1480" s="38" t="s">
        <v>3358</v>
      </c>
    </row>
    <row r="1481" spans="6:6" ht="78.75" customHeight="1" x14ac:dyDescent="0.25">
      <c r="F1481" s="38" t="s">
        <v>3359</v>
      </c>
    </row>
    <row r="1482" spans="6:6" ht="31.5" customHeight="1" x14ac:dyDescent="0.25">
      <c r="F1482" s="38" t="s">
        <v>3360</v>
      </c>
    </row>
    <row r="1483" spans="6:6" ht="31.5" customHeight="1" x14ac:dyDescent="0.25">
      <c r="F1483" s="38" t="s">
        <v>3361</v>
      </c>
    </row>
    <row r="1484" spans="6:6" ht="63" customHeight="1" x14ac:dyDescent="0.25">
      <c r="F1484" s="38" t="s">
        <v>3362</v>
      </c>
    </row>
    <row r="1485" spans="6:6" ht="31.5" customHeight="1" x14ac:dyDescent="0.25">
      <c r="F1485" s="38" t="s">
        <v>3363</v>
      </c>
    </row>
    <row r="1486" spans="6:6" ht="31.5" customHeight="1" x14ac:dyDescent="0.25">
      <c r="F1486" s="38" t="s">
        <v>3364</v>
      </c>
    </row>
    <row r="1487" spans="6:6" ht="31.5" customHeight="1" x14ac:dyDescent="0.25">
      <c r="F1487" s="38" t="s">
        <v>3365</v>
      </c>
    </row>
    <row r="1488" spans="6:6" ht="47.25" customHeight="1" x14ac:dyDescent="0.25">
      <c r="F1488" s="38" t="s">
        <v>3366</v>
      </c>
    </row>
    <row r="1489" spans="6:6" ht="47.25" customHeight="1" x14ac:dyDescent="0.25">
      <c r="F1489" s="38" t="s">
        <v>3367</v>
      </c>
    </row>
    <row r="1490" spans="6:6" ht="31.5" customHeight="1" x14ac:dyDescent="0.25">
      <c r="F1490" s="38" t="s">
        <v>3368</v>
      </c>
    </row>
    <row r="1491" spans="6:6" ht="63" customHeight="1" x14ac:dyDescent="0.25">
      <c r="F1491" s="38" t="s">
        <v>3369</v>
      </c>
    </row>
    <row r="1492" spans="6:6" ht="47.25" customHeight="1" x14ac:dyDescent="0.25">
      <c r="F1492" s="38" t="s">
        <v>3370</v>
      </c>
    </row>
    <row r="1493" spans="6:6" ht="63" customHeight="1" x14ac:dyDescent="0.25">
      <c r="F1493" s="38" t="s">
        <v>3371</v>
      </c>
    </row>
    <row r="1494" spans="6:6" ht="63" customHeight="1" x14ac:dyDescent="0.25">
      <c r="F1494" s="38" t="s">
        <v>3372</v>
      </c>
    </row>
    <row r="1495" spans="6:6" ht="47.25" customHeight="1" x14ac:dyDescent="0.25">
      <c r="F1495" s="38" t="s">
        <v>3373</v>
      </c>
    </row>
    <row r="1496" spans="6:6" ht="31.5" customHeight="1" x14ac:dyDescent="0.25">
      <c r="F1496" s="38" t="s">
        <v>3374</v>
      </c>
    </row>
    <row r="1497" spans="6:6" ht="63" customHeight="1" x14ac:dyDescent="0.25">
      <c r="F1497" s="38" t="s">
        <v>3375</v>
      </c>
    </row>
    <row r="1498" spans="6:6" ht="47.25" customHeight="1" x14ac:dyDescent="0.25">
      <c r="F1498" s="38" t="s">
        <v>3376</v>
      </c>
    </row>
    <row r="1499" spans="6:6" ht="63" customHeight="1" x14ac:dyDescent="0.25">
      <c r="F1499" s="38" t="s">
        <v>3377</v>
      </c>
    </row>
    <row r="1500" spans="6:6" ht="47.25" customHeight="1" x14ac:dyDescent="0.25">
      <c r="F1500" s="38" t="s">
        <v>3378</v>
      </c>
    </row>
    <row r="1501" spans="6:6" ht="31.5" customHeight="1" x14ac:dyDescent="0.25">
      <c r="F1501" s="38" t="s">
        <v>3379</v>
      </c>
    </row>
    <row r="1502" spans="6:6" ht="47.25" customHeight="1" x14ac:dyDescent="0.25">
      <c r="F1502" s="38" t="s">
        <v>3380</v>
      </c>
    </row>
    <row r="1503" spans="6:6" ht="31.5" customHeight="1" x14ac:dyDescent="0.25">
      <c r="F1503" s="38" t="s">
        <v>3381</v>
      </c>
    </row>
    <row r="1504" spans="6:6" ht="63" customHeight="1" x14ac:dyDescent="0.25">
      <c r="F1504" s="38" t="s">
        <v>3382</v>
      </c>
    </row>
    <row r="1505" spans="6:6" ht="47.25" customHeight="1" x14ac:dyDescent="0.25">
      <c r="F1505" s="38" t="s">
        <v>3383</v>
      </c>
    </row>
    <row r="1506" spans="6:6" ht="31.5" customHeight="1" x14ac:dyDescent="0.25">
      <c r="F1506" s="38" t="s">
        <v>3384</v>
      </c>
    </row>
    <row r="1507" spans="6:6" ht="47.25" customHeight="1" x14ac:dyDescent="0.25">
      <c r="F1507" s="38" t="s">
        <v>3385</v>
      </c>
    </row>
    <row r="1508" spans="6:6" ht="31.5" customHeight="1" x14ac:dyDescent="0.25">
      <c r="F1508" s="38" t="s">
        <v>3386</v>
      </c>
    </row>
    <row r="1509" spans="6:6" ht="47.25" customHeight="1" x14ac:dyDescent="0.25">
      <c r="F1509" s="38" t="s">
        <v>3387</v>
      </c>
    </row>
    <row r="1510" spans="6:6" ht="47.25" customHeight="1" x14ac:dyDescent="0.25">
      <c r="F1510" s="38" t="s">
        <v>3388</v>
      </c>
    </row>
    <row r="1511" spans="6:6" ht="63" customHeight="1" x14ac:dyDescent="0.25">
      <c r="F1511" s="38" t="s">
        <v>3389</v>
      </c>
    </row>
    <row r="1512" spans="6:6" ht="47.25" customHeight="1" x14ac:dyDescent="0.25">
      <c r="F1512" s="38" t="s">
        <v>3390</v>
      </c>
    </row>
    <row r="1513" spans="6:6" ht="78.75" customHeight="1" x14ac:dyDescent="0.25">
      <c r="F1513" s="38" t="s">
        <v>3391</v>
      </c>
    </row>
    <row r="1514" spans="6:6" ht="31.5" customHeight="1" x14ac:dyDescent="0.25">
      <c r="F1514" s="38" t="s">
        <v>3392</v>
      </c>
    </row>
    <row r="1515" spans="6:6" ht="47.25" customHeight="1" x14ac:dyDescent="0.25">
      <c r="F1515" s="38" t="s">
        <v>3393</v>
      </c>
    </row>
    <row r="1516" spans="6:6" ht="47.25" customHeight="1" x14ac:dyDescent="0.25">
      <c r="F1516" s="38" t="s">
        <v>3394</v>
      </c>
    </row>
    <row r="1517" spans="6:6" ht="31.5" customHeight="1" x14ac:dyDescent="0.25">
      <c r="F1517" s="38" t="s">
        <v>3395</v>
      </c>
    </row>
    <row r="1518" spans="6:6" ht="47.25" customHeight="1" x14ac:dyDescent="0.25">
      <c r="F1518" s="38" t="s">
        <v>3396</v>
      </c>
    </row>
    <row r="1519" spans="6:6" ht="47.25" customHeight="1" x14ac:dyDescent="0.25">
      <c r="F1519" s="38" t="s">
        <v>3397</v>
      </c>
    </row>
    <row r="1520" spans="6:6" ht="47.25" customHeight="1" x14ac:dyDescent="0.25">
      <c r="F1520" s="38" t="s">
        <v>3398</v>
      </c>
    </row>
    <row r="1521" spans="6:6" ht="63" customHeight="1" x14ac:dyDescent="0.25">
      <c r="F1521" s="38" t="s">
        <v>3399</v>
      </c>
    </row>
    <row r="1522" spans="6:6" ht="63" customHeight="1" x14ac:dyDescent="0.25">
      <c r="F1522" s="38" t="s">
        <v>3400</v>
      </c>
    </row>
    <row r="1523" spans="6:6" ht="47.25" customHeight="1" x14ac:dyDescent="0.25">
      <c r="F1523" s="38" t="s">
        <v>3401</v>
      </c>
    </row>
    <row r="1524" spans="6:6" ht="47.25" customHeight="1" x14ac:dyDescent="0.25">
      <c r="F1524" s="38" t="s">
        <v>3402</v>
      </c>
    </row>
    <row r="1525" spans="6:6" ht="47.25" customHeight="1" x14ac:dyDescent="0.25">
      <c r="F1525" s="38" t="s">
        <v>3403</v>
      </c>
    </row>
    <row r="1526" spans="6:6" ht="31.5" customHeight="1" x14ac:dyDescent="0.25">
      <c r="F1526" s="38" t="s">
        <v>3404</v>
      </c>
    </row>
    <row r="1527" spans="6:6" ht="31.5" customHeight="1" x14ac:dyDescent="0.25">
      <c r="F1527" s="38" t="s">
        <v>3405</v>
      </c>
    </row>
    <row r="1528" spans="6:6" ht="31.5" customHeight="1" x14ac:dyDescent="0.25">
      <c r="F1528" s="38" t="s">
        <v>3406</v>
      </c>
    </row>
    <row r="1529" spans="6:6" ht="47.25" customHeight="1" x14ac:dyDescent="0.25">
      <c r="F1529" s="38" t="s">
        <v>3407</v>
      </c>
    </row>
    <row r="1530" spans="6:6" ht="31.5" customHeight="1" x14ac:dyDescent="0.25">
      <c r="F1530" s="38" t="s">
        <v>3408</v>
      </c>
    </row>
    <row r="1531" spans="6:6" ht="31.5" customHeight="1" x14ac:dyDescent="0.25">
      <c r="F1531" s="38" t="s">
        <v>3409</v>
      </c>
    </row>
    <row r="1532" spans="6:6" ht="63" customHeight="1" x14ac:dyDescent="0.25">
      <c r="F1532" s="38" t="s">
        <v>3410</v>
      </c>
    </row>
    <row r="1533" spans="6:6" ht="47.25" customHeight="1" x14ac:dyDescent="0.25">
      <c r="F1533" s="38" t="s">
        <v>3411</v>
      </c>
    </row>
    <row r="1534" spans="6:6" ht="31.5" customHeight="1" x14ac:dyDescent="0.25">
      <c r="F1534" s="38" t="s">
        <v>3412</v>
      </c>
    </row>
    <row r="1535" spans="6:6" ht="31.5" customHeight="1" x14ac:dyDescent="0.25">
      <c r="F1535" s="38" t="s">
        <v>3413</v>
      </c>
    </row>
    <row r="1536" spans="6:6" ht="31.5" customHeight="1" x14ac:dyDescent="0.25">
      <c r="F1536" s="38" t="s">
        <v>3414</v>
      </c>
    </row>
    <row r="1537" spans="6:6" ht="31.5" customHeight="1" x14ac:dyDescent="0.25">
      <c r="F1537" s="38" t="s">
        <v>3415</v>
      </c>
    </row>
    <row r="1538" spans="6:6" ht="31.5" customHeight="1" x14ac:dyDescent="0.25">
      <c r="F1538" s="38" t="s">
        <v>3416</v>
      </c>
    </row>
    <row r="1539" spans="6:6" ht="47.25" customHeight="1" x14ac:dyDescent="0.25">
      <c r="F1539" s="38" t="s">
        <v>3417</v>
      </c>
    </row>
    <row r="1540" spans="6:6" x14ac:dyDescent="0.25">
      <c r="F1540" s="38" t="s">
        <v>3418</v>
      </c>
    </row>
    <row r="1541" spans="6:6" ht="47.25" customHeight="1" x14ac:dyDescent="0.25">
      <c r="F1541" s="38" t="s">
        <v>3419</v>
      </c>
    </row>
    <row r="1542" spans="6:6" ht="47.25" customHeight="1" x14ac:dyDescent="0.25">
      <c r="F1542" s="38" t="s">
        <v>3420</v>
      </c>
    </row>
    <row r="1543" spans="6:6" ht="31.5" customHeight="1" x14ac:dyDescent="0.25">
      <c r="F1543" s="38" t="s">
        <v>3421</v>
      </c>
    </row>
    <row r="1544" spans="6:6" ht="47.25" customHeight="1" x14ac:dyDescent="0.25">
      <c r="F1544" s="38" t="s">
        <v>3422</v>
      </c>
    </row>
    <row r="1545" spans="6:6" ht="47.25" customHeight="1" x14ac:dyDescent="0.25">
      <c r="F1545" s="38" t="s">
        <v>3423</v>
      </c>
    </row>
    <row r="1546" spans="6:6" ht="63" customHeight="1" x14ac:dyDescent="0.25">
      <c r="F1546" s="38" t="s">
        <v>3424</v>
      </c>
    </row>
    <row r="1547" spans="6:6" ht="31.5" customHeight="1" x14ac:dyDescent="0.25">
      <c r="F1547" s="38" t="s">
        <v>3425</v>
      </c>
    </row>
    <row r="1548" spans="6:6" ht="47.25" customHeight="1" x14ac:dyDescent="0.25">
      <c r="F1548" s="38" t="s">
        <v>3426</v>
      </c>
    </row>
    <row r="1549" spans="6:6" ht="31.5" customHeight="1" x14ac:dyDescent="0.25">
      <c r="F1549" s="38" t="s">
        <v>3427</v>
      </c>
    </row>
    <row r="1550" spans="6:6" ht="47.25" customHeight="1" x14ac:dyDescent="0.25">
      <c r="F1550" s="38" t="s">
        <v>3428</v>
      </c>
    </row>
    <row r="1551" spans="6:6" ht="47.25" customHeight="1" x14ac:dyDescent="0.25">
      <c r="F1551" s="38" t="s">
        <v>3429</v>
      </c>
    </row>
    <row r="1552" spans="6:6" ht="47.25" customHeight="1" x14ac:dyDescent="0.25">
      <c r="F1552" s="38" t="s">
        <v>3430</v>
      </c>
    </row>
    <row r="1553" spans="6:6" ht="47.25" customHeight="1" x14ac:dyDescent="0.25">
      <c r="F1553" s="38" t="s">
        <v>3431</v>
      </c>
    </row>
    <row r="1554" spans="6:6" ht="63" customHeight="1" x14ac:dyDescent="0.25">
      <c r="F1554" s="38" t="s">
        <v>3432</v>
      </c>
    </row>
    <row r="1555" spans="6:6" ht="47.25" customHeight="1" x14ac:dyDescent="0.25">
      <c r="F1555" s="38" t="s">
        <v>3433</v>
      </c>
    </row>
    <row r="1556" spans="6:6" ht="47.25" customHeight="1" x14ac:dyDescent="0.25">
      <c r="F1556" s="38" t="s">
        <v>3434</v>
      </c>
    </row>
    <row r="1557" spans="6:6" ht="47.25" customHeight="1" x14ac:dyDescent="0.25">
      <c r="F1557" s="38" t="s">
        <v>3435</v>
      </c>
    </row>
    <row r="1558" spans="6:6" ht="63" customHeight="1" x14ac:dyDescent="0.25">
      <c r="F1558" s="38" t="s">
        <v>3436</v>
      </c>
    </row>
    <row r="1559" spans="6:6" ht="47.25" customHeight="1" x14ac:dyDescent="0.25">
      <c r="F1559" s="38" t="s">
        <v>3437</v>
      </c>
    </row>
    <row r="1560" spans="6:6" ht="31.5" customHeight="1" x14ac:dyDescent="0.25">
      <c r="F1560" s="38" t="s">
        <v>3438</v>
      </c>
    </row>
    <row r="1561" spans="6:6" ht="31.5" customHeight="1" x14ac:dyDescent="0.25">
      <c r="F1561" s="38" t="s">
        <v>3439</v>
      </c>
    </row>
    <row r="1562" spans="6:6" ht="47.25" customHeight="1" x14ac:dyDescent="0.25">
      <c r="F1562" s="38" t="s">
        <v>3440</v>
      </c>
    </row>
    <row r="1563" spans="6:6" ht="47.25" customHeight="1" x14ac:dyDescent="0.25">
      <c r="F1563" s="38" t="s">
        <v>3441</v>
      </c>
    </row>
    <row r="1564" spans="6:6" ht="63" customHeight="1" x14ac:dyDescent="0.25">
      <c r="F1564" s="38" t="s">
        <v>3442</v>
      </c>
    </row>
    <row r="1565" spans="6:6" ht="31.5" customHeight="1" x14ac:dyDescent="0.25">
      <c r="F1565" s="38" t="s">
        <v>3443</v>
      </c>
    </row>
    <row r="1566" spans="6:6" ht="47.25" customHeight="1" x14ac:dyDescent="0.25">
      <c r="F1566" s="38" t="s">
        <v>3444</v>
      </c>
    </row>
    <row r="1567" spans="6:6" ht="47.25" customHeight="1" x14ac:dyDescent="0.25">
      <c r="F1567" s="38" t="s">
        <v>3445</v>
      </c>
    </row>
    <row r="1568" spans="6:6" ht="47.25" customHeight="1" x14ac:dyDescent="0.25">
      <c r="F1568" s="38" t="s">
        <v>3446</v>
      </c>
    </row>
    <row r="1569" spans="6:6" ht="47.25" customHeight="1" x14ac:dyDescent="0.25">
      <c r="F1569" s="38" t="s">
        <v>3447</v>
      </c>
    </row>
    <row r="1570" spans="6:6" ht="47.25" customHeight="1" x14ac:dyDescent="0.25">
      <c r="F1570" s="38" t="s">
        <v>3448</v>
      </c>
    </row>
    <row r="1571" spans="6:6" ht="47.25" customHeight="1" x14ac:dyDescent="0.25">
      <c r="F1571" s="38" t="s">
        <v>3449</v>
      </c>
    </row>
    <row r="1572" spans="6:6" ht="47.25" customHeight="1" x14ac:dyDescent="0.25">
      <c r="F1572" s="38" t="s">
        <v>3450</v>
      </c>
    </row>
    <row r="1573" spans="6:6" ht="47.25" customHeight="1" x14ac:dyDescent="0.25">
      <c r="F1573" s="38" t="s">
        <v>3451</v>
      </c>
    </row>
    <row r="1574" spans="6:6" ht="47.25" customHeight="1" x14ac:dyDescent="0.25">
      <c r="F1574" s="38" t="s">
        <v>3452</v>
      </c>
    </row>
    <row r="1575" spans="6:6" ht="47.25" customHeight="1" x14ac:dyDescent="0.25">
      <c r="F1575" s="38" t="s">
        <v>3453</v>
      </c>
    </row>
    <row r="1576" spans="6:6" ht="47.25" customHeight="1" x14ac:dyDescent="0.25">
      <c r="F1576" s="38" t="s">
        <v>3454</v>
      </c>
    </row>
    <row r="1577" spans="6:6" ht="31.5" customHeight="1" x14ac:dyDescent="0.25">
      <c r="F1577" s="38" t="s">
        <v>3455</v>
      </c>
    </row>
    <row r="1578" spans="6:6" ht="47.25" customHeight="1" x14ac:dyDescent="0.25">
      <c r="F1578" s="38" t="s">
        <v>3456</v>
      </c>
    </row>
    <row r="1579" spans="6:6" ht="31.5" customHeight="1" x14ac:dyDescent="0.25">
      <c r="F1579" s="38" t="s">
        <v>3457</v>
      </c>
    </row>
    <row r="1580" spans="6:6" ht="47.25" customHeight="1" x14ac:dyDescent="0.25">
      <c r="F1580" s="38" t="s">
        <v>3458</v>
      </c>
    </row>
    <row r="1581" spans="6:6" ht="47.25" customHeight="1" x14ac:dyDescent="0.25">
      <c r="F1581" s="38" t="s">
        <v>3459</v>
      </c>
    </row>
    <row r="1582" spans="6:6" ht="31.5" customHeight="1" x14ac:dyDescent="0.25">
      <c r="F1582" s="38" t="s">
        <v>3460</v>
      </c>
    </row>
    <row r="1583" spans="6:6" ht="47.25" customHeight="1" x14ac:dyDescent="0.25">
      <c r="F1583" s="38" t="s">
        <v>3461</v>
      </c>
    </row>
    <row r="1584" spans="6:6" ht="47.25" customHeight="1" x14ac:dyDescent="0.25">
      <c r="F1584" s="38" t="s">
        <v>3462</v>
      </c>
    </row>
    <row r="1585" spans="6:6" ht="47.25" customHeight="1" x14ac:dyDescent="0.25">
      <c r="F1585" s="38" t="s">
        <v>3463</v>
      </c>
    </row>
    <row r="1586" spans="6:6" ht="47.25" customHeight="1" x14ac:dyDescent="0.25">
      <c r="F1586" s="38" t="s">
        <v>3464</v>
      </c>
    </row>
    <row r="1587" spans="6:6" ht="47.25" customHeight="1" x14ac:dyDescent="0.25">
      <c r="F1587" s="38" t="s">
        <v>3465</v>
      </c>
    </row>
    <row r="1588" spans="6:6" ht="31.5" customHeight="1" x14ac:dyDescent="0.25">
      <c r="F1588" s="38" t="s">
        <v>3466</v>
      </c>
    </row>
    <row r="1589" spans="6:6" ht="47.25" customHeight="1" x14ac:dyDescent="0.25">
      <c r="F1589" s="38" t="s">
        <v>3467</v>
      </c>
    </row>
    <row r="1590" spans="6:6" ht="47.25" customHeight="1" x14ac:dyDescent="0.25">
      <c r="F1590" s="38" t="s">
        <v>3468</v>
      </c>
    </row>
    <row r="1591" spans="6:6" ht="31.5" customHeight="1" x14ac:dyDescent="0.25">
      <c r="F1591" s="38" t="s">
        <v>3469</v>
      </c>
    </row>
    <row r="1592" spans="6:6" ht="47.25" customHeight="1" x14ac:dyDescent="0.25">
      <c r="F1592" s="38" t="s">
        <v>3470</v>
      </c>
    </row>
    <row r="1593" spans="6:6" ht="78.75" customHeight="1" x14ac:dyDescent="0.25">
      <c r="F1593" s="38" t="s">
        <v>3471</v>
      </c>
    </row>
    <row r="1594" spans="6:6" ht="47.25" customHeight="1" x14ac:dyDescent="0.25">
      <c r="F1594" s="38" t="s">
        <v>3472</v>
      </c>
    </row>
    <row r="1595" spans="6:6" ht="47.25" customHeight="1" x14ac:dyDescent="0.25">
      <c r="F1595" s="38" t="s">
        <v>3473</v>
      </c>
    </row>
    <row r="1596" spans="6:6" ht="47.25" customHeight="1" x14ac:dyDescent="0.25">
      <c r="F1596" s="38" t="s">
        <v>3474</v>
      </c>
    </row>
    <row r="1597" spans="6:6" ht="31.5" customHeight="1" x14ac:dyDescent="0.25">
      <c r="F1597" s="38" t="s">
        <v>3475</v>
      </c>
    </row>
    <row r="1598" spans="6:6" ht="63" customHeight="1" x14ac:dyDescent="0.25">
      <c r="F1598" s="38" t="s">
        <v>3476</v>
      </c>
    </row>
    <row r="1599" spans="6:6" ht="31.5" customHeight="1" x14ac:dyDescent="0.25">
      <c r="F1599" s="38" t="s">
        <v>3477</v>
      </c>
    </row>
    <row r="1600" spans="6:6" ht="63" customHeight="1" x14ac:dyDescent="0.25">
      <c r="F1600" s="38" t="s">
        <v>3478</v>
      </c>
    </row>
    <row r="1601" spans="6:6" ht="63" customHeight="1" x14ac:dyDescent="0.25">
      <c r="F1601" s="38" t="s">
        <v>3479</v>
      </c>
    </row>
    <row r="1602" spans="6:6" ht="31.5" customHeight="1" x14ac:dyDescent="0.25">
      <c r="F1602" s="38" t="s">
        <v>3480</v>
      </c>
    </row>
    <row r="1603" spans="6:6" ht="31.5" customHeight="1" x14ac:dyDescent="0.25">
      <c r="F1603" s="38" t="s">
        <v>3481</v>
      </c>
    </row>
    <row r="1604" spans="6:6" ht="31.5" customHeight="1" x14ac:dyDescent="0.25">
      <c r="F1604" s="38" t="s">
        <v>3482</v>
      </c>
    </row>
    <row r="1605" spans="6:6" ht="47.25" customHeight="1" x14ac:dyDescent="0.25">
      <c r="F1605" s="38" t="s">
        <v>3483</v>
      </c>
    </row>
    <row r="1606" spans="6:6" ht="94.5" customHeight="1" x14ac:dyDescent="0.25">
      <c r="F1606" s="38" t="s">
        <v>3484</v>
      </c>
    </row>
    <row r="1607" spans="6:6" ht="31.5" customHeight="1" x14ac:dyDescent="0.25">
      <c r="F1607" s="38" t="s">
        <v>3485</v>
      </c>
    </row>
    <row r="1608" spans="6:6" ht="31.5" customHeight="1" x14ac:dyDescent="0.25">
      <c r="F1608" s="38" t="s">
        <v>3486</v>
      </c>
    </row>
    <row r="1609" spans="6:6" ht="31.5" customHeight="1" x14ac:dyDescent="0.25">
      <c r="F1609" s="38" t="s">
        <v>3487</v>
      </c>
    </row>
  </sheetData>
  <conditionalFormatting sqref="A2:K312 A314:K524 A313:E313 G313:K313">
    <cfRule type="expression" dxfId="19" priority="11">
      <formula>ISEVEN(ROW())</formula>
    </cfRule>
  </conditionalFormatting>
  <conditionalFormatting sqref="F1:F235 F237:F312 F314:F524 F529:F1048576">
    <cfRule type="duplicateValues" dxfId="18" priority="10"/>
  </conditionalFormatting>
  <conditionalFormatting sqref="L2:P524 P537:P1048576">
    <cfRule type="containsText" dxfId="17" priority="3" operator="containsText" text="GERİ ÇEKİLDİ">
      <formula>NOT(ISERROR(SEARCH("GERİ ÇEKİLDİ",L2)))</formula>
    </cfRule>
    <cfRule type="containsText" dxfId="16" priority="4" operator="containsText" text="RET">
      <formula>NOT(ISERROR(SEARCH("RET",L2)))</formula>
    </cfRule>
    <cfRule type="containsText" dxfId="15" priority="5" operator="containsText" text="KAPSAM DIŞI">
      <formula>NOT(ISERROR(SEARCH("KAPSAM DIŞI",L2)))</formula>
    </cfRule>
    <cfRule type="containsText" dxfId="14" priority="6" operator="containsText" text="KAEK">
      <formula>NOT(ISERROR(SEARCH("KAEK",L2)))</formula>
    </cfRule>
    <cfRule type="containsText" dxfId="13" priority="7" operator="containsText" text="GÖRÜŞ">
      <formula>NOT(ISERROR(SEARCH("GÖRÜŞ",L2)))</formula>
    </cfRule>
    <cfRule type="containsText" dxfId="12" priority="8" operator="containsText" text="DÜZELTME">
      <formula>NOT(ISERROR(SEARCH("DÜZELTME",L2)))</formula>
    </cfRule>
    <cfRule type="containsText" dxfId="11" priority="9" operator="containsText" text="ONAY">
      <formula>NOT(ISERROR(SEARCH("ONAY",L2)))</formula>
    </cfRule>
  </conditionalFormatting>
  <conditionalFormatting sqref="R1:R524 R529:R1048576">
    <cfRule type="expression" dxfId="10" priority="2">
      <formula>LEN(TRIM(R1))&gt;0</formula>
    </cfRule>
  </conditionalFormatting>
  <dataValidations count="1">
    <dataValidation type="list" allowBlank="1" showInputMessage="1" showErrorMessage="1" sqref="L2:O52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T34"/>
  <sheetViews>
    <sheetView showZeros="0" zoomScale="50" zoomScaleNormal="50" workbookViewId="0">
      <selection activeCell="C20" sqref="C20"/>
    </sheetView>
  </sheetViews>
  <sheetFormatPr defaultColWidth="9.140625" defaultRowHeight="18.75" x14ac:dyDescent="0.3"/>
  <cols>
    <col min="1" max="1" width="8.7109375" style="27" customWidth="1"/>
    <col min="2" max="2" width="58.42578125" style="27" customWidth="1"/>
    <col min="3" max="3" width="21.28515625" style="27" customWidth="1"/>
    <col min="4" max="4" width="41.28515625" style="27" customWidth="1"/>
    <col min="5" max="5" width="47.85546875" style="27" customWidth="1"/>
    <col min="6" max="6" width="41.5703125" style="27" customWidth="1"/>
    <col min="7" max="7" width="42.140625" style="27" customWidth="1"/>
    <col min="8" max="8" width="37.85546875" style="27" customWidth="1"/>
    <col min="9" max="9" width="52.140625" style="27" customWidth="1"/>
    <col min="10" max="10" width="52.7109375" style="27" customWidth="1"/>
    <col min="11" max="11" width="33" style="27" customWidth="1"/>
    <col min="12" max="12" width="41.85546875" style="27" customWidth="1"/>
    <col min="13" max="13" width="48.42578125" style="27" customWidth="1"/>
    <col min="14" max="14" width="42.140625" style="27" customWidth="1"/>
    <col min="15" max="15" width="42.7109375" style="27" customWidth="1"/>
    <col min="16" max="16" width="38.42578125" style="27" customWidth="1"/>
    <col min="17" max="17" width="52.7109375" style="27" customWidth="1"/>
    <col min="18" max="18" width="53.28515625" style="27" customWidth="1"/>
    <col min="19" max="19" width="51.5703125" style="27" customWidth="1"/>
    <col min="20" max="20" width="31.28515625" style="27" customWidth="1"/>
    <col min="21" max="21" width="38.7109375" style="27" customWidth="1"/>
    <col min="22" max="22" width="31.5703125" style="27" customWidth="1"/>
    <col min="23" max="23" width="32.140625" style="27" customWidth="1"/>
    <col min="24" max="24" width="27.85546875" style="27" customWidth="1"/>
    <col min="25" max="25" width="42.140625" style="27" customWidth="1"/>
    <col min="26" max="26" width="42.7109375" style="27" customWidth="1"/>
    <col min="27" max="27" width="42.140625" style="27" customWidth="1"/>
    <col min="28" max="28" width="34.140625" style="27" customWidth="1"/>
    <col min="29" max="29" width="41" style="27" customWidth="1"/>
    <col min="30" max="30" width="34.42578125" style="27" customWidth="1"/>
    <col min="31" max="31" width="35.28515625" style="27" customWidth="1"/>
    <col min="32" max="32" width="31" style="27" customWidth="1"/>
    <col min="33" max="33" width="45.28515625" style="27" customWidth="1"/>
    <col min="34" max="34" width="45.85546875" style="27" customWidth="1"/>
    <col min="35" max="35" width="42.7109375" style="27" customWidth="1"/>
    <col min="36" max="36" width="22.42578125" style="27" customWidth="1"/>
    <col min="37" max="37" width="29.85546875" style="27" customWidth="1"/>
    <col min="38" max="38" width="24.42578125" style="27" customWidth="1"/>
    <col min="39" max="39" width="24.140625" style="27" customWidth="1"/>
    <col min="40" max="40" width="19.85546875" style="27" customWidth="1"/>
    <col min="41" max="41" width="34.140625" style="27" customWidth="1"/>
    <col min="42" max="42" width="34.7109375" style="27" customWidth="1"/>
    <col min="43" max="43" width="27.5703125" style="27" customWidth="1"/>
    <col min="44" max="44" width="44.140625" style="27" customWidth="1"/>
    <col min="45" max="45" width="29.7109375" style="80" customWidth="1"/>
    <col min="46" max="46" width="14.7109375" style="81" customWidth="1"/>
    <col min="47" max="47" width="16" style="27" customWidth="1"/>
    <col min="48" max="16384" width="9.140625" style="27"/>
  </cols>
  <sheetData>
    <row r="1" spans="1:46" s="94" customFormat="1" ht="20.25" customHeight="1" x14ac:dyDescent="0.25">
      <c r="A1" s="82" t="s">
        <v>3488</v>
      </c>
      <c r="B1" s="83" t="s">
        <v>3489</v>
      </c>
      <c r="C1" s="84" t="s">
        <v>3490</v>
      </c>
      <c r="D1" s="85" t="s">
        <v>3491</v>
      </c>
      <c r="E1" s="85" t="s">
        <v>3492</v>
      </c>
      <c r="F1" s="85" t="s">
        <v>3493</v>
      </c>
      <c r="G1" s="85" t="s">
        <v>3494</v>
      </c>
      <c r="H1" s="85" t="s">
        <v>3495</v>
      </c>
      <c r="I1" s="85" t="s">
        <v>3496</v>
      </c>
      <c r="J1" s="85" t="s">
        <v>3497</v>
      </c>
      <c r="K1" s="86" t="s">
        <v>3498</v>
      </c>
      <c r="L1" s="87" t="s">
        <v>3499</v>
      </c>
      <c r="M1" s="85" t="s">
        <v>3500</v>
      </c>
      <c r="N1" s="85" t="s">
        <v>3501</v>
      </c>
      <c r="O1" s="85" t="s">
        <v>3502</v>
      </c>
      <c r="P1" s="85" t="s">
        <v>3503</v>
      </c>
      <c r="Q1" s="85" t="s">
        <v>3504</v>
      </c>
      <c r="R1" s="85" t="s">
        <v>3505</v>
      </c>
      <c r="S1" s="88" t="s">
        <v>3506</v>
      </c>
      <c r="T1" s="85" t="s">
        <v>3507</v>
      </c>
      <c r="U1" s="85" t="s">
        <v>3508</v>
      </c>
      <c r="V1" s="85" t="s">
        <v>3509</v>
      </c>
      <c r="W1" s="85" t="s">
        <v>3510</v>
      </c>
      <c r="X1" s="85" t="s">
        <v>3511</v>
      </c>
      <c r="Y1" s="85" t="s">
        <v>3512</v>
      </c>
      <c r="Z1" s="85" t="s">
        <v>3513</v>
      </c>
      <c r="AA1" s="89" t="s">
        <v>3514</v>
      </c>
      <c r="AB1" s="85" t="s">
        <v>3515</v>
      </c>
      <c r="AC1" s="85" t="s">
        <v>3516</v>
      </c>
      <c r="AD1" s="85" t="s">
        <v>3517</v>
      </c>
      <c r="AE1" s="85" t="s">
        <v>3518</v>
      </c>
      <c r="AF1" s="85" t="s">
        <v>3519</v>
      </c>
      <c r="AG1" s="85" t="s">
        <v>3520</v>
      </c>
      <c r="AH1" s="85" t="s">
        <v>3521</v>
      </c>
      <c r="AI1" s="89" t="s">
        <v>3522</v>
      </c>
      <c r="AJ1" s="90" t="s">
        <v>3523</v>
      </c>
      <c r="AK1" s="90" t="s">
        <v>3524</v>
      </c>
      <c r="AL1" s="90" t="s">
        <v>3525</v>
      </c>
      <c r="AM1" s="90" t="s">
        <v>3526</v>
      </c>
      <c r="AN1" s="90" t="s">
        <v>3527</v>
      </c>
      <c r="AO1" s="90" t="s">
        <v>3528</v>
      </c>
      <c r="AP1" s="90" t="s">
        <v>3529</v>
      </c>
      <c r="AQ1" s="90" t="s">
        <v>3530</v>
      </c>
      <c r="AR1" s="91" t="s">
        <v>3531</v>
      </c>
      <c r="AS1" s="92" t="s">
        <v>3532</v>
      </c>
      <c r="AT1" s="93" t="s">
        <v>3533</v>
      </c>
    </row>
    <row r="2" spans="1:46" s="94" customFormat="1" ht="30.75" customHeight="1" x14ac:dyDescent="0.25">
      <c r="A2" s="95" t="s">
        <v>56</v>
      </c>
      <c r="B2" s="96" t="s">
        <v>62</v>
      </c>
      <c r="C2" s="97">
        <f>COUNTIF(Başvuru!J2:K1372,"Prof. Dr. Ayşe Nurten AKARSU")</f>
        <v>82</v>
      </c>
      <c r="D2" s="98">
        <f t="array" ref="D2">SUMPRODUCT(((Başvuru!J2:K1372)="Prof. Dr. Ayşe Nurten AKARSU")*(Başvuru!G2:G1372="Bireysel Araştırma")*(Başvuru!L2:L1372="ONAY"))</f>
        <v>33</v>
      </c>
      <c r="E2" s="98">
        <f t="array" ref="E2">SUMPRODUCT(((Başvuru!J2:K1372)="Prof. Dr. Ayşe Nurten AKARSU")*(Başvuru!G2:G1372="Bireysel Araştırma")*(Başvuru!L2:L1372="DÜZELTME"))</f>
        <v>23</v>
      </c>
      <c r="F2" s="98">
        <f t="array" ref="F2">SUMPRODUCT(((Başvuru!J2:K1372)="Prof. Dr. Ayşe Nurten AKARSU")*(Başvuru!G2:G1372="Bireysel Araştırma")*(Başvuru!L2:L1372="KAEK"))</f>
        <v>0</v>
      </c>
      <c r="G2" s="98">
        <f t="array" ref="G2">SUMPRODUCT(((Başvuru!J2:K1372)="Prof. Dr. Ayşe Nurten AKARSU")*(Başvuru!G2:G1372="Bireysel Araştırma")*(Başvuru!L2:L1372="GÖRÜŞ"))</f>
        <v>3</v>
      </c>
      <c r="H2" s="98">
        <f t="array" ref="H2">SUMPRODUCT(((Başvuru!J2:K1372)="Prof. Dr. Ayşe Nurten AKARSU")*(Başvuru!G2:G1372="Bireysel Araştırma")*(Başvuru!L2:L1372="RET"))</f>
        <v>2</v>
      </c>
      <c r="I2" s="98">
        <f t="array" ref="I2">SUMPRODUCT(((Başvuru!J2:K1372)="Prof. Dr. Ayşe Nurten AKARSU")*(Başvuru!G2:G1372="Bireysel Araştırma")*(Başvuru!L2:L1372="KAPSAM DIŞI"))</f>
        <v>0</v>
      </c>
      <c r="J2" s="98">
        <f t="array" ref="J2">SUMPRODUCT(((Başvuru!J2:K1372)="Prof. Dr. Ayşe Nurten AKARSU")*(Başvuru!G2:G1372="Bireysel Araştırma")*(Başvuru!L2:L1372="GERİ ÇEKİLDİ"))</f>
        <v>0</v>
      </c>
      <c r="K2" s="97">
        <f t="shared" ref="K2:K13" si="0">SUM(D2:J2)</f>
        <v>61</v>
      </c>
      <c r="L2" s="97">
        <f t="array" ref="L2">SUMPRODUCT(((Başvuru!J2:K1372)="Prof. Dr. Ayşe Nurten AKARSU")*(Başvuru!G2:G1372="Yüksek Lisans Tezi")*(Başvuru!L2:L1372="ONAY"))</f>
        <v>0</v>
      </c>
      <c r="M2" s="97">
        <f t="array" ref="M2">SUMPRODUCT(((Başvuru!J2:K1372)="Prof. Dr. Ayşe Nurten AKARSU")*(Başvuru!G2:G1372="Yüksek Lisans Tezi")*(Başvuru!L2:L1372="DÜZELTME"))</f>
        <v>4</v>
      </c>
      <c r="N2" s="97">
        <f t="array" ref="N2">SUMPRODUCT(((Başvuru!J2:K1372)="Prof. Dr. Ayşe Nurten AKARSU")*(Başvuru!G2:G1372="Yüksek Lisans Tezi")*(Başvuru!L2:L1372="KAEK"))</f>
        <v>0</v>
      </c>
      <c r="O2" s="97">
        <f t="array" ref="O2">SUMPRODUCT(((Başvuru!J2:K1372)="Prof. Dr. Ayşe Nurten AKARSU")*(Başvuru!G2:G1372="Yüksek Lisans Tezi")*(Başvuru!L2:L1372="GÖRÜŞ"))</f>
        <v>0</v>
      </c>
      <c r="P2" s="97">
        <f t="array" ref="P2">SUMPRODUCT(((Başvuru!J2:K1372)="Prof. Dr. Ayşe Nurten AKARSU")*(Başvuru!G2:G1372="Yüksek Lisans Tezi")*(Başvuru!L2:L1372="RET"))</f>
        <v>0</v>
      </c>
      <c r="Q2" s="97">
        <f t="array" ref="Q2">SUMPRODUCT(((Başvuru!J2:K1372)="Prof. Dr. Ayşe Nurten AKARSU")*(Başvuru!G2:G1372="Yüksek Lisans Tezi")*(Başvuru!L2:L1372="KAPSAM DIŞI"))</f>
        <v>0</v>
      </c>
      <c r="R2" s="97">
        <f t="array" ref="R2">SUMPRODUCT(((Başvuru!J2:K1372)="Prof. Dr. Ayşe Nurten AKARSU")*(Başvuru!G2:G1372="Yüksek Lisans Tezi")*(Başvuru!L2:L1372="GERİ ÇEKİLDİ"))</f>
        <v>0</v>
      </c>
      <c r="S2" s="97">
        <f t="shared" ref="S2:S13" si="1">SUM(L2:R2)</f>
        <v>4</v>
      </c>
      <c r="T2" s="97">
        <f t="array" ref="T2">SUMPRODUCT(((Başvuru!J2:K1372)="Prof. Dr. Ayşe Nurten AKARSU")*(Başvuru!G2:G1372="Doktora Tezi")*(Başvuru!L2:L1372="ONAY"))</f>
        <v>3</v>
      </c>
      <c r="U2" s="97">
        <f t="array" ref="U2">SUMPRODUCT(((Başvuru!J2:K1372)="Prof. Dr. Ayşe Nurten AKARSU")*(Başvuru!G2:G1372="Doktora Tezi")*(Başvuru!L2:L1372="DÜZELTME"))</f>
        <v>3</v>
      </c>
      <c r="V2" s="97">
        <f t="array" ref="V2">SUMPRODUCT(((Başvuru!J2:K1372)="Prof. Dr. Ayşe Nurten AKARSU")*(Başvuru!G2:G1372="Doktora Tezi")*(Başvuru!L2:L1372="KAEK"))</f>
        <v>0</v>
      </c>
      <c r="W2" s="97">
        <f t="array" ref="W2">SUMPRODUCT(((Başvuru!J2:K1372)="Prof. Dr. Ayşe Nurten AKARSU")*(Başvuru!G2:G1372="Doktora Tezi")*(Başvuru!L2:L1372="GÖRÜŞ"))</f>
        <v>0</v>
      </c>
      <c r="X2" s="97">
        <f t="array" ref="X2">SUMPRODUCT(((Başvuru!J2:K1372)="Prof. Dr. Ayşe Nurten AKARSU")*(Başvuru!G2:G1372="Doktora Tezi")*(Başvuru!L2:L1372="RET"))</f>
        <v>0</v>
      </c>
      <c r="Y2" s="97">
        <f t="array" ref="Y2">SUMPRODUCT(((Başvuru!J2:K1372)="Prof. Dr. Ayşe Nurten AKARSU")*(Başvuru!G2:G1372="Doktora Tezi")*(Başvuru!L2:L1372="KAPSAM DIŞI"))</f>
        <v>0</v>
      </c>
      <c r="Z2" s="97">
        <f t="array" ref="Z2">SUMPRODUCT(((Başvuru!J2:K1372)="Prof. Dr. Ayşe Nurten AKARSU")*(Başvuru!G2:G1372="Doktora Tezi")*(Başvuru!L2:L1372="GERİ ÇEKİLDİ"))</f>
        <v>0</v>
      </c>
      <c r="AA2" s="97">
        <f t="shared" ref="AA2:AA13" si="2">SUM(T2:Z2)</f>
        <v>6</v>
      </c>
      <c r="AB2" s="97">
        <f t="array" ref="AB2">SUMPRODUCT(((Başvuru!J2:K1372)="Prof. Dr. Ayşe Nurten AKARSU")*(Başvuru!G2:G1372="Uzmanlık Tezi")*(Başvuru!L2:L1372="ONAY"))</f>
        <v>7</v>
      </c>
      <c r="AC2" s="97">
        <f t="array" ref="AC2">SUMPRODUCT(((Başvuru!J2:K1372)="Prof. Dr. Ayşe Nurten AKARSU")*(Başvuru!G2:G1372="Uzmanlık Tezi")*(Başvuru!L2:L1372="DÜZELTME"))</f>
        <v>3</v>
      </c>
      <c r="AD2" s="97">
        <f t="array" ref="AD2">SUMPRODUCT(((Başvuru!J2:K1372)="Prof. Dr. Ayşe Nurten AKARSU")*(Başvuru!G2:G1372="Uzmanlık Tezi")*(Başvuru!L2:L1372="KAEK"))</f>
        <v>0</v>
      </c>
      <c r="AE2" s="97">
        <f t="array" ref="AE2">SUMPRODUCT(((Başvuru!J2:K1372)="Prof. Dr. Ayşe Nurten AKARSU")*(Başvuru!G2:G1372="Uzmanlık Tezi")*(Başvuru!L2:L1372="GÖRÜŞ"))</f>
        <v>0</v>
      </c>
      <c r="AF2" s="97">
        <f t="array" ref="AF2">SUMPRODUCT(((Başvuru!J2:K1372)="Prof. Dr. Ayşe Nurten AKARSU")*(Başvuru!G2:G1372="Uzmanlık Tezi")*(Başvuru!L2:L1372="RET"))</f>
        <v>1</v>
      </c>
      <c r="AG2" s="97">
        <f t="array" ref="AG2">SUMPRODUCT(((Başvuru!J2:K1372)="Prof. Dr. Ayşe Nurten AKARSU")*(Başvuru!G2:G1372="Uzmanlık Tezi")*(Başvuru!L2:L1372="KAPSAM DIŞI"))</f>
        <v>0</v>
      </c>
      <c r="AH2" s="97">
        <f t="array" ref="AH2">SUMPRODUCT(((Başvuru!J2:K1372)="Prof. Dr. Ayşe Nurten AKARSU")*(Başvuru!G2:G1372="Uzmanlık Tezi")*(Başvuru!L2:L1372="GERİ ÇEKİLDİ"))</f>
        <v>0</v>
      </c>
      <c r="AI2" s="97">
        <f t="shared" ref="AI2:AI13" si="3">SUM(AB2:AH2)</f>
        <v>11</v>
      </c>
      <c r="AJ2" s="99">
        <f t="shared" ref="AJ2:AJ13" si="4">SUM(D2,L2,T2,AB2)</f>
        <v>43</v>
      </c>
      <c r="AK2" s="99">
        <f t="shared" ref="AK2:AK13" si="5">SUM(E2,M2,U2,AC2)</f>
        <v>33</v>
      </c>
      <c r="AL2" s="99">
        <f t="shared" ref="AL2:AL13" si="6">SUM(F2,N2,V2,AD2)</f>
        <v>0</v>
      </c>
      <c r="AM2" s="99">
        <f t="shared" ref="AM2:AM13" si="7">SUM(G2,O2,W2,AE2)</f>
        <v>3</v>
      </c>
      <c r="AN2" s="99">
        <f t="shared" ref="AN2:AN13" si="8">SUM(H2,P2,X2,AF2)</f>
        <v>3</v>
      </c>
      <c r="AO2" s="99">
        <f t="shared" ref="AO2:AO13" si="9">SUM(I2,Q2,Y2,AG2)</f>
        <v>0</v>
      </c>
      <c r="AP2" s="99">
        <f t="shared" ref="AP2:AP13" si="10">SUM(J2,R2,Z2,AH2)</f>
        <v>0</v>
      </c>
      <c r="AQ2" s="100">
        <f t="shared" ref="AQ2:AQ14" si="11">SUM(AJ2:AP2)</f>
        <v>82</v>
      </c>
      <c r="AR2" s="97">
        <f t="shared" ref="AR2:AR13" si="12">C2-AQ2</f>
        <v>0</v>
      </c>
      <c r="AS2" s="101">
        <f>COUNTIF(Başvuru!$Q:$Q,$B2)</f>
        <v>18</v>
      </c>
      <c r="AT2" s="102">
        <f>COUNTIFS(Başvuru!$Q:$Q,$B2,Başvuru!$J:$J,"&lt;&gt;"&amp;$B2,Başvuru!$K:$K,"&lt;&gt;"&amp;$B2)</f>
        <v>2</v>
      </c>
    </row>
    <row r="3" spans="1:46" s="94" customFormat="1" ht="30" customHeight="1" x14ac:dyDescent="0.25">
      <c r="A3" s="95" t="s">
        <v>65</v>
      </c>
      <c r="B3" s="96" t="s">
        <v>110</v>
      </c>
      <c r="C3" s="97">
        <f>COUNTIF(Başvuru!J2:K1372,"Prof. Dr. M. Özgür UYANIK")</f>
        <v>91</v>
      </c>
      <c r="D3" s="98">
        <f t="array" ref="D3">SUMPRODUCT(((Başvuru!J2:K1372)="Prof. Dr. M. Özgür UYANIK")*(Başvuru!G2:G1372="Bireysel Araştırma")*(Başvuru!L2:L1372="ONAY"))</f>
        <v>38</v>
      </c>
      <c r="E3" s="98">
        <f t="array" ref="E3">SUMPRODUCT(((Başvuru!J2:K1372)="Prof. Dr. M. Özgür UYANIK")*(Başvuru!G2:G1372="Bireysel Araştırma")*(Başvuru!L2:L1372="DÜZELTME"))</f>
        <v>20</v>
      </c>
      <c r="F3" s="98">
        <f t="array" ref="F3">SUMPRODUCT(((Başvuru!J2:K1372)="Prof. Dr. M. Özgür UYANIK")*(Başvuru!G2:G1372="Bireysel Araştırma")*(Başvuru!L2:L1372="KAEK"))</f>
        <v>1</v>
      </c>
      <c r="G3" s="98">
        <f t="array" ref="G3">SUMPRODUCT(((Başvuru!J2:K1372)="Prof. Dr. M. Özgür UYANIK")*(Başvuru!G2:G1372="Bireysel Araştırma")*(Başvuru!L2:L1372="GÖRÜŞ"))</f>
        <v>3</v>
      </c>
      <c r="H3" s="98">
        <f t="array" ref="H3">SUMPRODUCT(((Başvuru!J2:K1372)="Prof. Dr. M. Özgür UYANIK")*(Başvuru!G2:G1372="Bireysel Araştırma")*(Başvuru!L2:L1372="RET"))</f>
        <v>4</v>
      </c>
      <c r="I3" s="98">
        <f t="array" ref="I3">SUMPRODUCT(((Başvuru!J2:K1372)="Prof. Dr. M. Özgür UYANIK")*(Başvuru!G2:G1372="Bireysel Araştırma")*(Başvuru!L2:L1372="KAPSAM DIŞI"))</f>
        <v>0</v>
      </c>
      <c r="J3" s="98">
        <f t="array" ref="J3">SUMPRODUCT(((Başvuru!J2:K1372)="Prof. Dr. M. Özgür UYANIK")*(Başvuru!G2:G1372="Bireysel Araştırma")*(Başvuru!L2:L1372="GERİ ÇEKİLDİ"))</f>
        <v>0</v>
      </c>
      <c r="K3" s="97">
        <f t="shared" si="0"/>
        <v>66</v>
      </c>
      <c r="L3" s="97">
        <f t="array" ref="L3">SUMPRODUCT(((Başvuru!J2:K1372)="Prof. Dr. M. Özgür UYANIK")*(Başvuru!G2:G1372="Yüksek Lisans Tezi")*(Başvuru!L2:L1372="ONAY"))</f>
        <v>1</v>
      </c>
      <c r="M3" s="97">
        <f t="array" ref="M3">SUMPRODUCT(((Başvuru!J2:K1372)="Prof. Dr. M. Özgür UYANIK")*(Başvuru!G2:G1372="Yüksek Lisans Tezi")*(Başvuru!L2:L1372="DÜZELTME"))</f>
        <v>0</v>
      </c>
      <c r="N3" s="97">
        <f t="array" ref="N3">SUMPRODUCT(((Başvuru!J2:K1372)="Prof. Dr. M. Özgür UYANIK")*(Başvuru!G2:G1372="Yüksek Lisans Tezi")*(Başvuru!L2:L1372="KAEK"))</f>
        <v>0</v>
      </c>
      <c r="O3" s="97">
        <f t="array" ref="O3">SUMPRODUCT(((Başvuru!J2:K1372)="Prof. Dr. M. Özgür UYANIK")*(Başvuru!G2:G1372="Yüksek Lisans Tezi")*(Başvuru!L2:L1372="GÖRÜŞ"))</f>
        <v>0</v>
      </c>
      <c r="P3" s="97">
        <f t="array" ref="P3">SUMPRODUCT(((Başvuru!J2:K1372)="Prof. Dr. M. Özgür UYANIK")*(Başvuru!G2:G1372="Yüksek Lisans Tezi")*(Başvuru!L2:L1372="RET"))</f>
        <v>0</v>
      </c>
      <c r="Q3" s="97">
        <f t="array" ref="Q3">SUMPRODUCT(((Başvuru!J2:K1372)="Prof. Dr. M. Özgür UYANIK")*(Başvuru!G2:G1372="Yüksek Lisans Tezi")*(Başvuru!L2:L1372="KAPSAM DIŞI"))</f>
        <v>0</v>
      </c>
      <c r="R3" s="97">
        <f t="array" ref="R3">SUMPRODUCT(((Başvuru!J2:K1372)="Prof. Dr. M. Özgür UYANIK")*(Başvuru!G2:G1372="Yüksek Lisans Tezi")*(Başvuru!L2:L1372="GERİ ÇEKİLDİ"))</f>
        <v>0</v>
      </c>
      <c r="S3" s="97">
        <f t="shared" si="1"/>
        <v>1</v>
      </c>
      <c r="T3" s="97">
        <f t="array" ref="T3">SUMPRODUCT(((Başvuru!J2:K1372)="Prof. Dr. M. Özgür UYANIK")*(Başvuru!G2:G1372="Doktora Tezi")*(Başvuru!L2:L1372="ONAY"))</f>
        <v>1</v>
      </c>
      <c r="U3" s="97">
        <f t="array" ref="U3">SUMPRODUCT(((Başvuru!J2:K1372)="Prof. Dr. M. Özgür UYANIK")*(Başvuru!G2:G1372="Doktora Tezi")*(Başvuru!L2:L1372="DÜZELTME"))</f>
        <v>1</v>
      </c>
      <c r="V3" s="97">
        <f t="array" ref="V3">SUMPRODUCT(((Başvuru!J2:K1372)="Prof. Dr. M. Özgür UYANIK")*(Başvuru!G2:G1372="Doktora Tezi")*(Başvuru!L2:L1372="KAEK"))</f>
        <v>0</v>
      </c>
      <c r="W3" s="97">
        <f t="array" ref="W3">SUMPRODUCT(((Başvuru!J2:K1372)="Prof. Dr. M. Özgür UYANIK")*(Başvuru!G2:G1372="Doktora Tezi")*(Başvuru!L2:L1372="GÖRÜŞ"))</f>
        <v>0</v>
      </c>
      <c r="X3" s="97">
        <f t="array" ref="X3">SUMPRODUCT(((Başvuru!J2:K1372)="Prof. Dr. M. Özgür UYANIK")*(Başvuru!G2:G1372="Doktora Tezi")*(Başvuru!L2:L1372="RET"))</f>
        <v>0</v>
      </c>
      <c r="Y3" s="97">
        <f t="array" ref="Y3">SUMPRODUCT(((Başvuru!J2:K1372)="Prof. Dr. M. Özgür UYANIK")*(Başvuru!G2:G1372="Doktora Tezi")*(Başvuru!L2:L1372="KAPSAM DIŞI"))</f>
        <v>0</v>
      </c>
      <c r="Z3" s="97">
        <f t="array" ref="Z3">SUMPRODUCT(((Başvuru!J2:K1372)="Prof. Dr. M. Özgür UYANIK")*(Başvuru!G2:G1372="Doktora Tezi")*(Başvuru!L2:L1372="GERİ ÇEKİLDİ"))</f>
        <v>0</v>
      </c>
      <c r="AA3" s="97">
        <f t="shared" si="2"/>
        <v>2</v>
      </c>
      <c r="AB3" s="97">
        <f t="array" ref="AB3">SUMPRODUCT(((Başvuru!J2:K1372)="Prof. Dr. M. Özgür UYANIK")*(Başvuru!G2:G1372="Uzmanlık Tezi")*(Başvuru!L2:L1372="ONAY"))</f>
        <v>15</v>
      </c>
      <c r="AC3" s="97">
        <f t="array" ref="AC3">SUMPRODUCT(((Başvuru!J2:K1372)="Prof. Dr. M. Özgür UYANIK")*(Başvuru!G2:G1372="Uzmanlık Tezi")*(Başvuru!L2:L1372="DÜZELTME"))</f>
        <v>5</v>
      </c>
      <c r="AD3" s="97">
        <f t="array" ref="AD3">SUMPRODUCT(((Başvuru!J2:K1372)="Prof. Dr. M. Özgür UYANIK")*(Başvuru!G2:G1372="Uzmanlık Tezi")*(Başvuru!L2:L1372="KAEK"))</f>
        <v>0</v>
      </c>
      <c r="AE3" s="97">
        <f t="array" ref="AE3">SUMPRODUCT(((Başvuru!J2:K1372)="Prof. Dr. M. Özgür UYANIK")*(Başvuru!G2:G1372="Uzmanlık Tezi")*(Başvuru!L2:L1372="GÖRÜŞ"))</f>
        <v>1</v>
      </c>
      <c r="AF3" s="97">
        <f t="array" ref="AF3">SUMPRODUCT(((Başvuru!J2:K1372)="Prof. Dr. M. Özgür UYANIK")*(Başvuru!G2:G1372="Uzmanlık Tezi")*(Başvuru!L2:L1372="RET"))</f>
        <v>0</v>
      </c>
      <c r="AG3" s="97">
        <f t="array" ref="AG3">SUMPRODUCT(((Başvuru!J2:K1372)="Prof. Dr. M. Özgür UYANIK")*(Başvuru!G2:G1372="Uzmanlık Tezi")*(Başvuru!L2:L1372="KAPSAM DIŞI"))</f>
        <v>0</v>
      </c>
      <c r="AH3" s="97">
        <f t="array" ref="AH3">SUMPRODUCT(((Başvuru!J2:K1372)="Prof. Dr. M. Özgür UYANIK")*(Başvuru!G2:G1372="Uzmanlık Tezi")*(Başvuru!L2:L1372="GERİ ÇEKİLDİ"))</f>
        <v>0</v>
      </c>
      <c r="AI3" s="97">
        <f t="shared" si="3"/>
        <v>21</v>
      </c>
      <c r="AJ3" s="99">
        <f t="shared" si="4"/>
        <v>55</v>
      </c>
      <c r="AK3" s="99">
        <f t="shared" si="5"/>
        <v>26</v>
      </c>
      <c r="AL3" s="99">
        <f t="shared" si="6"/>
        <v>1</v>
      </c>
      <c r="AM3" s="99">
        <f t="shared" si="7"/>
        <v>4</v>
      </c>
      <c r="AN3" s="99">
        <f t="shared" si="8"/>
        <v>4</v>
      </c>
      <c r="AO3" s="99">
        <f t="shared" si="9"/>
        <v>0</v>
      </c>
      <c r="AP3" s="99">
        <f t="shared" si="10"/>
        <v>0</v>
      </c>
      <c r="AQ3" s="100">
        <f t="shared" si="11"/>
        <v>90</v>
      </c>
      <c r="AR3" s="97">
        <f t="shared" si="12"/>
        <v>1</v>
      </c>
      <c r="AS3" s="101">
        <f>COUNTIF(Başvuru!$Q:$Q,$B3)</f>
        <v>5</v>
      </c>
      <c r="AT3" s="102">
        <f>COUNTIFS(Başvuru!$Q:$Q,$B3,Başvuru!$J:$J,"&lt;&gt;"&amp;$B3,Başvuru!$K:$K,"&lt;&gt;"&amp;$B3)</f>
        <v>0</v>
      </c>
    </row>
    <row r="4" spans="1:46" s="94" customFormat="1" ht="30" customHeight="1" x14ac:dyDescent="0.25">
      <c r="A4" s="95" t="s">
        <v>72</v>
      </c>
      <c r="B4" s="96" t="s">
        <v>96</v>
      </c>
      <c r="C4" s="97">
        <f>COUNTIF(Başvuru!J2:K1372,"Prof. Dr. Melih Önder BABAOĞLU")</f>
        <v>75</v>
      </c>
      <c r="D4" s="98">
        <f t="array" ref="D4">SUMPRODUCT(((Başvuru!J2:K1372)="Prof. Dr. Melih Önder BABAOĞLU")*(Başvuru!G2:G1372="Bireysel Araştırma")*(Başvuru!L2:L1372="ONAY"))</f>
        <v>25</v>
      </c>
      <c r="E4" s="98">
        <f t="array" ref="E4">SUMPRODUCT(((Başvuru!J2:K1372)="Prof. Dr. Melih Önder BABAOĞLU")*(Başvuru!G2:G1372="Bireysel Araştırma")*(Başvuru!L2:L1372="DÜZELTME"))</f>
        <v>24</v>
      </c>
      <c r="F4" s="98">
        <f t="array" ref="F4">SUMPRODUCT(((Başvuru!J2:K1372)="Prof. Dr. Melih Önder BABAOĞLU")*(Başvuru!G2:G1372="Bireysel Araştırma")*(Başvuru!L2:L1372="KAEK"))</f>
        <v>0</v>
      </c>
      <c r="G4" s="98">
        <f t="array" ref="G4">SUMPRODUCT(((Başvuru!J2:K1372)="Prof. Dr. Melih Önder BABAOĞLU")*(Başvuru!G2:G1372="Bireysel Araştırma")*(Başvuru!L2:L1372="GÖRÜŞ"))</f>
        <v>3</v>
      </c>
      <c r="H4" s="98">
        <f t="array" ref="H4">SUMPRODUCT(((Başvuru!J2:K1372)="Prof. Dr. Melih Önder BABAOĞLU")*(Başvuru!G2:G1372="Bireysel Araştırma")*(Başvuru!L2:L1372="RET"))</f>
        <v>5</v>
      </c>
      <c r="I4" s="98">
        <f t="array" ref="I4">SUMPRODUCT(((Başvuru!J2:K1372)="Prof. Dr. Melih Önder BABAOĞLU")*(Başvuru!G2:G1372="Bireysel Araştırma")*(Başvuru!L2:L1372="KAPSAM DIŞI"))</f>
        <v>0</v>
      </c>
      <c r="J4" s="98">
        <f t="array" ref="J4">SUMPRODUCT(((Başvuru!J2:K1372)="Prof. Dr. Melih Önder BABAOĞLU")*(Başvuru!G2:G1372="Bireysel Araştırma")*(Başvuru!L2:L1372="GERİ ÇEKİLDİ"))</f>
        <v>0</v>
      </c>
      <c r="K4" s="97">
        <f t="shared" si="0"/>
        <v>57</v>
      </c>
      <c r="L4" s="97">
        <f t="array" ref="L4">SUMPRODUCT(((Başvuru!J2:K1372)="Prof. Dr. Melih Önder BABAOĞLU")*(Başvuru!G2:G1372="Yüksek Lisans Tezi")*(Başvuru!L2:L1372="ONAY"))</f>
        <v>0</v>
      </c>
      <c r="M4" s="97">
        <f t="array" ref="M4">SUMPRODUCT(((Başvuru!J2:K1372)="Prof. Dr. Melih Önder BABAOĞLU")*(Başvuru!G2:G1372="Yüksek Lisans Tezi")*(Başvuru!L2:L1372="DÜZELTME"))</f>
        <v>2</v>
      </c>
      <c r="N4" s="97">
        <f t="array" ref="N4">SUMPRODUCT(((Başvuru!J2:K1372)="Prof. Dr. Melih Önder BABAOĞLU")*(Başvuru!G2:G1372="Yüksek Lisans Tezi")*(Başvuru!L2:L1372="KAEK"))</f>
        <v>0</v>
      </c>
      <c r="O4" s="97">
        <f t="array" ref="O4">SUMPRODUCT(((Başvuru!J2:K1372)="Prof. Dr. Melih Önder BABAOĞLU")*(Başvuru!G2:G1372="Yüksek Lisans Tezi")*(Başvuru!L2:L1372="GÖRÜŞ"))</f>
        <v>0</v>
      </c>
      <c r="P4" s="97">
        <f t="array" ref="P4">SUMPRODUCT(((Başvuru!J2:K1372)="Prof. Dr. Melih Önder BABAOĞLU")*(Başvuru!G2:G1372="Yüksek Lisans Tezi")*(Başvuru!L2:L1372="RET"))</f>
        <v>0</v>
      </c>
      <c r="Q4" s="97">
        <f t="array" ref="Q4">SUMPRODUCT(((Başvuru!J2:K1372)="Prof. Dr. Melih Önder BABAOĞLU")*(Başvuru!G2:G1372="Yüksek Lisans Tezi")*(Başvuru!L2:L1372="KAPSAM DIŞI"))</f>
        <v>0</v>
      </c>
      <c r="R4" s="97">
        <f t="array" ref="R4">SUMPRODUCT(((Başvuru!J2:K1372)="Prof. Dr. Melih Önder BABAOĞLU")*(Başvuru!G2:G1372="Yüksek Lisans Tezi")*(Başvuru!L2:L1372="GERİ ÇEKİLDİ"))</f>
        <v>0</v>
      </c>
      <c r="S4" s="97">
        <f t="shared" si="1"/>
        <v>2</v>
      </c>
      <c r="T4" s="97">
        <f t="array" ref="T4">SUMPRODUCT(((Başvuru!J2:K1372)="Prof. Dr. Melih Önder BABAOĞLU")*(Başvuru!G2:G1372="Doktora Tezi")*(Başvuru!L2:L1372="ONAY"))</f>
        <v>0</v>
      </c>
      <c r="U4" s="97">
        <f t="array" ref="U4">SUMPRODUCT(((Başvuru!J2:K1372)="Prof. Dr. Melih Önder BABAOĞLU")*(Başvuru!G2:G1372="Doktora Tezi")*(Başvuru!L2:L1372="DÜZELTME"))</f>
        <v>2</v>
      </c>
      <c r="V4" s="97">
        <f t="array" ref="V4">SUMPRODUCT(((Başvuru!J2:K1372)="Prof. Dr. Melih Önder BABAOĞLU")*(Başvuru!G2:G1372="Doktora Tezi")*(Başvuru!L2:L1372="KAEK"))</f>
        <v>0</v>
      </c>
      <c r="W4" s="97">
        <f t="array" ref="W4">SUMPRODUCT(((Başvuru!J2:K1372)="Prof. Dr. Melih Önder BABAOĞLU")*(Başvuru!G2:G1372="Doktora Tezi")*(Başvuru!L2:L1372="GÖRÜŞ"))</f>
        <v>0</v>
      </c>
      <c r="X4" s="97">
        <f t="array" ref="X4">SUMPRODUCT(((Başvuru!J2:K1372)="Prof. Dr. Melih Önder BABAOĞLU")*(Başvuru!G2:G1372="Doktora Tezi")*(Başvuru!L2:L1372="RET"))</f>
        <v>0</v>
      </c>
      <c r="Y4" s="97">
        <f t="array" ref="Y4">SUMPRODUCT(((Başvuru!J2:K1372)="Prof. Dr. Melih Önder BABAOĞLU")*(Başvuru!G2:G1372="Doktora Tezi")*(Başvuru!L2:L1372="KAPSAM DIŞI"))</f>
        <v>0</v>
      </c>
      <c r="Z4" s="97">
        <f t="array" ref="Z4">SUMPRODUCT(((Başvuru!J2:K1372)="Prof. Dr. Melih Önder BABAOĞLU")*(Başvuru!G2:G1372="Doktora Tezi")*(Başvuru!L2:L1372="GERİ ÇEKİLDİ"))</f>
        <v>0</v>
      </c>
      <c r="AA4" s="97">
        <f t="shared" si="2"/>
        <v>2</v>
      </c>
      <c r="AB4" s="97">
        <f t="array" ref="AB4">SUMPRODUCT(((Başvuru!J2:K1372)="Prof. Dr. Melih Önder BABAOĞLU")*(Başvuru!G2:G1372="Uzmanlık Tezi")*(Başvuru!L2:L1372="ONAY"))</f>
        <v>5</v>
      </c>
      <c r="AC4" s="97">
        <f t="array" ref="AC4">SUMPRODUCT(((Başvuru!J2:K1372)="Prof. Dr. Melih Önder BABAOĞLU")*(Başvuru!G2:G1372="Uzmanlık Tezi")*(Başvuru!L2:L1372="DÜZELTME"))</f>
        <v>5</v>
      </c>
      <c r="AD4" s="97">
        <f t="array" ref="AD4">SUMPRODUCT(((Başvuru!J2:K1372)="Prof. Dr. Melih Önder BABAOĞLU")*(Başvuru!G2:G1372="Uzmanlık Tezi")*(Başvuru!L2:L1372="KAEK"))</f>
        <v>0</v>
      </c>
      <c r="AE4" s="97">
        <f t="array" ref="AE4">SUMPRODUCT(((Başvuru!J2:K1372)="Prof. Dr. Melih Önder BABAOĞLU")*(Başvuru!G2:G1372="Uzmanlık Tezi")*(Başvuru!L2:L1372="GÖRÜŞ"))</f>
        <v>1</v>
      </c>
      <c r="AF4" s="97">
        <f t="array" ref="AF4">SUMPRODUCT(((Başvuru!J2:K1372)="Prof. Dr. Melih Önder BABAOĞLU")*(Başvuru!G2:G1372="Uzmanlık Tezi")*(Başvuru!L2:L1372="RET"))</f>
        <v>1</v>
      </c>
      <c r="AG4" s="97">
        <f t="array" ref="AG4">SUMPRODUCT(((Başvuru!J2:K1372)="Prof. Dr. Melih Önder BABAOĞLU")*(Başvuru!G2:G1372="Uzmanlık Tezi")*(Başvuru!L2:L1372="KAPSAM DIŞI"))</f>
        <v>1</v>
      </c>
      <c r="AH4" s="97">
        <f t="array" ref="AH4">SUMPRODUCT(((Başvuru!J2:K1372)="Prof. Dr. Melih Önder BABAOĞLU")*(Başvuru!G2:G1372="Uzmanlık Tezi")*(Başvuru!L2:L1372="GERİ ÇEKİLDİ"))</f>
        <v>0</v>
      </c>
      <c r="AI4" s="97">
        <f t="shared" si="3"/>
        <v>13</v>
      </c>
      <c r="AJ4" s="99">
        <f t="shared" si="4"/>
        <v>30</v>
      </c>
      <c r="AK4" s="99">
        <f t="shared" si="5"/>
        <v>33</v>
      </c>
      <c r="AL4" s="99">
        <f t="shared" si="6"/>
        <v>0</v>
      </c>
      <c r="AM4" s="99">
        <f t="shared" si="7"/>
        <v>4</v>
      </c>
      <c r="AN4" s="99">
        <f t="shared" si="8"/>
        <v>6</v>
      </c>
      <c r="AO4" s="99">
        <f t="shared" si="9"/>
        <v>1</v>
      </c>
      <c r="AP4" s="99">
        <f t="shared" si="10"/>
        <v>0</v>
      </c>
      <c r="AQ4" s="100">
        <f t="shared" si="11"/>
        <v>74</v>
      </c>
      <c r="AR4" s="97">
        <f t="shared" si="12"/>
        <v>1</v>
      </c>
      <c r="AS4" s="101">
        <f>COUNTIF(Başvuru!$Q:$Q,$B4)</f>
        <v>16</v>
      </c>
      <c r="AT4" s="102">
        <f>COUNTIFS(Başvuru!$Q:$Q,$B4,Başvuru!$J:$J,"&lt;&gt;"&amp;$B4,Başvuru!$K:$K,"&lt;&gt;"&amp;$B4)</f>
        <v>1</v>
      </c>
    </row>
    <row r="5" spans="1:46" s="94" customFormat="1" ht="30" customHeight="1" x14ac:dyDescent="0.25">
      <c r="A5" s="95" t="s">
        <v>80</v>
      </c>
      <c r="B5" s="96" t="s">
        <v>103</v>
      </c>
      <c r="C5" s="97">
        <f>COUNTIF(Başvuru!J2:K1372,"Prof. Dr. Ayşe KİN İŞLER")</f>
        <v>81</v>
      </c>
      <c r="D5" s="98">
        <f t="array" ref="D5">SUMPRODUCT(((Başvuru!J2:K1372)="Prof. Dr. Ayşe KİN İŞLER")*(Başvuru!G2:G1372="Bireysel Araştırma")*(Başvuru!L2:L1372="ONAY"))</f>
        <v>35</v>
      </c>
      <c r="E5" s="98">
        <f t="array" ref="E5">SUMPRODUCT(((Başvuru!J2:K1372)="Prof. Dr. Ayşe KİN İŞLER")*(Başvuru!G2:G1372="Bireysel Araştırma")*(Başvuru!L2:L1372="DÜZELTME"))</f>
        <v>23</v>
      </c>
      <c r="F5" s="98">
        <f t="array" ref="F5">SUMPRODUCT(((Başvuru!J2:K1372)="Prof. Dr. Ayşe KİN İŞLER")*(Başvuru!G2:G1372="Bireysel Araştırma")*(Başvuru!L2:L1372="KAEK"))</f>
        <v>2</v>
      </c>
      <c r="G5" s="98">
        <f t="array" ref="G5">SUMPRODUCT(((Başvuru!J2:K1372)="Prof. Dr. Ayşe KİN İŞLER")*(Başvuru!G2:G1372="Bireysel Araştırma")*(Başvuru!L2:L1372="GÖRÜŞ"))</f>
        <v>3</v>
      </c>
      <c r="H5" s="98">
        <f t="array" ref="H5">SUMPRODUCT(((Başvuru!J2:K1372)="Prof. Dr. Ayşe KİN İŞLER")*(Başvuru!G2:G1372="Bireysel Araştırma")*(Başvuru!L2:L1372="RET"))</f>
        <v>0</v>
      </c>
      <c r="I5" s="98">
        <f t="array" ref="I5">SUMPRODUCT(((Başvuru!J2:K1372)="Prof. Dr. Ayşe KİN İŞLER")*(Başvuru!G2:G1372="Bireysel Araştırma")*(Başvuru!L2:L1372="KAPSAM DIŞI"))</f>
        <v>0</v>
      </c>
      <c r="J5" s="98">
        <f t="array" ref="J5">SUMPRODUCT(((Başvuru!J2:K1372)="Prof. Dr. Ayşe KİN İŞLER")*(Başvuru!G2:G1372="Bireysel Araştırma")*(Başvuru!L2:L1372="GERİ ÇEKİLDİ"))</f>
        <v>0</v>
      </c>
      <c r="K5" s="97">
        <f t="shared" si="0"/>
        <v>63</v>
      </c>
      <c r="L5" s="97">
        <f t="array" ref="L5">SUMPRODUCT(((Başvuru!J2:K1372)="Prof. Dr. Ayşe KİN İŞLER")*(Başvuru!G2:G1372="Yüksek Lisans Tezi")*(Başvuru!L2:L1372="ONAY"))</f>
        <v>1</v>
      </c>
      <c r="M5" s="97">
        <f t="array" ref="M5">SUMPRODUCT(((Başvuru!J2:K1372)="Prof. Dr. Ayşe KİN İŞLER")*(Başvuru!G2:G1372="Yüksek Lisans Tezi")*(Başvuru!L2:L1372="DÜZELTME"))</f>
        <v>1</v>
      </c>
      <c r="N5" s="97">
        <f t="array" ref="N5">SUMPRODUCT(((Başvuru!J2:K1372)="Prof. Dr. Ayşe KİN İŞLER")*(Başvuru!G2:G1372="Yüksek Lisans Tezi")*(Başvuru!L2:L1372="KAEK"))</f>
        <v>0</v>
      </c>
      <c r="O5" s="97">
        <f t="array" ref="O5">SUMPRODUCT(((Başvuru!J2:K1372)="Prof. Dr. Ayşe KİN İŞLER")*(Başvuru!G2:G1372="Yüksek Lisans Tezi")*(Başvuru!L2:L1372="GÖRÜŞ"))</f>
        <v>0</v>
      </c>
      <c r="P5" s="97">
        <f t="array" ref="P5">SUMPRODUCT(((Başvuru!J2:K1372)="Prof. Dr. Ayşe KİN İŞLER")*(Başvuru!G2:G1372="Yüksek Lisans Tezi")*(Başvuru!L2:L1372="RET"))</f>
        <v>0</v>
      </c>
      <c r="Q5" s="97">
        <f t="array" ref="Q5">SUMPRODUCT(((Başvuru!J2:K1372)="Prof. Dr. Ayşe KİN İŞLER")*(Başvuru!G2:G1372="Yüksek Lisans Tezi")*(Başvuru!L2:L1372="KAPSAM DIŞI"))</f>
        <v>0</v>
      </c>
      <c r="R5" s="97">
        <f t="array" ref="R5">SUMPRODUCT(((Başvuru!J2:K1372)="Prof. Dr. Ayşe KİN İŞLER")*(Başvuru!G2:G1372="Yüksek Lisans Tezi")*(Başvuru!L2:L1372="GERİ ÇEKİLDİ"))</f>
        <v>0</v>
      </c>
      <c r="S5" s="97">
        <f t="shared" si="1"/>
        <v>2</v>
      </c>
      <c r="T5" s="97">
        <f t="array" ref="T5">SUMPRODUCT(((Başvuru!J2:K1372)="Prof. Dr. Ayşe KİN İŞLER")*(Başvuru!G2:G1372="Doktora Tezi")*(Başvuru!L2:L1372="ONAY"))</f>
        <v>1</v>
      </c>
      <c r="U5" s="97">
        <f t="array" ref="U5">SUMPRODUCT(((Başvuru!J2:K1372)="Prof. Dr. Ayşe KİN İŞLER")*(Başvuru!G2:G1372="Doktora Tezi")*(Başvuru!L2:L1372="DÜZELTME"))</f>
        <v>1</v>
      </c>
      <c r="V5" s="97">
        <f t="array" ref="V5">SUMPRODUCT(((Başvuru!J2:K1372)="Prof. Dr. Ayşe KİN İŞLER")*(Başvuru!G2:G1372="Doktora Tezi")*(Başvuru!L2:L1372="KAEK"))</f>
        <v>0</v>
      </c>
      <c r="W5" s="97">
        <f t="array" ref="W5">SUMPRODUCT(((Başvuru!J2:K1372)="Prof. Dr. Ayşe KİN İŞLER")*(Başvuru!G2:G1372="Doktora Tezi")*(Başvuru!L2:L1372="GÖRÜŞ"))</f>
        <v>0</v>
      </c>
      <c r="X5" s="97">
        <f t="array" ref="X5">SUMPRODUCT(((Başvuru!J2:K1372)="Prof. Dr. Ayşe KİN İŞLER")*(Başvuru!G2:G1372="Doktora Tezi")*(Başvuru!L2:L1372="RET"))</f>
        <v>0</v>
      </c>
      <c r="Y5" s="97">
        <f t="array" ref="Y5">SUMPRODUCT(((Başvuru!J2:K1372)="Prof. Dr. Ayşe KİN İŞLER")*(Başvuru!G2:G1372="Doktora Tezi")*(Başvuru!L2:L1372="KAPSAM DIŞI"))</f>
        <v>0</v>
      </c>
      <c r="Z5" s="97">
        <f t="array" ref="Z5">SUMPRODUCT(((Başvuru!J2:K1372)="Prof. Dr. Ayşe KİN İŞLER")*(Başvuru!G2:G1372="Doktora Tezi")*(Başvuru!L2:L1372="GERİ ÇEKİLDİ"))</f>
        <v>0</v>
      </c>
      <c r="AA5" s="97">
        <f t="shared" si="2"/>
        <v>2</v>
      </c>
      <c r="AB5" s="97">
        <f t="array" ref="AB5">SUMPRODUCT(((Başvuru!J2:K1372)="Prof. Dr. Ayşe KİN İŞLER")*(Başvuru!G2:G1372="Uzmanlık Tezi")*(Başvuru!L2:L1372="ONAY"))</f>
        <v>5</v>
      </c>
      <c r="AC5" s="97">
        <f t="array" ref="AC5">SUMPRODUCT(((Başvuru!J2:K1372)="Prof. Dr. Ayşe KİN İŞLER")*(Başvuru!G2:G1372="Uzmanlık Tezi")*(Başvuru!L2:L1372="DÜZELTME"))</f>
        <v>7</v>
      </c>
      <c r="AD5" s="97">
        <f t="array" ref="AD5">SUMPRODUCT(((Başvuru!J2:K1372)="Prof. Dr. Ayşe KİN İŞLER")*(Başvuru!G2:G1372="Uzmanlık Tezi")*(Başvuru!L2:L1372="KAEK"))</f>
        <v>0</v>
      </c>
      <c r="AE5" s="97">
        <f t="array" ref="AE5">SUMPRODUCT(((Başvuru!J2:K1372)="Prof. Dr. Ayşe KİN İŞLER")*(Başvuru!G2:G1372="Uzmanlık Tezi")*(Başvuru!L2:L1372="GÖRÜŞ"))</f>
        <v>0</v>
      </c>
      <c r="AF5" s="97">
        <f t="array" ref="AF5">SUMPRODUCT(((Başvuru!J2:K1372)="Prof. Dr. Ayşe KİN İŞLER")*(Başvuru!G2:G1372="Uzmanlık Tezi")*(Başvuru!L2:L1372="RET"))</f>
        <v>0</v>
      </c>
      <c r="AG5" s="97">
        <f t="array" ref="AG5">SUMPRODUCT(((Başvuru!J2:K1372)="Prof. Dr. Ayşe KİN İŞLER")*(Başvuru!G2:G1372="Uzmanlık Tezi")*(Başvuru!L2:L1372="KAPSAM DIŞI"))</f>
        <v>0</v>
      </c>
      <c r="AH5" s="97">
        <f t="array" ref="AH5">SUMPRODUCT(((Başvuru!J2:K1372)="Prof. Dr. Ayşe KİN İŞLER")*(Başvuru!G2:G1372="Uzmanlık Tezi")*(Başvuru!L2:L1372="GERİ ÇEKİLDİ"))</f>
        <v>0</v>
      </c>
      <c r="AI5" s="97">
        <f t="shared" si="3"/>
        <v>12</v>
      </c>
      <c r="AJ5" s="99">
        <f t="shared" si="4"/>
        <v>42</v>
      </c>
      <c r="AK5" s="99">
        <f t="shared" si="5"/>
        <v>32</v>
      </c>
      <c r="AL5" s="99">
        <f t="shared" si="6"/>
        <v>2</v>
      </c>
      <c r="AM5" s="99">
        <f t="shared" si="7"/>
        <v>3</v>
      </c>
      <c r="AN5" s="99">
        <f t="shared" si="8"/>
        <v>0</v>
      </c>
      <c r="AO5" s="99">
        <f t="shared" si="9"/>
        <v>0</v>
      </c>
      <c r="AP5" s="99">
        <f t="shared" si="10"/>
        <v>0</v>
      </c>
      <c r="AQ5" s="100">
        <f t="shared" si="11"/>
        <v>79</v>
      </c>
      <c r="AR5" s="97">
        <f t="shared" si="12"/>
        <v>2</v>
      </c>
      <c r="AS5" s="101">
        <f>COUNTIF(Başvuru!$Q:$Q,$B5)</f>
        <v>12</v>
      </c>
      <c r="AT5" s="102">
        <f>COUNTIFS(Başvuru!$Q:$Q,$B5,Başvuru!$J:$J,"&lt;&gt;"&amp;$B5,Başvuru!$K:$K,"&lt;&gt;"&amp;$B5)</f>
        <v>0</v>
      </c>
    </row>
    <row r="6" spans="1:46" s="94" customFormat="1" ht="30" customHeight="1" x14ac:dyDescent="0.25">
      <c r="A6" s="95" t="s">
        <v>89</v>
      </c>
      <c r="B6" s="96" t="s">
        <v>95</v>
      </c>
      <c r="C6" s="97">
        <f>COUNTIF(Başvuru!J2:K1372,"Prof. Dr. Yavuz AYHAN")</f>
        <v>69</v>
      </c>
      <c r="D6" s="98">
        <f t="array" ref="D6">SUMPRODUCT(((Başvuru!J2:K1372)="Prof. Dr. Yavuz AYHAN")*(Başvuru!G2:G1372="Bireysel Araştırma")*(Başvuru!L2:L1372="ONAY"))</f>
        <v>26</v>
      </c>
      <c r="E6" s="98">
        <f t="array" ref="E6">SUMPRODUCT(((Başvuru!J2:K1372)="Prof. Dr. Yavuz AYHAN")*(Başvuru!G2:G1372="Bireysel Araştırma")*(Başvuru!L2:L1372="DÜZELTME"))</f>
        <v>14</v>
      </c>
      <c r="F6" s="98">
        <f t="array" ref="F6">SUMPRODUCT(((Başvuru!J2:K1372)="Prof. Dr. Yavuz AYHAN")*(Başvuru!G2:G1372="Bireysel Araştırma")*(Başvuru!L2:L1372="KAEK"))</f>
        <v>0</v>
      </c>
      <c r="G6" s="98">
        <f t="array" ref="G6">SUMPRODUCT(((Başvuru!J2:K1372)="Prof. Dr. Yavuz AYHAN")*(Başvuru!G2:G1372="Bireysel Araştırma")*(Başvuru!L2:L1372="GÖRÜŞ"))</f>
        <v>2</v>
      </c>
      <c r="H6" s="98">
        <f t="array" ref="H6">SUMPRODUCT(((Başvuru!J2:K1372)="Prof. Dr. Yavuz AYHAN")*(Başvuru!G2:G1372="Bireysel Araştırma")*(Başvuru!L2:L1372="RET"))</f>
        <v>0</v>
      </c>
      <c r="I6" s="98">
        <f t="array" ref="I6">SUMPRODUCT(((Başvuru!J2:K1372)="Prof. Dr. Yavuz AYHAN")*(Başvuru!G2:G1372="Bireysel Araştırma")*(Başvuru!L2:L1372="KAPSAM DIŞI"))</f>
        <v>4</v>
      </c>
      <c r="J6" s="98">
        <f t="array" ref="J6">SUMPRODUCT(((Başvuru!J2:K1372)="Prof. Dr. Yavuz AYHAN")*(Başvuru!G2:G1372="Bireysel Araştırma")*(Başvuru!L2:L1372="GERİ ÇEKİLDİ"))</f>
        <v>0</v>
      </c>
      <c r="K6" s="97">
        <f t="shared" si="0"/>
        <v>46</v>
      </c>
      <c r="L6" s="97">
        <f t="array" ref="L6">SUMPRODUCT(((Başvuru!J2:K1372)="Prof. Dr. Yavuz AYHAN")*(Başvuru!G2:G1372="Yüksek Lisans Tezi")*(Başvuru!L2:L1372="ONAY"))</f>
        <v>0</v>
      </c>
      <c r="M6" s="97">
        <f t="array" ref="M6">SUMPRODUCT(((Başvuru!J2:K1372)="Prof. Dr. Yavuz AYHAN")*(Başvuru!G2:G1372="Yüksek Lisans Tezi")*(Başvuru!L2:L1372="DÜZELTME"))</f>
        <v>0</v>
      </c>
      <c r="N6" s="97">
        <f t="array" ref="N6">SUMPRODUCT(((Başvuru!J2:K1372)="Prof. Dr. Yavuz AYHAN")*(Başvuru!G2:G1372="Yüksek Lisans Tezi")*(Başvuru!L2:L1372="KAEK"))</f>
        <v>0</v>
      </c>
      <c r="O6" s="97">
        <f t="array" ref="O6">SUMPRODUCT(((Başvuru!J2:K1372)="Prof. Dr. Yavuz AYHAN")*(Başvuru!G2:G1372="Yüksek Lisans Tezi")*(Başvuru!L2:L1372="GÖRÜŞ"))</f>
        <v>0</v>
      </c>
      <c r="P6" s="97">
        <f t="array" ref="P6">SUMPRODUCT(((Başvuru!J2:K1372)="Prof. Dr. Yavuz AYHAN")*(Başvuru!G2:G1372="Yüksek Lisans Tezi")*(Başvuru!L2:L1372="RET"))</f>
        <v>0</v>
      </c>
      <c r="Q6" s="97">
        <f t="array" ref="Q6">SUMPRODUCT(((Başvuru!J2:K1372)="Prof. Dr. Yavuz AYHAN")*(Başvuru!G2:G1372="Yüksek Lisans Tezi")*(Başvuru!L2:L1372="KAPSAM DIŞI"))</f>
        <v>0</v>
      </c>
      <c r="R6" s="97">
        <f t="array" ref="R6">SUMPRODUCT(((Başvuru!J2:K1372)="Prof. Dr. Yavuz AYHAN")*(Başvuru!G2:G1372="Yüksek Lisans Tezi")*(Başvuru!L2:L1372="GERİ ÇEKİLDİ"))</f>
        <v>0</v>
      </c>
      <c r="S6" s="97">
        <f t="shared" si="1"/>
        <v>0</v>
      </c>
      <c r="T6" s="97">
        <f t="array" ref="T6">SUMPRODUCT(((Başvuru!J2:K1372)="Prof. Dr. Yavuz AYHAN")*(Başvuru!G2:G1372="Doktora Tezi")*(Başvuru!L2:L1372="ONAY"))</f>
        <v>1</v>
      </c>
      <c r="U6" s="97">
        <f t="array" ref="U6">SUMPRODUCT(((Başvuru!J2:K1372)="Prof. Dr. Yavuz AYHAN")*(Başvuru!G2:G1372="Doktora Tezi")*(Başvuru!L2:L1372="DÜZELTME"))</f>
        <v>1</v>
      </c>
      <c r="V6" s="97">
        <f t="array" ref="V6">SUMPRODUCT(((Başvuru!J2:K1372)="Prof. Dr. Yavuz AYHAN")*(Başvuru!G2:G1372="Doktora Tezi")*(Başvuru!L2:L1372="KAEK"))</f>
        <v>0</v>
      </c>
      <c r="W6" s="97">
        <f t="array" ref="W6">SUMPRODUCT(((Başvuru!J2:K1372)="Prof. Dr. Yavuz AYHAN")*(Başvuru!G2:G1372="Doktora Tezi")*(Başvuru!L2:L1372="GÖRÜŞ"))</f>
        <v>1</v>
      </c>
      <c r="X6" s="97">
        <f t="array" ref="X6">SUMPRODUCT(((Başvuru!J2:K1372)="Prof. Dr. Yavuz AYHAN")*(Başvuru!G2:G1372="Doktora Tezi")*(Başvuru!L2:L1372="RET"))</f>
        <v>0</v>
      </c>
      <c r="Y6" s="97">
        <f t="array" ref="Y6">SUMPRODUCT(((Başvuru!J2:K1372)="Prof. Dr. Yavuz AYHAN")*(Başvuru!G2:G1372="Doktora Tezi")*(Başvuru!L2:L1372="KAPSAM DIŞI"))</f>
        <v>0</v>
      </c>
      <c r="Z6" s="97">
        <f t="array" ref="Z6">SUMPRODUCT(((Başvuru!J2:K1372)="Prof. Dr. Yavuz AYHAN")*(Başvuru!G2:G1372="Doktora Tezi")*(Başvuru!L2:L1372="GERİ ÇEKİLDİ"))</f>
        <v>0</v>
      </c>
      <c r="AA6" s="97">
        <f t="shared" si="2"/>
        <v>3</v>
      </c>
      <c r="AB6" s="97">
        <f t="array" ref="AB6">SUMPRODUCT(((Başvuru!J2:K1372)="Prof. Dr. Yavuz AYHAN")*(Başvuru!G2:G1372="Uzmanlık Tezi")*(Başvuru!L2:L1372="ONAY"))</f>
        <v>7</v>
      </c>
      <c r="AC6" s="97">
        <f t="array" ref="AC6">SUMPRODUCT(((Başvuru!J2:K1372)="Prof. Dr. Yavuz AYHAN")*(Başvuru!G2:G1372="Uzmanlık Tezi")*(Başvuru!L2:L1372="DÜZELTME"))</f>
        <v>10</v>
      </c>
      <c r="AD6" s="97">
        <f t="array" ref="AD6">SUMPRODUCT(((Başvuru!J2:K1372)="Prof. Dr. Yavuz AYHAN")*(Başvuru!G2:G1372="Uzmanlık Tezi")*(Başvuru!L2:L1372="KAEK"))</f>
        <v>0</v>
      </c>
      <c r="AE6" s="97">
        <f t="array" ref="AE6">SUMPRODUCT(((Başvuru!J2:K1372)="Prof. Dr. Yavuz AYHAN")*(Başvuru!G2:G1372="Uzmanlık Tezi")*(Başvuru!L2:L1372="GÖRÜŞ"))</f>
        <v>1</v>
      </c>
      <c r="AF6" s="97">
        <f t="array" ref="AF6">SUMPRODUCT(((Başvuru!J2:K1372)="Prof. Dr. Yavuz AYHAN")*(Başvuru!G2:G1372="Uzmanlık Tezi")*(Başvuru!L2:L1372="RET"))</f>
        <v>0</v>
      </c>
      <c r="AG6" s="97">
        <f t="array" ref="AG6">SUMPRODUCT(((Başvuru!J2:K1372)="Prof. Dr. Yavuz AYHAN")*(Başvuru!G2:G1372="Uzmanlık Tezi")*(Başvuru!L2:L1372="KAPSAM DIŞI"))</f>
        <v>0</v>
      </c>
      <c r="AH6" s="97">
        <f t="array" ref="AH6">SUMPRODUCT(((Başvuru!J2:K1372)="Prof. Dr. Yavuz AYHAN")*(Başvuru!G2:G1372="Uzmanlık Tezi")*(Başvuru!L2:L1372="GERİ ÇEKİLDİ"))</f>
        <v>0</v>
      </c>
      <c r="AI6" s="97">
        <f t="shared" si="3"/>
        <v>18</v>
      </c>
      <c r="AJ6" s="99">
        <f t="shared" si="4"/>
        <v>34</v>
      </c>
      <c r="AK6" s="99">
        <f t="shared" si="5"/>
        <v>25</v>
      </c>
      <c r="AL6" s="99">
        <f t="shared" si="6"/>
        <v>0</v>
      </c>
      <c r="AM6" s="99">
        <f t="shared" si="7"/>
        <v>4</v>
      </c>
      <c r="AN6" s="99">
        <f t="shared" si="8"/>
        <v>0</v>
      </c>
      <c r="AO6" s="99">
        <f t="shared" si="9"/>
        <v>4</v>
      </c>
      <c r="AP6" s="99">
        <f t="shared" si="10"/>
        <v>0</v>
      </c>
      <c r="AQ6" s="100">
        <f t="shared" si="11"/>
        <v>67</v>
      </c>
      <c r="AR6" s="97">
        <f t="shared" si="12"/>
        <v>2</v>
      </c>
      <c r="AS6" s="101">
        <f>COUNTIF(Başvuru!$Q:$Q,$B6)</f>
        <v>9</v>
      </c>
      <c r="AT6" s="102">
        <f>COUNTIFS(Başvuru!$Q:$Q,$B6,Başvuru!$J:$J,"&lt;&gt;"&amp;$B6,Başvuru!$K:$K,"&lt;&gt;"&amp;$B6)</f>
        <v>0</v>
      </c>
    </row>
    <row r="7" spans="1:46" s="94" customFormat="1" ht="30" customHeight="1" x14ac:dyDescent="0.25">
      <c r="A7" s="95" t="s">
        <v>97</v>
      </c>
      <c r="B7" s="96" t="s">
        <v>116</v>
      </c>
      <c r="C7" s="97">
        <f>COUNTIF(Başvuru!J2:K1372,"Prof. Dr. Nazmiye Ebru ORTAÇ ERSOY")</f>
        <v>78</v>
      </c>
      <c r="D7" s="98">
        <f t="array" ref="D7">SUMPRODUCT(((Başvuru!J2:K1372)="Prof. Dr. Nazmiye Ebru ORTAÇ ERSOY")*(Başvuru!G2:G1372="Bireysel Araştırma")*(Başvuru!L2:L1372="ONAY"))</f>
        <v>37</v>
      </c>
      <c r="E7" s="98">
        <f t="array" ref="E7">SUMPRODUCT(((Başvuru!J2:K1372)="Prof. Dr. Nazmiye Ebru ORTAÇ ERSOY")*(Başvuru!G2:G1372="Bireysel Araştırma")*(Başvuru!L2:L1372="DÜZELTME"))</f>
        <v>15</v>
      </c>
      <c r="F7" s="98">
        <f t="array" ref="F7">SUMPRODUCT(((Başvuru!J2:K1372)="Prof. Dr. Nazmiye Ebru ORTAÇ ERSOY")*(Başvuru!G2:G1372="Bireysel Araştırma")*(Başvuru!L2:L1372="KAEK"))</f>
        <v>0</v>
      </c>
      <c r="G7" s="98">
        <f t="array" ref="G7">SUMPRODUCT(((Başvuru!J2:K1372)="Prof. Dr. Nazmiye Ebru ORTAÇ ERSOY")*(Başvuru!G2:G1372="Bireysel Araştırma")*(Başvuru!L2:L1372="GÖRÜŞ"))</f>
        <v>2</v>
      </c>
      <c r="H7" s="98">
        <f t="array" ref="H7">SUMPRODUCT(((Başvuru!J2:K1372)="Prof. Dr. Nazmiye Ebru ORTAÇ ERSOY")*(Başvuru!G2:G1372="Bireysel Araştırma")*(Başvuru!L2:L1372="RET"))</f>
        <v>2</v>
      </c>
      <c r="I7" s="98">
        <f t="array" ref="I7">SUMPRODUCT(((Başvuru!J2:K1372)="Prof. Dr. Nazmiye Ebru ORTAÇ ERSOY")*(Başvuru!G2:G1372="Bireysel Araştırma")*(Başvuru!L2:L1372="KAPSAM DIŞI"))</f>
        <v>1</v>
      </c>
      <c r="J7" s="98">
        <f t="array" ref="J7">SUMPRODUCT(((Başvuru!J2:K1372)="Prof. Dr. Nazmiye Ebru ORTAÇ ERSOY")*(Başvuru!G2:G1372="Bireysel Araştırma")*(Başvuru!L2:L1372="GERİ ÇEKİLDİ"))</f>
        <v>0</v>
      </c>
      <c r="K7" s="97">
        <f t="shared" si="0"/>
        <v>57</v>
      </c>
      <c r="L7" s="97">
        <f t="array" ref="L7">SUMPRODUCT(((Başvuru!J2:K1372)="Prof. Dr. Nazmiye Ebru ORTAÇ ERSOY")*(Başvuru!G2:G1372="Yüksek Lisans Tezi")*(Başvuru!L2:L1372="ONAY"))</f>
        <v>0</v>
      </c>
      <c r="M7" s="97">
        <f t="array" ref="M7">SUMPRODUCT(((Başvuru!J2:K1372)="Prof. Dr. Nazmiye Ebru ORTAÇ ERSOY")*(Başvuru!G2:G1372="Yüksek Lisans Tezi")*(Başvuru!L2:L1372="DÜZELTME"))</f>
        <v>0</v>
      </c>
      <c r="N7" s="97">
        <f t="array" ref="N7">SUMPRODUCT(((Başvuru!J2:K1372)="Prof. Dr. Nazmiye Ebru ORTAÇ ERSOY")*(Başvuru!G2:G1372="Yüksek Lisans Tezi")*(Başvuru!L2:L1372="KAEK"))</f>
        <v>0</v>
      </c>
      <c r="O7" s="97">
        <f t="array" ref="O7">SUMPRODUCT(((Başvuru!J2:K1372)="Prof. Dr. Nazmiye Ebru ORTAÇ ERSOY")*(Başvuru!G2:G1372="Yüksek Lisans Tezi")*(Başvuru!L2:L1372="GÖRÜŞ"))</f>
        <v>0</v>
      </c>
      <c r="P7" s="97">
        <f t="array" ref="P7">SUMPRODUCT(((Başvuru!J2:K1372)="Prof. Dr. Nazmiye Ebru ORTAÇ ERSOY")*(Başvuru!G2:G1372="Yüksek Lisans Tezi")*(Başvuru!L2:L1372="RET"))</f>
        <v>0</v>
      </c>
      <c r="Q7" s="97">
        <f t="array" ref="Q7">SUMPRODUCT(((Başvuru!J2:K1372)="Prof. Dr. Nazmiye Ebru ORTAÇ ERSOY")*(Başvuru!G2:G1372="Yüksek Lisans Tezi")*(Başvuru!L2:L1372="KAPSAM DIŞI"))</f>
        <v>0</v>
      </c>
      <c r="R7" s="97">
        <f t="array" ref="R7">SUMPRODUCT(((Başvuru!J2:K1372)="Prof. Dr. Nazmiye Ebru ORTAÇ ERSOY")*(Başvuru!G2:G1372="Yüksek Lisans Tezi")*(Başvuru!L2:L1372="GERİ ÇEKİLDİ"))</f>
        <v>0</v>
      </c>
      <c r="S7" s="97">
        <f t="shared" si="1"/>
        <v>0</v>
      </c>
      <c r="T7" s="97">
        <f t="array" ref="T7">SUMPRODUCT(((Başvuru!J2:K1372)="Prof. Dr. Nazmiye Ebru ORTAÇ ERSOY")*(Başvuru!G2:G1372="Doktora Tezi")*(Başvuru!L2:L1372="ONAY"))</f>
        <v>0</v>
      </c>
      <c r="U7" s="97">
        <f t="array" ref="U7">SUMPRODUCT(((Başvuru!J2:K1372)="Prof. Dr. Nazmiye Ebru ORTAÇ ERSOY")*(Başvuru!G2:G1372="Doktora Tezi")*(Başvuru!L2:L1372="DÜZELTME"))</f>
        <v>2</v>
      </c>
      <c r="V7" s="97">
        <f t="array" ref="V7">SUMPRODUCT(((Başvuru!J2:K1372)="Prof. Dr. Nazmiye Ebru ORTAÇ ERSOY")*(Başvuru!G2:G1372="Doktora Tezi")*(Başvuru!L2:L1372="KAEK"))</f>
        <v>0</v>
      </c>
      <c r="W7" s="97">
        <f t="array" ref="W7">SUMPRODUCT(((Başvuru!J2:K1372)="Prof. Dr. Nazmiye Ebru ORTAÇ ERSOY")*(Başvuru!G2:G1372="Doktora Tezi")*(Başvuru!L2:L1372="GÖRÜŞ"))</f>
        <v>0</v>
      </c>
      <c r="X7" s="97">
        <f t="array" ref="X7">SUMPRODUCT(((Başvuru!J2:K1372)="Prof. Dr. Nazmiye Ebru ORTAÇ ERSOY")*(Başvuru!G2:G1372="Doktora Tezi")*(Başvuru!L2:L1372="RET"))</f>
        <v>0</v>
      </c>
      <c r="Y7" s="97">
        <f t="array" ref="Y7">SUMPRODUCT(((Başvuru!J2:K1372)="Prof. Dr. Nazmiye Ebru ORTAÇ ERSOY")*(Başvuru!G2:G1372="Doktora Tezi")*(Başvuru!L2:L1372="KAPSAM DIŞI"))</f>
        <v>0</v>
      </c>
      <c r="Z7" s="97">
        <f t="array" ref="Z7">SUMPRODUCT(((Başvuru!J2:K1372)="Prof. Dr. Nazmiye Ebru ORTAÇ ERSOY")*(Başvuru!G2:G1372="Doktora Tezi")*(Başvuru!L2:L1372="GERİ ÇEKİLDİ"))</f>
        <v>0</v>
      </c>
      <c r="AA7" s="97">
        <f t="shared" si="2"/>
        <v>2</v>
      </c>
      <c r="AB7" s="97">
        <f t="array" ref="AB7">SUMPRODUCT(((Başvuru!J2:K1372)="Prof. Dr. Nazmiye Ebru ORTAÇ ERSOY")*(Başvuru!G2:G1372="Uzmanlık Tezi")*(Başvuru!L2:L1372="ONAY"))</f>
        <v>10</v>
      </c>
      <c r="AC7" s="97">
        <f t="array" ref="AC7">SUMPRODUCT(((Başvuru!J2:K1372)="Prof. Dr. Nazmiye Ebru ORTAÇ ERSOY")*(Başvuru!G2:G1372="Uzmanlık Tezi")*(Başvuru!L2:L1372="DÜZELTME"))</f>
        <v>6</v>
      </c>
      <c r="AD7" s="97">
        <f t="array" ref="AD7">SUMPRODUCT(((Başvuru!J2:K1372)="Prof. Dr. Nazmiye Ebru ORTAÇ ERSOY")*(Başvuru!G2:G1372="Uzmanlık Tezi")*(Başvuru!L2:L1372="KAEK"))</f>
        <v>1</v>
      </c>
      <c r="AE7" s="97">
        <f t="array" ref="AE7">SUMPRODUCT(((Başvuru!J2:K1372)="Prof. Dr. Nazmiye Ebru ORTAÇ ERSOY")*(Başvuru!G2:G1372="Uzmanlık Tezi")*(Başvuru!L2:L1372="GÖRÜŞ"))</f>
        <v>0</v>
      </c>
      <c r="AF7" s="97">
        <f t="array" ref="AF7">SUMPRODUCT(((Başvuru!J2:K1372)="Prof. Dr. Nazmiye Ebru ORTAÇ ERSOY")*(Başvuru!G2:G1372="Uzmanlık Tezi")*(Başvuru!L2:L1372="RET"))</f>
        <v>0</v>
      </c>
      <c r="AG7" s="97">
        <f t="array" ref="AG7">SUMPRODUCT(((Başvuru!J2:K1372)="Prof. Dr. Nazmiye Ebru ORTAÇ ERSOY")*(Başvuru!G2:G1372="Uzmanlık Tezi")*(Başvuru!L2:L1372="KAPSAM DIŞI"))</f>
        <v>0</v>
      </c>
      <c r="AH7" s="97">
        <f t="array" ref="AH7">SUMPRODUCT(((Başvuru!J2:K1372)="Prof. Dr. Nazmiye Ebru ORTAÇ ERSOY")*(Başvuru!G2:G1372="Uzmanlık Tezi")*(Başvuru!L2:L1372="GERİ ÇEKİLDİ"))</f>
        <v>0</v>
      </c>
      <c r="AI7" s="97">
        <f t="shared" si="3"/>
        <v>17</v>
      </c>
      <c r="AJ7" s="99">
        <f t="shared" si="4"/>
        <v>47</v>
      </c>
      <c r="AK7" s="99">
        <f t="shared" si="5"/>
        <v>23</v>
      </c>
      <c r="AL7" s="99">
        <f t="shared" si="6"/>
        <v>1</v>
      </c>
      <c r="AM7" s="99">
        <f t="shared" si="7"/>
        <v>2</v>
      </c>
      <c r="AN7" s="99">
        <f t="shared" si="8"/>
        <v>2</v>
      </c>
      <c r="AO7" s="99">
        <f t="shared" si="9"/>
        <v>1</v>
      </c>
      <c r="AP7" s="99">
        <f t="shared" si="10"/>
        <v>0</v>
      </c>
      <c r="AQ7" s="100">
        <f t="shared" si="11"/>
        <v>76</v>
      </c>
      <c r="AR7" s="97">
        <f t="shared" si="12"/>
        <v>2</v>
      </c>
      <c r="AS7" s="101">
        <f>COUNTIF(Başvuru!$Q:$Q,$B7)</f>
        <v>4</v>
      </c>
      <c r="AT7" s="102">
        <f>COUNTIFS(Başvuru!$Q:$Q,$B7,Başvuru!$J:$J,"&lt;&gt;"&amp;$B7,Başvuru!$K:$K,"&lt;&gt;"&amp;$B7)</f>
        <v>0</v>
      </c>
    </row>
    <row r="8" spans="1:46" s="94" customFormat="1" ht="30" customHeight="1" x14ac:dyDescent="0.25">
      <c r="A8" s="95" t="s">
        <v>104</v>
      </c>
      <c r="B8" s="96" t="s">
        <v>71</v>
      </c>
      <c r="C8" s="97">
        <f>COUNTIF(Başvuru!J2:K1372,"Prof. Dr. Gözde GİRGİN")</f>
        <v>93</v>
      </c>
      <c r="D8" s="98">
        <f t="array" ref="D8">SUMPRODUCT(((Başvuru!J2:K1372)="Prof. Dr. Gözde GİRGİN")*(Başvuru!G2:G1372="Bireysel Araştırma")*(Başvuru!L2:L1372="ONAY"))</f>
        <v>39</v>
      </c>
      <c r="E8" s="98">
        <f t="array" ref="E8">SUMPRODUCT(((Başvuru!J2:K1372)="Prof. Dr. Gözde GİRGİN")*(Başvuru!G2:G1372="Bireysel Araştırma")*(Başvuru!L2:L1372="DÜZELTME"))</f>
        <v>17</v>
      </c>
      <c r="F8" s="98">
        <f t="array" ref="F8">SUMPRODUCT(((Başvuru!J2:K1372)="Prof. Dr. Gözde GİRGİN")*(Başvuru!G2:G1372="Bireysel Araştırma")*(Başvuru!L2:L1372="KAEK"))</f>
        <v>0</v>
      </c>
      <c r="G8" s="98">
        <f t="array" ref="G8">SUMPRODUCT(((Başvuru!J2:K1372)="Prof. Dr. Gözde GİRGİN")*(Başvuru!G2:G1372="Bireysel Araştırma")*(Başvuru!L2:L1372="GÖRÜŞ"))</f>
        <v>4</v>
      </c>
      <c r="H8" s="98">
        <f t="array" ref="H8">SUMPRODUCT(((Başvuru!J2:K1372)="Prof. Dr. Gözde GİRGİN")*(Başvuru!G2:G1372="Bireysel Araştırma")*(Başvuru!L2:L1372="RET"))</f>
        <v>3</v>
      </c>
      <c r="I8" s="98">
        <f t="array" ref="I8">SUMPRODUCT(((Başvuru!J2:K1372)="Prof. Dr. Gözde GİRGİN")*(Başvuru!G2:G1372="Bireysel Araştırma")*(Başvuru!L2:L1372="KAPSAM DIŞI"))</f>
        <v>1</v>
      </c>
      <c r="J8" s="98">
        <f t="array" ref="J8">SUMPRODUCT(((Başvuru!J2:K1372)="Prof. Dr. Gözde GİRGİN")*(Başvuru!G2:G1372="Bireysel Araştırma")*(Başvuru!L2:L1372="GERİ ÇEKİLDİ"))</f>
        <v>0</v>
      </c>
      <c r="K8" s="97">
        <f t="shared" si="0"/>
        <v>64</v>
      </c>
      <c r="L8" s="97">
        <f t="array" ref="L8">SUMPRODUCT(((Başvuru!J2:K1372)="Prof. Dr. Gözde GİRGİN")*(Başvuru!G2:G1372="Yüksek Lisans Tezi")*(Başvuru!L2:L1372="ONAY"))</f>
        <v>0</v>
      </c>
      <c r="M8" s="97">
        <f t="array" ref="M8">SUMPRODUCT(((Başvuru!J2:K1372)="Prof. Dr. Gözde GİRGİN")*(Başvuru!G2:G1372="Yüksek Lisans Tezi")*(Başvuru!L2:L1372="DÜZELTME"))</f>
        <v>2</v>
      </c>
      <c r="N8" s="97">
        <f t="array" ref="N8">SUMPRODUCT(((Başvuru!J2:K1372)="Prof. Dr. Gözde GİRGİN")*(Başvuru!G2:G1372="Yüksek Lisans Tezi")*(Başvuru!L2:L1372="KAEK"))</f>
        <v>0</v>
      </c>
      <c r="O8" s="97">
        <f t="array" ref="O8">SUMPRODUCT(((Başvuru!J2:K1372)="Prof. Dr. Gözde GİRGİN")*(Başvuru!G2:G1372="Yüksek Lisans Tezi")*(Başvuru!L2:L1372="GÖRÜŞ"))</f>
        <v>0</v>
      </c>
      <c r="P8" s="97">
        <f t="array" ref="P8">SUMPRODUCT(((Başvuru!J2:K1372)="Prof. Dr. Gözde GİRGİN")*(Başvuru!G2:G1372="Yüksek Lisans Tezi")*(Başvuru!L2:L1372="RET"))</f>
        <v>0</v>
      </c>
      <c r="Q8" s="97">
        <f t="array" ref="Q8">SUMPRODUCT(((Başvuru!J2:K1372)="Prof. Dr. Gözde GİRGİN")*(Başvuru!G2:G1372="Yüksek Lisans Tezi")*(Başvuru!L2:L1372="KAPSAM DIŞI"))</f>
        <v>0</v>
      </c>
      <c r="R8" s="97">
        <f t="array" ref="R8">SUMPRODUCT(((Başvuru!J2:K1372)="Prof. Dr. Gözde GİRGİN")*(Başvuru!G2:G1372="Yüksek Lisans Tezi")*(Başvuru!L2:L1372="GERİ ÇEKİLDİ"))</f>
        <v>0</v>
      </c>
      <c r="S8" s="97">
        <f t="shared" si="1"/>
        <v>2</v>
      </c>
      <c r="T8" s="97">
        <f t="array" ref="T8">SUMPRODUCT(((Başvuru!J2:K1372)="Prof. Dr. Gözde GİRGİN")*(Başvuru!G2:G1372="Doktora Tezi")*(Başvuru!L2:L1372="ONAY"))</f>
        <v>1</v>
      </c>
      <c r="U8" s="97">
        <f t="array" ref="U8">SUMPRODUCT(((Başvuru!J2:K1372)="Prof. Dr. Gözde GİRGİN")*(Başvuru!G2:G1372="Doktora Tezi")*(Başvuru!L2:L1372="DÜZELTME"))</f>
        <v>3</v>
      </c>
      <c r="V8" s="97">
        <f t="array" ref="V8">SUMPRODUCT(((Başvuru!J2:K1372)="Prof. Dr. Gözde GİRGİN")*(Başvuru!G2:G1372="Doktora Tezi")*(Başvuru!L2:L1372="KAEK"))</f>
        <v>0</v>
      </c>
      <c r="W8" s="97">
        <f t="array" ref="W8">SUMPRODUCT(((Başvuru!J2:K1372)="Prof. Dr. Gözde GİRGİN")*(Başvuru!G2:G1372="Doktora Tezi")*(Başvuru!L2:L1372="GÖRÜŞ"))</f>
        <v>2</v>
      </c>
      <c r="X8" s="97">
        <f t="array" ref="X8">SUMPRODUCT(((Başvuru!J2:K1372)="Prof. Dr. Gözde GİRGİN")*(Başvuru!G2:G1372="Doktora Tezi")*(Başvuru!L2:L1372="RET"))</f>
        <v>0</v>
      </c>
      <c r="Y8" s="97">
        <f t="array" ref="Y8">SUMPRODUCT(((Başvuru!J2:K1372)="Prof. Dr. Gözde GİRGİN")*(Başvuru!G2:G1372="Doktora Tezi")*(Başvuru!L2:L1372="KAPSAM DIŞI"))</f>
        <v>0</v>
      </c>
      <c r="Z8" s="97">
        <f t="array" ref="Z8">SUMPRODUCT(((Başvuru!J2:K1372)="Prof. Dr. Gözde GİRGİN")*(Başvuru!G2:G1372="Doktora Tezi")*(Başvuru!L2:L1372="GERİ ÇEKİLDİ"))</f>
        <v>0</v>
      </c>
      <c r="AA8" s="97">
        <f t="shared" si="2"/>
        <v>6</v>
      </c>
      <c r="AB8" s="97">
        <f t="array" ref="AB8">SUMPRODUCT(((Başvuru!J2:K1372)="Prof. Dr. Gözde GİRGİN")*(Başvuru!G2:G1372="Uzmanlık Tezi")*(Başvuru!L2:L1372="ONAY"))</f>
        <v>10</v>
      </c>
      <c r="AC8" s="97">
        <f t="array" ref="AC8">SUMPRODUCT(((Başvuru!J2:K1372)="Prof. Dr. Gözde GİRGİN")*(Başvuru!G2:G1372="Uzmanlık Tezi")*(Başvuru!L2:L1372="DÜZELTME"))</f>
        <v>8</v>
      </c>
      <c r="AD8" s="97">
        <f t="array" ref="AD8">SUMPRODUCT(((Başvuru!J2:K1372)="Prof. Dr. Gözde GİRGİN")*(Başvuru!G2:G1372="Uzmanlık Tezi")*(Başvuru!L2:L1372="KAEK"))</f>
        <v>0</v>
      </c>
      <c r="AE8" s="97">
        <f t="array" ref="AE8">SUMPRODUCT(((Başvuru!J2:K1372)="Prof. Dr. Gözde GİRGİN")*(Başvuru!G2:G1372="Uzmanlık Tezi")*(Başvuru!L2:L1372="GÖRÜŞ"))</f>
        <v>1</v>
      </c>
      <c r="AF8" s="97">
        <f t="array" ref="AF8">SUMPRODUCT(((Başvuru!J2:K1372)="Prof. Dr. Gözde GİRGİN")*(Başvuru!G2:G1372="Uzmanlık Tezi")*(Başvuru!L2:L1372="RET"))</f>
        <v>0</v>
      </c>
      <c r="AG8" s="97">
        <f t="array" ref="AG8">SUMPRODUCT(((Başvuru!J2:K1372)="Prof. Dr. Gözde GİRGİN")*(Başvuru!G2:G1372="Uzmanlık Tezi")*(Başvuru!L2:L1372="KAPSAM DIŞI"))</f>
        <v>0</v>
      </c>
      <c r="AH8" s="97">
        <f t="array" ref="AH8">SUMPRODUCT(((Başvuru!J2:K1372)="Prof. Dr. Gözde GİRGİN")*(Başvuru!G2:G1372="Uzmanlık Tezi")*(Başvuru!L2:L1372="GERİ ÇEKİLDİ"))</f>
        <v>0</v>
      </c>
      <c r="AI8" s="97">
        <f t="shared" si="3"/>
        <v>19</v>
      </c>
      <c r="AJ8" s="99">
        <f t="shared" si="4"/>
        <v>50</v>
      </c>
      <c r="AK8" s="99">
        <f t="shared" si="5"/>
        <v>30</v>
      </c>
      <c r="AL8" s="99">
        <f t="shared" si="6"/>
        <v>0</v>
      </c>
      <c r="AM8" s="99">
        <f t="shared" si="7"/>
        <v>7</v>
      </c>
      <c r="AN8" s="99">
        <f t="shared" si="8"/>
        <v>3</v>
      </c>
      <c r="AO8" s="99">
        <f t="shared" si="9"/>
        <v>1</v>
      </c>
      <c r="AP8" s="99">
        <f t="shared" si="10"/>
        <v>0</v>
      </c>
      <c r="AQ8" s="100">
        <f t="shared" si="11"/>
        <v>91</v>
      </c>
      <c r="AR8" s="97">
        <f t="shared" si="12"/>
        <v>2</v>
      </c>
      <c r="AS8" s="101">
        <f>COUNTIF(Başvuru!$Q:$Q,$B8)</f>
        <v>10</v>
      </c>
      <c r="AT8" s="102">
        <f>COUNTIFS(Başvuru!$Q:$Q,$B8,Başvuru!$J:$J,"&lt;&gt;"&amp;$B8,Başvuru!$K:$K,"&lt;&gt;"&amp;$B8)</f>
        <v>0</v>
      </c>
    </row>
    <row r="9" spans="1:46" s="94" customFormat="1" ht="30" customHeight="1" x14ac:dyDescent="0.25">
      <c r="A9" s="95" t="s">
        <v>111</v>
      </c>
      <c r="B9" s="96" t="s">
        <v>63</v>
      </c>
      <c r="C9" s="97">
        <f>COUNTIF(Başvuru!J2:K1372,"Doç. Dr. Kübra AYKAÇ")</f>
        <v>77</v>
      </c>
      <c r="D9" s="98">
        <f t="array" ref="D9">SUMPRODUCT(((Başvuru!J2:K1372)="Doç. Dr. Kübra AYKAÇ")*(Başvuru!G2:G1372="Bireysel Araştırma")*(Başvuru!L2:L1372="ONAY"))</f>
        <v>33</v>
      </c>
      <c r="E9" s="98">
        <f t="array" ref="E9">SUMPRODUCT(((Başvuru!J2:K1372)="Doç. Dr. Kübra AYKAÇ")*(Başvuru!G2:G1372="Bireysel Araştırma")*(Başvuru!L2:L1372="DÜZELTME"))</f>
        <v>19</v>
      </c>
      <c r="F9" s="98">
        <f t="array" ref="F9">SUMPRODUCT(((Başvuru!J2:K1372)="Doç. Dr. Kübra AYKAÇ")*(Başvuru!G2:G1372="Bireysel Araştırma")*(Başvuru!L2:L1372="KAEK"))</f>
        <v>1</v>
      </c>
      <c r="G9" s="98">
        <f t="array" ref="G9">SUMPRODUCT(((Başvuru!J2:K1372)="Doç. Dr. Kübra AYKAÇ")*(Başvuru!G2:G1372="Bireysel Araştırma")*(Başvuru!L2:L1372="GÖRÜŞ"))</f>
        <v>2</v>
      </c>
      <c r="H9" s="98">
        <f t="array" ref="H9">SUMPRODUCT(((Başvuru!J2:K1372)="Doç. Dr. Kübra AYKAÇ")*(Başvuru!G2:G1372="Bireysel Araştırma")*(Başvuru!L2:L1372="RET"))</f>
        <v>1</v>
      </c>
      <c r="I9" s="98">
        <f t="array" ref="I9">SUMPRODUCT(((Başvuru!J2:K1372)="Doç. Dr. Kübra AYKAÇ")*(Başvuru!G2:G1372="Bireysel Araştırma")*(Başvuru!L2:L1372="KAPSAM DIŞI"))</f>
        <v>0</v>
      </c>
      <c r="J9" s="98">
        <f t="array" ref="J9">SUMPRODUCT(((Başvuru!J2:K1372)="Doç. Dr. Kübra AYKAÇ")*(Başvuru!G2:G1372="Bireysel Araştırma")*(Başvuru!L2:L1372="GERİ ÇEKİLDİ"))</f>
        <v>0</v>
      </c>
      <c r="K9" s="97">
        <f t="shared" si="0"/>
        <v>56</v>
      </c>
      <c r="L9" s="97">
        <f t="array" ref="L9">SUMPRODUCT(((Başvuru!J2:K1372)="Doç. Dr. Kübra AYKAÇ")*(Başvuru!G2:G1372="Yüksek Lisans Tezi")*(Başvuru!L2:L1372="ONAY"))</f>
        <v>1</v>
      </c>
      <c r="M9" s="97">
        <f t="array" ref="M9">SUMPRODUCT(((Başvuru!J2:K1372)="Doç. Dr. Kübra AYKAÇ")*(Başvuru!G2:G1372="Yüksek Lisans Tezi")*(Başvuru!L2:L1372="DÜZELTME"))</f>
        <v>2</v>
      </c>
      <c r="N9" s="97">
        <f t="array" ref="N9">SUMPRODUCT(((Başvuru!J2:K1372)="Doç. Dr. Kübra AYKAÇ")*(Başvuru!G2:G1372="Yüksek Lisans Tezi")*(Başvuru!L2:L1372="KAEK"))</f>
        <v>0</v>
      </c>
      <c r="O9" s="97">
        <f t="array" ref="O9">SUMPRODUCT(((Başvuru!J2:K1372)="Doç. Dr. Kübra AYKAÇ")*(Başvuru!G2:G1372="Yüksek Lisans Tezi")*(Başvuru!L2:L1372="GÖRÜŞ"))</f>
        <v>0</v>
      </c>
      <c r="P9" s="97">
        <f t="array" ref="P9">SUMPRODUCT(((Başvuru!J2:K1372)="Doç. Dr. Kübra AYKAÇ")*(Başvuru!G2:G1372="Yüksek Lisans Tezi")*(Başvuru!L2:L1372="RET"))</f>
        <v>1</v>
      </c>
      <c r="Q9" s="97">
        <f t="array" ref="Q9">SUMPRODUCT(((Başvuru!J2:K1372)="Doç. Dr. Kübra AYKAÇ")*(Başvuru!G2:G1372="Yüksek Lisans Tezi")*(Başvuru!L2:L1372="KAPSAM DIŞI"))</f>
        <v>0</v>
      </c>
      <c r="R9" s="97">
        <f t="array" ref="R9">SUMPRODUCT(((Başvuru!J2:K1372)="Doç. Dr. Kübra AYKAÇ")*(Başvuru!G2:G1372="Yüksek Lisans Tezi")*(Başvuru!L2:L1372="GERİ ÇEKİLDİ"))</f>
        <v>0</v>
      </c>
      <c r="S9" s="97">
        <f t="shared" si="1"/>
        <v>4</v>
      </c>
      <c r="T9" s="97">
        <f t="array" ref="T9">SUMPRODUCT(((Başvuru!J2:K1372)="Doç. Dr. Kübra AYKAÇ")*(Başvuru!G2:G1372="Doktora Tezi")*(Başvuru!L2:L1372="ONAY"))</f>
        <v>2</v>
      </c>
      <c r="U9" s="97">
        <f t="array" ref="U9">SUMPRODUCT(((Başvuru!J2:K1372)="Doç. Dr. Kübra AYKAÇ")*(Başvuru!G2:G1372="Doktora Tezi")*(Başvuru!L2:L1372="DÜZELTME"))</f>
        <v>1</v>
      </c>
      <c r="V9" s="97">
        <f t="array" ref="V9">SUMPRODUCT(((Başvuru!J2:K1372)="Doç. Dr. Kübra AYKAÇ")*(Başvuru!G2:G1372="Doktora Tezi")*(Başvuru!L2:L1372="KAEK"))</f>
        <v>0</v>
      </c>
      <c r="W9" s="97">
        <f t="array" ref="W9">SUMPRODUCT(((Başvuru!J2:K1372)="Doç. Dr. Kübra AYKAÇ")*(Başvuru!G2:G1372="Doktora Tezi")*(Başvuru!L2:L1372="GÖRÜŞ"))</f>
        <v>0</v>
      </c>
      <c r="X9" s="97">
        <f t="array" ref="X9">SUMPRODUCT(((Başvuru!J2:K1372)="Doç. Dr. Kübra AYKAÇ")*(Başvuru!G2:G1372="Doktora Tezi")*(Başvuru!L2:L1372="RET"))</f>
        <v>0</v>
      </c>
      <c r="Y9" s="97">
        <f t="array" ref="Y9">SUMPRODUCT(((Başvuru!J2:K1372)="Doç. Dr. Kübra AYKAÇ")*(Başvuru!G2:G1372="Doktora Tezi")*(Başvuru!L2:L1372="KAPSAM DIŞI"))</f>
        <v>0</v>
      </c>
      <c r="Z9" s="97">
        <f t="array" ref="Z9">SUMPRODUCT(((Başvuru!J2:K1372)="Doç. Dr. Kübra AYKAÇ")*(Başvuru!G2:G1372="Doktora Tezi")*(Başvuru!L2:L1372="GERİ ÇEKİLDİ"))</f>
        <v>0</v>
      </c>
      <c r="AA9" s="97">
        <f t="shared" si="2"/>
        <v>3</v>
      </c>
      <c r="AB9" s="97">
        <f t="array" ref="AB9">SUMPRODUCT(((Başvuru!J2:K1372)="Doç. Dr. Kübra AYKAÇ")*(Başvuru!G2:G1372="Uzmanlık Tezi")*(Başvuru!L2:L1372="ONAY"))</f>
        <v>8</v>
      </c>
      <c r="AC9" s="97">
        <f t="array" ref="AC9">SUMPRODUCT(((Başvuru!J2:K1372)="Doç. Dr. Kübra AYKAÇ")*(Başvuru!G2:G1372="Uzmanlık Tezi")*(Başvuru!L2:L1372="DÜZELTME"))</f>
        <v>3</v>
      </c>
      <c r="AD9" s="97">
        <f t="array" ref="AD9">SUMPRODUCT(((Başvuru!J2:K1372)="Doç. Dr. Kübra AYKAÇ")*(Başvuru!G2:G1372="Uzmanlık Tezi")*(Başvuru!L2:L1372="KAEK"))</f>
        <v>1</v>
      </c>
      <c r="AE9" s="97">
        <f t="array" ref="AE9">SUMPRODUCT(((Başvuru!J2:K1372)="Doç. Dr. Kübra AYKAÇ")*(Başvuru!G2:G1372="Uzmanlık Tezi")*(Başvuru!L2:L1372="GÖRÜŞ"))</f>
        <v>0</v>
      </c>
      <c r="AF9" s="97">
        <f t="array" ref="AF9">SUMPRODUCT(((Başvuru!J2:K1372)="Doç. Dr. Kübra AYKAÇ")*(Başvuru!G2:G1372="Uzmanlık Tezi")*(Başvuru!L2:L1372="RET"))</f>
        <v>0</v>
      </c>
      <c r="AG9" s="97">
        <f t="array" ref="AG9">SUMPRODUCT(((Başvuru!J2:K1372)="Doç. Dr. Kübra AYKAÇ")*(Başvuru!G2:G1372="Uzmanlık Tezi")*(Başvuru!L2:L1372="KAPSAM DIŞI"))</f>
        <v>1</v>
      </c>
      <c r="AH9" s="97">
        <f t="array" ref="AH9">SUMPRODUCT(((Başvuru!J2:K1372)="Doç. Dr. Kübra AYKAÇ")*(Başvuru!G2:G1372="Uzmanlık Tezi")*(Başvuru!L2:L1372="GERİ ÇEKİLDİ"))</f>
        <v>0</v>
      </c>
      <c r="AI9" s="97">
        <f t="shared" si="3"/>
        <v>13</v>
      </c>
      <c r="AJ9" s="99">
        <f t="shared" si="4"/>
        <v>44</v>
      </c>
      <c r="AK9" s="99">
        <f t="shared" si="5"/>
        <v>25</v>
      </c>
      <c r="AL9" s="99">
        <f t="shared" si="6"/>
        <v>2</v>
      </c>
      <c r="AM9" s="99">
        <f t="shared" si="7"/>
        <v>2</v>
      </c>
      <c r="AN9" s="99">
        <f t="shared" si="8"/>
        <v>2</v>
      </c>
      <c r="AO9" s="99">
        <f t="shared" si="9"/>
        <v>1</v>
      </c>
      <c r="AP9" s="99">
        <f t="shared" si="10"/>
        <v>0</v>
      </c>
      <c r="AQ9" s="100">
        <f t="shared" si="11"/>
        <v>76</v>
      </c>
      <c r="AR9" s="97">
        <f t="shared" si="12"/>
        <v>1</v>
      </c>
      <c r="AS9" s="101">
        <f>COUNTIF(Başvuru!$Q:$Q,$B9)</f>
        <v>4</v>
      </c>
      <c r="AT9" s="102">
        <f>COUNTIFS(Başvuru!$Q:$Q,$B9,Başvuru!$J:$J,"&lt;&gt;"&amp;$B9,Başvuru!$K:$K,"&lt;&gt;"&amp;$B9)</f>
        <v>0</v>
      </c>
    </row>
    <row r="10" spans="1:46" s="94" customFormat="1" ht="30" customHeight="1" x14ac:dyDescent="0.25">
      <c r="A10" s="95" t="s">
        <v>117</v>
      </c>
      <c r="B10" s="96" t="s">
        <v>86</v>
      </c>
      <c r="C10" s="97">
        <f>COUNTIF(Başvuru!J2:K1372,"Doç. Dr. Tolga ÇAKMAK")</f>
        <v>81</v>
      </c>
      <c r="D10" s="98">
        <f t="array" ref="D10">SUMPRODUCT(((Başvuru!J2:K1372)="Doç. Dr. Tolga ÇAKMAK")*(Başvuru!G2:G1372="Bireysel Araştırma")*(Başvuru!L2:L1372="ONAY"))</f>
        <v>28</v>
      </c>
      <c r="E10" s="98">
        <f t="array" ref="E10">SUMPRODUCT(((Başvuru!J2:K1372)="Doç. Dr. Tolga ÇAKMAK")*(Başvuru!G2:G1372="Bireysel Araştırma")*(Başvuru!L2:L1372="DÜZELTME"))</f>
        <v>15</v>
      </c>
      <c r="F10" s="98">
        <f t="array" ref="F10">SUMPRODUCT(((Başvuru!J2:K1372)="Doç. Dr. Tolga ÇAKMAK")*(Başvuru!G2:G1372="Bireysel Araştırma")*(Başvuru!L2:L1372="KAEK"))</f>
        <v>1</v>
      </c>
      <c r="G10" s="98">
        <f t="array" ref="G10">SUMPRODUCT(((Başvuru!J2:K1372)="Doç. Dr. Tolga ÇAKMAK")*(Başvuru!G2:G1372="Bireysel Araştırma")*(Başvuru!L2:L1372="GÖRÜŞ"))</f>
        <v>3</v>
      </c>
      <c r="H10" s="98">
        <f t="array" ref="H10">SUMPRODUCT(((Başvuru!J2:K1372)="Doç. Dr. Tolga ÇAKMAK")*(Başvuru!G2:G1372="Bireysel Araştırma")*(Başvuru!L2:L1372="RET"))</f>
        <v>6</v>
      </c>
      <c r="I10" s="98">
        <f t="array" ref="I10">SUMPRODUCT(((Başvuru!J2:K1372)="Doç. Dr. Tolga ÇAKMAK")*(Başvuru!G2:G1372="Bireysel Araştırma")*(Başvuru!L2:L1372="KAPSAM DIŞI"))</f>
        <v>0</v>
      </c>
      <c r="J10" s="98">
        <f t="array" ref="J10">SUMPRODUCT(((Başvuru!J2:K1372)="Doç. Dr. Tolga ÇAKMAK")*(Başvuru!G2:G1372="Bireysel Araştırma")*(Başvuru!L2:L1372="GERİ ÇEKİLDİ"))</f>
        <v>0</v>
      </c>
      <c r="K10" s="97">
        <f t="shared" si="0"/>
        <v>53</v>
      </c>
      <c r="L10" s="97">
        <f t="array" ref="L10">SUMPRODUCT(((Başvuru!J2:K1372)="Doç. Dr. Tolga ÇAKMAK")*(Başvuru!G2:G1372="Yüksek Lisans Tezi")*(Başvuru!L2:L1372="ONAY"))</f>
        <v>0</v>
      </c>
      <c r="M10" s="97">
        <f t="array" ref="M10">SUMPRODUCT(((Başvuru!J2:K1372)="Doç. Dr. Tolga ÇAKMAK")*(Başvuru!G2:G1372="Yüksek Lisans Tezi")*(Başvuru!L2:L1372="DÜZELTME"))</f>
        <v>2</v>
      </c>
      <c r="N10" s="97">
        <f t="array" ref="N10">SUMPRODUCT(((Başvuru!J2:K1372)="Doç. Dr. Tolga ÇAKMAK")*(Başvuru!G2:G1372="Yüksek Lisans Tezi")*(Başvuru!L2:L1372="KAEK"))</f>
        <v>0</v>
      </c>
      <c r="O10" s="97">
        <f t="array" ref="O10">SUMPRODUCT(((Başvuru!J2:K1372)="Doç. Dr. Tolga ÇAKMAK")*(Başvuru!G2:G1372="Yüksek Lisans Tezi")*(Başvuru!L2:L1372="GÖRÜŞ"))</f>
        <v>0</v>
      </c>
      <c r="P10" s="97">
        <f t="array" ref="P10">SUMPRODUCT(((Başvuru!J2:K1372)="Doç. Dr. Tolga ÇAKMAK")*(Başvuru!G2:G1372="Yüksek Lisans Tezi")*(Başvuru!L2:L1372="RET"))</f>
        <v>1</v>
      </c>
      <c r="Q10" s="97">
        <f t="array" ref="Q10">SUMPRODUCT(((Başvuru!J2:K1372)="Doç. Dr. Tolga ÇAKMAK")*(Başvuru!G2:G1372="Yüksek Lisans Tezi")*(Başvuru!L2:L1372="KAPSAM DIŞI"))</f>
        <v>0</v>
      </c>
      <c r="R10" s="97">
        <f t="array" ref="R10">SUMPRODUCT(((Başvuru!J2:K1372)="Doç. Dr. Tolga ÇAKMAK")*(Başvuru!G2:G1372="Yüksek Lisans Tezi")*(Başvuru!L2:L1372="GERİ ÇEKİLDİ"))</f>
        <v>0</v>
      </c>
      <c r="S10" s="97">
        <f t="shared" si="1"/>
        <v>3</v>
      </c>
      <c r="T10" s="97">
        <f t="array" ref="T10">SUMPRODUCT(((Başvuru!J2:K1372)="Doç. Dr. Tolga ÇAKMAK")*(Başvuru!G2:G1372="Doktora Tezi")*(Başvuru!L2:L1372="ONAY"))</f>
        <v>3</v>
      </c>
      <c r="U10" s="97">
        <f t="array" ref="U10">SUMPRODUCT(((Başvuru!J2:K1372)="Doç. Dr. Tolga ÇAKMAK")*(Başvuru!G2:G1372="Doktora Tezi")*(Başvuru!L2:L1372="DÜZELTME"))</f>
        <v>5</v>
      </c>
      <c r="V10" s="97">
        <f t="array" ref="V10">SUMPRODUCT(((Başvuru!J2:K1372)="Doç. Dr. Tolga ÇAKMAK")*(Başvuru!G2:G1372="Doktora Tezi")*(Başvuru!L2:L1372="KAEK"))</f>
        <v>0</v>
      </c>
      <c r="W10" s="97">
        <f t="array" ref="W10">SUMPRODUCT(((Başvuru!J2:K1372)="Doç. Dr. Tolga ÇAKMAK")*(Başvuru!G2:G1372="Doktora Tezi")*(Başvuru!L2:L1372="GÖRÜŞ"))</f>
        <v>1</v>
      </c>
      <c r="X10" s="97">
        <f t="array" ref="X10">SUMPRODUCT(((Başvuru!J2:K1372)="Doç. Dr. Tolga ÇAKMAK")*(Başvuru!G2:G1372="Doktora Tezi")*(Başvuru!L2:L1372="RET"))</f>
        <v>0</v>
      </c>
      <c r="Y10" s="97">
        <f t="array" ref="Y10">SUMPRODUCT(((Başvuru!J2:K1372)="Doç. Dr. Tolga ÇAKMAK")*(Başvuru!G2:G1372="Doktora Tezi")*(Başvuru!L2:L1372="KAPSAM DIŞI"))</f>
        <v>0</v>
      </c>
      <c r="Z10" s="97">
        <f t="array" ref="Z10">SUMPRODUCT(((Başvuru!J2:K1372)="Doç. Dr. Tolga ÇAKMAK")*(Başvuru!G2:G1372="Doktora Tezi")*(Başvuru!L2:L1372="GERİ ÇEKİLDİ"))</f>
        <v>0</v>
      </c>
      <c r="AA10" s="97">
        <f t="shared" si="2"/>
        <v>9</v>
      </c>
      <c r="AB10" s="97">
        <f t="array" ref="AB10">SUMPRODUCT(((Başvuru!J2:K1372)="Doç. Dr. Tolga ÇAKMAK")*(Başvuru!G2:G1372="Uzmanlık Tezi")*(Başvuru!L2:L1372="ONAY"))</f>
        <v>10</v>
      </c>
      <c r="AC10" s="97">
        <f t="array" ref="AC10">SUMPRODUCT(((Başvuru!J2:K1372)="Doç. Dr. Tolga ÇAKMAK")*(Başvuru!G2:G1372="Uzmanlık Tezi")*(Başvuru!L2:L1372="DÜZELTME"))</f>
        <v>4</v>
      </c>
      <c r="AD10" s="97">
        <f t="array" ref="AD10">SUMPRODUCT(((Başvuru!J2:K1372)="Doç. Dr. Tolga ÇAKMAK")*(Başvuru!G2:G1372="Uzmanlık Tezi")*(Başvuru!L2:L1372="KAEK"))</f>
        <v>0</v>
      </c>
      <c r="AE10" s="97">
        <f t="array" ref="AE10">SUMPRODUCT(((Başvuru!J2:K1372)="Doç. Dr. Tolga ÇAKMAK")*(Başvuru!G2:G1372="Uzmanlık Tezi")*(Başvuru!L2:L1372="GÖRÜŞ"))</f>
        <v>0</v>
      </c>
      <c r="AF10" s="97">
        <f t="array" ref="AF10">SUMPRODUCT(((Başvuru!J2:K1372)="Doç. Dr. Tolga ÇAKMAK")*(Başvuru!G2:G1372="Uzmanlık Tezi")*(Başvuru!L2:L1372="RET"))</f>
        <v>0</v>
      </c>
      <c r="AG10" s="97">
        <f t="array" ref="AG10">SUMPRODUCT(((Başvuru!J2:K1372)="Doç. Dr. Tolga ÇAKMAK")*(Başvuru!G2:G1372="Uzmanlık Tezi")*(Başvuru!L2:L1372="KAPSAM DIŞI"))</f>
        <v>0</v>
      </c>
      <c r="AH10" s="97">
        <f t="array" ref="AH10">SUMPRODUCT(((Başvuru!J2:K1372)="Doç. Dr. Tolga ÇAKMAK")*(Başvuru!G2:G1372="Uzmanlık Tezi")*(Başvuru!L2:L1372="GERİ ÇEKİLDİ"))</f>
        <v>0</v>
      </c>
      <c r="AI10" s="97">
        <f t="shared" si="3"/>
        <v>14</v>
      </c>
      <c r="AJ10" s="99">
        <f t="shared" si="4"/>
        <v>41</v>
      </c>
      <c r="AK10" s="99">
        <f t="shared" si="5"/>
        <v>26</v>
      </c>
      <c r="AL10" s="99">
        <f t="shared" si="6"/>
        <v>1</v>
      </c>
      <c r="AM10" s="99">
        <f t="shared" si="7"/>
        <v>4</v>
      </c>
      <c r="AN10" s="99">
        <f t="shared" si="8"/>
        <v>7</v>
      </c>
      <c r="AO10" s="99">
        <f t="shared" si="9"/>
        <v>0</v>
      </c>
      <c r="AP10" s="99">
        <f t="shared" si="10"/>
        <v>0</v>
      </c>
      <c r="AQ10" s="100">
        <f t="shared" si="11"/>
        <v>79</v>
      </c>
      <c r="AR10" s="97">
        <f t="shared" si="12"/>
        <v>2</v>
      </c>
      <c r="AS10" s="101">
        <f>COUNTIF(Başvuru!$Q:$Q,$B10)</f>
        <v>2</v>
      </c>
      <c r="AT10" s="102">
        <f>COUNTIFS(Başvuru!$Q:$Q,$B10,Başvuru!$J:$J,"&lt;&gt;"&amp;$B10,Başvuru!$K:$K,"&lt;&gt;"&amp;$B10)</f>
        <v>0</v>
      </c>
    </row>
    <row r="11" spans="1:46" s="94" customFormat="1" ht="30" customHeight="1" x14ac:dyDescent="0.25">
      <c r="A11" s="95" t="s">
        <v>123</v>
      </c>
      <c r="B11" s="96" t="s">
        <v>87</v>
      </c>
      <c r="C11" s="97">
        <f>COUNTIF(Başvuru!J2:K1372,"Doç. Dr. Burcu ERSÖZ ALAN")</f>
        <v>90</v>
      </c>
      <c r="D11" s="98">
        <f t="array" ref="D11">SUMPRODUCT(((Başvuru!J2:K1372)="Doç. Dr. Burcu ERSÖZ ALAN")*(Başvuru!G2:G1372="Bireysel Araştırma")*(Başvuru!L2:L1372="ONAY"))</f>
        <v>44</v>
      </c>
      <c r="E11" s="98">
        <f t="array" ref="E11">SUMPRODUCT(((Başvuru!J2:K1372)="Doç. Dr. Burcu ERSÖZ ALAN")*(Başvuru!G2:G1372="Bireysel Araştırma")*(Başvuru!L2:L1372="DÜZELTME"))</f>
        <v>17</v>
      </c>
      <c r="F11" s="98">
        <f t="array" ref="F11">SUMPRODUCT(((Başvuru!J2:K1372)="Doç. Dr. Burcu ERSÖZ ALAN")*(Başvuru!G2:G1372="Bireysel Araştırma")*(Başvuru!L2:L1372="KAEK"))</f>
        <v>0</v>
      </c>
      <c r="G11" s="98">
        <f t="array" ref="G11">SUMPRODUCT(((Başvuru!J2:K1372)="Doç. Dr. Burcu ERSÖZ ALAN")*(Başvuru!G2:G1372="Bireysel Araştırma")*(Başvuru!L2:L1372="GÖRÜŞ"))</f>
        <v>2</v>
      </c>
      <c r="H11" s="98">
        <f t="array" ref="H11">SUMPRODUCT(((Başvuru!J2:K1372)="Doç. Dr. Burcu ERSÖZ ALAN")*(Başvuru!G2:G1372="Bireysel Araştırma")*(Başvuru!L2:L1372="RET"))</f>
        <v>1</v>
      </c>
      <c r="I11" s="98">
        <f t="array" ref="I11">SUMPRODUCT(((Başvuru!J2:K1372)="Doç. Dr. Burcu ERSÖZ ALAN")*(Başvuru!G2:G1372="Bireysel Araştırma")*(Başvuru!L2:L1372="KAPSAM DIŞI"))</f>
        <v>1</v>
      </c>
      <c r="J11" s="98">
        <f t="array" ref="J11">SUMPRODUCT(((Başvuru!J2:K1372)="Doç. Dr. Burcu ERSÖZ ALAN")*(Başvuru!G2:G1372="Bireysel Araştırma")*(Başvuru!L2:L1372="GERİ ÇEKİLDİ"))</f>
        <v>0</v>
      </c>
      <c r="K11" s="97">
        <f t="shared" si="0"/>
        <v>65</v>
      </c>
      <c r="L11" s="97">
        <f t="array" ref="L11">SUMPRODUCT(((Başvuru!J2:K1372)="Doç. Dr. Burcu ERSÖZ ALAN")*(Başvuru!G2:G1372="Yüksek Lisans Tezi")*(Başvuru!L2:L1372="ONAY"))</f>
        <v>0</v>
      </c>
      <c r="M11" s="97">
        <f t="array" ref="M11">SUMPRODUCT(((Başvuru!J2:K1372)="Doç. Dr. Burcu ERSÖZ ALAN")*(Başvuru!G2:G1372="Yüksek Lisans Tezi")*(Başvuru!L2:L1372="DÜZELTME"))</f>
        <v>0</v>
      </c>
      <c r="N11" s="97">
        <f t="array" ref="N11">SUMPRODUCT(((Başvuru!J2:K1372)="Doç. Dr. Burcu ERSÖZ ALAN")*(Başvuru!G2:G1372="Yüksek Lisans Tezi")*(Başvuru!L2:L1372="KAEK"))</f>
        <v>0</v>
      </c>
      <c r="O11" s="97">
        <f t="array" ref="O11">SUMPRODUCT(((Başvuru!J2:K1372)="Doç. Dr. Burcu ERSÖZ ALAN")*(Başvuru!G2:G1372="Yüksek Lisans Tezi")*(Başvuru!L2:L1372="GÖRÜŞ"))</f>
        <v>0</v>
      </c>
      <c r="P11" s="97">
        <f t="array" ref="P11">SUMPRODUCT(((Başvuru!J2:K1372)="Doç. Dr. Burcu ERSÖZ ALAN")*(Başvuru!G2:G1372="Yüksek Lisans Tezi")*(Başvuru!L2:L1372="RET"))</f>
        <v>0</v>
      </c>
      <c r="Q11" s="97">
        <f t="array" ref="Q11">SUMPRODUCT(((Başvuru!J2:K1372)="Doç. Dr. Burcu ERSÖZ ALAN")*(Başvuru!G2:G1372="Yüksek Lisans Tezi")*(Başvuru!L2:L1372="KAPSAM DIŞI"))</f>
        <v>0</v>
      </c>
      <c r="R11" s="97">
        <f t="array" ref="R11">SUMPRODUCT(((Başvuru!J2:K1372)="Doç. Dr. Burcu ERSÖZ ALAN")*(Başvuru!G2:G1372="Yüksek Lisans Tezi")*(Başvuru!L2:L1372="GERİ ÇEKİLDİ"))</f>
        <v>0</v>
      </c>
      <c r="S11" s="97">
        <f t="shared" si="1"/>
        <v>0</v>
      </c>
      <c r="T11" s="97">
        <f t="array" ref="T11">SUMPRODUCT(((Başvuru!J2:K1372)="Doç. Dr. Burcu ERSÖZ ALAN")*(Başvuru!G2:G1372="Doktora Tezi")*(Başvuru!L2:L1372="ONAY"))</f>
        <v>6</v>
      </c>
      <c r="U11" s="97">
        <f t="array" ref="U11">SUMPRODUCT(((Başvuru!J2:K1372)="Doç. Dr. Burcu ERSÖZ ALAN")*(Başvuru!G2:G1372="Doktora Tezi")*(Başvuru!L2:L1372="DÜZELTME"))</f>
        <v>3</v>
      </c>
      <c r="V11" s="97">
        <f t="array" ref="V11">SUMPRODUCT(((Başvuru!J2:K1372)="Doç. Dr. Burcu ERSÖZ ALAN")*(Başvuru!G2:G1372="Doktora Tezi")*(Başvuru!L2:L1372="KAEK"))</f>
        <v>0</v>
      </c>
      <c r="W11" s="97">
        <f t="array" ref="W11">SUMPRODUCT(((Başvuru!J2:K1372)="Doç. Dr. Burcu ERSÖZ ALAN")*(Başvuru!G2:G1372="Doktora Tezi")*(Başvuru!L2:L1372="GÖRÜŞ"))</f>
        <v>0</v>
      </c>
      <c r="X11" s="97">
        <f t="array" ref="X11">SUMPRODUCT(((Başvuru!J2:K1372)="Doç. Dr. Burcu ERSÖZ ALAN")*(Başvuru!G2:G1372="Doktora Tezi")*(Başvuru!L2:L1372="RET"))</f>
        <v>0</v>
      </c>
      <c r="Y11" s="97">
        <f t="array" ref="Y11">SUMPRODUCT(((Başvuru!J2:K1372)="Doç. Dr. Burcu ERSÖZ ALAN")*(Başvuru!G2:G1372="Doktora Tezi")*(Başvuru!L2:L1372="KAPSAM DIŞI"))</f>
        <v>0</v>
      </c>
      <c r="Z11" s="97">
        <f t="array" ref="Z11">SUMPRODUCT(((Başvuru!J2:K1372)="Doç. Dr. Burcu ERSÖZ ALAN")*(Başvuru!G2:G1372="Doktora Tezi")*(Başvuru!L2:L1372="GERİ ÇEKİLDİ"))</f>
        <v>0</v>
      </c>
      <c r="AA11" s="97">
        <f t="shared" si="2"/>
        <v>9</v>
      </c>
      <c r="AB11" s="97">
        <f t="array" ref="AB11">SUMPRODUCT(((Başvuru!J2:K1372)="Doç. Dr. Burcu ERSÖZ ALAN")*(Başvuru!G2:G1372="Uzmanlık Tezi")*(Başvuru!L2:L1372="ONAY"))</f>
        <v>6</v>
      </c>
      <c r="AC11" s="97">
        <f t="array" ref="AC11">SUMPRODUCT(((Başvuru!J2:K1372)="Doç. Dr. Burcu ERSÖZ ALAN")*(Başvuru!G2:G1372="Uzmanlık Tezi")*(Başvuru!L2:L1372="DÜZELTME"))</f>
        <v>7</v>
      </c>
      <c r="AD11" s="97">
        <f t="array" ref="AD11">SUMPRODUCT(((Başvuru!J2:K1372)="Doç. Dr. Burcu ERSÖZ ALAN")*(Başvuru!G2:G1372="Uzmanlık Tezi")*(Başvuru!L2:L1372="KAEK"))</f>
        <v>0</v>
      </c>
      <c r="AE11" s="97">
        <f t="array" ref="AE11">SUMPRODUCT(((Başvuru!J2:K1372)="Doç. Dr. Burcu ERSÖZ ALAN")*(Başvuru!G2:G1372="Uzmanlık Tezi")*(Başvuru!L2:L1372="GÖRÜŞ"))</f>
        <v>2</v>
      </c>
      <c r="AF11" s="97">
        <f t="array" ref="AF11">SUMPRODUCT(((Başvuru!J2:K1372)="Doç. Dr. Burcu ERSÖZ ALAN")*(Başvuru!G2:G1372="Uzmanlık Tezi")*(Başvuru!L2:L1372="RET"))</f>
        <v>0</v>
      </c>
      <c r="AG11" s="97">
        <f t="array" ref="AG11">SUMPRODUCT(((Başvuru!J2:K1372)="Doç. Dr. Burcu ERSÖZ ALAN")*(Başvuru!G2:G1372="Uzmanlık Tezi")*(Başvuru!L2:L1372="KAPSAM DIŞI"))</f>
        <v>0</v>
      </c>
      <c r="AH11" s="97">
        <f t="array" ref="AH11">SUMPRODUCT(((Başvuru!J2:K1372)="Doç. Dr. Burcu ERSÖZ ALAN")*(Başvuru!G2:G1372="Uzmanlık Tezi")*(Başvuru!L2:L1372="GERİ ÇEKİLDİ"))</f>
        <v>0</v>
      </c>
      <c r="AI11" s="97">
        <f t="shared" si="3"/>
        <v>15</v>
      </c>
      <c r="AJ11" s="99">
        <f t="shared" si="4"/>
        <v>56</v>
      </c>
      <c r="AK11" s="99">
        <f t="shared" si="5"/>
        <v>27</v>
      </c>
      <c r="AL11" s="99">
        <f t="shared" si="6"/>
        <v>0</v>
      </c>
      <c r="AM11" s="99">
        <f t="shared" si="7"/>
        <v>4</v>
      </c>
      <c r="AN11" s="99">
        <f t="shared" si="8"/>
        <v>1</v>
      </c>
      <c r="AO11" s="99">
        <f t="shared" si="9"/>
        <v>1</v>
      </c>
      <c r="AP11" s="99">
        <f t="shared" si="10"/>
        <v>0</v>
      </c>
      <c r="AQ11" s="100">
        <f t="shared" si="11"/>
        <v>89</v>
      </c>
      <c r="AR11" s="97">
        <f t="shared" si="12"/>
        <v>1</v>
      </c>
      <c r="AS11" s="101">
        <f>COUNTIF(Başvuru!$Q:$Q,$B11)</f>
        <v>9</v>
      </c>
      <c r="AT11" s="102">
        <f>COUNTIFS(Başvuru!$Q:$Q,$B11,Başvuru!$J:$J,"&lt;&gt;"&amp;$B11,Başvuru!$K:$K,"&lt;&gt;"&amp;$B11)</f>
        <v>0</v>
      </c>
    </row>
    <row r="12" spans="1:46" s="94" customFormat="1" ht="30" customHeight="1" x14ac:dyDescent="0.25">
      <c r="A12" s="95" t="s">
        <v>129</v>
      </c>
      <c r="B12" s="96" t="s">
        <v>79</v>
      </c>
      <c r="C12" s="97">
        <f>COUNTIF(Başvuru!J2:K1372,"Doç. Dr. Ekim GÜMELER")</f>
        <v>81</v>
      </c>
      <c r="D12" s="98">
        <f t="array" ref="D12">SUMPRODUCT(((Başvuru!J2:K1372)="Doç. Dr. Ekim GÜMELER")*(Başvuru!G2:G1372="Bireysel Araştırma")*(Başvuru!L2:L1372="ONAY"))</f>
        <v>38</v>
      </c>
      <c r="E12" s="98">
        <f t="array" ref="E12">SUMPRODUCT(((Başvuru!J2:K1372)="Doç. Dr. Ekim GÜMELER")*(Başvuru!G2:G1372="Bireysel Araştırma")*(Başvuru!L2:L1372="DÜZELTME"))</f>
        <v>20</v>
      </c>
      <c r="F12" s="98">
        <f t="array" ref="F12">SUMPRODUCT(((Başvuru!J2:K1372)="Doç. Dr. Ekim GÜMELER")*(Başvuru!G2:G1372="Bireysel Araştırma")*(Başvuru!L2:L1372="KAEK"))</f>
        <v>1</v>
      </c>
      <c r="G12" s="98">
        <f t="array" ref="G12">SUMPRODUCT(((Başvuru!J2:K1372)="Doç. Dr. Ekim GÜMELER")*(Başvuru!G2:G1372="Bireysel Araştırma")*(Başvuru!L2:L1372="GÖRÜŞ"))</f>
        <v>3</v>
      </c>
      <c r="H12" s="98">
        <f t="array" ref="H12">SUMPRODUCT(((Başvuru!J2:K1372)="Doç. Dr. Ekim GÜMELER")*(Başvuru!G2:G1372="Bireysel Araştırma")*(Başvuru!L2:L1372="RET"))</f>
        <v>0</v>
      </c>
      <c r="I12" s="98">
        <f t="array" ref="I12">SUMPRODUCT(((Başvuru!J2:K1372)="Doç. Dr. Ekim GÜMELER")*(Başvuru!G2:G1372="Bireysel Araştırma")*(Başvuru!L2:L1372="KAPSAM DIŞI"))</f>
        <v>0</v>
      </c>
      <c r="J12" s="98">
        <f t="array" ref="J12">SUMPRODUCT(((Başvuru!J2:K1372)="Doç. Dr. Ekim GÜMELER")*(Başvuru!G2:G1372="Bireysel Araştırma")*(Başvuru!L2:L1372="GERİ ÇEKİLDİ"))</f>
        <v>0</v>
      </c>
      <c r="K12" s="97">
        <f t="shared" si="0"/>
        <v>62</v>
      </c>
      <c r="L12" s="97">
        <f t="array" ref="L12">SUMPRODUCT(((Başvuru!J2:K1372)="Doç. Dr. Ekim GÜMELER")*(Başvuru!G2:G1372="Yüksek Lisans Tezi")*(Başvuru!L2:L1372="ONAY"))</f>
        <v>0</v>
      </c>
      <c r="M12" s="97">
        <f t="array" ref="M12">SUMPRODUCT(((Başvuru!J2:K1372)="Doç. Dr. Ekim GÜMELER")*(Başvuru!G2:G1372="Yüksek Lisans Tezi")*(Başvuru!L2:L1372="DÜZELTME"))</f>
        <v>0</v>
      </c>
      <c r="N12" s="97">
        <f t="array" ref="N12">SUMPRODUCT(((Başvuru!J2:K1372)="Doç. Dr. Ekim GÜMELER")*(Başvuru!G2:G1372="Yüksek Lisans Tezi")*(Başvuru!L2:L1372="KAEK"))</f>
        <v>0</v>
      </c>
      <c r="O12" s="97">
        <f t="array" ref="O12">SUMPRODUCT(((Başvuru!J2:K1372)="Doç. Dr. Ekim GÜMELER")*(Başvuru!G2:G1372="Yüksek Lisans Tezi")*(Başvuru!L2:L1372="GÖRÜŞ"))</f>
        <v>0</v>
      </c>
      <c r="P12" s="97">
        <f t="array" ref="P12">SUMPRODUCT(((Başvuru!J2:K1372)="Doç. Dr. Ekim GÜMELER")*(Başvuru!G2:G1372="Yüksek Lisans Tezi")*(Başvuru!L2:L1372="RET"))</f>
        <v>0</v>
      </c>
      <c r="Q12" s="97">
        <f t="array" ref="Q12">SUMPRODUCT(((Başvuru!J2:K1372)="Doç. Dr. Ekim GÜMELER")*(Başvuru!G2:G1372="Yüksek Lisans Tezi")*(Başvuru!L2:L1372="KAPSAM DIŞI"))</f>
        <v>0</v>
      </c>
      <c r="R12" s="97">
        <f t="array" ref="R12">SUMPRODUCT(((Başvuru!J2:K1372)="Doç. Dr. Ekim GÜMELER")*(Başvuru!G2:G1372="Yüksek Lisans Tezi")*(Başvuru!L2:L1372="GERİ ÇEKİLDİ"))</f>
        <v>0</v>
      </c>
      <c r="S12" s="97">
        <f t="shared" si="1"/>
        <v>0</v>
      </c>
      <c r="T12" s="97">
        <f t="array" ref="T12">SUMPRODUCT(((Başvuru!J2:K1372)="Doç. Dr. Ekim GÜMELER")*(Başvuru!G2:G1372="Doktora Tezi")*(Başvuru!L2:L1372="ONAY"))</f>
        <v>4</v>
      </c>
      <c r="U12" s="97">
        <f t="array" ref="U12">SUMPRODUCT(((Başvuru!J2:K1372)="Doç. Dr. Ekim GÜMELER")*(Başvuru!G2:G1372="Doktora Tezi")*(Başvuru!L2:L1372="DÜZELTME"))</f>
        <v>0</v>
      </c>
      <c r="V12" s="97">
        <f t="array" ref="V12">SUMPRODUCT(((Başvuru!J2:K1372)="Doç. Dr. Ekim GÜMELER")*(Başvuru!G2:G1372="Doktora Tezi")*(Başvuru!L2:L1372="KAEK"))</f>
        <v>0</v>
      </c>
      <c r="W12" s="97">
        <f t="array" ref="W12">SUMPRODUCT(((Başvuru!J2:K1372)="Doç. Dr. Ekim GÜMELER")*(Başvuru!G2:G1372="Doktora Tezi")*(Başvuru!L2:L1372="GÖRÜŞ"))</f>
        <v>2</v>
      </c>
      <c r="X12" s="97">
        <f t="array" ref="X12">SUMPRODUCT(((Başvuru!J2:K1372)="Doç. Dr. Ekim GÜMELER")*(Başvuru!G2:G1372="Doktora Tezi")*(Başvuru!L2:L1372="RET"))</f>
        <v>0</v>
      </c>
      <c r="Y12" s="97">
        <f t="array" ref="Y12">SUMPRODUCT(((Başvuru!J2:K1372)="Doç. Dr. Ekim GÜMELER")*(Başvuru!G2:G1372="Doktora Tezi")*(Başvuru!L2:L1372="KAPSAM DIŞI"))</f>
        <v>0</v>
      </c>
      <c r="Z12" s="97">
        <f t="array" ref="Z12">SUMPRODUCT(((Başvuru!J2:K1372)="Doç. Dr. Ekim GÜMELER")*(Başvuru!G2:G1372="Doktora Tezi")*(Başvuru!L2:L1372="GERİ ÇEKİLDİ"))</f>
        <v>0</v>
      </c>
      <c r="AA12" s="97">
        <f t="shared" si="2"/>
        <v>6</v>
      </c>
      <c r="AB12" s="97">
        <f t="array" ref="AB12">SUMPRODUCT(((Başvuru!J2:K1372)="Doç. Dr. Ekim GÜMELER")*(Başvuru!G2:G1372="Uzmanlık Tezi")*(Başvuru!L2:L1372="ONAY"))</f>
        <v>6</v>
      </c>
      <c r="AC12" s="97">
        <f t="array" ref="AC12">SUMPRODUCT(((Başvuru!J2:K1372)="Doç. Dr. Ekim GÜMELER")*(Başvuru!G2:G1372="Uzmanlık Tezi")*(Başvuru!L2:L1372="DÜZELTME"))</f>
        <v>5</v>
      </c>
      <c r="AD12" s="97">
        <f t="array" ref="AD12">SUMPRODUCT(((Başvuru!J2:K1372)="Doç. Dr. Ekim GÜMELER")*(Başvuru!G2:G1372="Uzmanlık Tezi")*(Başvuru!L2:L1372="KAEK"))</f>
        <v>0</v>
      </c>
      <c r="AE12" s="97">
        <f t="array" ref="AE12">SUMPRODUCT(((Başvuru!J2:K1372)="Doç. Dr. Ekim GÜMELER")*(Başvuru!G2:G1372="Uzmanlık Tezi")*(Başvuru!L2:L1372="GÖRÜŞ"))</f>
        <v>0</v>
      </c>
      <c r="AF12" s="97">
        <f t="array" ref="AF12">SUMPRODUCT(((Başvuru!J2:K1372)="Doç. Dr. Ekim GÜMELER")*(Başvuru!G2:G1372="Uzmanlık Tezi")*(Başvuru!L2:L1372="RET"))</f>
        <v>0</v>
      </c>
      <c r="AG12" s="97">
        <f t="array" ref="AG12">SUMPRODUCT(((Başvuru!J2:K1372)="Doç. Dr. Ekim GÜMELER")*(Başvuru!G2:G1372="Uzmanlık Tezi")*(Başvuru!L2:L1372="KAPSAM DIŞI"))</f>
        <v>2</v>
      </c>
      <c r="AH12" s="97">
        <f t="array" ref="AH12">SUMPRODUCT(((Başvuru!J2:K1372)="Doç. Dr. Ekim GÜMELER")*(Başvuru!G2:G1372="Uzmanlık Tezi")*(Başvuru!L2:L1372="GERİ ÇEKİLDİ"))</f>
        <v>0</v>
      </c>
      <c r="AI12" s="97">
        <f t="shared" si="3"/>
        <v>13</v>
      </c>
      <c r="AJ12" s="99">
        <f t="shared" si="4"/>
        <v>48</v>
      </c>
      <c r="AK12" s="99">
        <f t="shared" si="5"/>
        <v>25</v>
      </c>
      <c r="AL12" s="99">
        <f t="shared" si="6"/>
        <v>1</v>
      </c>
      <c r="AM12" s="99">
        <f t="shared" si="7"/>
        <v>5</v>
      </c>
      <c r="AN12" s="99">
        <f t="shared" si="8"/>
        <v>0</v>
      </c>
      <c r="AO12" s="99">
        <f t="shared" si="9"/>
        <v>2</v>
      </c>
      <c r="AP12" s="99">
        <f t="shared" si="10"/>
        <v>0</v>
      </c>
      <c r="AQ12" s="100">
        <f t="shared" si="11"/>
        <v>81</v>
      </c>
      <c r="AR12" s="97">
        <f t="shared" si="12"/>
        <v>0</v>
      </c>
      <c r="AS12" s="101">
        <f>COUNTIF(Başvuru!$Q:$Q,$B12)</f>
        <v>4</v>
      </c>
      <c r="AT12" s="102">
        <f>COUNTIFS(Başvuru!$Q:$Q,$B12,Başvuru!$J:$J,"&lt;&gt;"&amp;$B12,Başvuru!$K:$K,"&lt;&gt;"&amp;$B12)</f>
        <v>0</v>
      </c>
    </row>
    <row r="13" spans="1:46" s="94" customFormat="1" ht="30" customHeight="1" x14ac:dyDescent="0.25">
      <c r="A13" s="95" t="s">
        <v>134</v>
      </c>
      <c r="B13" s="96" t="s">
        <v>78</v>
      </c>
      <c r="C13" s="97">
        <f>COUNTIF(Başvuru!J2:K1372,"Dr. Öğr. Üyesi Müge DEMİR")</f>
        <v>86</v>
      </c>
      <c r="D13" s="98">
        <f t="array" ref="D13">SUMPRODUCT(((Başvuru!J2:K1372)="Dr. Öğr. Üyesi Müge DEMİR")*(Başvuru!G2:G1372="Bireysel Araştırma")*(Başvuru!L2:L1372="ONAY"))</f>
        <v>28</v>
      </c>
      <c r="E13" s="98">
        <f t="array" ref="E13">SUMPRODUCT(((Başvuru!J2:K1372)="Dr. Öğr. Üyesi Müge DEMİR")*(Başvuru!G2:G1372="Bireysel Araştırma")*(Başvuru!L2:L1372="DÜZELTME"))</f>
        <v>27</v>
      </c>
      <c r="F13" s="98">
        <f t="array" ref="F13">SUMPRODUCT(((Başvuru!J2:K1372)="Dr. Öğr. Üyesi Müge DEMİR")*(Başvuru!G2:G1372="Bireysel Araştırma")*(Başvuru!L2:L1372="KAEK"))</f>
        <v>4</v>
      </c>
      <c r="G13" s="98">
        <f t="array" ref="G13">SUMPRODUCT(((Başvuru!J2:K1372)="Dr. Öğr. Üyesi Müge DEMİR")*(Başvuru!G2:G1372="Bireysel Araştırma")*(Başvuru!L2:L1372="GÖRÜŞ"))</f>
        <v>0</v>
      </c>
      <c r="H13" s="98">
        <f t="array" ref="H13">SUMPRODUCT(((Başvuru!J2:K1372)="Dr. Öğr. Üyesi Müge DEMİR")*(Başvuru!G2:G1372="Bireysel Araştırma")*(Başvuru!L2:L1372="RET"))</f>
        <v>4</v>
      </c>
      <c r="I13" s="98">
        <f t="array" ref="I13">SUMPRODUCT(((Başvuru!J2:K1372)="Dr. Öğr. Üyesi Müge DEMİR")*(Başvuru!G2:G1372="Bireysel Araştırma")*(Başvuru!L2:L1372="KAPSAM DIŞI"))</f>
        <v>3</v>
      </c>
      <c r="J13" s="98">
        <f t="array" ref="J13">SUMPRODUCT(((Başvuru!J2:K1372)="Dr. Öğr. Üyesi Müge DEMİR")*(Başvuru!G2:G1372="Bireysel Araştırma")*(Başvuru!L2:L1372="GERİ ÇEKİLDİ"))</f>
        <v>0</v>
      </c>
      <c r="K13" s="97">
        <f t="shared" si="0"/>
        <v>66</v>
      </c>
      <c r="L13" s="97">
        <f t="array" ref="L13">SUMPRODUCT(((Başvuru!J2:K1372)="Dr. Öğr. Üyesi Müge DEMİR")*(Başvuru!G2:G1372="Yüksek Lisans Tezi")*(Başvuru!L2:L1372="ONAY"))</f>
        <v>1</v>
      </c>
      <c r="M13" s="97">
        <f t="array" ref="M13">SUMPRODUCT(((Başvuru!J2:K1372)="Dr. Öğr. Üyesi Müge DEMİR")*(Başvuru!G2:G1372="Yüksek Lisans Tezi")*(Başvuru!L2:L1372="DÜZELTME"))</f>
        <v>1</v>
      </c>
      <c r="N13" s="97">
        <f t="array" ref="N13">SUMPRODUCT(((Başvuru!J2:K1372)="Dr. Öğr. Üyesi Müge DEMİR")*(Başvuru!G2:G1372="Yüksek Lisans Tezi")*(Başvuru!L2:L1372="KAEK"))</f>
        <v>0</v>
      </c>
      <c r="O13" s="97">
        <f t="array" ref="O13">SUMPRODUCT(((Başvuru!J2:K1372)="Dr. Öğr. Üyesi Müge DEMİR")*(Başvuru!G2:G1372="Yüksek Lisans Tezi")*(Başvuru!L2:L1372="GÖRÜŞ"))</f>
        <v>0</v>
      </c>
      <c r="P13" s="97">
        <f t="array" ref="P13">SUMPRODUCT(((Başvuru!J2:K1372)="Dr. Öğr. Üyesi Müge DEMİR")*(Başvuru!G2:G1372="Yüksek Lisans Tezi")*(Başvuru!L2:L1372="RET"))</f>
        <v>0</v>
      </c>
      <c r="Q13" s="97">
        <f t="array" ref="Q13">SUMPRODUCT(((Başvuru!J2:K1372)="Dr. Öğr. Üyesi Müge DEMİR")*(Başvuru!G2:G1372="Yüksek Lisans Tezi")*(Başvuru!L2:L1372="KAPSAM DIŞI"))</f>
        <v>0</v>
      </c>
      <c r="R13" s="97">
        <f t="array" ref="R13">SUMPRODUCT(((Başvuru!J2:K1372)="Dr. Öğr. Üyesi Müge DEMİR")*(Başvuru!G2:G1372="Yüksek Lisans Tezi")*(Başvuru!L2:L1372="GERİ ÇEKİLDİ"))</f>
        <v>0</v>
      </c>
      <c r="S13" s="97">
        <f t="shared" si="1"/>
        <v>2</v>
      </c>
      <c r="T13" s="97">
        <f t="array" ref="T13">SUMPRODUCT(((Başvuru!J2:K1372)="Dr. Öğr. Üyesi Müge DEMİR")*(Başvuru!G2:G1372="Doktora Tezi")*(Başvuru!L2:L1372="ONAY"))</f>
        <v>4</v>
      </c>
      <c r="U13" s="97">
        <f t="array" ref="U13">SUMPRODUCT(((Başvuru!J2:K1372)="Dr. Öğr. Üyesi Müge DEMİR")*(Başvuru!G2:G1372="Doktora Tezi")*(Başvuru!L2:L1372="DÜZELTME"))</f>
        <v>0</v>
      </c>
      <c r="V13" s="97">
        <f t="array" ref="V13">SUMPRODUCT(((Başvuru!J2:K1372)="Dr. Öğr. Üyesi Müge DEMİR")*(Başvuru!G2:G1372="Doktora Tezi")*(Başvuru!L2:L1372="KAEK"))</f>
        <v>0</v>
      </c>
      <c r="W13" s="97">
        <f t="array" ref="W13">SUMPRODUCT(((Başvuru!J2:K1372)="Dr. Öğr. Üyesi Müge DEMİR")*(Başvuru!G2:G1372="Doktora Tezi")*(Başvuru!L2:L1372="GÖRÜŞ"))</f>
        <v>0</v>
      </c>
      <c r="X13" s="97">
        <f t="array" ref="X13">SUMPRODUCT(((Başvuru!J2:K1372)="Dr. Öğr. Üyesi Müge DEMİR")*(Başvuru!G2:G1372="Doktora Tezi")*(Başvuru!L2:L1372="RET"))</f>
        <v>0</v>
      </c>
      <c r="Y13" s="97">
        <f t="array" ref="Y13">SUMPRODUCT(((Başvuru!J2:K1372)="Dr. Öğr. Üyesi Müge DEMİR")*(Başvuru!G2:G1372="Doktora Tezi")*(Başvuru!L2:L1372="KAPSAM DIŞI"))</f>
        <v>0</v>
      </c>
      <c r="Z13" s="97">
        <f t="array" ref="Z13">SUMPRODUCT(((Başvuru!J2:K1372)="Dr. Öğr. Üyesi Müge DEMİR")*(Başvuru!G2:G1372="Doktora Tezi")*(Başvuru!L2:L1372="GERİ ÇEKİLDİ"))</f>
        <v>0</v>
      </c>
      <c r="AA13" s="97">
        <f t="shared" si="2"/>
        <v>4</v>
      </c>
      <c r="AB13" s="97">
        <f t="array" ref="AB13">SUMPRODUCT(((Başvuru!J2:K1372)="Dr. Öğr. Üyesi Müge DEMİR")*(Başvuru!G2:G1372="Uzmanlık Tezi")*(Başvuru!L2:L1372="ONAY"))</f>
        <v>5</v>
      </c>
      <c r="AC13" s="97">
        <f t="array" ref="AC13">SUMPRODUCT(((Başvuru!J2:K1372)="Dr. Öğr. Üyesi Müge DEMİR")*(Başvuru!G2:G1372="Uzmanlık Tezi")*(Başvuru!L2:L1372="DÜZELTME"))</f>
        <v>3</v>
      </c>
      <c r="AD13" s="97">
        <f t="array" ref="AD13">SUMPRODUCT(((Başvuru!J2:K1372)="Dr. Öğr. Üyesi Müge DEMİR")*(Başvuru!G2:G1372="Uzmanlık Tezi")*(Başvuru!L2:L1372="KAEK"))</f>
        <v>2</v>
      </c>
      <c r="AE13" s="97">
        <f t="array" ref="AE13">SUMPRODUCT(((Başvuru!J2:K1372)="Dr. Öğr. Üyesi Müge DEMİR")*(Başvuru!G2:G1372="Uzmanlık Tezi")*(Başvuru!L2:L1372="GÖRÜŞ"))</f>
        <v>0</v>
      </c>
      <c r="AF13" s="97">
        <f t="array" ref="AF13">SUMPRODUCT(((Başvuru!J2:K1372)="Dr. Öğr. Üyesi Müge DEMİR")*(Başvuru!G2:G1372="Uzmanlık Tezi")*(Başvuru!L2:L1372="RET"))</f>
        <v>2</v>
      </c>
      <c r="AG13" s="97">
        <f t="array" ref="AG13">SUMPRODUCT(((Başvuru!J2:K1372)="Dr. Öğr. Üyesi Müge DEMİR")*(Başvuru!G2:G1372="Uzmanlık Tezi")*(Başvuru!L2:L1372="KAPSAM DIŞI"))</f>
        <v>0</v>
      </c>
      <c r="AH13" s="97">
        <f t="array" ref="AH13">SUMPRODUCT(((Başvuru!J2:K1372)="Dr. Öğr. Üyesi Müge DEMİR")*(Başvuru!G2:G1372="Uzmanlık Tezi")*(Başvuru!L2:L1372="GERİ ÇEKİLDİ"))</f>
        <v>0</v>
      </c>
      <c r="AI13" s="97">
        <f t="shared" si="3"/>
        <v>12</v>
      </c>
      <c r="AJ13" s="99">
        <f t="shared" si="4"/>
        <v>38</v>
      </c>
      <c r="AK13" s="99">
        <f t="shared" si="5"/>
        <v>31</v>
      </c>
      <c r="AL13" s="99">
        <f t="shared" si="6"/>
        <v>6</v>
      </c>
      <c r="AM13" s="99">
        <f t="shared" si="7"/>
        <v>0</v>
      </c>
      <c r="AN13" s="99">
        <f t="shared" si="8"/>
        <v>6</v>
      </c>
      <c r="AO13" s="99">
        <f t="shared" si="9"/>
        <v>3</v>
      </c>
      <c r="AP13" s="99">
        <f t="shared" si="10"/>
        <v>0</v>
      </c>
      <c r="AQ13" s="100">
        <f t="shared" si="11"/>
        <v>84</v>
      </c>
      <c r="AR13" s="97">
        <f t="shared" si="12"/>
        <v>2</v>
      </c>
      <c r="AS13" s="101">
        <f>COUNTIF(Başvuru!$Q:$Q,$B13)</f>
        <v>22</v>
      </c>
      <c r="AT13" s="102">
        <f>COUNTIFS(Başvuru!$Q:$Q,$B13,Başvuru!$J:$J,"&lt;&gt;"&amp;$B13,Başvuru!$K:$K,"&lt;&gt;"&amp;$B13)</f>
        <v>5</v>
      </c>
    </row>
    <row r="14" spans="1:46" s="110" customFormat="1" ht="30" customHeight="1" x14ac:dyDescent="0.25">
      <c r="A14" s="242" t="s">
        <v>4</v>
      </c>
      <c r="B14" s="242"/>
      <c r="C14" s="103">
        <f t="shared" ref="C14:AP14" si="13">SUM(C2:C13)</f>
        <v>984</v>
      </c>
      <c r="D14" s="103">
        <f t="shared" si="13"/>
        <v>404</v>
      </c>
      <c r="E14" s="103">
        <f t="shared" si="13"/>
        <v>234</v>
      </c>
      <c r="F14" s="103">
        <f t="shared" si="13"/>
        <v>10</v>
      </c>
      <c r="G14" s="103">
        <f t="shared" si="13"/>
        <v>30</v>
      </c>
      <c r="H14" s="103">
        <f t="shared" si="13"/>
        <v>28</v>
      </c>
      <c r="I14" s="103">
        <f t="shared" si="13"/>
        <v>10</v>
      </c>
      <c r="J14" s="103">
        <f t="shared" si="13"/>
        <v>0</v>
      </c>
      <c r="K14" s="104">
        <f t="shared" si="13"/>
        <v>716</v>
      </c>
      <c r="L14" s="103">
        <f t="shared" si="13"/>
        <v>4</v>
      </c>
      <c r="M14" s="103">
        <f t="shared" si="13"/>
        <v>14</v>
      </c>
      <c r="N14" s="103">
        <f t="shared" si="13"/>
        <v>0</v>
      </c>
      <c r="O14" s="103">
        <f t="shared" si="13"/>
        <v>0</v>
      </c>
      <c r="P14" s="103">
        <f t="shared" si="13"/>
        <v>2</v>
      </c>
      <c r="Q14" s="103">
        <f t="shared" si="13"/>
        <v>0</v>
      </c>
      <c r="R14" s="103">
        <f t="shared" si="13"/>
        <v>0</v>
      </c>
      <c r="S14" s="104">
        <f t="shared" si="13"/>
        <v>20</v>
      </c>
      <c r="T14" s="103">
        <f t="shared" si="13"/>
        <v>26</v>
      </c>
      <c r="U14" s="103">
        <f t="shared" si="13"/>
        <v>22</v>
      </c>
      <c r="V14" s="103">
        <f t="shared" si="13"/>
        <v>0</v>
      </c>
      <c r="W14" s="103">
        <f t="shared" si="13"/>
        <v>6</v>
      </c>
      <c r="X14" s="103">
        <f t="shared" si="13"/>
        <v>0</v>
      </c>
      <c r="Y14" s="103">
        <f t="shared" si="13"/>
        <v>0</v>
      </c>
      <c r="Z14" s="103">
        <f t="shared" si="13"/>
        <v>0</v>
      </c>
      <c r="AA14" s="104">
        <f t="shared" si="13"/>
        <v>54</v>
      </c>
      <c r="AB14" s="103">
        <f t="shared" si="13"/>
        <v>94</v>
      </c>
      <c r="AC14" s="103">
        <f t="shared" si="13"/>
        <v>66</v>
      </c>
      <c r="AD14" s="103">
        <f t="shared" si="13"/>
        <v>4</v>
      </c>
      <c r="AE14" s="103">
        <f t="shared" si="13"/>
        <v>6</v>
      </c>
      <c r="AF14" s="103">
        <f t="shared" si="13"/>
        <v>4</v>
      </c>
      <c r="AG14" s="103">
        <f t="shared" si="13"/>
        <v>4</v>
      </c>
      <c r="AH14" s="103">
        <f t="shared" si="13"/>
        <v>0</v>
      </c>
      <c r="AI14" s="104">
        <f t="shared" si="13"/>
        <v>178</v>
      </c>
      <c r="AJ14" s="105">
        <f t="shared" si="13"/>
        <v>528</v>
      </c>
      <c r="AK14" s="105">
        <f t="shared" si="13"/>
        <v>336</v>
      </c>
      <c r="AL14" s="105">
        <f t="shared" si="13"/>
        <v>14</v>
      </c>
      <c r="AM14" s="105">
        <f t="shared" si="13"/>
        <v>42</v>
      </c>
      <c r="AN14" s="105">
        <f t="shared" si="13"/>
        <v>34</v>
      </c>
      <c r="AO14" s="105">
        <f t="shared" si="13"/>
        <v>14</v>
      </c>
      <c r="AP14" s="105">
        <f t="shared" si="13"/>
        <v>0</v>
      </c>
      <c r="AQ14" s="106">
        <f t="shared" si="11"/>
        <v>968</v>
      </c>
      <c r="AR14" s="107">
        <f>SUM(AR2:AR13)</f>
        <v>16</v>
      </c>
      <c r="AS14" s="108">
        <f>SUM(AS2:AS13)</f>
        <v>115</v>
      </c>
      <c r="AT14" s="109">
        <f>SUM(AT2:AT13)</f>
        <v>8</v>
      </c>
    </row>
    <row r="15" spans="1:46" s="110" customFormat="1" ht="33" customHeight="1" x14ac:dyDescent="0.25">
      <c r="A15" s="111"/>
      <c r="B15" s="111"/>
      <c r="C15" s="104">
        <f>C14/2</f>
        <v>492</v>
      </c>
      <c r="D15" s="112"/>
      <c r="E15" s="113"/>
      <c r="F15" s="113"/>
      <c r="G15" s="113"/>
      <c r="H15" s="113"/>
      <c r="I15" s="113"/>
      <c r="J15" s="113"/>
      <c r="K15" s="114"/>
      <c r="L15" s="112"/>
      <c r="M15" s="113"/>
      <c r="N15" s="113"/>
      <c r="O15" s="113"/>
      <c r="P15" s="113"/>
      <c r="Q15" s="113"/>
      <c r="R15" s="113"/>
      <c r="S15" s="115"/>
      <c r="T15" s="112"/>
      <c r="U15" s="113"/>
      <c r="V15" s="113"/>
      <c r="W15" s="113"/>
      <c r="X15" s="113"/>
      <c r="Y15" s="113"/>
      <c r="Z15" s="113"/>
      <c r="AA15" s="115"/>
      <c r="AB15" s="112"/>
      <c r="AC15" s="113"/>
      <c r="AD15" s="113"/>
      <c r="AE15" s="113"/>
      <c r="AF15" s="113"/>
      <c r="AG15" s="113"/>
      <c r="AH15" s="113"/>
      <c r="AI15" s="115"/>
      <c r="AJ15" s="111"/>
      <c r="AK15" s="111"/>
      <c r="AL15" s="111"/>
      <c r="AM15" s="111"/>
      <c r="AN15" s="111"/>
      <c r="AO15" s="111"/>
      <c r="AP15" s="111"/>
      <c r="AQ15" s="111"/>
      <c r="AR15" s="104">
        <f>AR14/2</f>
        <v>8</v>
      </c>
      <c r="AS15" s="80"/>
      <c r="AT15" s="80"/>
    </row>
    <row r="19" spans="1:3" ht="30" customHeight="1" x14ac:dyDescent="0.3">
      <c r="A19" s="116" t="s">
        <v>3488</v>
      </c>
      <c r="B19" s="83" t="s">
        <v>3534</v>
      </c>
      <c r="C19" s="83" t="s">
        <v>3490</v>
      </c>
    </row>
    <row r="20" spans="1:3" ht="30" customHeight="1" x14ac:dyDescent="0.3">
      <c r="A20" s="117" t="s">
        <v>56</v>
      </c>
      <c r="B20" s="96" t="s">
        <v>34</v>
      </c>
      <c r="C20" s="118">
        <f>COUNTIF(Başvuru!G2:G1372,"Bireysel Araştırma")</f>
        <v>366</v>
      </c>
    </row>
    <row r="21" spans="1:3" ht="30" customHeight="1" x14ac:dyDescent="0.3">
      <c r="A21" s="119" t="s">
        <v>65</v>
      </c>
      <c r="B21" s="120" t="s">
        <v>36</v>
      </c>
      <c r="C21" s="121">
        <f>COUNTIF(Başvuru!G2:G1372,"Yüksek Lisans Tezi")</f>
        <v>10</v>
      </c>
    </row>
    <row r="22" spans="1:3" ht="30" customHeight="1" x14ac:dyDescent="0.3">
      <c r="A22" s="117" t="s">
        <v>72</v>
      </c>
      <c r="B22" s="96" t="s">
        <v>37</v>
      </c>
      <c r="C22" s="118">
        <f>COUNTIF(Başvuru!G2:G1372,"Doktora Tezi")</f>
        <v>27</v>
      </c>
    </row>
    <row r="23" spans="1:3" ht="30" customHeight="1" x14ac:dyDescent="0.3">
      <c r="A23" s="119" t="s">
        <v>80</v>
      </c>
      <c r="B23" s="120" t="s">
        <v>35</v>
      </c>
      <c r="C23" s="121">
        <f>COUNTIF(Başvuru!G2:G1372,"Uzmanlık Tezi")</f>
        <v>89</v>
      </c>
    </row>
    <row r="24" spans="1:3" ht="30" customHeight="1" x14ac:dyDescent="0.3">
      <c r="A24" s="243" t="s">
        <v>4</v>
      </c>
      <c r="B24" s="243"/>
      <c r="C24" s="83">
        <f>SUM(C20:C23)</f>
        <v>492</v>
      </c>
    </row>
    <row r="25" spans="1:3" ht="30" customHeight="1" x14ac:dyDescent="0.3">
      <c r="B25" s="94"/>
      <c r="C25" s="94"/>
    </row>
    <row r="26" spans="1:3" ht="30" customHeight="1" x14ac:dyDescent="0.3">
      <c r="A26" s="116" t="s">
        <v>3488</v>
      </c>
      <c r="B26" s="83" t="s">
        <v>3535</v>
      </c>
      <c r="C26" s="83" t="s">
        <v>3490</v>
      </c>
    </row>
    <row r="27" spans="1:3" ht="30" customHeight="1" x14ac:dyDescent="0.3">
      <c r="A27" s="117" t="s">
        <v>56</v>
      </c>
      <c r="B27" s="122" t="s">
        <v>3536</v>
      </c>
      <c r="C27" s="118">
        <f>COUNTIF(Başvuru!L2:L1372,"ONAY")</f>
        <v>264</v>
      </c>
    </row>
    <row r="28" spans="1:3" ht="30" customHeight="1" x14ac:dyDescent="0.3">
      <c r="A28" s="117" t="s">
        <v>65</v>
      </c>
      <c r="B28" s="122" t="s">
        <v>3537</v>
      </c>
      <c r="C28" s="118">
        <f>COUNTIF(Başvuru!L2:L1372,"DÜZELTME")</f>
        <v>168</v>
      </c>
    </row>
    <row r="29" spans="1:3" ht="30" customHeight="1" x14ac:dyDescent="0.3">
      <c r="A29" s="117" t="s">
        <v>72</v>
      </c>
      <c r="B29" s="122" t="s">
        <v>205</v>
      </c>
      <c r="C29" s="118">
        <f>COUNTIF(Başvuru!L2:L1372,"KAEK")</f>
        <v>7</v>
      </c>
    </row>
    <row r="30" spans="1:3" ht="30" customHeight="1" x14ac:dyDescent="0.3">
      <c r="A30" s="117" t="s">
        <v>80</v>
      </c>
      <c r="B30" s="122" t="s">
        <v>3538</v>
      </c>
      <c r="C30" s="118">
        <f>COUNTIF(Başvuru!L2:L1372,"GÖRÜŞ")</f>
        <v>21</v>
      </c>
    </row>
    <row r="31" spans="1:3" ht="30" customHeight="1" x14ac:dyDescent="0.3">
      <c r="A31" s="117" t="s">
        <v>89</v>
      </c>
      <c r="B31" s="122" t="s">
        <v>3539</v>
      </c>
      <c r="C31" s="118">
        <f>COUNTIF(Başvuru!L2:L1372,"RET")</f>
        <v>17</v>
      </c>
    </row>
    <row r="32" spans="1:3" ht="30" customHeight="1" x14ac:dyDescent="0.3">
      <c r="A32" s="117" t="s">
        <v>97</v>
      </c>
      <c r="B32" s="122" t="s">
        <v>3540</v>
      </c>
      <c r="C32" s="118">
        <f>COUNTIF(Başvuru!L2:L1372,"KAPSAM DIŞI")</f>
        <v>7</v>
      </c>
    </row>
    <row r="33" spans="1:3" ht="30" customHeight="1" x14ac:dyDescent="0.3">
      <c r="A33" s="117" t="s">
        <v>104</v>
      </c>
      <c r="B33" s="122" t="s">
        <v>3541</v>
      </c>
      <c r="C33" s="118">
        <f>COUNTIF(Başvuru!L2:L1372,"GERİ ÇEKİLDİ")</f>
        <v>0</v>
      </c>
    </row>
    <row r="34" spans="1:3" ht="30" customHeight="1" x14ac:dyDescent="0.3">
      <c r="A34" s="243" t="s">
        <v>4</v>
      </c>
      <c r="B34" s="243"/>
      <c r="C34" s="83">
        <f>SUM(C27:C33)</f>
        <v>484</v>
      </c>
    </row>
  </sheetData>
  <mergeCells count="3">
    <mergeCell ref="A14:B14"/>
    <mergeCell ref="A24:B24"/>
    <mergeCell ref="A34:B34"/>
  </mergeCells>
  <conditionalFormatting sqref="A20:C23">
    <cfRule type="expression" dxfId="9" priority="3">
      <formula>" =ÇİFTMİ(SATIR())"</formula>
    </cfRule>
  </conditionalFormatting>
  <conditionalFormatting sqref="A27:C33">
    <cfRule type="expression" dxfId="8" priority="4">
      <formula>ISEVEN(ROW())</formula>
    </cfRule>
  </conditionalFormatting>
  <conditionalFormatting sqref="A2:AI13">
    <cfRule type="expression" dxfId="7" priority="5">
      <formula>ISODD(ROW())</formula>
    </cfRule>
  </conditionalFormatting>
  <conditionalFormatting sqref="AR2:AR13">
    <cfRule type="expression" dxfId="6" priority="2">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Q63"/>
  <sheetViews>
    <sheetView showZeros="0" zoomScale="50" zoomScaleNormal="50" workbookViewId="0">
      <selection activeCell="D15" sqref="D15"/>
    </sheetView>
  </sheetViews>
  <sheetFormatPr defaultColWidth="9.140625" defaultRowHeight="15.75" x14ac:dyDescent="0.25"/>
  <cols>
    <col min="1" max="1" width="9.140625" style="27"/>
    <col min="2" max="2" width="58.42578125" style="27" customWidth="1"/>
    <col min="3" max="3" width="21.28515625" style="27" customWidth="1"/>
    <col min="4" max="35" width="9.7109375" style="27" customWidth="1"/>
    <col min="36" max="36" width="11" style="27" customWidth="1"/>
    <col min="37" max="42" width="9.7109375" style="27" customWidth="1"/>
    <col min="43" max="43" width="12.85546875" style="27" customWidth="1"/>
    <col min="44" max="16384" width="9.140625" style="27"/>
  </cols>
  <sheetData>
    <row r="1" spans="1:43" s="94" customFormat="1" ht="30" customHeight="1" x14ac:dyDescent="0.25">
      <c r="A1" s="252" t="s">
        <v>3488</v>
      </c>
      <c r="B1" s="252" t="s">
        <v>3489</v>
      </c>
      <c r="C1" s="252" t="s">
        <v>3490</v>
      </c>
      <c r="D1" s="247" t="s">
        <v>34</v>
      </c>
      <c r="E1" s="247"/>
      <c r="F1" s="247"/>
      <c r="G1" s="247"/>
      <c r="H1" s="247"/>
      <c r="I1" s="247"/>
      <c r="J1" s="247"/>
      <c r="K1" s="247"/>
      <c r="L1" s="247" t="s">
        <v>36</v>
      </c>
      <c r="M1" s="247"/>
      <c r="N1" s="247"/>
      <c r="O1" s="247"/>
      <c r="P1" s="247"/>
      <c r="Q1" s="247"/>
      <c r="R1" s="247"/>
      <c r="S1" s="247"/>
      <c r="T1" s="247" t="s">
        <v>37</v>
      </c>
      <c r="U1" s="247"/>
      <c r="V1" s="247"/>
      <c r="W1" s="247"/>
      <c r="X1" s="247"/>
      <c r="Y1" s="247"/>
      <c r="Z1" s="247"/>
      <c r="AA1" s="247"/>
      <c r="AB1" s="247" t="s">
        <v>35</v>
      </c>
      <c r="AC1" s="247"/>
      <c r="AD1" s="247"/>
      <c r="AE1" s="247"/>
      <c r="AF1" s="247"/>
      <c r="AG1" s="247"/>
      <c r="AH1" s="247"/>
      <c r="AI1" s="247"/>
      <c r="AJ1" s="248" t="s">
        <v>4</v>
      </c>
      <c r="AK1" s="248"/>
      <c r="AL1" s="248"/>
      <c r="AM1" s="248"/>
      <c r="AN1" s="248"/>
      <c r="AO1" s="248"/>
      <c r="AP1" s="248"/>
      <c r="AQ1" s="248"/>
    </row>
    <row r="2" spans="1:43" s="94" customFormat="1" ht="111.75" customHeight="1" x14ac:dyDescent="0.25">
      <c r="A2" s="252"/>
      <c r="B2" s="252"/>
      <c r="C2" s="252"/>
      <c r="D2" s="123" t="s">
        <v>3536</v>
      </c>
      <c r="E2" s="123" t="s">
        <v>3537</v>
      </c>
      <c r="F2" s="123" t="s">
        <v>205</v>
      </c>
      <c r="G2" s="123" t="s">
        <v>3538</v>
      </c>
      <c r="H2" s="123" t="s">
        <v>3539</v>
      </c>
      <c r="I2" s="123" t="s">
        <v>3540</v>
      </c>
      <c r="J2" s="123" t="s">
        <v>3541</v>
      </c>
      <c r="K2" s="124" t="s">
        <v>4</v>
      </c>
      <c r="L2" s="125" t="s">
        <v>3536</v>
      </c>
      <c r="M2" s="123" t="s">
        <v>3537</v>
      </c>
      <c r="N2" s="123" t="s">
        <v>205</v>
      </c>
      <c r="O2" s="123" t="s">
        <v>3538</v>
      </c>
      <c r="P2" s="123" t="s">
        <v>3539</v>
      </c>
      <c r="Q2" s="123" t="s">
        <v>3540</v>
      </c>
      <c r="R2" s="123" t="s">
        <v>3541</v>
      </c>
      <c r="S2" s="126" t="s">
        <v>4</v>
      </c>
      <c r="T2" s="123" t="s">
        <v>3536</v>
      </c>
      <c r="U2" s="123" t="s">
        <v>3537</v>
      </c>
      <c r="V2" s="123" t="s">
        <v>205</v>
      </c>
      <c r="W2" s="123" t="s">
        <v>3538</v>
      </c>
      <c r="X2" s="123" t="s">
        <v>3539</v>
      </c>
      <c r="Y2" s="123" t="s">
        <v>3540</v>
      </c>
      <c r="Z2" s="123" t="s">
        <v>3541</v>
      </c>
      <c r="AA2" s="127" t="s">
        <v>4</v>
      </c>
      <c r="AB2" s="123" t="s">
        <v>3536</v>
      </c>
      <c r="AC2" s="123" t="s">
        <v>3537</v>
      </c>
      <c r="AD2" s="123" t="s">
        <v>205</v>
      </c>
      <c r="AE2" s="123" t="s">
        <v>3538</v>
      </c>
      <c r="AF2" s="123" t="s">
        <v>3539</v>
      </c>
      <c r="AG2" s="123" t="s">
        <v>3540</v>
      </c>
      <c r="AH2" s="123" t="s">
        <v>3541</v>
      </c>
      <c r="AI2" s="127" t="s">
        <v>4</v>
      </c>
      <c r="AJ2" s="128" t="s">
        <v>3536</v>
      </c>
      <c r="AK2" s="128" t="s">
        <v>3537</v>
      </c>
      <c r="AL2" s="128" t="s">
        <v>205</v>
      </c>
      <c r="AM2" s="128" t="s">
        <v>3538</v>
      </c>
      <c r="AN2" s="128" t="s">
        <v>3539</v>
      </c>
      <c r="AO2" s="128" t="s">
        <v>3540</v>
      </c>
      <c r="AP2" s="128" t="s">
        <v>3541</v>
      </c>
      <c r="AQ2" s="128" t="s">
        <v>4</v>
      </c>
    </row>
    <row r="3" spans="1:43" s="94" customFormat="1" ht="30.75" customHeight="1" x14ac:dyDescent="0.25">
      <c r="A3" s="95" t="s">
        <v>56</v>
      </c>
      <c r="B3" s="96" t="s">
        <v>62</v>
      </c>
      <c r="C3" s="97">
        <f>COUNTIF(Başvuru!$J:$K, $B3)</f>
        <v>82</v>
      </c>
      <c r="D3" s="97">
        <f>COUNTIFS(Başvuru!$G:$G, "Bireysel Araştırma", Başvuru!$L:$L, D$2, Başvuru!$J:$J, $B3) + COUNTIFS(Başvuru!$G:$G, "Bireysel Araştırma", Başvuru!$L:$L, D$2, Başvuru!$K:$K, $B3)</f>
        <v>33</v>
      </c>
      <c r="E3" s="97">
        <f>COUNTIFS(Başvuru!$G:$G, "Bireysel Araştırma", Başvuru!$L:$L, E$2, Başvuru!$J:$J, $B3) + COUNTIFS(Başvuru!$G:$G, "Bireysel Araştırma", Başvuru!$L:$L, E$2, Başvuru!$K:$K, $B3)</f>
        <v>23</v>
      </c>
      <c r="F3" s="97">
        <f>COUNTIFS(Başvuru!$G:$G, "Bireysel Araştırma", Başvuru!$L:$L, F$2, Başvuru!$J:$J, $B3) + COUNTIFS(Başvuru!$G:$G, "Bireysel Araştırma", Başvuru!$L:$L, F$2, Başvuru!$K:$K, $B3)</f>
        <v>0</v>
      </c>
      <c r="G3" s="97">
        <f>COUNTIFS(Başvuru!$G:$G, "Bireysel Araştırma", Başvuru!$L:$L, G$2, Başvuru!$J:$J, $B3) + COUNTIFS(Başvuru!$G:$G, "Bireysel Araştırma", Başvuru!$L:$L, G$2, Başvuru!$K:$K, $B3)</f>
        <v>3</v>
      </c>
      <c r="H3" s="97">
        <f>COUNTIFS(Başvuru!$G:$G, "Bireysel Araştırma", Başvuru!$L:$L, H$2, Başvuru!$J:$J, $B3) + COUNTIFS(Başvuru!$G:$G, "Bireysel Araştırma", Başvuru!$L:$L, H$2, Başvuru!$K:$K, $B3)</f>
        <v>2</v>
      </c>
      <c r="I3" s="97">
        <f>COUNTIFS(Başvuru!$G:$G, "Bireysel Araştırma", Başvuru!$L:$L, I$2, Başvuru!$J:$J, $B3) + COUNTIFS(Başvuru!$G:$G, "Bireysel Araştırma", Başvuru!$L:$L, I$2, Başvuru!$K:$K, $B3)</f>
        <v>0</v>
      </c>
      <c r="J3" s="97">
        <f>COUNTIFS(Başvuru!$G:$G, "Bireysel Araştırma", Başvuru!$L:$L, J$2, Başvuru!$J:$J, $B3) + COUNTIFS(Başvuru!$G:$G, "Bireysel Araştırma", Başvuru!$L:$L, J$2, Başvuru!$K:$K, $B3)</f>
        <v>0</v>
      </c>
      <c r="K3" s="97">
        <f t="shared" ref="K3:K14" si="0">SUM(D3:J3)</f>
        <v>61</v>
      </c>
      <c r="L3" s="97">
        <f>COUNTIFS(Başvuru!$G:$G, "Yüksek Lisans Tezi", Başvuru!$L:$L, L$2, Başvuru!$J:$J, $B3) + COUNTIFS(Başvuru!$G:$G, "Yüksek Lisans Tezi", Başvuru!$L:$L, L$2, Başvuru!$K:$K, $B3)</f>
        <v>0</v>
      </c>
      <c r="M3" s="97">
        <f>COUNTIFS(Başvuru!$G:$G, "Yüksek Lisans Tezi", Başvuru!$L:$L, M$2, Başvuru!$J:$J, $B3) + COUNTIFS(Başvuru!$G:$G, "Yüksek Lisans Tezi", Başvuru!$L:$L, M$2, Başvuru!$K:$K, $B3)</f>
        <v>4</v>
      </c>
      <c r="N3" s="97">
        <f>COUNTIFS(Başvuru!$G:$G, "Yüksek Lisans Tezi", Başvuru!$L:$L, N$2, Başvuru!$J:$J, $B3) + COUNTIFS(Başvuru!$G:$G, "Yüksek Lisans Tezi", Başvuru!$L:$L, N$2, Başvuru!$K:$K, $B3)</f>
        <v>0</v>
      </c>
      <c r="O3" s="97">
        <f>COUNTIFS(Başvuru!$G:$G, "Yüksek Lisans Tezi", Başvuru!$L:$L, O$2, Başvuru!$J:$J, $B3) + COUNTIFS(Başvuru!$G:$G, "Yüksek Lisans Tezi", Başvuru!$L:$L, O$2, Başvuru!$K:$K, $B3)</f>
        <v>0</v>
      </c>
      <c r="P3" s="97">
        <f>COUNTIFS(Başvuru!$G:$G, "Yüksek Lisans Tezi", Başvuru!$L:$L, P$2, Başvuru!$J:$J, $B3) + COUNTIFS(Başvuru!$G:$G, "Yüksek Lisans Tezi", Başvuru!$L:$L, P$2, Başvuru!$K:$K, $B3)</f>
        <v>0</v>
      </c>
      <c r="Q3" s="97">
        <f>COUNTIFS(Başvuru!$G:$G, "Yüksek Lisans Tezi", Başvuru!$L:$L, Q$2, Başvuru!$J:$J, $B3) + COUNTIFS(Başvuru!$G:$G, "Yüksek Lisans Tezi", Başvuru!$L:$L, Q$2, Başvuru!$K:$K, $B3)</f>
        <v>0</v>
      </c>
      <c r="R3" s="97">
        <f>COUNTIFS(Başvuru!$G:$G, "Yüksek Lisans Tezi", Başvuru!$L:$L, R$2, Başvuru!$J:$J, $B3) + COUNTIFS(Başvuru!$G:$G, "Yüksek Lisans Tezi", Başvuru!$L:$L, R$2, Başvuru!$K:$K, $B3)</f>
        <v>0</v>
      </c>
      <c r="S3" s="97">
        <f t="shared" ref="S3:S14" si="1">SUM(L3:R3)</f>
        <v>4</v>
      </c>
      <c r="T3" s="97">
        <f>COUNTIFS(Başvuru!$G:$G, "Doktora Tezi", Başvuru!$L:$L, T$2, Başvuru!$J:$J, $B3) + COUNTIFS(Başvuru!$G:$G, "Doktora Tezi", Başvuru!$L:$L, T$2, Başvuru!$K:$K, $B3)</f>
        <v>3</v>
      </c>
      <c r="U3" s="97">
        <f>COUNTIFS(Başvuru!$G:$G, "Doktora Tezi", Başvuru!$L:$L, U$2, Başvuru!$J:$J, $B3) + COUNTIFS(Başvuru!$G:$G, "Doktora Tezi", Başvuru!$L:$L, U$2, Başvuru!$K:$K, $B3)</f>
        <v>3</v>
      </c>
      <c r="V3" s="97">
        <f>COUNTIFS(Başvuru!$G:$G, "Doktora Tezi", Başvuru!$L:$L, V$2, Başvuru!$J:$J, $B3) + COUNTIFS(Başvuru!$G:$G, "Doktora Tezi", Başvuru!$L:$L, V$2, Başvuru!$K:$K, $B3)</f>
        <v>0</v>
      </c>
      <c r="W3" s="97">
        <f>COUNTIFS(Başvuru!$G:$G, "Doktora Tezi", Başvuru!$L:$L, W$2, Başvuru!$J:$J, $B3) + COUNTIFS(Başvuru!$G:$G, "Doktora Tezi", Başvuru!$L:$L, W$2, Başvuru!$K:$K, $B3)</f>
        <v>0</v>
      </c>
      <c r="X3" s="97">
        <f>COUNTIFS(Başvuru!$G:$G, "Doktora Tezi", Başvuru!$L:$L, X$2, Başvuru!$J:$J, $B3) + COUNTIFS(Başvuru!$G:$G, "Doktora Tezi", Başvuru!$L:$L, X$2, Başvuru!$K:$K, $B3)</f>
        <v>0</v>
      </c>
      <c r="Y3" s="97">
        <f>COUNTIFS(Başvuru!$G:$G, "Doktora Tezi", Başvuru!$L:$L, Y$2, Başvuru!$J:$J, $B3) + COUNTIFS(Başvuru!$G:$G, "Doktora Tezi", Başvuru!$L:$L, Y$2, Başvuru!$K:$K, $B3)</f>
        <v>0</v>
      </c>
      <c r="Z3" s="97">
        <f>COUNTIFS(Başvuru!$G:$G, "Doktora Tezi", Başvuru!$L:$L, Z$2, Başvuru!$J:$J, $B3) + COUNTIFS(Başvuru!$G:$G, "Doktora Tezi", Başvuru!$L:$L, Z$2, Başvuru!$K:$K, $B3)</f>
        <v>0</v>
      </c>
      <c r="AA3" s="97">
        <f t="shared" ref="AA3:AA14" si="2">SUM(T3:Z3)</f>
        <v>6</v>
      </c>
      <c r="AB3" s="97">
        <f>COUNTIFS(Başvuru!$G:$G, "Uzmanlık Tezi", Başvuru!$L:$L, AB$2, Başvuru!$J:$J, $B3) + COUNTIFS(Başvuru!$G:$G, "Uzmanlık Tezi", Başvuru!$L:$L, AB$2, Başvuru!$K:$K, $B3)</f>
        <v>7</v>
      </c>
      <c r="AC3" s="97">
        <f>COUNTIFS(Başvuru!$G:$G, "Uzmanlık Tezi", Başvuru!$L:$L, AC$2, Başvuru!$J:$J, $B3) + COUNTIFS(Başvuru!$G:$G, "Uzmanlık Tezi", Başvuru!$L:$L, AC$2, Başvuru!$K:$K, $B3)</f>
        <v>3</v>
      </c>
      <c r="AD3" s="97">
        <f>COUNTIFS(Başvuru!$G:$G, "Uzmanlık Tezi", Başvuru!$L:$L, AD$2, Başvuru!$J:$J, $B3) + COUNTIFS(Başvuru!$G:$G, "Uzmanlık Tezi", Başvuru!$L:$L, AD$2, Başvuru!$K:$K, $B3)</f>
        <v>0</v>
      </c>
      <c r="AE3" s="97">
        <f>COUNTIFS(Başvuru!$G:$G, "Uzmanlık Tezi", Başvuru!$L:$L, AE$2, Başvuru!$J:$J, $B3) + COUNTIFS(Başvuru!$G:$G, "Uzmanlık Tezi", Başvuru!$L:$L, AE$2, Başvuru!$K:$K, $B3)</f>
        <v>0</v>
      </c>
      <c r="AF3" s="97">
        <f>COUNTIFS(Başvuru!$G:$G, "Uzmanlık Tezi", Başvuru!$L:$L, AF$2, Başvuru!$J:$J, $B3) + COUNTIFS(Başvuru!$G:$G, "Uzmanlık Tezi", Başvuru!$L:$L, AF$2, Başvuru!$K:$K, $B3)</f>
        <v>1</v>
      </c>
      <c r="AG3" s="97">
        <f>COUNTIFS(Başvuru!$G:$G, "Uzmanlık Tezi", Başvuru!$L:$L, AG$2, Başvuru!$J:$J, $B3) + COUNTIFS(Başvuru!$G:$G, "Uzmanlık Tezi", Başvuru!$L:$L, AG$2, Başvuru!$K:$K, $B3)</f>
        <v>0</v>
      </c>
      <c r="AH3" s="97">
        <f>COUNTIFS(Başvuru!$G:$G, "Uzmanlık Tezi", Başvuru!$L:$L, AH$2, Başvuru!$J:$J, $B3) + COUNTIFS(Başvuru!$G:$G, "Uzmanlık Tezi", Başvuru!$L:$L, AH$2, Başvuru!$K:$K, $B3)</f>
        <v>0</v>
      </c>
      <c r="AI3" s="97">
        <f t="shared" ref="AI3:AI14" si="3">SUM(AB3:AH3)</f>
        <v>11</v>
      </c>
      <c r="AJ3" s="99">
        <f t="shared" ref="AJ3:AJ14" si="4">SUM(D3,L3,T3,AB3)</f>
        <v>43</v>
      </c>
      <c r="AK3" s="99">
        <f t="shared" ref="AK3:AK14" si="5">SUM(E3,M3,U3,AC3)</f>
        <v>33</v>
      </c>
      <c r="AL3" s="99">
        <f t="shared" ref="AL3:AL14" si="6">SUM(F3,N3,V3,AD3)</f>
        <v>0</v>
      </c>
      <c r="AM3" s="99">
        <f t="shared" ref="AM3:AM14" si="7">SUM(G3,O3,W3,AE3)</f>
        <v>3</v>
      </c>
      <c r="AN3" s="99">
        <f t="shared" ref="AN3:AN14" si="8">SUM(H3,P3,X3,AF3)</f>
        <v>3</v>
      </c>
      <c r="AO3" s="99">
        <f t="shared" ref="AO3:AO14" si="9">SUM(I3,Q3,Y3,AG3)</f>
        <v>0</v>
      </c>
      <c r="AP3" s="99">
        <f t="shared" ref="AP3:AP14" si="10">SUM(J3,R3,Z3,AH3)</f>
        <v>0</v>
      </c>
      <c r="AQ3" s="99">
        <f t="shared" ref="AQ3:AQ15" si="11">SUM(AJ3:AP3)</f>
        <v>82</v>
      </c>
    </row>
    <row r="4" spans="1:43" s="94" customFormat="1" ht="30" customHeight="1" x14ac:dyDescent="0.25">
      <c r="A4" s="95" t="s">
        <v>65</v>
      </c>
      <c r="B4" s="96" t="s">
        <v>110</v>
      </c>
      <c r="C4" s="97">
        <f>COUNTIF(Başvuru!$J:$K, $B4)</f>
        <v>91</v>
      </c>
      <c r="D4" s="97">
        <f>COUNTIFS(Başvuru!$G:$G, "Bireysel Araştırma", Başvuru!$L:$L, D$2, Başvuru!$J:$J, $B4) + COUNTIFS(Başvuru!$G:$G, "Bireysel Araştırma", Başvuru!$L:$L, D$2, Başvuru!$K:$K, $B4)</f>
        <v>38</v>
      </c>
      <c r="E4" s="97">
        <f>COUNTIFS(Başvuru!$G:$G, "Bireysel Araştırma", Başvuru!$L:$L, E$2, Başvuru!$J:$J, $B4) + COUNTIFS(Başvuru!$G:$G, "Bireysel Araştırma", Başvuru!$L:$L, E$2, Başvuru!$K:$K, $B4)</f>
        <v>20</v>
      </c>
      <c r="F4" s="97">
        <f>COUNTIFS(Başvuru!$G:$G, "Bireysel Araştırma", Başvuru!$L:$L, F$2, Başvuru!$J:$J, $B4) + COUNTIFS(Başvuru!$G:$G, "Bireysel Araştırma", Başvuru!$L:$L, F$2, Başvuru!$K:$K, $B4)</f>
        <v>1</v>
      </c>
      <c r="G4" s="97">
        <f>COUNTIFS(Başvuru!$G:$G, "Bireysel Araştırma", Başvuru!$L:$L, G$2, Başvuru!$J:$J, $B4) + COUNTIFS(Başvuru!$G:$G, "Bireysel Araştırma", Başvuru!$L:$L, G$2, Başvuru!$K:$K, $B4)</f>
        <v>3</v>
      </c>
      <c r="H4" s="97">
        <f>COUNTIFS(Başvuru!$G:$G, "Bireysel Araştırma", Başvuru!$L:$L, H$2, Başvuru!$J:$J, $B4) + COUNTIFS(Başvuru!$G:$G, "Bireysel Araştırma", Başvuru!$L:$L, H$2, Başvuru!$K:$K, $B4)</f>
        <v>4</v>
      </c>
      <c r="I4" s="97">
        <f>COUNTIFS(Başvuru!$G:$G, "Bireysel Araştırma", Başvuru!$L:$L, I$2, Başvuru!$J:$J, $B4) + COUNTIFS(Başvuru!$G:$G, "Bireysel Araştırma", Başvuru!$L:$L, I$2, Başvuru!$K:$K, $B4)</f>
        <v>0</v>
      </c>
      <c r="J4" s="97">
        <f>COUNTIFS(Başvuru!$G:$G, "Bireysel Araştırma", Başvuru!$L:$L, J$2, Başvuru!$J:$J, $B4) + COUNTIFS(Başvuru!$G:$G, "Bireysel Araştırma", Başvuru!$L:$L, J$2, Başvuru!$K:$K, $B4)</f>
        <v>0</v>
      </c>
      <c r="K4" s="97">
        <f t="shared" si="0"/>
        <v>66</v>
      </c>
      <c r="L4" s="97">
        <f>COUNTIFS(Başvuru!$G:$G, "Yüksek Lisans Tezi", Başvuru!$L:$L, L$2, Başvuru!$J:$J, $B4) + COUNTIFS(Başvuru!$G:$G, "Yüksek Lisans Tezi", Başvuru!$L:$L, L$2, Başvuru!$K:$K, $B4)</f>
        <v>1</v>
      </c>
      <c r="M4" s="97">
        <f>COUNTIFS(Başvuru!$G:$G, "Yüksek Lisans Tezi", Başvuru!$L:$L, M$2, Başvuru!$J:$J, $B4) + COUNTIFS(Başvuru!$G:$G, "Yüksek Lisans Tezi", Başvuru!$L:$L, M$2, Başvuru!$K:$K, $B4)</f>
        <v>0</v>
      </c>
      <c r="N4" s="97">
        <f>COUNTIFS(Başvuru!$G:$G, "Yüksek Lisans Tezi", Başvuru!$L:$L, N$2, Başvuru!$J:$J, $B4) + COUNTIFS(Başvuru!$G:$G, "Yüksek Lisans Tezi", Başvuru!$L:$L, N$2, Başvuru!$K:$K, $B4)</f>
        <v>0</v>
      </c>
      <c r="O4" s="97">
        <f>COUNTIFS(Başvuru!$G:$G, "Yüksek Lisans Tezi", Başvuru!$L:$L, O$2, Başvuru!$J:$J, $B4) + COUNTIFS(Başvuru!$G:$G, "Yüksek Lisans Tezi", Başvuru!$L:$L, O$2, Başvuru!$K:$K, $B4)</f>
        <v>0</v>
      </c>
      <c r="P4" s="97">
        <f>COUNTIFS(Başvuru!$G:$G, "Yüksek Lisans Tezi", Başvuru!$L:$L, P$2, Başvuru!$J:$J, $B4) + COUNTIFS(Başvuru!$G:$G, "Yüksek Lisans Tezi", Başvuru!$L:$L, P$2, Başvuru!$K:$K, $B4)</f>
        <v>0</v>
      </c>
      <c r="Q4" s="97">
        <f>COUNTIFS(Başvuru!$G:$G, "Yüksek Lisans Tezi", Başvuru!$L:$L, Q$2, Başvuru!$J:$J, $B4) + COUNTIFS(Başvuru!$G:$G, "Yüksek Lisans Tezi", Başvuru!$L:$L, Q$2, Başvuru!$K:$K, $B4)</f>
        <v>0</v>
      </c>
      <c r="R4" s="97">
        <f>COUNTIFS(Başvuru!$G:$G, "Yüksek Lisans Tezi", Başvuru!$L:$L, R$2, Başvuru!$J:$J, $B4) + COUNTIFS(Başvuru!$G:$G, "Yüksek Lisans Tezi", Başvuru!$L:$L, R$2, Başvuru!$K:$K, $B4)</f>
        <v>0</v>
      </c>
      <c r="S4" s="97">
        <f t="shared" si="1"/>
        <v>1</v>
      </c>
      <c r="T4" s="97">
        <f>COUNTIFS(Başvuru!$G:$G, "Doktora Tezi", Başvuru!$L:$L, T$2, Başvuru!$J:$J, $B4) + COUNTIFS(Başvuru!$G:$G, "Doktora Tezi", Başvuru!$L:$L, T$2, Başvuru!$K:$K, $B4)</f>
        <v>1</v>
      </c>
      <c r="U4" s="97">
        <f>COUNTIFS(Başvuru!$G:$G, "Doktora Tezi", Başvuru!$L:$L, U$2, Başvuru!$J:$J, $B4) + COUNTIFS(Başvuru!$G:$G, "Doktora Tezi", Başvuru!$L:$L, U$2, Başvuru!$K:$K, $B4)</f>
        <v>1</v>
      </c>
      <c r="V4" s="97">
        <f>COUNTIFS(Başvuru!$G:$G, "Doktora Tezi", Başvuru!$L:$L, V$2, Başvuru!$J:$J, $B4) + COUNTIFS(Başvuru!$G:$G, "Doktora Tezi", Başvuru!$L:$L, V$2, Başvuru!$K:$K, $B4)</f>
        <v>0</v>
      </c>
      <c r="W4" s="97">
        <f>COUNTIFS(Başvuru!$G:$G, "Doktora Tezi", Başvuru!$L:$L, W$2, Başvuru!$J:$J, $B4) + COUNTIFS(Başvuru!$G:$G, "Doktora Tezi", Başvuru!$L:$L, W$2, Başvuru!$K:$K, $B4)</f>
        <v>0</v>
      </c>
      <c r="X4" s="97">
        <f>COUNTIFS(Başvuru!$G:$G, "Doktora Tezi", Başvuru!$L:$L, X$2, Başvuru!$J:$J, $B4) + COUNTIFS(Başvuru!$G:$G, "Doktora Tezi", Başvuru!$L:$L, X$2, Başvuru!$K:$K, $B4)</f>
        <v>0</v>
      </c>
      <c r="Y4" s="97">
        <f>COUNTIFS(Başvuru!$G:$G, "Doktora Tezi", Başvuru!$L:$L, Y$2, Başvuru!$J:$J, $B4) + COUNTIFS(Başvuru!$G:$G, "Doktora Tezi", Başvuru!$L:$L, Y$2, Başvuru!$K:$K, $B4)</f>
        <v>0</v>
      </c>
      <c r="Z4" s="97">
        <f>COUNTIFS(Başvuru!$G:$G, "Doktora Tezi", Başvuru!$L:$L, Z$2, Başvuru!$J:$J, $B4) + COUNTIFS(Başvuru!$G:$G, "Doktora Tezi", Başvuru!$L:$L, Z$2, Başvuru!$K:$K, $B4)</f>
        <v>0</v>
      </c>
      <c r="AA4" s="97">
        <f t="shared" si="2"/>
        <v>2</v>
      </c>
      <c r="AB4" s="97">
        <f>COUNTIFS(Başvuru!$G:$G, "Uzmanlık Tezi", Başvuru!$L:$L, AB$2, Başvuru!$J:$J, $B4) + COUNTIFS(Başvuru!$G:$G, "Uzmanlık Tezi", Başvuru!$L:$L, AB$2, Başvuru!$K:$K, $B4)</f>
        <v>15</v>
      </c>
      <c r="AC4" s="97">
        <f>COUNTIFS(Başvuru!$G:$G, "Uzmanlık Tezi", Başvuru!$L:$L, AC$2, Başvuru!$J:$J, $B4) + COUNTIFS(Başvuru!$G:$G, "Uzmanlık Tezi", Başvuru!$L:$L, AC$2, Başvuru!$K:$K, $B4)</f>
        <v>5</v>
      </c>
      <c r="AD4" s="97">
        <f>COUNTIFS(Başvuru!$G:$G, "Uzmanlık Tezi", Başvuru!$L:$L, AD$2, Başvuru!$J:$J, $B4) + COUNTIFS(Başvuru!$G:$G, "Uzmanlık Tezi", Başvuru!$L:$L, AD$2, Başvuru!$K:$K, $B4)</f>
        <v>0</v>
      </c>
      <c r="AE4" s="97">
        <f>COUNTIFS(Başvuru!$G:$G, "Uzmanlık Tezi", Başvuru!$L:$L, AE$2, Başvuru!$J:$J, $B4) + COUNTIFS(Başvuru!$G:$G, "Uzmanlık Tezi", Başvuru!$L:$L, AE$2, Başvuru!$K:$K, $B4)</f>
        <v>1</v>
      </c>
      <c r="AF4" s="97">
        <f>COUNTIFS(Başvuru!$G:$G, "Uzmanlık Tezi", Başvuru!$L:$L, AF$2, Başvuru!$J:$J, $B4) + COUNTIFS(Başvuru!$G:$G, "Uzmanlık Tezi", Başvuru!$L:$L, AF$2, Başvuru!$K:$K, $B4)</f>
        <v>0</v>
      </c>
      <c r="AG4" s="97">
        <f>COUNTIFS(Başvuru!$G:$G, "Uzmanlık Tezi", Başvuru!$L:$L, AG$2, Başvuru!$J:$J, $B4) + COUNTIFS(Başvuru!$G:$G, "Uzmanlık Tezi", Başvuru!$L:$L, AG$2, Başvuru!$K:$K, $B4)</f>
        <v>0</v>
      </c>
      <c r="AH4" s="97">
        <f>COUNTIFS(Başvuru!$G:$G, "Uzmanlık Tezi", Başvuru!$L:$L, AH$2, Başvuru!$J:$J, $B4) + COUNTIFS(Başvuru!$G:$G, "Uzmanlık Tezi", Başvuru!$L:$L, AH$2, Başvuru!$K:$K, $B4)</f>
        <v>0</v>
      </c>
      <c r="AI4" s="97">
        <f t="shared" si="3"/>
        <v>21</v>
      </c>
      <c r="AJ4" s="99">
        <f t="shared" si="4"/>
        <v>55</v>
      </c>
      <c r="AK4" s="99">
        <f t="shared" si="5"/>
        <v>26</v>
      </c>
      <c r="AL4" s="99">
        <f t="shared" si="6"/>
        <v>1</v>
      </c>
      <c r="AM4" s="99">
        <f t="shared" si="7"/>
        <v>4</v>
      </c>
      <c r="AN4" s="99">
        <f t="shared" si="8"/>
        <v>4</v>
      </c>
      <c r="AO4" s="99">
        <f t="shared" si="9"/>
        <v>0</v>
      </c>
      <c r="AP4" s="99">
        <f t="shared" si="10"/>
        <v>0</v>
      </c>
      <c r="AQ4" s="99">
        <f t="shared" si="11"/>
        <v>90</v>
      </c>
    </row>
    <row r="5" spans="1:43" s="94" customFormat="1" ht="30" customHeight="1" x14ac:dyDescent="0.25">
      <c r="A5" s="95" t="s">
        <v>72</v>
      </c>
      <c r="B5" s="96" t="s">
        <v>96</v>
      </c>
      <c r="C5" s="97">
        <f>COUNTIF(Başvuru!$J:$K, $B5)</f>
        <v>75</v>
      </c>
      <c r="D5" s="97">
        <f>COUNTIFS(Başvuru!$G:$G, "Bireysel Araştırma", Başvuru!$L:$L, D$2, Başvuru!$J:$J, $B5) + COUNTIFS(Başvuru!$G:$G, "Bireysel Araştırma", Başvuru!$L:$L, D$2, Başvuru!$K:$K, $B5)</f>
        <v>25</v>
      </c>
      <c r="E5" s="97">
        <f>COUNTIFS(Başvuru!$G:$G, "Bireysel Araştırma", Başvuru!$L:$L, E$2, Başvuru!$J:$J, $B5) + COUNTIFS(Başvuru!$G:$G, "Bireysel Araştırma", Başvuru!$L:$L, E$2, Başvuru!$K:$K, $B5)</f>
        <v>24</v>
      </c>
      <c r="F5" s="97">
        <f>COUNTIFS(Başvuru!$G:$G, "Bireysel Araştırma", Başvuru!$L:$L, F$2, Başvuru!$J:$J, $B5) + COUNTIFS(Başvuru!$G:$G, "Bireysel Araştırma", Başvuru!$L:$L, F$2, Başvuru!$K:$K, $B5)</f>
        <v>0</v>
      </c>
      <c r="G5" s="97">
        <f>COUNTIFS(Başvuru!$G:$G, "Bireysel Araştırma", Başvuru!$L:$L, G$2, Başvuru!$J:$J, $B5) + COUNTIFS(Başvuru!$G:$G, "Bireysel Araştırma", Başvuru!$L:$L, G$2, Başvuru!$K:$K, $B5)</f>
        <v>3</v>
      </c>
      <c r="H5" s="97">
        <f>COUNTIFS(Başvuru!$G:$G, "Bireysel Araştırma", Başvuru!$L:$L, H$2, Başvuru!$J:$J, $B5) + COUNTIFS(Başvuru!$G:$G, "Bireysel Araştırma", Başvuru!$L:$L, H$2, Başvuru!$K:$K, $B5)</f>
        <v>5</v>
      </c>
      <c r="I5" s="97">
        <f>COUNTIFS(Başvuru!$G:$G, "Bireysel Araştırma", Başvuru!$L:$L, I$2, Başvuru!$J:$J, $B5) + COUNTIFS(Başvuru!$G:$G, "Bireysel Araştırma", Başvuru!$L:$L, I$2, Başvuru!$K:$K, $B5)</f>
        <v>0</v>
      </c>
      <c r="J5" s="97">
        <f>COUNTIFS(Başvuru!$G:$G, "Bireysel Araştırma", Başvuru!$L:$L, J$2, Başvuru!$J:$J, $B5) + COUNTIFS(Başvuru!$G:$G, "Bireysel Araştırma", Başvuru!$L:$L, J$2, Başvuru!$K:$K, $B5)</f>
        <v>0</v>
      </c>
      <c r="K5" s="97">
        <f t="shared" si="0"/>
        <v>57</v>
      </c>
      <c r="L5" s="97">
        <f>COUNTIFS(Başvuru!$G:$G, "Yüksek Lisans Tezi", Başvuru!$L:$L, L$2, Başvuru!$J:$J, $B5) + COUNTIFS(Başvuru!$G:$G, "Yüksek Lisans Tezi", Başvuru!$L:$L, L$2, Başvuru!$K:$K, $B5)</f>
        <v>0</v>
      </c>
      <c r="M5" s="97">
        <f>COUNTIFS(Başvuru!$G:$G, "Yüksek Lisans Tezi", Başvuru!$L:$L, M$2, Başvuru!$J:$J, $B5) + COUNTIFS(Başvuru!$G:$G, "Yüksek Lisans Tezi", Başvuru!$L:$L, M$2, Başvuru!$K:$K, $B5)</f>
        <v>2</v>
      </c>
      <c r="N5" s="97">
        <f>COUNTIFS(Başvuru!$G:$G, "Yüksek Lisans Tezi", Başvuru!$L:$L, N$2, Başvuru!$J:$J, $B5) + COUNTIFS(Başvuru!$G:$G, "Yüksek Lisans Tezi", Başvuru!$L:$L, N$2, Başvuru!$K:$K, $B5)</f>
        <v>0</v>
      </c>
      <c r="O5" s="97">
        <f>COUNTIFS(Başvuru!$G:$G, "Yüksek Lisans Tezi", Başvuru!$L:$L, O$2, Başvuru!$J:$J, $B5) + COUNTIFS(Başvuru!$G:$G, "Yüksek Lisans Tezi", Başvuru!$L:$L, O$2, Başvuru!$K:$K, $B5)</f>
        <v>0</v>
      </c>
      <c r="P5" s="97">
        <f>COUNTIFS(Başvuru!$G:$G, "Yüksek Lisans Tezi", Başvuru!$L:$L, P$2, Başvuru!$J:$J, $B5) + COUNTIFS(Başvuru!$G:$G, "Yüksek Lisans Tezi", Başvuru!$L:$L, P$2, Başvuru!$K:$K, $B5)</f>
        <v>0</v>
      </c>
      <c r="Q5" s="97">
        <f>COUNTIFS(Başvuru!$G:$G, "Yüksek Lisans Tezi", Başvuru!$L:$L, Q$2, Başvuru!$J:$J, $B5) + COUNTIFS(Başvuru!$G:$G, "Yüksek Lisans Tezi", Başvuru!$L:$L, Q$2, Başvuru!$K:$K, $B5)</f>
        <v>0</v>
      </c>
      <c r="R5" s="97">
        <f>COUNTIFS(Başvuru!$G:$G, "Yüksek Lisans Tezi", Başvuru!$L:$L, R$2, Başvuru!$J:$J, $B5) + COUNTIFS(Başvuru!$G:$G, "Yüksek Lisans Tezi", Başvuru!$L:$L, R$2, Başvuru!$K:$K, $B5)</f>
        <v>0</v>
      </c>
      <c r="S5" s="97">
        <f t="shared" si="1"/>
        <v>2</v>
      </c>
      <c r="T5" s="97">
        <f>COUNTIFS(Başvuru!$G:$G, "Doktora Tezi", Başvuru!$L:$L, T$2, Başvuru!$J:$J, $B5) + COUNTIFS(Başvuru!$G:$G, "Doktora Tezi", Başvuru!$L:$L, T$2, Başvuru!$K:$K, $B5)</f>
        <v>0</v>
      </c>
      <c r="U5" s="97">
        <f>COUNTIFS(Başvuru!$G:$G, "Doktora Tezi", Başvuru!$L:$L, U$2, Başvuru!$J:$J, $B5) + COUNTIFS(Başvuru!$G:$G, "Doktora Tezi", Başvuru!$L:$L, U$2, Başvuru!$K:$K, $B5)</f>
        <v>2</v>
      </c>
      <c r="V5" s="97">
        <f>COUNTIFS(Başvuru!$G:$G, "Doktora Tezi", Başvuru!$L:$L, V$2, Başvuru!$J:$J, $B5) + COUNTIFS(Başvuru!$G:$G, "Doktora Tezi", Başvuru!$L:$L, V$2, Başvuru!$K:$K, $B5)</f>
        <v>0</v>
      </c>
      <c r="W5" s="97">
        <f>COUNTIFS(Başvuru!$G:$G, "Doktora Tezi", Başvuru!$L:$L, W$2, Başvuru!$J:$J, $B5) + COUNTIFS(Başvuru!$G:$G, "Doktora Tezi", Başvuru!$L:$L, W$2, Başvuru!$K:$K, $B5)</f>
        <v>0</v>
      </c>
      <c r="X5" s="97">
        <f>COUNTIFS(Başvuru!$G:$G, "Doktora Tezi", Başvuru!$L:$L, X$2, Başvuru!$J:$J, $B5) + COUNTIFS(Başvuru!$G:$G, "Doktora Tezi", Başvuru!$L:$L, X$2, Başvuru!$K:$K, $B5)</f>
        <v>0</v>
      </c>
      <c r="Y5" s="97">
        <f>COUNTIFS(Başvuru!$G:$G, "Doktora Tezi", Başvuru!$L:$L, Y$2, Başvuru!$J:$J, $B5) + COUNTIFS(Başvuru!$G:$G, "Doktora Tezi", Başvuru!$L:$L, Y$2, Başvuru!$K:$K, $B5)</f>
        <v>0</v>
      </c>
      <c r="Z5" s="97">
        <f>COUNTIFS(Başvuru!$G:$G, "Doktora Tezi", Başvuru!$L:$L, Z$2, Başvuru!$J:$J, $B5) + COUNTIFS(Başvuru!$G:$G, "Doktora Tezi", Başvuru!$L:$L, Z$2, Başvuru!$K:$K, $B5)</f>
        <v>0</v>
      </c>
      <c r="AA5" s="97">
        <f t="shared" si="2"/>
        <v>2</v>
      </c>
      <c r="AB5" s="97">
        <f>COUNTIFS(Başvuru!$G:$G, "Uzmanlık Tezi", Başvuru!$L:$L, AB$2, Başvuru!$J:$J, $B5) + COUNTIFS(Başvuru!$G:$G, "Uzmanlık Tezi", Başvuru!$L:$L, AB$2, Başvuru!$K:$K, $B5)</f>
        <v>5</v>
      </c>
      <c r="AC5" s="97">
        <f>COUNTIFS(Başvuru!$G:$G, "Uzmanlık Tezi", Başvuru!$L:$L, AC$2, Başvuru!$J:$J, $B5) + COUNTIFS(Başvuru!$G:$G, "Uzmanlık Tezi", Başvuru!$L:$L, AC$2, Başvuru!$K:$K, $B5)</f>
        <v>5</v>
      </c>
      <c r="AD5" s="97">
        <f>COUNTIFS(Başvuru!$G:$G, "Uzmanlık Tezi", Başvuru!$L:$L, AD$2, Başvuru!$J:$J, $B5) + COUNTIFS(Başvuru!$G:$G, "Uzmanlık Tezi", Başvuru!$L:$L, AD$2, Başvuru!$K:$K, $B5)</f>
        <v>0</v>
      </c>
      <c r="AE5" s="97">
        <f>COUNTIFS(Başvuru!$G:$G, "Uzmanlık Tezi", Başvuru!$L:$L, AE$2, Başvuru!$J:$J, $B5) + COUNTIFS(Başvuru!$G:$G, "Uzmanlık Tezi", Başvuru!$L:$L, AE$2, Başvuru!$K:$K, $B5)</f>
        <v>1</v>
      </c>
      <c r="AF5" s="97">
        <f>COUNTIFS(Başvuru!$G:$G, "Uzmanlık Tezi", Başvuru!$L:$L, AF$2, Başvuru!$J:$J, $B5) + COUNTIFS(Başvuru!$G:$G, "Uzmanlık Tezi", Başvuru!$L:$L, AF$2, Başvuru!$K:$K, $B5)</f>
        <v>1</v>
      </c>
      <c r="AG5" s="97">
        <f>COUNTIFS(Başvuru!$G:$G, "Uzmanlık Tezi", Başvuru!$L:$L, AG$2, Başvuru!$J:$J, $B5) + COUNTIFS(Başvuru!$G:$G, "Uzmanlık Tezi", Başvuru!$L:$L, AG$2, Başvuru!$K:$K, $B5)</f>
        <v>1</v>
      </c>
      <c r="AH5" s="97">
        <f>COUNTIFS(Başvuru!$G:$G, "Uzmanlık Tezi", Başvuru!$L:$L, AH$2, Başvuru!$J:$J, $B5) + COUNTIFS(Başvuru!$G:$G, "Uzmanlık Tezi", Başvuru!$L:$L, AH$2, Başvuru!$K:$K, $B5)</f>
        <v>0</v>
      </c>
      <c r="AI5" s="97">
        <f t="shared" si="3"/>
        <v>13</v>
      </c>
      <c r="AJ5" s="99">
        <f t="shared" si="4"/>
        <v>30</v>
      </c>
      <c r="AK5" s="99">
        <f t="shared" si="5"/>
        <v>33</v>
      </c>
      <c r="AL5" s="99">
        <f t="shared" si="6"/>
        <v>0</v>
      </c>
      <c r="AM5" s="99">
        <f t="shared" si="7"/>
        <v>4</v>
      </c>
      <c r="AN5" s="99">
        <f t="shared" si="8"/>
        <v>6</v>
      </c>
      <c r="AO5" s="99">
        <f t="shared" si="9"/>
        <v>1</v>
      </c>
      <c r="AP5" s="99">
        <f t="shared" si="10"/>
        <v>0</v>
      </c>
      <c r="AQ5" s="99">
        <f t="shared" si="11"/>
        <v>74</v>
      </c>
    </row>
    <row r="6" spans="1:43" s="94" customFormat="1" ht="30" customHeight="1" x14ac:dyDescent="0.25">
      <c r="A6" s="95" t="s">
        <v>80</v>
      </c>
      <c r="B6" s="96" t="s">
        <v>103</v>
      </c>
      <c r="C6" s="97">
        <f>COUNTIF(Başvuru!$J:$K, $B6)</f>
        <v>81</v>
      </c>
      <c r="D6" s="97">
        <f>COUNTIFS(Başvuru!$G:$G, "Bireysel Araştırma", Başvuru!$L:$L, D$2, Başvuru!$J:$J, $B6) + COUNTIFS(Başvuru!$G:$G, "Bireysel Araştırma", Başvuru!$L:$L, D$2, Başvuru!$K:$K, $B6)</f>
        <v>35</v>
      </c>
      <c r="E6" s="97">
        <f>COUNTIFS(Başvuru!$G:$G, "Bireysel Araştırma", Başvuru!$L:$L, E$2, Başvuru!$J:$J, $B6) + COUNTIFS(Başvuru!$G:$G, "Bireysel Araştırma", Başvuru!$L:$L, E$2, Başvuru!$K:$K, $B6)</f>
        <v>23</v>
      </c>
      <c r="F6" s="97">
        <f>COUNTIFS(Başvuru!$G:$G, "Bireysel Araştırma", Başvuru!$L:$L, F$2, Başvuru!$J:$J, $B6) + COUNTIFS(Başvuru!$G:$G, "Bireysel Araştırma", Başvuru!$L:$L, F$2, Başvuru!$K:$K, $B6)</f>
        <v>2</v>
      </c>
      <c r="G6" s="97">
        <f>COUNTIFS(Başvuru!$G:$G, "Bireysel Araştırma", Başvuru!$L:$L, G$2, Başvuru!$J:$J, $B6) + COUNTIFS(Başvuru!$G:$G, "Bireysel Araştırma", Başvuru!$L:$L, G$2, Başvuru!$K:$K, $B6)</f>
        <v>3</v>
      </c>
      <c r="H6" s="97">
        <f>COUNTIFS(Başvuru!$G:$G, "Bireysel Araştırma", Başvuru!$L:$L, H$2, Başvuru!$J:$J, $B6) + COUNTIFS(Başvuru!$G:$G, "Bireysel Araştırma", Başvuru!$L:$L, H$2, Başvuru!$K:$K, $B6)</f>
        <v>0</v>
      </c>
      <c r="I6" s="97">
        <f>COUNTIFS(Başvuru!$G:$G, "Bireysel Araştırma", Başvuru!$L:$L, I$2, Başvuru!$J:$J, $B6) + COUNTIFS(Başvuru!$G:$G, "Bireysel Araştırma", Başvuru!$L:$L, I$2, Başvuru!$K:$K, $B6)</f>
        <v>0</v>
      </c>
      <c r="J6" s="97">
        <f>COUNTIFS(Başvuru!$G:$G, "Bireysel Araştırma", Başvuru!$L:$L, J$2, Başvuru!$J:$J, $B6) + COUNTIFS(Başvuru!$G:$G, "Bireysel Araştırma", Başvuru!$L:$L, J$2, Başvuru!$K:$K, $B6)</f>
        <v>0</v>
      </c>
      <c r="K6" s="97">
        <f t="shared" si="0"/>
        <v>63</v>
      </c>
      <c r="L6" s="97">
        <f>COUNTIFS(Başvuru!$G:$G, "Yüksek Lisans Tezi", Başvuru!$L:$L, L$2, Başvuru!$J:$J, $B6) + COUNTIFS(Başvuru!$G:$G, "Yüksek Lisans Tezi", Başvuru!$L:$L, L$2, Başvuru!$K:$K, $B6)</f>
        <v>1</v>
      </c>
      <c r="M6" s="97">
        <f>COUNTIFS(Başvuru!$G:$G, "Yüksek Lisans Tezi", Başvuru!$L:$L, M$2, Başvuru!$J:$J, $B6) + COUNTIFS(Başvuru!$G:$G, "Yüksek Lisans Tezi", Başvuru!$L:$L, M$2, Başvuru!$K:$K, $B6)</f>
        <v>1</v>
      </c>
      <c r="N6" s="97">
        <f>COUNTIFS(Başvuru!$G:$G, "Yüksek Lisans Tezi", Başvuru!$L:$L, N$2, Başvuru!$J:$J, $B6) + COUNTIFS(Başvuru!$G:$G, "Yüksek Lisans Tezi", Başvuru!$L:$L, N$2, Başvuru!$K:$K, $B6)</f>
        <v>0</v>
      </c>
      <c r="O6" s="97">
        <f>COUNTIFS(Başvuru!$G:$G, "Yüksek Lisans Tezi", Başvuru!$L:$L, O$2, Başvuru!$J:$J, $B6) + COUNTIFS(Başvuru!$G:$G, "Yüksek Lisans Tezi", Başvuru!$L:$L, O$2, Başvuru!$K:$K, $B6)</f>
        <v>0</v>
      </c>
      <c r="P6" s="97">
        <f>COUNTIFS(Başvuru!$G:$G, "Yüksek Lisans Tezi", Başvuru!$L:$L, P$2, Başvuru!$J:$J, $B6) + COUNTIFS(Başvuru!$G:$G, "Yüksek Lisans Tezi", Başvuru!$L:$L, P$2, Başvuru!$K:$K, $B6)</f>
        <v>0</v>
      </c>
      <c r="Q6" s="97">
        <f>COUNTIFS(Başvuru!$G:$G, "Yüksek Lisans Tezi", Başvuru!$L:$L, Q$2, Başvuru!$J:$J, $B6) + COUNTIFS(Başvuru!$G:$G, "Yüksek Lisans Tezi", Başvuru!$L:$L, Q$2, Başvuru!$K:$K, $B6)</f>
        <v>0</v>
      </c>
      <c r="R6" s="97">
        <f>COUNTIFS(Başvuru!$G:$G, "Yüksek Lisans Tezi", Başvuru!$L:$L, R$2, Başvuru!$J:$J, $B6) + COUNTIFS(Başvuru!$G:$G, "Yüksek Lisans Tezi", Başvuru!$L:$L, R$2, Başvuru!$K:$K, $B6)</f>
        <v>0</v>
      </c>
      <c r="S6" s="97">
        <f t="shared" si="1"/>
        <v>2</v>
      </c>
      <c r="T6" s="97">
        <f>COUNTIFS(Başvuru!$G:$G, "Doktora Tezi", Başvuru!$L:$L, T$2, Başvuru!$J:$J, $B6) + COUNTIFS(Başvuru!$G:$G, "Doktora Tezi", Başvuru!$L:$L, T$2, Başvuru!$K:$K, $B6)</f>
        <v>1</v>
      </c>
      <c r="U6" s="97">
        <f>COUNTIFS(Başvuru!$G:$G, "Doktora Tezi", Başvuru!$L:$L, U$2, Başvuru!$J:$J, $B6) + COUNTIFS(Başvuru!$G:$G, "Doktora Tezi", Başvuru!$L:$L, U$2, Başvuru!$K:$K, $B6)</f>
        <v>1</v>
      </c>
      <c r="V6" s="97">
        <f>COUNTIFS(Başvuru!$G:$G, "Doktora Tezi", Başvuru!$L:$L, V$2, Başvuru!$J:$J, $B6) + COUNTIFS(Başvuru!$G:$G, "Doktora Tezi", Başvuru!$L:$L, V$2, Başvuru!$K:$K, $B6)</f>
        <v>0</v>
      </c>
      <c r="W6" s="97">
        <f>COUNTIFS(Başvuru!$G:$G, "Doktora Tezi", Başvuru!$L:$L, W$2, Başvuru!$J:$J, $B6) + COUNTIFS(Başvuru!$G:$G, "Doktora Tezi", Başvuru!$L:$L, W$2, Başvuru!$K:$K, $B6)</f>
        <v>0</v>
      </c>
      <c r="X6" s="97">
        <f>COUNTIFS(Başvuru!$G:$G, "Doktora Tezi", Başvuru!$L:$L, X$2, Başvuru!$J:$J, $B6) + COUNTIFS(Başvuru!$G:$G, "Doktora Tezi", Başvuru!$L:$L, X$2, Başvuru!$K:$K, $B6)</f>
        <v>0</v>
      </c>
      <c r="Y6" s="97">
        <f>COUNTIFS(Başvuru!$G:$G, "Doktora Tezi", Başvuru!$L:$L, Y$2, Başvuru!$J:$J, $B6) + COUNTIFS(Başvuru!$G:$G, "Doktora Tezi", Başvuru!$L:$L, Y$2, Başvuru!$K:$K, $B6)</f>
        <v>0</v>
      </c>
      <c r="Z6" s="97">
        <f>COUNTIFS(Başvuru!$G:$G, "Doktora Tezi", Başvuru!$L:$L, Z$2, Başvuru!$J:$J, $B6) + COUNTIFS(Başvuru!$G:$G, "Doktora Tezi", Başvuru!$L:$L, Z$2, Başvuru!$K:$K, $B6)</f>
        <v>0</v>
      </c>
      <c r="AA6" s="97">
        <f t="shared" si="2"/>
        <v>2</v>
      </c>
      <c r="AB6" s="97">
        <f>COUNTIFS(Başvuru!$G:$G, "Uzmanlık Tezi", Başvuru!$L:$L, AB$2, Başvuru!$J:$J, $B6) + COUNTIFS(Başvuru!$G:$G, "Uzmanlık Tezi", Başvuru!$L:$L, AB$2, Başvuru!$K:$K, $B6)</f>
        <v>5</v>
      </c>
      <c r="AC6" s="97">
        <f>COUNTIFS(Başvuru!$G:$G, "Uzmanlık Tezi", Başvuru!$L:$L, AC$2, Başvuru!$J:$J, $B6) + COUNTIFS(Başvuru!$G:$G, "Uzmanlık Tezi", Başvuru!$L:$L, AC$2, Başvuru!$K:$K, $B6)</f>
        <v>7</v>
      </c>
      <c r="AD6" s="97">
        <f>COUNTIFS(Başvuru!$G:$G, "Uzmanlık Tezi", Başvuru!$L:$L, AD$2, Başvuru!$J:$J, $B6) + COUNTIFS(Başvuru!$G:$G, "Uzmanlık Tezi", Başvuru!$L:$L, AD$2, Başvuru!$K:$K, $B6)</f>
        <v>0</v>
      </c>
      <c r="AE6" s="97">
        <f>COUNTIFS(Başvuru!$G:$G, "Uzmanlık Tezi", Başvuru!$L:$L, AE$2, Başvuru!$J:$J, $B6) + COUNTIFS(Başvuru!$G:$G, "Uzmanlık Tezi", Başvuru!$L:$L, AE$2, Başvuru!$K:$K, $B6)</f>
        <v>0</v>
      </c>
      <c r="AF6" s="97">
        <f>COUNTIFS(Başvuru!$G:$G, "Uzmanlık Tezi", Başvuru!$L:$L, AF$2, Başvuru!$J:$J, $B6) + COUNTIFS(Başvuru!$G:$G, "Uzmanlık Tezi", Başvuru!$L:$L, AF$2, Başvuru!$K:$K, $B6)</f>
        <v>0</v>
      </c>
      <c r="AG6" s="97">
        <f>COUNTIFS(Başvuru!$G:$G, "Uzmanlık Tezi", Başvuru!$L:$L, AG$2, Başvuru!$J:$J, $B6) + COUNTIFS(Başvuru!$G:$G, "Uzmanlık Tezi", Başvuru!$L:$L, AG$2, Başvuru!$K:$K, $B6)</f>
        <v>0</v>
      </c>
      <c r="AH6" s="97">
        <f>COUNTIFS(Başvuru!$G:$G, "Uzmanlık Tezi", Başvuru!$L:$L, AH$2, Başvuru!$J:$J, $B6) + COUNTIFS(Başvuru!$G:$G, "Uzmanlık Tezi", Başvuru!$L:$L, AH$2, Başvuru!$K:$K, $B6)</f>
        <v>0</v>
      </c>
      <c r="AI6" s="97">
        <f t="shared" si="3"/>
        <v>12</v>
      </c>
      <c r="AJ6" s="99">
        <f t="shared" si="4"/>
        <v>42</v>
      </c>
      <c r="AK6" s="99">
        <f t="shared" si="5"/>
        <v>32</v>
      </c>
      <c r="AL6" s="99">
        <f t="shared" si="6"/>
        <v>2</v>
      </c>
      <c r="AM6" s="99">
        <f t="shared" si="7"/>
        <v>3</v>
      </c>
      <c r="AN6" s="99">
        <f t="shared" si="8"/>
        <v>0</v>
      </c>
      <c r="AO6" s="99">
        <f t="shared" si="9"/>
        <v>0</v>
      </c>
      <c r="AP6" s="99">
        <f t="shared" si="10"/>
        <v>0</v>
      </c>
      <c r="AQ6" s="99">
        <f t="shared" si="11"/>
        <v>79</v>
      </c>
    </row>
    <row r="7" spans="1:43" s="94" customFormat="1" ht="30" customHeight="1" x14ac:dyDescent="0.25">
      <c r="A7" s="95" t="s">
        <v>89</v>
      </c>
      <c r="B7" s="96" t="s">
        <v>95</v>
      </c>
      <c r="C7" s="97">
        <f>COUNTIF(Başvuru!$J:$K, $B7)</f>
        <v>69</v>
      </c>
      <c r="D7" s="97">
        <f>COUNTIFS(Başvuru!$G:$G, "Bireysel Araştırma", Başvuru!$L:$L, D$2, Başvuru!$J:$J, $B7) + COUNTIFS(Başvuru!$G:$G, "Bireysel Araştırma", Başvuru!$L:$L, D$2, Başvuru!$K:$K, $B7)</f>
        <v>26</v>
      </c>
      <c r="E7" s="97">
        <f>COUNTIFS(Başvuru!$G:$G, "Bireysel Araştırma", Başvuru!$L:$L, E$2, Başvuru!$J:$J, $B7) + COUNTIFS(Başvuru!$G:$G, "Bireysel Araştırma", Başvuru!$L:$L, E$2, Başvuru!$K:$K, $B7)</f>
        <v>14</v>
      </c>
      <c r="F7" s="97">
        <f>COUNTIFS(Başvuru!$G:$G, "Bireysel Araştırma", Başvuru!$L:$L, F$2, Başvuru!$J:$J, $B7) + COUNTIFS(Başvuru!$G:$G, "Bireysel Araştırma", Başvuru!$L:$L, F$2, Başvuru!$K:$K, $B7)</f>
        <v>0</v>
      </c>
      <c r="G7" s="97">
        <f>COUNTIFS(Başvuru!$G:$G, "Bireysel Araştırma", Başvuru!$L:$L, G$2, Başvuru!$J:$J, $B7) + COUNTIFS(Başvuru!$G:$G, "Bireysel Araştırma", Başvuru!$L:$L, G$2, Başvuru!$K:$K, $B7)</f>
        <v>2</v>
      </c>
      <c r="H7" s="97">
        <f>COUNTIFS(Başvuru!$G:$G, "Bireysel Araştırma", Başvuru!$L:$L, H$2, Başvuru!$J:$J, $B7) + COUNTIFS(Başvuru!$G:$G, "Bireysel Araştırma", Başvuru!$L:$L, H$2, Başvuru!$K:$K, $B7)</f>
        <v>0</v>
      </c>
      <c r="I7" s="97">
        <f>COUNTIFS(Başvuru!$G:$G, "Bireysel Araştırma", Başvuru!$L:$L, I$2, Başvuru!$J:$J, $B7) + COUNTIFS(Başvuru!$G:$G, "Bireysel Araştırma", Başvuru!$L:$L, I$2, Başvuru!$K:$K, $B7)</f>
        <v>4</v>
      </c>
      <c r="J7" s="97">
        <f>COUNTIFS(Başvuru!$G:$G, "Bireysel Araştırma", Başvuru!$L:$L, J$2, Başvuru!$J:$J, $B7) + COUNTIFS(Başvuru!$G:$G, "Bireysel Araştırma", Başvuru!$L:$L, J$2, Başvuru!$K:$K, $B7)</f>
        <v>0</v>
      </c>
      <c r="K7" s="97">
        <f t="shared" si="0"/>
        <v>46</v>
      </c>
      <c r="L7" s="97">
        <f>COUNTIFS(Başvuru!$G:$G, "Yüksek Lisans Tezi", Başvuru!$L:$L, L$2, Başvuru!$J:$J, $B7) + COUNTIFS(Başvuru!$G:$G, "Yüksek Lisans Tezi", Başvuru!$L:$L, L$2, Başvuru!$K:$K, $B7)</f>
        <v>0</v>
      </c>
      <c r="M7" s="97">
        <f>COUNTIFS(Başvuru!$G:$G, "Yüksek Lisans Tezi", Başvuru!$L:$L, M$2, Başvuru!$J:$J, $B7) + COUNTIFS(Başvuru!$G:$G, "Yüksek Lisans Tezi", Başvuru!$L:$L, M$2, Başvuru!$K:$K, $B7)</f>
        <v>0</v>
      </c>
      <c r="N7" s="97">
        <f>COUNTIFS(Başvuru!$G:$G, "Yüksek Lisans Tezi", Başvuru!$L:$L, N$2, Başvuru!$J:$J, $B7) + COUNTIFS(Başvuru!$G:$G, "Yüksek Lisans Tezi", Başvuru!$L:$L, N$2, Başvuru!$K:$K, $B7)</f>
        <v>0</v>
      </c>
      <c r="O7" s="97">
        <f>COUNTIFS(Başvuru!$G:$G, "Yüksek Lisans Tezi", Başvuru!$L:$L, O$2, Başvuru!$J:$J, $B7) + COUNTIFS(Başvuru!$G:$G, "Yüksek Lisans Tezi", Başvuru!$L:$L, O$2, Başvuru!$K:$K, $B7)</f>
        <v>0</v>
      </c>
      <c r="P7" s="97">
        <f>COUNTIFS(Başvuru!$G:$G, "Yüksek Lisans Tezi", Başvuru!$L:$L, P$2, Başvuru!$J:$J, $B7) + COUNTIFS(Başvuru!$G:$G, "Yüksek Lisans Tezi", Başvuru!$L:$L, P$2, Başvuru!$K:$K, $B7)</f>
        <v>0</v>
      </c>
      <c r="Q7" s="97">
        <f>COUNTIFS(Başvuru!$G:$G, "Yüksek Lisans Tezi", Başvuru!$L:$L, Q$2, Başvuru!$J:$J, $B7) + COUNTIFS(Başvuru!$G:$G, "Yüksek Lisans Tezi", Başvuru!$L:$L, Q$2, Başvuru!$K:$K, $B7)</f>
        <v>0</v>
      </c>
      <c r="R7" s="97">
        <f>COUNTIFS(Başvuru!$G:$G, "Yüksek Lisans Tezi", Başvuru!$L:$L, R$2, Başvuru!$J:$J, $B7) + COUNTIFS(Başvuru!$G:$G, "Yüksek Lisans Tezi", Başvuru!$L:$L, R$2, Başvuru!$K:$K, $B7)</f>
        <v>0</v>
      </c>
      <c r="S7" s="97">
        <f t="shared" si="1"/>
        <v>0</v>
      </c>
      <c r="T7" s="97">
        <f>COUNTIFS(Başvuru!$G:$G, "Doktora Tezi", Başvuru!$L:$L, T$2, Başvuru!$J:$J, $B7) + COUNTIFS(Başvuru!$G:$G, "Doktora Tezi", Başvuru!$L:$L, T$2, Başvuru!$K:$K, $B7)</f>
        <v>1</v>
      </c>
      <c r="U7" s="97">
        <f>COUNTIFS(Başvuru!$G:$G, "Doktora Tezi", Başvuru!$L:$L, U$2, Başvuru!$J:$J, $B7) + COUNTIFS(Başvuru!$G:$G, "Doktora Tezi", Başvuru!$L:$L, U$2, Başvuru!$K:$K, $B7)</f>
        <v>1</v>
      </c>
      <c r="V7" s="97">
        <f>COUNTIFS(Başvuru!$G:$G, "Doktora Tezi", Başvuru!$L:$L, V$2, Başvuru!$J:$J, $B7) + COUNTIFS(Başvuru!$G:$G, "Doktora Tezi", Başvuru!$L:$L, V$2, Başvuru!$K:$K, $B7)</f>
        <v>0</v>
      </c>
      <c r="W7" s="97">
        <f>COUNTIFS(Başvuru!$G:$G, "Doktora Tezi", Başvuru!$L:$L, W$2, Başvuru!$J:$J, $B7) + COUNTIFS(Başvuru!$G:$G, "Doktora Tezi", Başvuru!$L:$L, W$2, Başvuru!$K:$K, $B7)</f>
        <v>1</v>
      </c>
      <c r="X7" s="97">
        <f>COUNTIFS(Başvuru!$G:$G, "Doktora Tezi", Başvuru!$L:$L, X$2, Başvuru!$J:$J, $B7) + COUNTIFS(Başvuru!$G:$G, "Doktora Tezi", Başvuru!$L:$L, X$2, Başvuru!$K:$K, $B7)</f>
        <v>0</v>
      </c>
      <c r="Y7" s="97">
        <f>COUNTIFS(Başvuru!$G:$G, "Doktora Tezi", Başvuru!$L:$L, Y$2, Başvuru!$J:$J, $B7) + COUNTIFS(Başvuru!$G:$G, "Doktora Tezi", Başvuru!$L:$L, Y$2, Başvuru!$K:$K, $B7)</f>
        <v>0</v>
      </c>
      <c r="Z7" s="97">
        <f>COUNTIFS(Başvuru!$G:$G, "Doktora Tezi", Başvuru!$L:$L, Z$2, Başvuru!$J:$J, $B7) + COUNTIFS(Başvuru!$G:$G, "Doktora Tezi", Başvuru!$L:$L, Z$2, Başvuru!$K:$K, $B7)</f>
        <v>0</v>
      </c>
      <c r="AA7" s="97">
        <f t="shared" si="2"/>
        <v>3</v>
      </c>
      <c r="AB7" s="97">
        <f>COUNTIFS(Başvuru!$G:$G, "Uzmanlık Tezi", Başvuru!$L:$L, AB$2, Başvuru!$J:$J, $B7) + COUNTIFS(Başvuru!$G:$G, "Uzmanlık Tezi", Başvuru!$L:$L, AB$2, Başvuru!$K:$K, $B7)</f>
        <v>7</v>
      </c>
      <c r="AC7" s="97">
        <f>COUNTIFS(Başvuru!$G:$G, "Uzmanlık Tezi", Başvuru!$L:$L, AC$2, Başvuru!$J:$J, $B7) + COUNTIFS(Başvuru!$G:$G, "Uzmanlık Tezi", Başvuru!$L:$L, AC$2, Başvuru!$K:$K, $B7)</f>
        <v>10</v>
      </c>
      <c r="AD7" s="97">
        <f>COUNTIFS(Başvuru!$G:$G, "Uzmanlık Tezi", Başvuru!$L:$L, AD$2, Başvuru!$J:$J, $B7) + COUNTIFS(Başvuru!$G:$G, "Uzmanlık Tezi", Başvuru!$L:$L, AD$2, Başvuru!$K:$K, $B7)</f>
        <v>0</v>
      </c>
      <c r="AE7" s="97">
        <f>COUNTIFS(Başvuru!$G:$G, "Uzmanlık Tezi", Başvuru!$L:$L, AE$2, Başvuru!$J:$J, $B7) + COUNTIFS(Başvuru!$G:$G, "Uzmanlık Tezi", Başvuru!$L:$L, AE$2, Başvuru!$K:$K, $B7)</f>
        <v>1</v>
      </c>
      <c r="AF7" s="97">
        <f>COUNTIFS(Başvuru!$G:$G, "Uzmanlık Tezi", Başvuru!$L:$L, AF$2, Başvuru!$J:$J, $B7) + COUNTIFS(Başvuru!$G:$G, "Uzmanlık Tezi", Başvuru!$L:$L, AF$2, Başvuru!$K:$K, $B7)</f>
        <v>0</v>
      </c>
      <c r="AG7" s="97">
        <f>COUNTIFS(Başvuru!$G:$G, "Uzmanlık Tezi", Başvuru!$L:$L, AG$2, Başvuru!$J:$J, $B7) + COUNTIFS(Başvuru!$G:$G, "Uzmanlık Tezi", Başvuru!$L:$L, AG$2, Başvuru!$K:$K, $B7)</f>
        <v>0</v>
      </c>
      <c r="AH7" s="97">
        <f>COUNTIFS(Başvuru!$G:$G, "Uzmanlık Tezi", Başvuru!$L:$L, AH$2, Başvuru!$J:$J, $B7) + COUNTIFS(Başvuru!$G:$G, "Uzmanlık Tezi", Başvuru!$L:$L, AH$2, Başvuru!$K:$K, $B7)</f>
        <v>0</v>
      </c>
      <c r="AI7" s="97">
        <f t="shared" si="3"/>
        <v>18</v>
      </c>
      <c r="AJ7" s="99">
        <f t="shared" si="4"/>
        <v>34</v>
      </c>
      <c r="AK7" s="99">
        <f t="shared" si="5"/>
        <v>25</v>
      </c>
      <c r="AL7" s="99">
        <f t="shared" si="6"/>
        <v>0</v>
      </c>
      <c r="AM7" s="99">
        <f t="shared" si="7"/>
        <v>4</v>
      </c>
      <c r="AN7" s="99">
        <f t="shared" si="8"/>
        <v>0</v>
      </c>
      <c r="AO7" s="99">
        <f t="shared" si="9"/>
        <v>4</v>
      </c>
      <c r="AP7" s="99">
        <f t="shared" si="10"/>
        <v>0</v>
      </c>
      <c r="AQ7" s="99">
        <f t="shared" si="11"/>
        <v>67</v>
      </c>
    </row>
    <row r="8" spans="1:43" s="94" customFormat="1" ht="30" customHeight="1" x14ac:dyDescent="0.25">
      <c r="A8" s="95" t="s">
        <v>97</v>
      </c>
      <c r="B8" s="96" t="s">
        <v>116</v>
      </c>
      <c r="C8" s="97">
        <f>COUNTIF(Başvuru!$J:$K, $B8)</f>
        <v>78</v>
      </c>
      <c r="D8" s="97">
        <f>COUNTIFS(Başvuru!$G:$G, "Bireysel Araştırma", Başvuru!$L:$L, D$2, Başvuru!$J:$J, $B8) + COUNTIFS(Başvuru!$G:$G, "Bireysel Araştırma", Başvuru!$L:$L, D$2, Başvuru!$K:$K, $B8)</f>
        <v>37</v>
      </c>
      <c r="E8" s="97">
        <f>COUNTIFS(Başvuru!$G:$G, "Bireysel Araştırma", Başvuru!$L:$L, E$2, Başvuru!$J:$J, $B8) + COUNTIFS(Başvuru!$G:$G, "Bireysel Araştırma", Başvuru!$L:$L, E$2, Başvuru!$K:$K, $B8)</f>
        <v>15</v>
      </c>
      <c r="F8" s="97">
        <f>COUNTIFS(Başvuru!$G:$G, "Bireysel Araştırma", Başvuru!$L:$L, F$2, Başvuru!$J:$J, $B8) + COUNTIFS(Başvuru!$G:$G, "Bireysel Araştırma", Başvuru!$L:$L, F$2, Başvuru!$K:$K, $B8)</f>
        <v>0</v>
      </c>
      <c r="G8" s="97">
        <f>COUNTIFS(Başvuru!$G:$G, "Bireysel Araştırma", Başvuru!$L:$L, G$2, Başvuru!$J:$J, $B8) + COUNTIFS(Başvuru!$G:$G, "Bireysel Araştırma", Başvuru!$L:$L, G$2, Başvuru!$K:$K, $B8)</f>
        <v>2</v>
      </c>
      <c r="H8" s="97">
        <f>COUNTIFS(Başvuru!$G:$G, "Bireysel Araştırma", Başvuru!$L:$L, H$2, Başvuru!$J:$J, $B8) + COUNTIFS(Başvuru!$G:$G, "Bireysel Araştırma", Başvuru!$L:$L, H$2, Başvuru!$K:$K, $B8)</f>
        <v>2</v>
      </c>
      <c r="I8" s="97">
        <f>COUNTIFS(Başvuru!$G:$G, "Bireysel Araştırma", Başvuru!$L:$L, I$2, Başvuru!$J:$J, $B8) + COUNTIFS(Başvuru!$G:$G, "Bireysel Araştırma", Başvuru!$L:$L, I$2, Başvuru!$K:$K, $B8)</f>
        <v>1</v>
      </c>
      <c r="J8" s="97">
        <f>COUNTIFS(Başvuru!$G:$G, "Bireysel Araştırma", Başvuru!$L:$L, J$2, Başvuru!$J:$J, $B8) + COUNTIFS(Başvuru!$G:$G, "Bireysel Araştırma", Başvuru!$L:$L, J$2, Başvuru!$K:$K, $B8)</f>
        <v>0</v>
      </c>
      <c r="K8" s="97">
        <f t="shared" si="0"/>
        <v>57</v>
      </c>
      <c r="L8" s="97">
        <f>COUNTIFS(Başvuru!$G:$G, "Yüksek Lisans Tezi", Başvuru!$L:$L, L$2, Başvuru!$J:$J, $B8) + COUNTIFS(Başvuru!$G:$G, "Yüksek Lisans Tezi", Başvuru!$L:$L, L$2, Başvuru!$K:$K, $B8)</f>
        <v>0</v>
      </c>
      <c r="M8" s="97">
        <f>COUNTIFS(Başvuru!$G:$G, "Yüksek Lisans Tezi", Başvuru!$L:$L, M$2, Başvuru!$J:$J, $B8) + COUNTIFS(Başvuru!$G:$G, "Yüksek Lisans Tezi", Başvuru!$L:$L, M$2, Başvuru!$K:$K, $B8)</f>
        <v>0</v>
      </c>
      <c r="N8" s="97">
        <f>COUNTIFS(Başvuru!$G:$G, "Yüksek Lisans Tezi", Başvuru!$L:$L, N$2, Başvuru!$J:$J, $B8) + COUNTIFS(Başvuru!$G:$G, "Yüksek Lisans Tezi", Başvuru!$L:$L, N$2, Başvuru!$K:$K, $B8)</f>
        <v>0</v>
      </c>
      <c r="O8" s="97">
        <f>COUNTIFS(Başvuru!$G:$G, "Yüksek Lisans Tezi", Başvuru!$L:$L, O$2, Başvuru!$J:$J, $B8) + COUNTIFS(Başvuru!$G:$G, "Yüksek Lisans Tezi", Başvuru!$L:$L, O$2, Başvuru!$K:$K, $B8)</f>
        <v>0</v>
      </c>
      <c r="P8" s="97">
        <f>COUNTIFS(Başvuru!$G:$G, "Yüksek Lisans Tezi", Başvuru!$L:$L, P$2, Başvuru!$J:$J, $B8) + COUNTIFS(Başvuru!$G:$G, "Yüksek Lisans Tezi", Başvuru!$L:$L, P$2, Başvuru!$K:$K, $B8)</f>
        <v>0</v>
      </c>
      <c r="Q8" s="97">
        <f>COUNTIFS(Başvuru!$G:$G, "Yüksek Lisans Tezi", Başvuru!$L:$L, Q$2, Başvuru!$J:$J, $B8) + COUNTIFS(Başvuru!$G:$G, "Yüksek Lisans Tezi", Başvuru!$L:$L, Q$2, Başvuru!$K:$K, $B8)</f>
        <v>0</v>
      </c>
      <c r="R8" s="97">
        <f>COUNTIFS(Başvuru!$G:$G, "Yüksek Lisans Tezi", Başvuru!$L:$L, R$2, Başvuru!$J:$J, $B8) + COUNTIFS(Başvuru!$G:$G, "Yüksek Lisans Tezi", Başvuru!$L:$L, R$2, Başvuru!$K:$K, $B8)</f>
        <v>0</v>
      </c>
      <c r="S8" s="97">
        <f t="shared" si="1"/>
        <v>0</v>
      </c>
      <c r="T8" s="97">
        <f>COUNTIFS(Başvuru!$G:$G, "Doktora Tezi", Başvuru!$L:$L, T$2, Başvuru!$J:$J, $B8) + COUNTIFS(Başvuru!$G:$G, "Doktora Tezi", Başvuru!$L:$L, T$2, Başvuru!$K:$K, $B8)</f>
        <v>0</v>
      </c>
      <c r="U8" s="97">
        <f>COUNTIFS(Başvuru!$G:$G, "Doktora Tezi", Başvuru!$L:$L, U$2, Başvuru!$J:$J, $B8) + COUNTIFS(Başvuru!$G:$G, "Doktora Tezi", Başvuru!$L:$L, U$2, Başvuru!$K:$K, $B8)</f>
        <v>2</v>
      </c>
      <c r="V8" s="97">
        <f>COUNTIFS(Başvuru!$G:$G, "Doktora Tezi", Başvuru!$L:$L, V$2, Başvuru!$J:$J, $B8) + COUNTIFS(Başvuru!$G:$G, "Doktora Tezi", Başvuru!$L:$L, V$2, Başvuru!$K:$K, $B8)</f>
        <v>0</v>
      </c>
      <c r="W8" s="97">
        <f>COUNTIFS(Başvuru!$G:$G, "Doktora Tezi", Başvuru!$L:$L, W$2, Başvuru!$J:$J, $B8) + COUNTIFS(Başvuru!$G:$G, "Doktora Tezi", Başvuru!$L:$L, W$2, Başvuru!$K:$K, $B8)</f>
        <v>0</v>
      </c>
      <c r="X8" s="97">
        <f>COUNTIFS(Başvuru!$G:$G, "Doktora Tezi", Başvuru!$L:$L, X$2, Başvuru!$J:$J, $B8) + COUNTIFS(Başvuru!$G:$G, "Doktora Tezi", Başvuru!$L:$L, X$2, Başvuru!$K:$K, $B8)</f>
        <v>0</v>
      </c>
      <c r="Y8" s="97">
        <f>COUNTIFS(Başvuru!$G:$G, "Doktora Tezi", Başvuru!$L:$L, Y$2, Başvuru!$J:$J, $B8) + COUNTIFS(Başvuru!$G:$G, "Doktora Tezi", Başvuru!$L:$L, Y$2, Başvuru!$K:$K, $B8)</f>
        <v>0</v>
      </c>
      <c r="Z8" s="97">
        <f>COUNTIFS(Başvuru!$G:$G, "Doktora Tezi", Başvuru!$L:$L, Z$2, Başvuru!$J:$J, $B8) + COUNTIFS(Başvuru!$G:$G, "Doktora Tezi", Başvuru!$L:$L, Z$2, Başvuru!$K:$K, $B8)</f>
        <v>0</v>
      </c>
      <c r="AA8" s="97">
        <f t="shared" si="2"/>
        <v>2</v>
      </c>
      <c r="AB8" s="97">
        <f>COUNTIFS(Başvuru!$G:$G, "Uzmanlık Tezi", Başvuru!$L:$L, AB$2, Başvuru!$J:$J, $B8) + COUNTIFS(Başvuru!$G:$G, "Uzmanlık Tezi", Başvuru!$L:$L, AB$2, Başvuru!$K:$K, $B8)</f>
        <v>10</v>
      </c>
      <c r="AC8" s="97">
        <f>COUNTIFS(Başvuru!$G:$G, "Uzmanlık Tezi", Başvuru!$L:$L, AC$2, Başvuru!$J:$J, $B8) + COUNTIFS(Başvuru!$G:$G, "Uzmanlık Tezi", Başvuru!$L:$L, AC$2, Başvuru!$K:$K, $B8)</f>
        <v>6</v>
      </c>
      <c r="AD8" s="97">
        <f>COUNTIFS(Başvuru!$G:$G, "Uzmanlık Tezi", Başvuru!$L:$L, AD$2, Başvuru!$J:$J, $B8) + COUNTIFS(Başvuru!$G:$G, "Uzmanlık Tezi", Başvuru!$L:$L, AD$2, Başvuru!$K:$K, $B8)</f>
        <v>1</v>
      </c>
      <c r="AE8" s="97">
        <f>COUNTIFS(Başvuru!$G:$G, "Uzmanlık Tezi", Başvuru!$L:$L, AE$2, Başvuru!$J:$J, $B8) + COUNTIFS(Başvuru!$G:$G, "Uzmanlık Tezi", Başvuru!$L:$L, AE$2, Başvuru!$K:$K, $B8)</f>
        <v>0</v>
      </c>
      <c r="AF8" s="97">
        <f>COUNTIFS(Başvuru!$G:$G, "Uzmanlık Tezi", Başvuru!$L:$L, AF$2, Başvuru!$J:$J, $B8) + COUNTIFS(Başvuru!$G:$G, "Uzmanlık Tezi", Başvuru!$L:$L, AF$2, Başvuru!$K:$K, $B8)</f>
        <v>0</v>
      </c>
      <c r="AG8" s="97">
        <f>COUNTIFS(Başvuru!$G:$G, "Uzmanlık Tezi", Başvuru!$L:$L, AG$2, Başvuru!$J:$J, $B8) + COUNTIFS(Başvuru!$G:$G, "Uzmanlık Tezi", Başvuru!$L:$L, AG$2, Başvuru!$K:$K, $B8)</f>
        <v>0</v>
      </c>
      <c r="AH8" s="97">
        <f>COUNTIFS(Başvuru!$G:$G, "Uzmanlık Tezi", Başvuru!$L:$L, AH$2, Başvuru!$J:$J, $B8) + COUNTIFS(Başvuru!$G:$G, "Uzmanlık Tezi", Başvuru!$L:$L, AH$2, Başvuru!$K:$K, $B8)</f>
        <v>0</v>
      </c>
      <c r="AI8" s="97">
        <f t="shared" si="3"/>
        <v>17</v>
      </c>
      <c r="AJ8" s="99">
        <f t="shared" si="4"/>
        <v>47</v>
      </c>
      <c r="AK8" s="99">
        <f t="shared" si="5"/>
        <v>23</v>
      </c>
      <c r="AL8" s="99">
        <f t="shared" si="6"/>
        <v>1</v>
      </c>
      <c r="AM8" s="99">
        <f t="shared" si="7"/>
        <v>2</v>
      </c>
      <c r="AN8" s="99">
        <f t="shared" si="8"/>
        <v>2</v>
      </c>
      <c r="AO8" s="99">
        <f t="shared" si="9"/>
        <v>1</v>
      </c>
      <c r="AP8" s="99">
        <f t="shared" si="10"/>
        <v>0</v>
      </c>
      <c r="AQ8" s="99">
        <f t="shared" si="11"/>
        <v>76</v>
      </c>
    </row>
    <row r="9" spans="1:43" s="94" customFormat="1" ht="30" customHeight="1" x14ac:dyDescent="0.25">
      <c r="A9" s="95" t="s">
        <v>104</v>
      </c>
      <c r="B9" s="96" t="s">
        <v>71</v>
      </c>
      <c r="C9" s="97">
        <f>COUNTIF(Başvuru!$J:$K, $B9)</f>
        <v>93</v>
      </c>
      <c r="D9" s="97">
        <f>COUNTIFS(Başvuru!$G:$G, "Bireysel Araştırma", Başvuru!$L:$L, D$2, Başvuru!$J:$J, $B9) + COUNTIFS(Başvuru!$G:$G, "Bireysel Araştırma", Başvuru!$L:$L, D$2, Başvuru!$K:$K, $B9)</f>
        <v>39</v>
      </c>
      <c r="E9" s="97">
        <f>COUNTIFS(Başvuru!$G:$G, "Bireysel Araştırma", Başvuru!$L:$L, E$2, Başvuru!$J:$J, $B9) + COUNTIFS(Başvuru!$G:$G, "Bireysel Araştırma", Başvuru!$L:$L, E$2, Başvuru!$K:$K, $B9)</f>
        <v>17</v>
      </c>
      <c r="F9" s="97">
        <f>COUNTIFS(Başvuru!$G:$G, "Bireysel Araştırma", Başvuru!$L:$L, F$2, Başvuru!$J:$J, $B9) + COUNTIFS(Başvuru!$G:$G, "Bireysel Araştırma", Başvuru!$L:$L, F$2, Başvuru!$K:$K, $B9)</f>
        <v>0</v>
      </c>
      <c r="G9" s="97">
        <f>COUNTIFS(Başvuru!$G:$G, "Bireysel Araştırma", Başvuru!$L:$L, G$2, Başvuru!$J:$J, $B9) + COUNTIFS(Başvuru!$G:$G, "Bireysel Araştırma", Başvuru!$L:$L, G$2, Başvuru!$K:$K, $B9)</f>
        <v>4</v>
      </c>
      <c r="H9" s="97">
        <f>COUNTIFS(Başvuru!$G:$G, "Bireysel Araştırma", Başvuru!$L:$L, H$2, Başvuru!$J:$J, $B9) + COUNTIFS(Başvuru!$G:$G, "Bireysel Araştırma", Başvuru!$L:$L, H$2, Başvuru!$K:$K, $B9)</f>
        <v>3</v>
      </c>
      <c r="I9" s="97">
        <f>COUNTIFS(Başvuru!$G:$G, "Bireysel Araştırma", Başvuru!$L:$L, I$2, Başvuru!$J:$J, $B9) + COUNTIFS(Başvuru!$G:$G, "Bireysel Araştırma", Başvuru!$L:$L, I$2, Başvuru!$K:$K, $B9)</f>
        <v>1</v>
      </c>
      <c r="J9" s="97">
        <f>COUNTIFS(Başvuru!$G:$G, "Bireysel Araştırma", Başvuru!$L:$L, J$2, Başvuru!$J:$J, $B9) + COUNTIFS(Başvuru!$G:$G, "Bireysel Araştırma", Başvuru!$L:$L, J$2, Başvuru!$K:$K, $B9)</f>
        <v>0</v>
      </c>
      <c r="K9" s="97">
        <f t="shared" si="0"/>
        <v>64</v>
      </c>
      <c r="L9" s="97">
        <f>COUNTIFS(Başvuru!$G:$G, "Yüksek Lisans Tezi", Başvuru!$L:$L, L$2, Başvuru!$J:$J, $B9) + COUNTIFS(Başvuru!$G:$G, "Yüksek Lisans Tezi", Başvuru!$L:$L, L$2, Başvuru!$K:$K, $B9)</f>
        <v>0</v>
      </c>
      <c r="M9" s="97">
        <f>COUNTIFS(Başvuru!$G:$G, "Yüksek Lisans Tezi", Başvuru!$L:$L, M$2, Başvuru!$J:$J, $B9) + COUNTIFS(Başvuru!$G:$G, "Yüksek Lisans Tezi", Başvuru!$L:$L, M$2, Başvuru!$K:$K, $B9)</f>
        <v>2</v>
      </c>
      <c r="N9" s="97">
        <f>COUNTIFS(Başvuru!$G:$G, "Yüksek Lisans Tezi", Başvuru!$L:$L, N$2, Başvuru!$J:$J, $B9) + COUNTIFS(Başvuru!$G:$G, "Yüksek Lisans Tezi", Başvuru!$L:$L, N$2, Başvuru!$K:$K, $B9)</f>
        <v>0</v>
      </c>
      <c r="O9" s="97">
        <f>COUNTIFS(Başvuru!$G:$G, "Yüksek Lisans Tezi", Başvuru!$L:$L, O$2, Başvuru!$J:$J, $B9) + COUNTIFS(Başvuru!$G:$G, "Yüksek Lisans Tezi", Başvuru!$L:$L, O$2, Başvuru!$K:$K, $B9)</f>
        <v>0</v>
      </c>
      <c r="P9" s="97">
        <f>COUNTIFS(Başvuru!$G:$G, "Yüksek Lisans Tezi", Başvuru!$L:$L, P$2, Başvuru!$J:$J, $B9) + COUNTIFS(Başvuru!$G:$G, "Yüksek Lisans Tezi", Başvuru!$L:$L, P$2, Başvuru!$K:$K, $B9)</f>
        <v>0</v>
      </c>
      <c r="Q9" s="97">
        <f>COUNTIFS(Başvuru!$G:$G, "Yüksek Lisans Tezi", Başvuru!$L:$L, Q$2, Başvuru!$J:$J, $B9) + COUNTIFS(Başvuru!$G:$G, "Yüksek Lisans Tezi", Başvuru!$L:$L, Q$2, Başvuru!$K:$K, $B9)</f>
        <v>0</v>
      </c>
      <c r="R9" s="97">
        <f>COUNTIFS(Başvuru!$G:$G, "Yüksek Lisans Tezi", Başvuru!$L:$L, R$2, Başvuru!$J:$J, $B9) + COUNTIFS(Başvuru!$G:$G, "Yüksek Lisans Tezi", Başvuru!$L:$L, R$2, Başvuru!$K:$K, $B9)</f>
        <v>0</v>
      </c>
      <c r="S9" s="97">
        <f t="shared" si="1"/>
        <v>2</v>
      </c>
      <c r="T9" s="97">
        <f>COUNTIFS(Başvuru!$G:$G, "Doktora Tezi", Başvuru!$L:$L, T$2, Başvuru!$J:$J, $B9) + COUNTIFS(Başvuru!$G:$G, "Doktora Tezi", Başvuru!$L:$L, T$2, Başvuru!$K:$K, $B9)</f>
        <v>1</v>
      </c>
      <c r="U9" s="97">
        <f>COUNTIFS(Başvuru!$G:$G, "Doktora Tezi", Başvuru!$L:$L, U$2, Başvuru!$J:$J, $B9) + COUNTIFS(Başvuru!$G:$G, "Doktora Tezi", Başvuru!$L:$L, U$2, Başvuru!$K:$K, $B9)</f>
        <v>3</v>
      </c>
      <c r="V9" s="97">
        <f>COUNTIFS(Başvuru!$G:$G, "Doktora Tezi", Başvuru!$L:$L, V$2, Başvuru!$J:$J, $B9) + COUNTIFS(Başvuru!$G:$G, "Doktora Tezi", Başvuru!$L:$L, V$2, Başvuru!$K:$K, $B9)</f>
        <v>0</v>
      </c>
      <c r="W9" s="97">
        <f>COUNTIFS(Başvuru!$G:$G, "Doktora Tezi", Başvuru!$L:$L, W$2, Başvuru!$J:$J, $B9) + COUNTIFS(Başvuru!$G:$G, "Doktora Tezi", Başvuru!$L:$L, W$2, Başvuru!$K:$K, $B9)</f>
        <v>2</v>
      </c>
      <c r="X9" s="97">
        <f>COUNTIFS(Başvuru!$G:$G, "Doktora Tezi", Başvuru!$L:$L, X$2, Başvuru!$J:$J, $B9) + COUNTIFS(Başvuru!$G:$G, "Doktora Tezi", Başvuru!$L:$L, X$2, Başvuru!$K:$K, $B9)</f>
        <v>0</v>
      </c>
      <c r="Y9" s="97">
        <f>COUNTIFS(Başvuru!$G:$G, "Doktora Tezi", Başvuru!$L:$L, Y$2, Başvuru!$J:$J, $B9) + COUNTIFS(Başvuru!$G:$G, "Doktora Tezi", Başvuru!$L:$L, Y$2, Başvuru!$K:$K, $B9)</f>
        <v>0</v>
      </c>
      <c r="Z9" s="97">
        <f>COUNTIFS(Başvuru!$G:$G, "Doktora Tezi", Başvuru!$L:$L, Z$2, Başvuru!$J:$J, $B9) + COUNTIFS(Başvuru!$G:$G, "Doktora Tezi", Başvuru!$L:$L, Z$2, Başvuru!$K:$K, $B9)</f>
        <v>0</v>
      </c>
      <c r="AA9" s="97">
        <f t="shared" si="2"/>
        <v>6</v>
      </c>
      <c r="AB9" s="97">
        <f>COUNTIFS(Başvuru!$G:$G, "Uzmanlık Tezi", Başvuru!$L:$L, AB$2, Başvuru!$J:$J, $B9) + COUNTIFS(Başvuru!$G:$G, "Uzmanlık Tezi", Başvuru!$L:$L, AB$2, Başvuru!$K:$K, $B9)</f>
        <v>10</v>
      </c>
      <c r="AC9" s="97">
        <f>COUNTIFS(Başvuru!$G:$G, "Uzmanlık Tezi", Başvuru!$L:$L, AC$2, Başvuru!$J:$J, $B9) + COUNTIFS(Başvuru!$G:$G, "Uzmanlık Tezi", Başvuru!$L:$L, AC$2, Başvuru!$K:$K, $B9)</f>
        <v>8</v>
      </c>
      <c r="AD9" s="97">
        <f>COUNTIFS(Başvuru!$G:$G, "Uzmanlık Tezi", Başvuru!$L:$L, AD$2, Başvuru!$J:$J, $B9) + COUNTIFS(Başvuru!$G:$G, "Uzmanlık Tezi", Başvuru!$L:$L, AD$2, Başvuru!$K:$K, $B9)</f>
        <v>0</v>
      </c>
      <c r="AE9" s="97">
        <f>COUNTIFS(Başvuru!$G:$G, "Uzmanlık Tezi", Başvuru!$L:$L, AE$2, Başvuru!$J:$J, $B9) + COUNTIFS(Başvuru!$G:$G, "Uzmanlık Tezi", Başvuru!$L:$L, AE$2, Başvuru!$K:$K, $B9)</f>
        <v>1</v>
      </c>
      <c r="AF9" s="97">
        <f>COUNTIFS(Başvuru!$G:$G, "Uzmanlık Tezi", Başvuru!$L:$L, AF$2, Başvuru!$J:$J, $B9) + COUNTIFS(Başvuru!$G:$G, "Uzmanlık Tezi", Başvuru!$L:$L, AF$2, Başvuru!$K:$K, $B9)</f>
        <v>0</v>
      </c>
      <c r="AG9" s="97">
        <f>COUNTIFS(Başvuru!$G:$G, "Uzmanlık Tezi", Başvuru!$L:$L, AG$2, Başvuru!$J:$J, $B9) + COUNTIFS(Başvuru!$G:$G, "Uzmanlık Tezi", Başvuru!$L:$L, AG$2, Başvuru!$K:$K, $B9)</f>
        <v>0</v>
      </c>
      <c r="AH9" s="97">
        <f>COUNTIFS(Başvuru!$G:$G, "Uzmanlık Tezi", Başvuru!$L:$L, AH$2, Başvuru!$J:$J, $B9) + COUNTIFS(Başvuru!$G:$G, "Uzmanlık Tezi", Başvuru!$L:$L, AH$2, Başvuru!$K:$K, $B9)</f>
        <v>0</v>
      </c>
      <c r="AI9" s="97">
        <f t="shared" si="3"/>
        <v>19</v>
      </c>
      <c r="AJ9" s="99">
        <f t="shared" si="4"/>
        <v>50</v>
      </c>
      <c r="AK9" s="99">
        <f t="shared" si="5"/>
        <v>30</v>
      </c>
      <c r="AL9" s="99">
        <f t="shared" si="6"/>
        <v>0</v>
      </c>
      <c r="AM9" s="99">
        <f t="shared" si="7"/>
        <v>7</v>
      </c>
      <c r="AN9" s="99">
        <f t="shared" si="8"/>
        <v>3</v>
      </c>
      <c r="AO9" s="99">
        <f t="shared" si="9"/>
        <v>1</v>
      </c>
      <c r="AP9" s="99">
        <f t="shared" si="10"/>
        <v>0</v>
      </c>
      <c r="AQ9" s="99">
        <f t="shared" si="11"/>
        <v>91</v>
      </c>
    </row>
    <row r="10" spans="1:43" s="94" customFormat="1" ht="30" customHeight="1" x14ac:dyDescent="0.25">
      <c r="A10" s="95" t="s">
        <v>111</v>
      </c>
      <c r="B10" s="96" t="s">
        <v>63</v>
      </c>
      <c r="C10" s="97">
        <f>COUNTIF(Başvuru!$J:$K, $B10)</f>
        <v>77</v>
      </c>
      <c r="D10" s="97">
        <f>COUNTIFS(Başvuru!$G:$G, "Bireysel Araştırma", Başvuru!$L:$L, D$2, Başvuru!$J:$J, $B10) + COUNTIFS(Başvuru!$G:$G, "Bireysel Araştırma", Başvuru!$L:$L, D$2, Başvuru!$K:$K, $B10)</f>
        <v>33</v>
      </c>
      <c r="E10" s="97">
        <f>COUNTIFS(Başvuru!$G:$G, "Bireysel Araştırma", Başvuru!$L:$L, E$2, Başvuru!$J:$J, $B10) + COUNTIFS(Başvuru!$G:$G, "Bireysel Araştırma", Başvuru!$L:$L, E$2, Başvuru!$K:$K, $B10)</f>
        <v>19</v>
      </c>
      <c r="F10" s="97">
        <f>COUNTIFS(Başvuru!$G:$G, "Bireysel Araştırma", Başvuru!$L:$L, F$2, Başvuru!$J:$J, $B10) + COUNTIFS(Başvuru!$G:$G, "Bireysel Araştırma", Başvuru!$L:$L, F$2, Başvuru!$K:$K, $B10)</f>
        <v>1</v>
      </c>
      <c r="G10" s="97">
        <f>COUNTIFS(Başvuru!$G:$G, "Bireysel Araştırma", Başvuru!$L:$L, G$2, Başvuru!$J:$J, $B10) + COUNTIFS(Başvuru!$G:$G, "Bireysel Araştırma", Başvuru!$L:$L, G$2, Başvuru!$K:$K, $B10)</f>
        <v>2</v>
      </c>
      <c r="H10" s="97">
        <f>COUNTIFS(Başvuru!$G:$G, "Bireysel Araştırma", Başvuru!$L:$L, H$2, Başvuru!$J:$J, $B10) + COUNTIFS(Başvuru!$G:$G, "Bireysel Araştırma", Başvuru!$L:$L, H$2, Başvuru!$K:$K, $B10)</f>
        <v>1</v>
      </c>
      <c r="I10" s="97">
        <f>COUNTIFS(Başvuru!$G:$G, "Bireysel Araştırma", Başvuru!$L:$L, I$2, Başvuru!$J:$J, $B10) + COUNTIFS(Başvuru!$G:$G, "Bireysel Araştırma", Başvuru!$L:$L, I$2, Başvuru!$K:$K, $B10)</f>
        <v>0</v>
      </c>
      <c r="J10" s="97">
        <f>COUNTIFS(Başvuru!$G:$G, "Bireysel Araştırma", Başvuru!$L:$L, J$2, Başvuru!$J:$J, $B10) + COUNTIFS(Başvuru!$G:$G, "Bireysel Araştırma", Başvuru!$L:$L, J$2, Başvuru!$K:$K, $B10)</f>
        <v>0</v>
      </c>
      <c r="K10" s="97">
        <f t="shared" si="0"/>
        <v>56</v>
      </c>
      <c r="L10" s="97">
        <f>COUNTIFS(Başvuru!$G:$G, "Yüksek Lisans Tezi", Başvuru!$L:$L, L$2, Başvuru!$J:$J, $B10) + COUNTIFS(Başvuru!$G:$G, "Yüksek Lisans Tezi", Başvuru!$L:$L, L$2, Başvuru!$K:$K, $B10)</f>
        <v>1</v>
      </c>
      <c r="M10" s="97">
        <f>COUNTIFS(Başvuru!$G:$G, "Yüksek Lisans Tezi", Başvuru!$L:$L, M$2, Başvuru!$J:$J, $B10) + COUNTIFS(Başvuru!$G:$G, "Yüksek Lisans Tezi", Başvuru!$L:$L, M$2, Başvuru!$K:$K, $B10)</f>
        <v>2</v>
      </c>
      <c r="N10" s="97">
        <f>COUNTIFS(Başvuru!$G:$G, "Yüksek Lisans Tezi", Başvuru!$L:$L, N$2, Başvuru!$J:$J, $B10) + COUNTIFS(Başvuru!$G:$G, "Yüksek Lisans Tezi", Başvuru!$L:$L, N$2, Başvuru!$K:$K, $B10)</f>
        <v>0</v>
      </c>
      <c r="O10" s="97">
        <f>COUNTIFS(Başvuru!$G:$G, "Yüksek Lisans Tezi", Başvuru!$L:$L, O$2, Başvuru!$J:$J, $B10) + COUNTIFS(Başvuru!$G:$G, "Yüksek Lisans Tezi", Başvuru!$L:$L, O$2, Başvuru!$K:$K, $B10)</f>
        <v>0</v>
      </c>
      <c r="P10" s="97">
        <f>COUNTIFS(Başvuru!$G:$G, "Yüksek Lisans Tezi", Başvuru!$L:$L, P$2, Başvuru!$J:$J, $B10) + COUNTIFS(Başvuru!$G:$G, "Yüksek Lisans Tezi", Başvuru!$L:$L, P$2, Başvuru!$K:$K, $B10)</f>
        <v>1</v>
      </c>
      <c r="Q10" s="97">
        <f>COUNTIFS(Başvuru!$G:$G, "Yüksek Lisans Tezi", Başvuru!$L:$L, Q$2, Başvuru!$J:$J, $B10) + COUNTIFS(Başvuru!$G:$G, "Yüksek Lisans Tezi", Başvuru!$L:$L, Q$2, Başvuru!$K:$K, $B10)</f>
        <v>0</v>
      </c>
      <c r="R10" s="97">
        <f>COUNTIFS(Başvuru!$G:$G, "Yüksek Lisans Tezi", Başvuru!$L:$L, R$2, Başvuru!$J:$J, $B10) + COUNTIFS(Başvuru!$G:$G, "Yüksek Lisans Tezi", Başvuru!$L:$L, R$2, Başvuru!$K:$K, $B10)</f>
        <v>0</v>
      </c>
      <c r="S10" s="97">
        <f t="shared" si="1"/>
        <v>4</v>
      </c>
      <c r="T10" s="97">
        <f>COUNTIFS(Başvuru!$G:$G, "Doktora Tezi", Başvuru!$L:$L, T$2, Başvuru!$J:$J, $B10) + COUNTIFS(Başvuru!$G:$G, "Doktora Tezi", Başvuru!$L:$L, T$2, Başvuru!$K:$K, $B10)</f>
        <v>2</v>
      </c>
      <c r="U10" s="97">
        <f>COUNTIFS(Başvuru!$G:$G, "Doktora Tezi", Başvuru!$L:$L, U$2, Başvuru!$J:$J, $B10) + COUNTIFS(Başvuru!$G:$G, "Doktora Tezi", Başvuru!$L:$L, U$2, Başvuru!$K:$K, $B10)</f>
        <v>1</v>
      </c>
      <c r="V10" s="97">
        <f>COUNTIFS(Başvuru!$G:$G, "Doktora Tezi", Başvuru!$L:$L, V$2, Başvuru!$J:$J, $B10) + COUNTIFS(Başvuru!$G:$G, "Doktora Tezi", Başvuru!$L:$L, V$2, Başvuru!$K:$K, $B10)</f>
        <v>0</v>
      </c>
      <c r="W10" s="97">
        <f>COUNTIFS(Başvuru!$G:$G, "Doktora Tezi", Başvuru!$L:$L, W$2, Başvuru!$J:$J, $B10) + COUNTIFS(Başvuru!$G:$G, "Doktora Tezi", Başvuru!$L:$L, W$2, Başvuru!$K:$K, $B10)</f>
        <v>0</v>
      </c>
      <c r="X10" s="97">
        <f>COUNTIFS(Başvuru!$G:$G, "Doktora Tezi", Başvuru!$L:$L, X$2, Başvuru!$J:$J, $B10) + COUNTIFS(Başvuru!$G:$G, "Doktora Tezi", Başvuru!$L:$L, X$2, Başvuru!$K:$K, $B10)</f>
        <v>0</v>
      </c>
      <c r="Y10" s="97">
        <f>COUNTIFS(Başvuru!$G:$G, "Doktora Tezi", Başvuru!$L:$L, Y$2, Başvuru!$J:$J, $B10) + COUNTIFS(Başvuru!$G:$G, "Doktora Tezi", Başvuru!$L:$L, Y$2, Başvuru!$K:$K, $B10)</f>
        <v>0</v>
      </c>
      <c r="Z10" s="97">
        <f>COUNTIFS(Başvuru!$G:$G, "Doktora Tezi", Başvuru!$L:$L, Z$2, Başvuru!$J:$J, $B10) + COUNTIFS(Başvuru!$G:$G, "Doktora Tezi", Başvuru!$L:$L, Z$2, Başvuru!$K:$K, $B10)</f>
        <v>0</v>
      </c>
      <c r="AA10" s="97">
        <f t="shared" si="2"/>
        <v>3</v>
      </c>
      <c r="AB10" s="97">
        <f>COUNTIFS(Başvuru!$G:$G, "Uzmanlık Tezi", Başvuru!$L:$L, AB$2, Başvuru!$J:$J, $B10) + COUNTIFS(Başvuru!$G:$G, "Uzmanlık Tezi", Başvuru!$L:$L, AB$2, Başvuru!$K:$K, $B10)</f>
        <v>8</v>
      </c>
      <c r="AC10" s="97">
        <f>COUNTIFS(Başvuru!$G:$G, "Uzmanlık Tezi", Başvuru!$L:$L, AC$2, Başvuru!$J:$J, $B10) + COUNTIFS(Başvuru!$G:$G, "Uzmanlık Tezi", Başvuru!$L:$L, AC$2, Başvuru!$K:$K, $B10)</f>
        <v>3</v>
      </c>
      <c r="AD10" s="97">
        <f>COUNTIFS(Başvuru!$G:$G, "Uzmanlık Tezi", Başvuru!$L:$L, AD$2, Başvuru!$J:$J, $B10) + COUNTIFS(Başvuru!$G:$G, "Uzmanlık Tezi", Başvuru!$L:$L, AD$2, Başvuru!$K:$K, $B10)</f>
        <v>1</v>
      </c>
      <c r="AE10" s="97">
        <f>COUNTIFS(Başvuru!$G:$G, "Uzmanlık Tezi", Başvuru!$L:$L, AE$2, Başvuru!$J:$J, $B10) + COUNTIFS(Başvuru!$G:$G, "Uzmanlık Tezi", Başvuru!$L:$L, AE$2, Başvuru!$K:$K, $B10)</f>
        <v>0</v>
      </c>
      <c r="AF10" s="97">
        <f>COUNTIFS(Başvuru!$G:$G, "Uzmanlık Tezi", Başvuru!$L:$L, AF$2, Başvuru!$J:$J, $B10) + COUNTIFS(Başvuru!$G:$G, "Uzmanlık Tezi", Başvuru!$L:$L, AF$2, Başvuru!$K:$K, $B10)</f>
        <v>0</v>
      </c>
      <c r="AG10" s="97">
        <f>COUNTIFS(Başvuru!$G:$G, "Uzmanlık Tezi", Başvuru!$L:$L, AG$2, Başvuru!$J:$J, $B10) + COUNTIFS(Başvuru!$G:$G, "Uzmanlık Tezi", Başvuru!$L:$L, AG$2, Başvuru!$K:$K, $B10)</f>
        <v>1</v>
      </c>
      <c r="AH10" s="97">
        <f>COUNTIFS(Başvuru!$G:$G, "Uzmanlık Tezi", Başvuru!$L:$L, AH$2, Başvuru!$J:$J, $B10) + COUNTIFS(Başvuru!$G:$G, "Uzmanlık Tezi", Başvuru!$L:$L, AH$2, Başvuru!$K:$K, $B10)</f>
        <v>0</v>
      </c>
      <c r="AI10" s="97">
        <f t="shared" si="3"/>
        <v>13</v>
      </c>
      <c r="AJ10" s="99">
        <f t="shared" si="4"/>
        <v>44</v>
      </c>
      <c r="AK10" s="99">
        <f t="shared" si="5"/>
        <v>25</v>
      </c>
      <c r="AL10" s="99">
        <f t="shared" si="6"/>
        <v>2</v>
      </c>
      <c r="AM10" s="99">
        <f t="shared" si="7"/>
        <v>2</v>
      </c>
      <c r="AN10" s="99">
        <f t="shared" si="8"/>
        <v>2</v>
      </c>
      <c r="AO10" s="99">
        <f t="shared" si="9"/>
        <v>1</v>
      </c>
      <c r="AP10" s="99">
        <f t="shared" si="10"/>
        <v>0</v>
      </c>
      <c r="AQ10" s="99">
        <f t="shared" si="11"/>
        <v>76</v>
      </c>
    </row>
    <row r="11" spans="1:43" s="94" customFormat="1" ht="30" customHeight="1" x14ac:dyDescent="0.25">
      <c r="A11" s="95" t="s">
        <v>117</v>
      </c>
      <c r="B11" s="96" t="s">
        <v>86</v>
      </c>
      <c r="C11" s="97">
        <f>COUNTIF(Başvuru!$J:$K, $B11)</f>
        <v>81</v>
      </c>
      <c r="D11" s="97">
        <f>COUNTIFS(Başvuru!$G:$G, "Bireysel Araştırma", Başvuru!$L:$L, D$2, Başvuru!$J:$J, $B11) + COUNTIFS(Başvuru!$G:$G, "Bireysel Araştırma", Başvuru!$L:$L, D$2, Başvuru!$K:$K, $B11)</f>
        <v>28</v>
      </c>
      <c r="E11" s="97">
        <f>COUNTIFS(Başvuru!$G:$G, "Bireysel Araştırma", Başvuru!$L:$L, E$2, Başvuru!$J:$J, $B11) + COUNTIFS(Başvuru!$G:$G, "Bireysel Araştırma", Başvuru!$L:$L, E$2, Başvuru!$K:$K, $B11)</f>
        <v>15</v>
      </c>
      <c r="F11" s="97">
        <f>COUNTIFS(Başvuru!$G:$G, "Bireysel Araştırma", Başvuru!$L:$L, F$2, Başvuru!$J:$J, $B11) + COUNTIFS(Başvuru!$G:$G, "Bireysel Araştırma", Başvuru!$L:$L, F$2, Başvuru!$K:$K, $B11)</f>
        <v>1</v>
      </c>
      <c r="G11" s="97">
        <f>COUNTIFS(Başvuru!$G:$G, "Bireysel Araştırma", Başvuru!$L:$L, G$2, Başvuru!$J:$J, $B11) + COUNTIFS(Başvuru!$G:$G, "Bireysel Araştırma", Başvuru!$L:$L, G$2, Başvuru!$K:$K, $B11)</f>
        <v>3</v>
      </c>
      <c r="H11" s="97">
        <f>COUNTIFS(Başvuru!$G:$G, "Bireysel Araştırma", Başvuru!$L:$L, H$2, Başvuru!$J:$J, $B11) + COUNTIFS(Başvuru!$G:$G, "Bireysel Araştırma", Başvuru!$L:$L, H$2, Başvuru!$K:$K, $B11)</f>
        <v>6</v>
      </c>
      <c r="I11" s="97">
        <f>COUNTIFS(Başvuru!$G:$G, "Bireysel Araştırma", Başvuru!$L:$L, I$2, Başvuru!$J:$J, $B11) + COUNTIFS(Başvuru!$G:$G, "Bireysel Araştırma", Başvuru!$L:$L, I$2, Başvuru!$K:$K, $B11)</f>
        <v>0</v>
      </c>
      <c r="J11" s="97">
        <f>COUNTIFS(Başvuru!$G:$G, "Bireysel Araştırma", Başvuru!$L:$L, J$2, Başvuru!$J:$J, $B11) + COUNTIFS(Başvuru!$G:$G, "Bireysel Araştırma", Başvuru!$L:$L, J$2, Başvuru!$K:$K, $B11)</f>
        <v>0</v>
      </c>
      <c r="K11" s="97">
        <f t="shared" si="0"/>
        <v>53</v>
      </c>
      <c r="L11" s="97">
        <f>COUNTIFS(Başvuru!$G:$G, "Yüksek Lisans Tezi", Başvuru!$L:$L, L$2, Başvuru!$J:$J, $B11) + COUNTIFS(Başvuru!$G:$G, "Yüksek Lisans Tezi", Başvuru!$L:$L, L$2, Başvuru!$K:$K, $B11)</f>
        <v>0</v>
      </c>
      <c r="M11" s="97">
        <f>COUNTIFS(Başvuru!$G:$G, "Yüksek Lisans Tezi", Başvuru!$L:$L, M$2, Başvuru!$J:$J, $B11) + COUNTIFS(Başvuru!$G:$G, "Yüksek Lisans Tezi", Başvuru!$L:$L, M$2, Başvuru!$K:$K, $B11)</f>
        <v>2</v>
      </c>
      <c r="N11" s="97">
        <f>COUNTIFS(Başvuru!$G:$G, "Yüksek Lisans Tezi", Başvuru!$L:$L, N$2, Başvuru!$J:$J, $B11) + COUNTIFS(Başvuru!$G:$G, "Yüksek Lisans Tezi", Başvuru!$L:$L, N$2, Başvuru!$K:$K, $B11)</f>
        <v>0</v>
      </c>
      <c r="O11" s="97">
        <f>COUNTIFS(Başvuru!$G:$G, "Yüksek Lisans Tezi", Başvuru!$L:$L, O$2, Başvuru!$J:$J, $B11) + COUNTIFS(Başvuru!$G:$G, "Yüksek Lisans Tezi", Başvuru!$L:$L, O$2, Başvuru!$K:$K, $B11)</f>
        <v>0</v>
      </c>
      <c r="P11" s="97">
        <f>COUNTIFS(Başvuru!$G:$G, "Yüksek Lisans Tezi", Başvuru!$L:$L, P$2, Başvuru!$J:$J, $B11) + COUNTIFS(Başvuru!$G:$G, "Yüksek Lisans Tezi", Başvuru!$L:$L, P$2, Başvuru!$K:$K, $B11)</f>
        <v>1</v>
      </c>
      <c r="Q11" s="97">
        <f>COUNTIFS(Başvuru!$G:$G, "Yüksek Lisans Tezi", Başvuru!$L:$L, Q$2, Başvuru!$J:$J, $B11) + COUNTIFS(Başvuru!$G:$G, "Yüksek Lisans Tezi", Başvuru!$L:$L, Q$2, Başvuru!$K:$K, $B11)</f>
        <v>0</v>
      </c>
      <c r="R11" s="97">
        <f>COUNTIFS(Başvuru!$G:$G, "Yüksek Lisans Tezi", Başvuru!$L:$L, R$2, Başvuru!$J:$J, $B11) + COUNTIFS(Başvuru!$G:$G, "Yüksek Lisans Tezi", Başvuru!$L:$L, R$2, Başvuru!$K:$K, $B11)</f>
        <v>0</v>
      </c>
      <c r="S11" s="97">
        <f t="shared" si="1"/>
        <v>3</v>
      </c>
      <c r="T11" s="97">
        <f>COUNTIFS(Başvuru!$G:$G, "Doktora Tezi", Başvuru!$L:$L, T$2, Başvuru!$J:$J, $B11) + COUNTIFS(Başvuru!$G:$G, "Doktora Tezi", Başvuru!$L:$L, T$2, Başvuru!$K:$K, $B11)</f>
        <v>3</v>
      </c>
      <c r="U11" s="97">
        <f>COUNTIFS(Başvuru!$G:$G, "Doktora Tezi", Başvuru!$L:$L, U$2, Başvuru!$J:$J, $B11) + COUNTIFS(Başvuru!$G:$G, "Doktora Tezi", Başvuru!$L:$L, U$2, Başvuru!$K:$K, $B11)</f>
        <v>5</v>
      </c>
      <c r="V11" s="97">
        <f>COUNTIFS(Başvuru!$G:$G, "Doktora Tezi", Başvuru!$L:$L, V$2, Başvuru!$J:$J, $B11) + COUNTIFS(Başvuru!$G:$G, "Doktora Tezi", Başvuru!$L:$L, V$2, Başvuru!$K:$K, $B11)</f>
        <v>0</v>
      </c>
      <c r="W11" s="97">
        <f>COUNTIFS(Başvuru!$G:$G, "Doktora Tezi", Başvuru!$L:$L, W$2, Başvuru!$J:$J, $B11) + COUNTIFS(Başvuru!$G:$G, "Doktora Tezi", Başvuru!$L:$L, W$2, Başvuru!$K:$K, $B11)</f>
        <v>1</v>
      </c>
      <c r="X11" s="97">
        <f>COUNTIFS(Başvuru!$G:$G, "Doktora Tezi", Başvuru!$L:$L, X$2, Başvuru!$J:$J, $B11) + COUNTIFS(Başvuru!$G:$G, "Doktora Tezi", Başvuru!$L:$L, X$2, Başvuru!$K:$K, $B11)</f>
        <v>0</v>
      </c>
      <c r="Y11" s="97">
        <f>COUNTIFS(Başvuru!$G:$G, "Doktora Tezi", Başvuru!$L:$L, Y$2, Başvuru!$J:$J, $B11) + COUNTIFS(Başvuru!$G:$G, "Doktora Tezi", Başvuru!$L:$L, Y$2, Başvuru!$K:$K, $B11)</f>
        <v>0</v>
      </c>
      <c r="Z11" s="97">
        <f>COUNTIFS(Başvuru!$G:$G, "Doktora Tezi", Başvuru!$L:$L, Z$2, Başvuru!$J:$J, $B11) + COUNTIFS(Başvuru!$G:$G, "Doktora Tezi", Başvuru!$L:$L, Z$2, Başvuru!$K:$K, $B11)</f>
        <v>0</v>
      </c>
      <c r="AA11" s="97">
        <f t="shared" si="2"/>
        <v>9</v>
      </c>
      <c r="AB11" s="97">
        <f>COUNTIFS(Başvuru!$G:$G, "Uzmanlık Tezi", Başvuru!$L:$L, AB$2, Başvuru!$J:$J, $B11) + COUNTIFS(Başvuru!$G:$G, "Uzmanlık Tezi", Başvuru!$L:$L, AB$2, Başvuru!$K:$K, $B11)</f>
        <v>10</v>
      </c>
      <c r="AC11" s="97">
        <f>COUNTIFS(Başvuru!$G:$G, "Uzmanlık Tezi", Başvuru!$L:$L, AC$2, Başvuru!$J:$J, $B11) + COUNTIFS(Başvuru!$G:$G, "Uzmanlık Tezi", Başvuru!$L:$L, AC$2, Başvuru!$K:$K, $B11)</f>
        <v>4</v>
      </c>
      <c r="AD11" s="97">
        <f>COUNTIFS(Başvuru!$G:$G, "Uzmanlık Tezi", Başvuru!$L:$L, AD$2, Başvuru!$J:$J, $B11) + COUNTIFS(Başvuru!$G:$G, "Uzmanlık Tezi", Başvuru!$L:$L, AD$2, Başvuru!$K:$K, $B11)</f>
        <v>0</v>
      </c>
      <c r="AE11" s="97">
        <f>COUNTIFS(Başvuru!$G:$G, "Uzmanlık Tezi", Başvuru!$L:$L, AE$2, Başvuru!$J:$J, $B11) + COUNTIFS(Başvuru!$G:$G, "Uzmanlık Tezi", Başvuru!$L:$L, AE$2, Başvuru!$K:$K, $B11)</f>
        <v>0</v>
      </c>
      <c r="AF11" s="97">
        <f>COUNTIFS(Başvuru!$G:$G, "Uzmanlık Tezi", Başvuru!$L:$L, AF$2, Başvuru!$J:$J, $B11) + COUNTIFS(Başvuru!$G:$G, "Uzmanlık Tezi", Başvuru!$L:$L, AF$2, Başvuru!$K:$K, $B11)</f>
        <v>0</v>
      </c>
      <c r="AG11" s="97">
        <f>COUNTIFS(Başvuru!$G:$G, "Uzmanlık Tezi", Başvuru!$L:$L, AG$2, Başvuru!$J:$J, $B11) + COUNTIFS(Başvuru!$G:$G, "Uzmanlık Tezi", Başvuru!$L:$L, AG$2, Başvuru!$K:$K, $B11)</f>
        <v>0</v>
      </c>
      <c r="AH11" s="97">
        <f>COUNTIFS(Başvuru!$G:$G, "Uzmanlık Tezi", Başvuru!$L:$L, AH$2, Başvuru!$J:$J, $B11) + COUNTIFS(Başvuru!$G:$G, "Uzmanlık Tezi", Başvuru!$L:$L, AH$2, Başvuru!$K:$K, $B11)</f>
        <v>0</v>
      </c>
      <c r="AI11" s="97">
        <f t="shared" si="3"/>
        <v>14</v>
      </c>
      <c r="AJ11" s="99">
        <f t="shared" si="4"/>
        <v>41</v>
      </c>
      <c r="AK11" s="99">
        <f t="shared" si="5"/>
        <v>26</v>
      </c>
      <c r="AL11" s="99">
        <f t="shared" si="6"/>
        <v>1</v>
      </c>
      <c r="AM11" s="99">
        <f t="shared" si="7"/>
        <v>4</v>
      </c>
      <c r="AN11" s="99">
        <f t="shared" si="8"/>
        <v>7</v>
      </c>
      <c r="AO11" s="99">
        <f t="shared" si="9"/>
        <v>0</v>
      </c>
      <c r="AP11" s="99">
        <f t="shared" si="10"/>
        <v>0</v>
      </c>
      <c r="AQ11" s="99">
        <f t="shared" si="11"/>
        <v>79</v>
      </c>
    </row>
    <row r="12" spans="1:43" s="94" customFormat="1" ht="30" customHeight="1" x14ac:dyDescent="0.25">
      <c r="A12" s="95" t="s">
        <v>123</v>
      </c>
      <c r="B12" s="96" t="s">
        <v>87</v>
      </c>
      <c r="C12" s="97">
        <f>COUNTIF(Başvuru!$J:$K, $B12)</f>
        <v>90</v>
      </c>
      <c r="D12" s="97">
        <f>COUNTIFS(Başvuru!$G:$G, "Bireysel Araştırma", Başvuru!$L:$L, D$2, Başvuru!$J:$J, $B12) + COUNTIFS(Başvuru!$G:$G, "Bireysel Araştırma", Başvuru!$L:$L, D$2, Başvuru!$K:$K, $B12)</f>
        <v>44</v>
      </c>
      <c r="E12" s="97">
        <f>COUNTIFS(Başvuru!$G:$G, "Bireysel Araştırma", Başvuru!$L:$L, E$2, Başvuru!$J:$J, $B12) + COUNTIFS(Başvuru!$G:$G, "Bireysel Araştırma", Başvuru!$L:$L, E$2, Başvuru!$K:$K, $B12)</f>
        <v>17</v>
      </c>
      <c r="F12" s="97">
        <f>COUNTIFS(Başvuru!$G:$G, "Bireysel Araştırma", Başvuru!$L:$L, F$2, Başvuru!$J:$J, $B12) + COUNTIFS(Başvuru!$G:$G, "Bireysel Araştırma", Başvuru!$L:$L, F$2, Başvuru!$K:$K, $B12)</f>
        <v>0</v>
      </c>
      <c r="G12" s="97">
        <f>COUNTIFS(Başvuru!$G:$G, "Bireysel Araştırma", Başvuru!$L:$L, G$2, Başvuru!$J:$J, $B12) + COUNTIFS(Başvuru!$G:$G, "Bireysel Araştırma", Başvuru!$L:$L, G$2, Başvuru!$K:$K, $B12)</f>
        <v>2</v>
      </c>
      <c r="H12" s="97">
        <f>COUNTIFS(Başvuru!$G:$G, "Bireysel Araştırma", Başvuru!$L:$L, H$2, Başvuru!$J:$J, $B12) + COUNTIFS(Başvuru!$G:$G, "Bireysel Araştırma", Başvuru!$L:$L, H$2, Başvuru!$K:$K, $B12)</f>
        <v>1</v>
      </c>
      <c r="I12" s="97">
        <f>COUNTIFS(Başvuru!$G:$G, "Bireysel Araştırma", Başvuru!$L:$L, I$2, Başvuru!$J:$J, $B12) + COUNTIFS(Başvuru!$G:$G, "Bireysel Araştırma", Başvuru!$L:$L, I$2, Başvuru!$K:$K, $B12)</f>
        <v>1</v>
      </c>
      <c r="J12" s="97">
        <f>COUNTIFS(Başvuru!$G:$G, "Bireysel Araştırma", Başvuru!$L:$L, J$2, Başvuru!$J:$J, $B12) + COUNTIFS(Başvuru!$G:$G, "Bireysel Araştırma", Başvuru!$L:$L, J$2, Başvuru!$K:$K, $B12)</f>
        <v>0</v>
      </c>
      <c r="K12" s="97">
        <f t="shared" si="0"/>
        <v>65</v>
      </c>
      <c r="L12" s="97">
        <f>COUNTIFS(Başvuru!$G:$G, "Yüksek Lisans Tezi", Başvuru!$L:$L, L$2, Başvuru!$J:$J, $B12) + COUNTIFS(Başvuru!$G:$G, "Yüksek Lisans Tezi", Başvuru!$L:$L, L$2, Başvuru!$K:$K, $B12)</f>
        <v>0</v>
      </c>
      <c r="M12" s="97">
        <f>COUNTIFS(Başvuru!$G:$G, "Yüksek Lisans Tezi", Başvuru!$L:$L, M$2, Başvuru!$J:$J, $B12) + COUNTIFS(Başvuru!$G:$G, "Yüksek Lisans Tezi", Başvuru!$L:$L, M$2, Başvuru!$K:$K, $B12)</f>
        <v>0</v>
      </c>
      <c r="N12" s="97">
        <f>COUNTIFS(Başvuru!$G:$G, "Yüksek Lisans Tezi", Başvuru!$L:$L, N$2, Başvuru!$J:$J, $B12) + COUNTIFS(Başvuru!$G:$G, "Yüksek Lisans Tezi", Başvuru!$L:$L, N$2, Başvuru!$K:$K, $B12)</f>
        <v>0</v>
      </c>
      <c r="O12" s="97">
        <f>COUNTIFS(Başvuru!$G:$G, "Yüksek Lisans Tezi", Başvuru!$L:$L, O$2, Başvuru!$J:$J, $B12) + COUNTIFS(Başvuru!$G:$G, "Yüksek Lisans Tezi", Başvuru!$L:$L, O$2, Başvuru!$K:$K, $B12)</f>
        <v>0</v>
      </c>
      <c r="P12" s="97">
        <f>COUNTIFS(Başvuru!$G:$G, "Yüksek Lisans Tezi", Başvuru!$L:$L, P$2, Başvuru!$J:$J, $B12) + COUNTIFS(Başvuru!$G:$G, "Yüksek Lisans Tezi", Başvuru!$L:$L, P$2, Başvuru!$K:$K, $B12)</f>
        <v>0</v>
      </c>
      <c r="Q12" s="97">
        <f>COUNTIFS(Başvuru!$G:$G, "Yüksek Lisans Tezi", Başvuru!$L:$L, Q$2, Başvuru!$J:$J, $B12) + COUNTIFS(Başvuru!$G:$G, "Yüksek Lisans Tezi", Başvuru!$L:$L, Q$2, Başvuru!$K:$K, $B12)</f>
        <v>0</v>
      </c>
      <c r="R12" s="97">
        <f>COUNTIFS(Başvuru!$G:$G, "Yüksek Lisans Tezi", Başvuru!$L:$L, R$2, Başvuru!$J:$J, $B12) + COUNTIFS(Başvuru!$G:$G, "Yüksek Lisans Tezi", Başvuru!$L:$L, R$2, Başvuru!$K:$K, $B12)</f>
        <v>0</v>
      </c>
      <c r="S12" s="97">
        <f t="shared" si="1"/>
        <v>0</v>
      </c>
      <c r="T12" s="97">
        <f>COUNTIFS(Başvuru!$G:$G, "Doktora Tezi", Başvuru!$L:$L, T$2, Başvuru!$J:$J, $B12) + COUNTIFS(Başvuru!$G:$G, "Doktora Tezi", Başvuru!$L:$L, T$2, Başvuru!$K:$K, $B12)</f>
        <v>6</v>
      </c>
      <c r="U12" s="97">
        <f>COUNTIFS(Başvuru!$G:$G, "Doktora Tezi", Başvuru!$L:$L, U$2, Başvuru!$J:$J, $B12) + COUNTIFS(Başvuru!$G:$G, "Doktora Tezi", Başvuru!$L:$L, U$2, Başvuru!$K:$K, $B12)</f>
        <v>3</v>
      </c>
      <c r="V12" s="97">
        <f>COUNTIFS(Başvuru!$G:$G, "Doktora Tezi", Başvuru!$L:$L, V$2, Başvuru!$J:$J, $B12) + COUNTIFS(Başvuru!$G:$G, "Doktora Tezi", Başvuru!$L:$L, V$2, Başvuru!$K:$K, $B12)</f>
        <v>0</v>
      </c>
      <c r="W12" s="97">
        <f>COUNTIFS(Başvuru!$G:$G, "Doktora Tezi", Başvuru!$L:$L, W$2, Başvuru!$J:$J, $B12) + COUNTIFS(Başvuru!$G:$G, "Doktora Tezi", Başvuru!$L:$L, W$2, Başvuru!$K:$K, $B12)</f>
        <v>0</v>
      </c>
      <c r="X12" s="97">
        <f>COUNTIFS(Başvuru!$G:$G, "Doktora Tezi", Başvuru!$L:$L, X$2, Başvuru!$J:$J, $B12) + COUNTIFS(Başvuru!$G:$G, "Doktora Tezi", Başvuru!$L:$L, X$2, Başvuru!$K:$K, $B12)</f>
        <v>0</v>
      </c>
      <c r="Y12" s="97">
        <f>COUNTIFS(Başvuru!$G:$G, "Doktora Tezi", Başvuru!$L:$L, Y$2, Başvuru!$J:$J, $B12) + COUNTIFS(Başvuru!$G:$G, "Doktora Tezi", Başvuru!$L:$L, Y$2, Başvuru!$K:$K, $B12)</f>
        <v>0</v>
      </c>
      <c r="Z12" s="97">
        <f>COUNTIFS(Başvuru!$G:$G, "Doktora Tezi", Başvuru!$L:$L, Z$2, Başvuru!$J:$J, $B12) + COUNTIFS(Başvuru!$G:$G, "Doktora Tezi", Başvuru!$L:$L, Z$2, Başvuru!$K:$K, $B12)</f>
        <v>0</v>
      </c>
      <c r="AA12" s="97">
        <f t="shared" si="2"/>
        <v>9</v>
      </c>
      <c r="AB12" s="97">
        <f>COUNTIFS(Başvuru!$G:$G, "Uzmanlık Tezi", Başvuru!$L:$L, AB$2, Başvuru!$J:$J, $B12) + COUNTIFS(Başvuru!$G:$G, "Uzmanlık Tezi", Başvuru!$L:$L, AB$2, Başvuru!$K:$K, $B12)</f>
        <v>6</v>
      </c>
      <c r="AC12" s="97">
        <f>COUNTIFS(Başvuru!$G:$G, "Uzmanlık Tezi", Başvuru!$L:$L, AC$2, Başvuru!$J:$J, $B12) + COUNTIFS(Başvuru!$G:$G, "Uzmanlık Tezi", Başvuru!$L:$L, AC$2, Başvuru!$K:$K, $B12)</f>
        <v>7</v>
      </c>
      <c r="AD12" s="97">
        <f>COUNTIFS(Başvuru!$G:$G, "Uzmanlık Tezi", Başvuru!$L:$L, AD$2, Başvuru!$J:$J, $B12) + COUNTIFS(Başvuru!$G:$G, "Uzmanlık Tezi", Başvuru!$L:$L, AD$2, Başvuru!$K:$K, $B12)</f>
        <v>0</v>
      </c>
      <c r="AE12" s="97">
        <f>COUNTIFS(Başvuru!$G:$G, "Uzmanlık Tezi", Başvuru!$L:$L, AE$2, Başvuru!$J:$J, $B12) + COUNTIFS(Başvuru!$G:$G, "Uzmanlık Tezi", Başvuru!$L:$L, AE$2, Başvuru!$K:$K, $B12)</f>
        <v>2</v>
      </c>
      <c r="AF12" s="97">
        <f>COUNTIFS(Başvuru!$G:$G, "Uzmanlık Tezi", Başvuru!$L:$L, AF$2, Başvuru!$J:$J, $B12) + COUNTIFS(Başvuru!$G:$G, "Uzmanlık Tezi", Başvuru!$L:$L, AF$2, Başvuru!$K:$K, $B12)</f>
        <v>0</v>
      </c>
      <c r="AG12" s="97">
        <f>COUNTIFS(Başvuru!$G:$G, "Uzmanlık Tezi", Başvuru!$L:$L, AG$2, Başvuru!$J:$J, $B12) + COUNTIFS(Başvuru!$G:$G, "Uzmanlık Tezi", Başvuru!$L:$L, AG$2, Başvuru!$K:$K, $B12)</f>
        <v>0</v>
      </c>
      <c r="AH12" s="97">
        <f>COUNTIFS(Başvuru!$G:$G, "Uzmanlık Tezi", Başvuru!$L:$L, AH$2, Başvuru!$J:$J, $B12) + COUNTIFS(Başvuru!$G:$G, "Uzmanlık Tezi", Başvuru!$L:$L, AH$2, Başvuru!$K:$K, $B12)</f>
        <v>0</v>
      </c>
      <c r="AI12" s="97">
        <f t="shared" si="3"/>
        <v>15</v>
      </c>
      <c r="AJ12" s="99">
        <f t="shared" si="4"/>
        <v>56</v>
      </c>
      <c r="AK12" s="99">
        <f t="shared" si="5"/>
        <v>27</v>
      </c>
      <c r="AL12" s="99">
        <f t="shared" si="6"/>
        <v>0</v>
      </c>
      <c r="AM12" s="99">
        <f t="shared" si="7"/>
        <v>4</v>
      </c>
      <c r="AN12" s="99">
        <f t="shared" si="8"/>
        <v>1</v>
      </c>
      <c r="AO12" s="99">
        <f t="shared" si="9"/>
        <v>1</v>
      </c>
      <c r="AP12" s="99">
        <f t="shared" si="10"/>
        <v>0</v>
      </c>
      <c r="AQ12" s="99">
        <f t="shared" si="11"/>
        <v>89</v>
      </c>
    </row>
    <row r="13" spans="1:43" s="94" customFormat="1" ht="30" customHeight="1" x14ac:dyDescent="0.25">
      <c r="A13" s="95" t="s">
        <v>129</v>
      </c>
      <c r="B13" s="96" t="s">
        <v>79</v>
      </c>
      <c r="C13" s="97">
        <f>COUNTIF(Başvuru!$J:$K, $B13)</f>
        <v>81</v>
      </c>
      <c r="D13" s="97">
        <f>COUNTIFS(Başvuru!$G:$G, "Bireysel Araştırma", Başvuru!$L:$L, D$2, Başvuru!$J:$J, $B13) + COUNTIFS(Başvuru!$G:$G, "Bireysel Araştırma", Başvuru!$L:$L, D$2, Başvuru!$K:$K, $B13)</f>
        <v>38</v>
      </c>
      <c r="E13" s="97">
        <f>COUNTIFS(Başvuru!$G:$G, "Bireysel Araştırma", Başvuru!$L:$L, E$2, Başvuru!$J:$J, $B13) + COUNTIFS(Başvuru!$G:$G, "Bireysel Araştırma", Başvuru!$L:$L, E$2, Başvuru!$K:$K, $B13)</f>
        <v>20</v>
      </c>
      <c r="F13" s="97">
        <f>COUNTIFS(Başvuru!$G:$G, "Bireysel Araştırma", Başvuru!$L:$L, F$2, Başvuru!$J:$J, $B13) + COUNTIFS(Başvuru!$G:$G, "Bireysel Araştırma", Başvuru!$L:$L, F$2, Başvuru!$K:$K, $B13)</f>
        <v>1</v>
      </c>
      <c r="G13" s="97">
        <f>COUNTIFS(Başvuru!$G:$G, "Bireysel Araştırma", Başvuru!$L:$L, G$2, Başvuru!$J:$J, $B13) + COUNTIFS(Başvuru!$G:$G, "Bireysel Araştırma", Başvuru!$L:$L, G$2, Başvuru!$K:$K, $B13)</f>
        <v>3</v>
      </c>
      <c r="H13" s="97">
        <f>COUNTIFS(Başvuru!$G:$G, "Bireysel Araştırma", Başvuru!$L:$L, H$2, Başvuru!$J:$J, $B13) + COUNTIFS(Başvuru!$G:$G, "Bireysel Araştırma", Başvuru!$L:$L, H$2, Başvuru!$K:$K, $B13)</f>
        <v>0</v>
      </c>
      <c r="I13" s="97">
        <f>COUNTIFS(Başvuru!$G:$G, "Bireysel Araştırma", Başvuru!$L:$L, I$2, Başvuru!$J:$J, $B13) + COUNTIFS(Başvuru!$G:$G, "Bireysel Araştırma", Başvuru!$L:$L, I$2, Başvuru!$K:$K, $B13)</f>
        <v>0</v>
      </c>
      <c r="J13" s="97">
        <f>COUNTIFS(Başvuru!$G:$G, "Bireysel Araştırma", Başvuru!$L:$L, J$2, Başvuru!$J:$J, $B13) + COUNTIFS(Başvuru!$G:$G, "Bireysel Araştırma", Başvuru!$L:$L, J$2, Başvuru!$K:$K, $B13)</f>
        <v>0</v>
      </c>
      <c r="K13" s="97">
        <f t="shared" si="0"/>
        <v>62</v>
      </c>
      <c r="L13" s="97">
        <f>COUNTIFS(Başvuru!$G:$G, "Yüksek Lisans Tezi", Başvuru!$L:$L, L$2, Başvuru!$J:$J, $B13) + COUNTIFS(Başvuru!$G:$G, "Yüksek Lisans Tezi", Başvuru!$L:$L, L$2, Başvuru!$K:$K, $B13)</f>
        <v>0</v>
      </c>
      <c r="M13" s="97">
        <f>COUNTIFS(Başvuru!$G:$G, "Yüksek Lisans Tezi", Başvuru!$L:$L, M$2, Başvuru!$J:$J, $B13) + COUNTIFS(Başvuru!$G:$G, "Yüksek Lisans Tezi", Başvuru!$L:$L, M$2, Başvuru!$K:$K, $B13)</f>
        <v>0</v>
      </c>
      <c r="N13" s="97">
        <f>COUNTIFS(Başvuru!$G:$G, "Yüksek Lisans Tezi", Başvuru!$L:$L, N$2, Başvuru!$J:$J, $B13) + COUNTIFS(Başvuru!$G:$G, "Yüksek Lisans Tezi", Başvuru!$L:$L, N$2, Başvuru!$K:$K, $B13)</f>
        <v>0</v>
      </c>
      <c r="O13" s="97">
        <f>COUNTIFS(Başvuru!$G:$G, "Yüksek Lisans Tezi", Başvuru!$L:$L, O$2, Başvuru!$J:$J, $B13) + COUNTIFS(Başvuru!$G:$G, "Yüksek Lisans Tezi", Başvuru!$L:$L, O$2, Başvuru!$K:$K, $B13)</f>
        <v>0</v>
      </c>
      <c r="P13" s="97">
        <f>COUNTIFS(Başvuru!$G:$G, "Yüksek Lisans Tezi", Başvuru!$L:$L, P$2, Başvuru!$J:$J, $B13) + COUNTIFS(Başvuru!$G:$G, "Yüksek Lisans Tezi", Başvuru!$L:$L, P$2, Başvuru!$K:$K, $B13)</f>
        <v>0</v>
      </c>
      <c r="Q13" s="97">
        <f>COUNTIFS(Başvuru!$G:$G, "Yüksek Lisans Tezi", Başvuru!$L:$L, Q$2, Başvuru!$J:$J, $B13) + COUNTIFS(Başvuru!$G:$G, "Yüksek Lisans Tezi", Başvuru!$L:$L, Q$2, Başvuru!$K:$K, $B13)</f>
        <v>0</v>
      </c>
      <c r="R13" s="97">
        <f>COUNTIFS(Başvuru!$G:$G, "Yüksek Lisans Tezi", Başvuru!$L:$L, R$2, Başvuru!$J:$J, $B13) + COUNTIFS(Başvuru!$G:$G, "Yüksek Lisans Tezi", Başvuru!$L:$L, R$2, Başvuru!$K:$K, $B13)</f>
        <v>0</v>
      </c>
      <c r="S13" s="97">
        <f t="shared" si="1"/>
        <v>0</v>
      </c>
      <c r="T13" s="97">
        <f>COUNTIFS(Başvuru!$G:$G, "Doktora Tezi", Başvuru!$L:$L, T$2, Başvuru!$J:$J, $B13) + COUNTIFS(Başvuru!$G:$G, "Doktora Tezi", Başvuru!$L:$L, T$2, Başvuru!$K:$K, $B13)</f>
        <v>4</v>
      </c>
      <c r="U13" s="97">
        <f>COUNTIFS(Başvuru!$G:$G, "Doktora Tezi", Başvuru!$L:$L, U$2, Başvuru!$J:$J, $B13) + COUNTIFS(Başvuru!$G:$G, "Doktora Tezi", Başvuru!$L:$L, U$2, Başvuru!$K:$K, $B13)</f>
        <v>0</v>
      </c>
      <c r="V13" s="97">
        <f>COUNTIFS(Başvuru!$G:$G, "Doktora Tezi", Başvuru!$L:$L, V$2, Başvuru!$J:$J, $B13) + COUNTIFS(Başvuru!$G:$G, "Doktora Tezi", Başvuru!$L:$L, V$2, Başvuru!$K:$K, $B13)</f>
        <v>0</v>
      </c>
      <c r="W13" s="97">
        <f>COUNTIFS(Başvuru!$G:$G, "Doktora Tezi", Başvuru!$L:$L, W$2, Başvuru!$J:$J, $B13) + COUNTIFS(Başvuru!$G:$G, "Doktora Tezi", Başvuru!$L:$L, W$2, Başvuru!$K:$K, $B13)</f>
        <v>2</v>
      </c>
      <c r="X13" s="97">
        <f>COUNTIFS(Başvuru!$G:$G, "Doktora Tezi", Başvuru!$L:$L, X$2, Başvuru!$J:$J, $B13) + COUNTIFS(Başvuru!$G:$G, "Doktora Tezi", Başvuru!$L:$L, X$2, Başvuru!$K:$K, $B13)</f>
        <v>0</v>
      </c>
      <c r="Y13" s="97">
        <f>COUNTIFS(Başvuru!$G:$G, "Doktora Tezi", Başvuru!$L:$L, Y$2, Başvuru!$J:$J, $B13) + COUNTIFS(Başvuru!$G:$G, "Doktora Tezi", Başvuru!$L:$L, Y$2, Başvuru!$K:$K, $B13)</f>
        <v>0</v>
      </c>
      <c r="Z13" s="97">
        <f>COUNTIFS(Başvuru!$G:$G, "Doktora Tezi", Başvuru!$L:$L, Z$2, Başvuru!$J:$J, $B13) + COUNTIFS(Başvuru!$G:$G, "Doktora Tezi", Başvuru!$L:$L, Z$2, Başvuru!$K:$K, $B13)</f>
        <v>0</v>
      </c>
      <c r="AA13" s="97">
        <f t="shared" si="2"/>
        <v>6</v>
      </c>
      <c r="AB13" s="97">
        <f>COUNTIFS(Başvuru!$G:$G, "Uzmanlık Tezi", Başvuru!$L:$L, AB$2, Başvuru!$J:$J, $B13) + COUNTIFS(Başvuru!$G:$G, "Uzmanlık Tezi", Başvuru!$L:$L, AB$2, Başvuru!$K:$K, $B13)</f>
        <v>6</v>
      </c>
      <c r="AC13" s="97">
        <f>COUNTIFS(Başvuru!$G:$G, "Uzmanlık Tezi", Başvuru!$L:$L, AC$2, Başvuru!$J:$J, $B13) + COUNTIFS(Başvuru!$G:$G, "Uzmanlık Tezi", Başvuru!$L:$L, AC$2, Başvuru!$K:$K, $B13)</f>
        <v>5</v>
      </c>
      <c r="AD13" s="97">
        <f>COUNTIFS(Başvuru!$G:$G, "Uzmanlık Tezi", Başvuru!$L:$L, AD$2, Başvuru!$J:$J, $B13) + COUNTIFS(Başvuru!$G:$G, "Uzmanlık Tezi", Başvuru!$L:$L, AD$2, Başvuru!$K:$K, $B13)</f>
        <v>0</v>
      </c>
      <c r="AE13" s="97">
        <f>COUNTIFS(Başvuru!$G:$G, "Uzmanlık Tezi", Başvuru!$L:$L, AE$2, Başvuru!$J:$J, $B13) + COUNTIFS(Başvuru!$G:$G, "Uzmanlık Tezi", Başvuru!$L:$L, AE$2, Başvuru!$K:$K, $B13)</f>
        <v>0</v>
      </c>
      <c r="AF13" s="97">
        <f>COUNTIFS(Başvuru!$G:$G, "Uzmanlık Tezi", Başvuru!$L:$L, AF$2, Başvuru!$J:$J, $B13) + COUNTIFS(Başvuru!$G:$G, "Uzmanlık Tezi", Başvuru!$L:$L, AF$2, Başvuru!$K:$K, $B13)</f>
        <v>0</v>
      </c>
      <c r="AG13" s="97">
        <f>COUNTIFS(Başvuru!$G:$G, "Uzmanlık Tezi", Başvuru!$L:$L, AG$2, Başvuru!$J:$J, $B13) + COUNTIFS(Başvuru!$G:$G, "Uzmanlık Tezi", Başvuru!$L:$L, AG$2, Başvuru!$K:$K, $B13)</f>
        <v>2</v>
      </c>
      <c r="AH13" s="97">
        <f>COUNTIFS(Başvuru!$G:$G, "Uzmanlık Tezi", Başvuru!$L:$L, AH$2, Başvuru!$J:$J, $B13) + COUNTIFS(Başvuru!$G:$G, "Uzmanlık Tezi", Başvuru!$L:$L, AH$2, Başvuru!$K:$K, $B13)</f>
        <v>0</v>
      </c>
      <c r="AI13" s="97">
        <f t="shared" si="3"/>
        <v>13</v>
      </c>
      <c r="AJ13" s="99">
        <f t="shared" si="4"/>
        <v>48</v>
      </c>
      <c r="AK13" s="99">
        <f t="shared" si="5"/>
        <v>25</v>
      </c>
      <c r="AL13" s="99">
        <f t="shared" si="6"/>
        <v>1</v>
      </c>
      <c r="AM13" s="99">
        <f t="shared" si="7"/>
        <v>5</v>
      </c>
      <c r="AN13" s="99">
        <f t="shared" si="8"/>
        <v>0</v>
      </c>
      <c r="AO13" s="99">
        <f t="shared" si="9"/>
        <v>2</v>
      </c>
      <c r="AP13" s="99">
        <f t="shared" si="10"/>
        <v>0</v>
      </c>
      <c r="AQ13" s="99">
        <f t="shared" si="11"/>
        <v>81</v>
      </c>
    </row>
    <row r="14" spans="1:43" s="94" customFormat="1" ht="30" customHeight="1" x14ac:dyDescent="0.25">
      <c r="A14" s="95" t="s">
        <v>134</v>
      </c>
      <c r="B14" s="96" t="s">
        <v>78</v>
      </c>
      <c r="C14" s="97">
        <f>COUNTIF(Başvuru!$J:$K, $B14)</f>
        <v>86</v>
      </c>
      <c r="D14" s="97">
        <f>COUNTIFS(Başvuru!$G:$G, "Bireysel Araştırma", Başvuru!$L:$L, D$2, Başvuru!$J:$J, $B14) + COUNTIFS(Başvuru!$G:$G, "Bireysel Araştırma", Başvuru!$L:$L, D$2, Başvuru!$K:$K, $B14)</f>
        <v>28</v>
      </c>
      <c r="E14" s="97">
        <f>COUNTIFS(Başvuru!$G:$G, "Bireysel Araştırma", Başvuru!$L:$L, E$2, Başvuru!$J:$J, $B14) + COUNTIFS(Başvuru!$G:$G, "Bireysel Araştırma", Başvuru!$L:$L, E$2, Başvuru!$K:$K, $B14)</f>
        <v>27</v>
      </c>
      <c r="F14" s="97">
        <f>COUNTIFS(Başvuru!$G:$G, "Bireysel Araştırma", Başvuru!$L:$L, F$2, Başvuru!$J:$J, $B14) + COUNTIFS(Başvuru!$G:$G, "Bireysel Araştırma", Başvuru!$L:$L, F$2, Başvuru!$K:$K, $B14)</f>
        <v>4</v>
      </c>
      <c r="G14" s="97">
        <f>COUNTIFS(Başvuru!$G:$G, "Bireysel Araştırma", Başvuru!$L:$L, G$2, Başvuru!$J:$J, $B14) + COUNTIFS(Başvuru!$G:$G, "Bireysel Araştırma", Başvuru!$L:$L, G$2, Başvuru!$K:$K, $B14)</f>
        <v>0</v>
      </c>
      <c r="H14" s="97">
        <f>COUNTIFS(Başvuru!$G:$G, "Bireysel Araştırma", Başvuru!$L:$L, H$2, Başvuru!$J:$J, $B14) + COUNTIFS(Başvuru!$G:$G, "Bireysel Araştırma", Başvuru!$L:$L, H$2, Başvuru!$K:$K, $B14)</f>
        <v>4</v>
      </c>
      <c r="I14" s="97">
        <f>COUNTIFS(Başvuru!$G:$G, "Bireysel Araştırma", Başvuru!$L:$L, I$2, Başvuru!$J:$J, $B14) + COUNTIFS(Başvuru!$G:$G, "Bireysel Araştırma", Başvuru!$L:$L, I$2, Başvuru!$K:$K, $B14)</f>
        <v>3</v>
      </c>
      <c r="J14" s="97">
        <f>COUNTIFS(Başvuru!$G:$G, "Bireysel Araştırma", Başvuru!$L:$L, J$2, Başvuru!$J:$J, $B14) + COUNTIFS(Başvuru!$G:$G, "Bireysel Araştırma", Başvuru!$L:$L, J$2, Başvuru!$K:$K, $B14)</f>
        <v>0</v>
      </c>
      <c r="K14" s="97">
        <f t="shared" si="0"/>
        <v>66</v>
      </c>
      <c r="L14" s="97">
        <f>COUNTIFS(Başvuru!$G:$G, "Yüksek Lisans Tezi", Başvuru!$L:$L, L$2, Başvuru!$J:$J, $B14) + COUNTIFS(Başvuru!$G:$G, "Yüksek Lisans Tezi", Başvuru!$L:$L, L$2, Başvuru!$K:$K, $B14)</f>
        <v>1</v>
      </c>
      <c r="M14" s="97">
        <f>COUNTIFS(Başvuru!$G:$G, "Yüksek Lisans Tezi", Başvuru!$L:$L, M$2, Başvuru!$J:$J, $B14) + COUNTIFS(Başvuru!$G:$G, "Yüksek Lisans Tezi", Başvuru!$L:$L, M$2, Başvuru!$K:$K, $B14)</f>
        <v>1</v>
      </c>
      <c r="N14" s="97">
        <f>COUNTIFS(Başvuru!$G:$G, "Yüksek Lisans Tezi", Başvuru!$L:$L, N$2, Başvuru!$J:$J, $B14) + COUNTIFS(Başvuru!$G:$G, "Yüksek Lisans Tezi", Başvuru!$L:$L, N$2, Başvuru!$K:$K, $B14)</f>
        <v>0</v>
      </c>
      <c r="O14" s="97">
        <f>COUNTIFS(Başvuru!$G:$G, "Yüksek Lisans Tezi", Başvuru!$L:$L, O$2, Başvuru!$J:$J, $B14) + COUNTIFS(Başvuru!$G:$G, "Yüksek Lisans Tezi", Başvuru!$L:$L, O$2, Başvuru!$K:$K, $B14)</f>
        <v>0</v>
      </c>
      <c r="P14" s="97">
        <f>COUNTIFS(Başvuru!$G:$G, "Yüksek Lisans Tezi", Başvuru!$L:$L, P$2, Başvuru!$J:$J, $B14) + COUNTIFS(Başvuru!$G:$G, "Yüksek Lisans Tezi", Başvuru!$L:$L, P$2, Başvuru!$K:$K, $B14)</f>
        <v>0</v>
      </c>
      <c r="Q14" s="97">
        <f>COUNTIFS(Başvuru!$G:$G, "Yüksek Lisans Tezi", Başvuru!$L:$L, Q$2, Başvuru!$J:$J, $B14) + COUNTIFS(Başvuru!$G:$G, "Yüksek Lisans Tezi", Başvuru!$L:$L, Q$2, Başvuru!$K:$K, $B14)</f>
        <v>0</v>
      </c>
      <c r="R14" s="97">
        <f>COUNTIFS(Başvuru!$G:$G, "Yüksek Lisans Tezi", Başvuru!$L:$L, R$2, Başvuru!$J:$J, $B14) + COUNTIFS(Başvuru!$G:$G, "Yüksek Lisans Tezi", Başvuru!$L:$L, R$2, Başvuru!$K:$K, $B14)</f>
        <v>0</v>
      </c>
      <c r="S14" s="97">
        <f t="shared" si="1"/>
        <v>2</v>
      </c>
      <c r="T14" s="97">
        <f>COUNTIFS(Başvuru!$G:$G, "Doktora Tezi", Başvuru!$L:$L, T$2, Başvuru!$J:$J, $B14) + COUNTIFS(Başvuru!$G:$G, "Doktora Tezi", Başvuru!$L:$L, T$2, Başvuru!$K:$K, $B14)</f>
        <v>4</v>
      </c>
      <c r="U14" s="97">
        <f>COUNTIFS(Başvuru!$G:$G, "Doktora Tezi", Başvuru!$L:$L, U$2, Başvuru!$J:$J, $B14) + COUNTIFS(Başvuru!$G:$G, "Doktora Tezi", Başvuru!$L:$L, U$2, Başvuru!$K:$K, $B14)</f>
        <v>0</v>
      </c>
      <c r="V14" s="97">
        <f>COUNTIFS(Başvuru!$G:$G, "Doktora Tezi", Başvuru!$L:$L, V$2, Başvuru!$J:$J, $B14) + COUNTIFS(Başvuru!$G:$G, "Doktora Tezi", Başvuru!$L:$L, V$2, Başvuru!$K:$K, $B14)</f>
        <v>0</v>
      </c>
      <c r="W14" s="97">
        <f>COUNTIFS(Başvuru!$G:$G, "Doktora Tezi", Başvuru!$L:$L, W$2, Başvuru!$J:$J, $B14) + COUNTIFS(Başvuru!$G:$G, "Doktora Tezi", Başvuru!$L:$L, W$2, Başvuru!$K:$K, $B14)</f>
        <v>0</v>
      </c>
      <c r="X14" s="97">
        <f>COUNTIFS(Başvuru!$G:$G, "Doktora Tezi", Başvuru!$L:$L, X$2, Başvuru!$J:$J, $B14) + COUNTIFS(Başvuru!$G:$G, "Doktora Tezi", Başvuru!$L:$L, X$2, Başvuru!$K:$K, $B14)</f>
        <v>0</v>
      </c>
      <c r="Y14" s="97">
        <f>COUNTIFS(Başvuru!$G:$G, "Doktora Tezi", Başvuru!$L:$L, Y$2, Başvuru!$J:$J, $B14) + COUNTIFS(Başvuru!$G:$G, "Doktora Tezi", Başvuru!$L:$L, Y$2, Başvuru!$K:$K, $B14)</f>
        <v>0</v>
      </c>
      <c r="Z14" s="97">
        <f>COUNTIFS(Başvuru!$G:$G, "Doktora Tezi", Başvuru!$L:$L, Z$2, Başvuru!$J:$J, $B14) + COUNTIFS(Başvuru!$G:$G, "Doktora Tezi", Başvuru!$L:$L, Z$2, Başvuru!$K:$K, $B14)</f>
        <v>0</v>
      </c>
      <c r="AA14" s="97">
        <f t="shared" si="2"/>
        <v>4</v>
      </c>
      <c r="AB14" s="97">
        <f>COUNTIFS(Başvuru!$G:$G, "Uzmanlık Tezi", Başvuru!$L:$L, AB$2, Başvuru!$J:$J, $B14) + COUNTIFS(Başvuru!$G:$G, "Uzmanlık Tezi", Başvuru!$L:$L, AB$2, Başvuru!$K:$K, $B14)</f>
        <v>5</v>
      </c>
      <c r="AC14" s="97">
        <f>COUNTIFS(Başvuru!$G:$G, "Uzmanlık Tezi", Başvuru!$L:$L, AC$2, Başvuru!$J:$J, $B14) + COUNTIFS(Başvuru!$G:$G, "Uzmanlık Tezi", Başvuru!$L:$L, AC$2, Başvuru!$K:$K, $B14)</f>
        <v>3</v>
      </c>
      <c r="AD14" s="97">
        <f>COUNTIFS(Başvuru!$G:$G, "Uzmanlık Tezi", Başvuru!$L:$L, AD$2, Başvuru!$J:$J, $B14) + COUNTIFS(Başvuru!$G:$G, "Uzmanlık Tezi", Başvuru!$L:$L, AD$2, Başvuru!$K:$K, $B14)</f>
        <v>2</v>
      </c>
      <c r="AE14" s="97">
        <f>COUNTIFS(Başvuru!$G:$G, "Uzmanlık Tezi", Başvuru!$L:$L, AE$2, Başvuru!$J:$J, $B14) + COUNTIFS(Başvuru!$G:$G, "Uzmanlık Tezi", Başvuru!$L:$L, AE$2, Başvuru!$K:$K, $B14)</f>
        <v>0</v>
      </c>
      <c r="AF14" s="97">
        <f>COUNTIFS(Başvuru!$G:$G, "Uzmanlık Tezi", Başvuru!$L:$L, AF$2, Başvuru!$J:$J, $B14) + COUNTIFS(Başvuru!$G:$G, "Uzmanlık Tezi", Başvuru!$L:$L, AF$2, Başvuru!$K:$K, $B14)</f>
        <v>2</v>
      </c>
      <c r="AG14" s="97">
        <f>COUNTIFS(Başvuru!$G:$G, "Uzmanlık Tezi", Başvuru!$L:$L, AG$2, Başvuru!$J:$J, $B14) + COUNTIFS(Başvuru!$G:$G, "Uzmanlık Tezi", Başvuru!$L:$L, AG$2, Başvuru!$K:$K, $B14)</f>
        <v>0</v>
      </c>
      <c r="AH14" s="97">
        <f>COUNTIFS(Başvuru!$G:$G, "Uzmanlık Tezi", Başvuru!$L:$L, AH$2, Başvuru!$J:$J, $B14) + COUNTIFS(Başvuru!$G:$G, "Uzmanlık Tezi", Başvuru!$L:$L, AH$2, Başvuru!$K:$K, $B14)</f>
        <v>0</v>
      </c>
      <c r="AI14" s="97">
        <f t="shared" si="3"/>
        <v>12</v>
      </c>
      <c r="AJ14" s="99">
        <f t="shared" si="4"/>
        <v>38</v>
      </c>
      <c r="AK14" s="99">
        <f t="shared" si="5"/>
        <v>31</v>
      </c>
      <c r="AL14" s="99">
        <f t="shared" si="6"/>
        <v>6</v>
      </c>
      <c r="AM14" s="99">
        <f t="shared" si="7"/>
        <v>0</v>
      </c>
      <c r="AN14" s="99">
        <f t="shared" si="8"/>
        <v>6</v>
      </c>
      <c r="AO14" s="99">
        <f t="shared" si="9"/>
        <v>3</v>
      </c>
      <c r="AP14" s="99">
        <f t="shared" si="10"/>
        <v>0</v>
      </c>
      <c r="AQ14" s="99">
        <f t="shared" si="11"/>
        <v>84</v>
      </c>
    </row>
    <row r="15" spans="1:43" s="94" customFormat="1" ht="30" customHeight="1" x14ac:dyDescent="0.25">
      <c r="A15" s="249" t="s">
        <v>4</v>
      </c>
      <c r="B15" s="249"/>
      <c r="C15" s="1">
        <f t="shared" ref="C15:AP15" si="12">SUM(C3:C14)</f>
        <v>984</v>
      </c>
      <c r="D15" s="1">
        <f t="shared" si="12"/>
        <v>404</v>
      </c>
      <c r="E15" s="1">
        <f t="shared" si="12"/>
        <v>234</v>
      </c>
      <c r="F15" s="1">
        <f t="shared" si="12"/>
        <v>10</v>
      </c>
      <c r="G15" s="1">
        <f t="shared" si="12"/>
        <v>30</v>
      </c>
      <c r="H15" s="1">
        <f t="shared" si="12"/>
        <v>28</v>
      </c>
      <c r="I15" s="1">
        <f t="shared" si="12"/>
        <v>10</v>
      </c>
      <c r="J15" s="1">
        <f t="shared" si="12"/>
        <v>0</v>
      </c>
      <c r="K15" s="250">
        <f t="shared" si="12"/>
        <v>716</v>
      </c>
      <c r="L15" s="1">
        <f t="shared" si="12"/>
        <v>4</v>
      </c>
      <c r="M15" s="1">
        <f t="shared" si="12"/>
        <v>14</v>
      </c>
      <c r="N15" s="1">
        <f t="shared" si="12"/>
        <v>0</v>
      </c>
      <c r="O15" s="1">
        <f t="shared" si="12"/>
        <v>0</v>
      </c>
      <c r="P15" s="1">
        <f t="shared" si="12"/>
        <v>2</v>
      </c>
      <c r="Q15" s="1">
        <f t="shared" si="12"/>
        <v>0</v>
      </c>
      <c r="R15" s="1">
        <f t="shared" si="12"/>
        <v>0</v>
      </c>
      <c r="S15" s="250">
        <f t="shared" si="12"/>
        <v>20</v>
      </c>
      <c r="T15" s="1">
        <f t="shared" si="12"/>
        <v>26</v>
      </c>
      <c r="U15" s="1">
        <f t="shared" si="12"/>
        <v>22</v>
      </c>
      <c r="V15" s="1">
        <f t="shared" si="12"/>
        <v>0</v>
      </c>
      <c r="W15" s="1">
        <f t="shared" si="12"/>
        <v>6</v>
      </c>
      <c r="X15" s="1">
        <f t="shared" si="12"/>
        <v>0</v>
      </c>
      <c r="Y15" s="1">
        <f t="shared" si="12"/>
        <v>0</v>
      </c>
      <c r="Z15" s="1">
        <f t="shared" si="12"/>
        <v>0</v>
      </c>
      <c r="AA15" s="250">
        <f t="shared" si="12"/>
        <v>54</v>
      </c>
      <c r="AB15" s="1">
        <f t="shared" si="12"/>
        <v>94</v>
      </c>
      <c r="AC15" s="1">
        <f t="shared" si="12"/>
        <v>66</v>
      </c>
      <c r="AD15" s="1">
        <f t="shared" si="12"/>
        <v>4</v>
      </c>
      <c r="AE15" s="1">
        <f t="shared" si="12"/>
        <v>6</v>
      </c>
      <c r="AF15" s="1">
        <f t="shared" si="12"/>
        <v>4</v>
      </c>
      <c r="AG15" s="1">
        <f t="shared" si="12"/>
        <v>4</v>
      </c>
      <c r="AH15" s="1">
        <f t="shared" si="12"/>
        <v>0</v>
      </c>
      <c r="AI15" s="250">
        <f t="shared" si="12"/>
        <v>178</v>
      </c>
      <c r="AJ15" s="129">
        <f t="shared" si="12"/>
        <v>528</v>
      </c>
      <c r="AK15" s="129">
        <f t="shared" si="12"/>
        <v>336</v>
      </c>
      <c r="AL15" s="129">
        <f t="shared" si="12"/>
        <v>14</v>
      </c>
      <c r="AM15" s="129">
        <f t="shared" si="12"/>
        <v>42</v>
      </c>
      <c r="AN15" s="129">
        <f t="shared" si="12"/>
        <v>34</v>
      </c>
      <c r="AO15" s="129">
        <f t="shared" si="12"/>
        <v>14</v>
      </c>
      <c r="AP15" s="129">
        <f t="shared" si="12"/>
        <v>0</v>
      </c>
      <c r="AQ15" s="129">
        <f t="shared" si="11"/>
        <v>968</v>
      </c>
    </row>
    <row r="16" spans="1:43" s="94" customFormat="1" ht="45.75" customHeight="1" x14ac:dyDescent="0.25">
      <c r="C16" s="130">
        <f>C15/2</f>
        <v>492</v>
      </c>
      <c r="D16" s="251">
        <f>SUM(D15:J15)</f>
        <v>716</v>
      </c>
      <c r="E16" s="251"/>
      <c r="F16" s="251"/>
      <c r="G16" s="251"/>
      <c r="H16" s="251"/>
      <c r="I16" s="251"/>
      <c r="J16" s="251"/>
      <c r="K16" s="250"/>
      <c r="L16" s="251">
        <f>SUM(L15:R15)</f>
        <v>20</v>
      </c>
      <c r="M16" s="251"/>
      <c r="N16" s="251"/>
      <c r="O16" s="251"/>
      <c r="P16" s="251"/>
      <c r="Q16" s="251"/>
      <c r="R16" s="251"/>
      <c r="S16" s="250"/>
      <c r="T16" s="251">
        <f>SUM(T15:Z15)</f>
        <v>54</v>
      </c>
      <c r="U16" s="251"/>
      <c r="V16" s="251"/>
      <c r="W16" s="251"/>
      <c r="X16" s="251"/>
      <c r="Y16" s="251"/>
      <c r="Z16" s="251"/>
      <c r="AA16" s="250"/>
      <c r="AB16" s="251">
        <f>SUM(AB15:AH15)</f>
        <v>178</v>
      </c>
      <c r="AC16" s="251"/>
      <c r="AD16" s="251"/>
      <c r="AE16" s="251"/>
      <c r="AF16" s="251"/>
      <c r="AG16" s="251"/>
      <c r="AH16" s="251"/>
      <c r="AI16" s="250"/>
    </row>
    <row r="17" spans="1:43" ht="45.75" customHeight="1" x14ac:dyDescent="0.25">
      <c r="D17" s="244">
        <f>SUM(D16:AH16)</f>
        <v>968</v>
      </c>
      <c r="E17" s="244"/>
      <c r="F17" s="244"/>
      <c r="G17" s="244"/>
      <c r="H17" s="244"/>
      <c r="I17" s="244"/>
      <c r="J17" s="244"/>
      <c r="K17" s="244"/>
      <c r="L17" s="244"/>
      <c r="M17" s="244"/>
      <c r="N17" s="244"/>
      <c r="O17" s="244"/>
      <c r="P17" s="244"/>
      <c r="Q17" s="244"/>
      <c r="R17" s="244"/>
      <c r="S17" s="244"/>
      <c r="T17" s="244"/>
      <c r="U17" s="244"/>
      <c r="V17" s="244"/>
      <c r="W17" s="244"/>
      <c r="X17" s="244"/>
      <c r="Y17" s="244"/>
      <c r="Z17" s="244"/>
      <c r="AA17" s="244"/>
      <c r="AB17" s="244"/>
      <c r="AC17" s="244"/>
      <c r="AD17" s="244"/>
      <c r="AE17" s="244"/>
      <c r="AF17" s="244"/>
      <c r="AG17" s="244"/>
      <c r="AH17" s="244"/>
      <c r="AI17" s="244"/>
      <c r="AJ17" s="245">
        <f>C15-D17</f>
        <v>16</v>
      </c>
      <c r="AK17" s="245"/>
      <c r="AL17" s="245"/>
      <c r="AM17" s="245"/>
      <c r="AN17" s="245">
        <f>C15-AQ15</f>
        <v>16</v>
      </c>
      <c r="AO17" s="245"/>
      <c r="AP17" s="245"/>
      <c r="AQ17" s="245"/>
    </row>
    <row r="21" spans="1:43" ht="30" customHeight="1" x14ac:dyDescent="0.25">
      <c r="A21" s="131" t="s">
        <v>3488</v>
      </c>
      <c r="B21" s="1" t="s">
        <v>3534</v>
      </c>
      <c r="C21" s="1" t="s">
        <v>3490</v>
      </c>
    </row>
    <row r="22" spans="1:43" ht="30" customHeight="1" x14ac:dyDescent="0.25">
      <c r="A22" s="117" t="s">
        <v>56</v>
      </c>
      <c r="B22" s="96" t="s">
        <v>34</v>
      </c>
      <c r="C22" s="118">
        <f>COUNTIF(Başvuru!G2:G1418,"Bireysel Araştırma")</f>
        <v>366</v>
      </c>
    </row>
    <row r="23" spans="1:43" ht="30" customHeight="1" x14ac:dyDescent="0.25">
      <c r="A23" s="119" t="s">
        <v>65</v>
      </c>
      <c r="B23" s="120" t="s">
        <v>36</v>
      </c>
      <c r="C23" s="121">
        <f>COUNTIF(Başvuru!G2:G1418,"Yüksek Lisans Tezi")</f>
        <v>10</v>
      </c>
    </row>
    <row r="24" spans="1:43" ht="30" customHeight="1" x14ac:dyDescent="0.25">
      <c r="A24" s="117" t="s">
        <v>72</v>
      </c>
      <c r="B24" s="96" t="s">
        <v>37</v>
      </c>
      <c r="C24" s="118">
        <f>COUNTIF(Başvuru!G2:G1418,"Doktora Tezi")</f>
        <v>27</v>
      </c>
    </row>
    <row r="25" spans="1:43" ht="30" customHeight="1" x14ac:dyDescent="0.25">
      <c r="A25" s="119" t="s">
        <v>80</v>
      </c>
      <c r="B25" s="120" t="s">
        <v>35</v>
      </c>
      <c r="C25" s="121">
        <f>COUNTIF(Başvuru!G2:G1418,"Uzmanlık Tezi")</f>
        <v>89</v>
      </c>
    </row>
    <row r="26" spans="1:43" ht="30" customHeight="1" x14ac:dyDescent="0.25">
      <c r="A26" s="246" t="s">
        <v>4</v>
      </c>
      <c r="B26" s="246"/>
      <c r="C26" s="1">
        <f>SUM(C22:C25)</f>
        <v>492</v>
      </c>
    </row>
    <row r="27" spans="1:43" ht="30" customHeight="1" x14ac:dyDescent="0.25">
      <c r="B27" s="94"/>
      <c r="C27" s="94"/>
    </row>
    <row r="28" spans="1:43" ht="30" customHeight="1" x14ac:dyDescent="0.25">
      <c r="A28" s="131" t="s">
        <v>3488</v>
      </c>
      <c r="B28" s="1" t="s">
        <v>3535</v>
      </c>
      <c r="C28" s="1" t="s">
        <v>3490</v>
      </c>
    </row>
    <row r="29" spans="1:43" ht="30" customHeight="1" x14ac:dyDescent="0.25">
      <c r="A29" s="117" t="s">
        <v>56</v>
      </c>
      <c r="B29" s="122" t="s">
        <v>3536</v>
      </c>
      <c r="C29" s="118">
        <f>COUNTIF(Başvuru!L2:L1418,"ONAY")</f>
        <v>264</v>
      </c>
    </row>
    <row r="30" spans="1:43" ht="30" customHeight="1" x14ac:dyDescent="0.25">
      <c r="A30" s="117" t="s">
        <v>65</v>
      </c>
      <c r="B30" s="122" t="s">
        <v>3537</v>
      </c>
      <c r="C30" s="118">
        <f>COUNTIF(Başvuru!L2:L1418,"DÜZELTME")</f>
        <v>168</v>
      </c>
    </row>
    <row r="31" spans="1:43" ht="30" customHeight="1" x14ac:dyDescent="0.25">
      <c r="A31" s="117" t="s">
        <v>72</v>
      </c>
      <c r="B31" s="122" t="s">
        <v>205</v>
      </c>
      <c r="C31" s="118">
        <f>COUNTIF(Başvuru!L2:L1418,"KAEK")</f>
        <v>7</v>
      </c>
    </row>
    <row r="32" spans="1:43" ht="30" customHeight="1" x14ac:dyDescent="0.25">
      <c r="A32" s="117" t="s">
        <v>80</v>
      </c>
      <c r="B32" s="122" t="s">
        <v>3538</v>
      </c>
      <c r="C32" s="118">
        <f>COUNTIF(Başvuru!L2:L1418,"GÖRÜŞ")</f>
        <v>21</v>
      </c>
    </row>
    <row r="33" spans="1:6" ht="30" customHeight="1" x14ac:dyDescent="0.25">
      <c r="A33" s="117" t="s">
        <v>89</v>
      </c>
      <c r="B33" s="122" t="s">
        <v>3539</v>
      </c>
      <c r="C33" s="118">
        <f>COUNTIF(Başvuru!L2:L1418,"RET")</f>
        <v>17</v>
      </c>
    </row>
    <row r="34" spans="1:6" ht="30" customHeight="1" x14ac:dyDescent="0.25">
      <c r="A34" s="117" t="s">
        <v>97</v>
      </c>
      <c r="B34" s="122" t="s">
        <v>3540</v>
      </c>
      <c r="C34" s="118">
        <f>COUNTIF(Başvuru!L2:L1418,"KAPSAM DIŞI")</f>
        <v>7</v>
      </c>
    </row>
    <row r="35" spans="1:6" ht="30" customHeight="1" x14ac:dyDescent="0.25">
      <c r="A35" s="117" t="s">
        <v>104</v>
      </c>
      <c r="B35" s="122" t="s">
        <v>3541</v>
      </c>
      <c r="C35" s="118">
        <f>COUNTIF(Başvuru!L2:L1418,"GERİ ÇEKİLDİ")</f>
        <v>0</v>
      </c>
    </row>
    <row r="36" spans="1:6" ht="30" customHeight="1" x14ac:dyDescent="0.25">
      <c r="A36" s="246" t="s">
        <v>4</v>
      </c>
      <c r="B36" s="246"/>
      <c r="C36" s="1">
        <f>SUM(C29:C35)</f>
        <v>484</v>
      </c>
    </row>
    <row r="40" spans="1:6" ht="113.25" customHeight="1" x14ac:dyDescent="0.25">
      <c r="B40" s="132" t="s">
        <v>3542</v>
      </c>
      <c r="C40" s="132" t="s">
        <v>3543</v>
      </c>
      <c r="D40" s="132" t="s">
        <v>3537</v>
      </c>
      <c r="E40" s="132" t="s">
        <v>3544</v>
      </c>
      <c r="F40" s="132" t="s">
        <v>3545</v>
      </c>
    </row>
    <row r="41" spans="1:6" ht="20.25" customHeight="1" x14ac:dyDescent="0.25">
      <c r="B41" s="133">
        <v>45670</v>
      </c>
      <c r="C41" s="134">
        <v>19</v>
      </c>
      <c r="D41" s="134">
        <v>43</v>
      </c>
      <c r="E41" s="134">
        <v>5</v>
      </c>
      <c r="F41" s="134">
        <f t="shared" ref="F41:F58" si="13">SUM(C41:E41)</f>
        <v>67</v>
      </c>
    </row>
    <row r="42" spans="1:6" ht="20.25" customHeight="1" x14ac:dyDescent="0.25">
      <c r="B42" s="133">
        <v>45685</v>
      </c>
      <c r="C42" s="134">
        <v>52</v>
      </c>
      <c r="D42" s="134">
        <v>20</v>
      </c>
      <c r="E42" s="134">
        <v>11</v>
      </c>
      <c r="F42" s="134">
        <f t="shared" si="13"/>
        <v>83</v>
      </c>
    </row>
    <row r="43" spans="1:6" ht="20.25" customHeight="1" x14ac:dyDescent="0.25">
      <c r="B43" s="133">
        <v>45692</v>
      </c>
      <c r="C43" s="134">
        <v>60</v>
      </c>
      <c r="D43" s="134">
        <v>7</v>
      </c>
      <c r="E43" s="134">
        <v>4</v>
      </c>
      <c r="F43" s="134">
        <f t="shared" si="13"/>
        <v>71</v>
      </c>
    </row>
    <row r="44" spans="1:6" ht="20.25" customHeight="1" x14ac:dyDescent="0.25">
      <c r="B44" s="133">
        <v>45706</v>
      </c>
      <c r="C44" s="134">
        <v>56</v>
      </c>
      <c r="D44" s="134">
        <v>30</v>
      </c>
      <c r="E44" s="134">
        <v>17</v>
      </c>
      <c r="F44" s="134">
        <f t="shared" si="13"/>
        <v>103</v>
      </c>
    </row>
    <row r="45" spans="1:6" ht="20.25" customHeight="1" x14ac:dyDescent="0.25">
      <c r="B45" s="133">
        <v>45720</v>
      </c>
      <c r="C45" s="134">
        <v>53</v>
      </c>
      <c r="D45" s="134">
        <v>26</v>
      </c>
      <c r="E45" s="134">
        <v>10</v>
      </c>
      <c r="F45" s="134">
        <f t="shared" si="13"/>
        <v>89</v>
      </c>
    </row>
    <row r="46" spans="1:6" ht="20.25" customHeight="1" x14ac:dyDescent="0.25">
      <c r="B46" s="133">
        <v>45734</v>
      </c>
      <c r="C46" s="134">
        <v>54</v>
      </c>
      <c r="D46" s="134">
        <v>19</v>
      </c>
      <c r="E46" s="134">
        <v>12</v>
      </c>
      <c r="F46" s="134">
        <f t="shared" si="13"/>
        <v>85</v>
      </c>
    </row>
    <row r="47" spans="1:6" ht="20.25" customHeight="1" x14ac:dyDescent="0.25">
      <c r="B47" s="133">
        <v>45755</v>
      </c>
      <c r="C47" s="134">
        <v>52</v>
      </c>
      <c r="D47" s="134">
        <v>24</v>
      </c>
      <c r="E47" s="134">
        <v>5</v>
      </c>
      <c r="F47" s="134">
        <f t="shared" si="13"/>
        <v>81</v>
      </c>
    </row>
    <row r="48" spans="1:6" ht="20.25" customHeight="1" x14ac:dyDescent="0.25">
      <c r="B48" s="133">
        <v>45771</v>
      </c>
      <c r="C48" s="134">
        <v>44</v>
      </c>
      <c r="D48" s="134">
        <v>20</v>
      </c>
      <c r="E48" s="134">
        <v>19</v>
      </c>
      <c r="F48" s="134">
        <f t="shared" si="13"/>
        <v>83</v>
      </c>
    </row>
    <row r="49" spans="2:6" ht="20.25" customHeight="1" x14ac:dyDescent="0.25">
      <c r="B49" s="133">
        <v>45783</v>
      </c>
      <c r="C49" s="134">
        <v>42</v>
      </c>
      <c r="D49" s="134">
        <v>5</v>
      </c>
      <c r="E49" s="134">
        <v>6</v>
      </c>
      <c r="F49" s="134">
        <f t="shared" si="13"/>
        <v>53</v>
      </c>
    </row>
    <row r="50" spans="2:6" ht="20.25" customHeight="1" x14ac:dyDescent="0.25">
      <c r="B50" s="133">
        <v>45797</v>
      </c>
      <c r="C50" s="134">
        <v>41</v>
      </c>
      <c r="D50" s="134">
        <v>17</v>
      </c>
      <c r="E50" s="134">
        <v>10</v>
      </c>
      <c r="F50" s="134">
        <f t="shared" si="13"/>
        <v>68</v>
      </c>
    </row>
    <row r="51" spans="2:6" ht="20.25" customHeight="1" x14ac:dyDescent="0.25">
      <c r="B51" s="133">
        <v>45811</v>
      </c>
      <c r="C51" s="134">
        <v>51</v>
      </c>
      <c r="D51" s="134">
        <v>21</v>
      </c>
      <c r="E51" s="134">
        <v>7</v>
      </c>
      <c r="F51" s="134">
        <f t="shared" si="13"/>
        <v>79</v>
      </c>
    </row>
    <row r="52" spans="2:6" ht="20.25" customHeight="1" x14ac:dyDescent="0.25">
      <c r="B52" s="133">
        <v>45832</v>
      </c>
      <c r="C52" s="134">
        <v>51</v>
      </c>
      <c r="D52" s="134">
        <v>24</v>
      </c>
      <c r="E52" s="134">
        <v>16</v>
      </c>
      <c r="F52" s="134">
        <f t="shared" si="13"/>
        <v>91</v>
      </c>
    </row>
    <row r="53" spans="2:6" ht="20.25" customHeight="1" x14ac:dyDescent="0.25">
      <c r="B53" s="133">
        <v>45846</v>
      </c>
      <c r="C53" s="134">
        <v>53</v>
      </c>
      <c r="D53" s="134">
        <v>25</v>
      </c>
      <c r="E53" s="134">
        <v>9</v>
      </c>
      <c r="F53" s="134">
        <f t="shared" si="13"/>
        <v>87</v>
      </c>
    </row>
    <row r="54" spans="2:6" ht="20.25" customHeight="1" x14ac:dyDescent="0.25">
      <c r="B54" s="133">
        <v>45860</v>
      </c>
      <c r="C54" s="134">
        <v>60</v>
      </c>
      <c r="D54" s="134">
        <v>12</v>
      </c>
      <c r="E54" s="134">
        <v>10</v>
      </c>
      <c r="F54" s="134">
        <f t="shared" si="13"/>
        <v>82</v>
      </c>
    </row>
    <row r="55" spans="2:6" ht="20.25" customHeight="1" x14ac:dyDescent="0.25">
      <c r="B55" s="133">
        <v>45895</v>
      </c>
      <c r="C55" s="134">
        <v>61</v>
      </c>
      <c r="D55" s="134">
        <v>33</v>
      </c>
      <c r="E55" s="134">
        <v>10</v>
      </c>
      <c r="F55" s="134">
        <f t="shared" si="13"/>
        <v>104</v>
      </c>
    </row>
    <row r="56" spans="2:6" ht="20.25" customHeight="1" x14ac:dyDescent="0.25">
      <c r="B56" s="133">
        <v>45909</v>
      </c>
      <c r="C56" s="134">
        <v>39</v>
      </c>
      <c r="D56" s="134">
        <v>4</v>
      </c>
      <c r="E56" s="134">
        <v>6</v>
      </c>
      <c r="F56" s="134">
        <f t="shared" si="13"/>
        <v>49</v>
      </c>
    </row>
    <row r="57" spans="2:6" ht="20.25" customHeight="1" x14ac:dyDescent="0.25">
      <c r="B57" s="133">
        <v>45923</v>
      </c>
      <c r="C57" s="134">
        <v>36</v>
      </c>
      <c r="D57" s="134">
        <v>19</v>
      </c>
      <c r="E57" s="134">
        <v>3</v>
      </c>
      <c r="F57" s="134">
        <f t="shared" si="13"/>
        <v>58</v>
      </c>
    </row>
    <row r="58" spans="2:6" ht="20.25" customHeight="1" x14ac:dyDescent="0.25">
      <c r="B58" s="133">
        <v>45937</v>
      </c>
      <c r="C58" s="134">
        <v>34</v>
      </c>
      <c r="D58" s="134">
        <v>14</v>
      </c>
      <c r="E58" s="134">
        <v>5</v>
      </c>
      <c r="F58" s="134">
        <f t="shared" si="13"/>
        <v>53</v>
      </c>
    </row>
    <row r="59" spans="2:6" ht="20.25" customHeight="1" x14ac:dyDescent="0.25">
      <c r="B59" s="133">
        <v>45951</v>
      </c>
      <c r="C59" s="134"/>
      <c r="D59" s="134"/>
      <c r="E59" s="134"/>
      <c r="F59" s="134"/>
    </row>
    <row r="60" spans="2:6" ht="20.25" customHeight="1" x14ac:dyDescent="0.25">
      <c r="B60" s="133"/>
      <c r="C60" s="134"/>
      <c r="D60" s="134"/>
      <c r="E60" s="134"/>
      <c r="F60" s="134"/>
    </row>
    <row r="61" spans="2:6" ht="20.25" customHeight="1" x14ac:dyDescent="0.25">
      <c r="B61" s="133"/>
      <c r="C61" s="134"/>
      <c r="D61" s="134"/>
      <c r="E61" s="134"/>
      <c r="F61" s="134"/>
    </row>
    <row r="62" spans="2:6" ht="20.25" customHeight="1" x14ac:dyDescent="0.25">
      <c r="B62" s="133"/>
      <c r="C62" s="134"/>
      <c r="D62" s="134"/>
      <c r="E62" s="134"/>
      <c r="F62" s="134"/>
    </row>
    <row r="63" spans="2:6" ht="20.25" customHeight="1" x14ac:dyDescent="0.25">
      <c r="B63" s="134"/>
      <c r="C63" s="134">
        <f>SUM(C41:C58)</f>
        <v>858</v>
      </c>
      <c r="D63" s="134">
        <f>SUM(D41:D58)</f>
        <v>363</v>
      </c>
      <c r="E63" s="134">
        <f>SUM(E41:E58)</f>
        <v>165</v>
      </c>
      <c r="F63" s="134">
        <f>SUM(F41:F58)</f>
        <v>1386</v>
      </c>
    </row>
  </sheetData>
  <mergeCells count="22">
    <mergeCell ref="L1:S1"/>
    <mergeCell ref="T1:AA1"/>
    <mergeCell ref="AB1:AI1"/>
    <mergeCell ref="AJ1:AQ1"/>
    <mergeCell ref="A15:B15"/>
    <mergeCell ref="K15:K16"/>
    <mergeCell ref="S15:S16"/>
    <mergeCell ref="AA15:AA16"/>
    <mergeCell ref="AI15:AI16"/>
    <mergeCell ref="D16:J16"/>
    <mergeCell ref="L16:R16"/>
    <mergeCell ref="T16:Z16"/>
    <mergeCell ref="AB16:AH16"/>
    <mergeCell ref="A1:A2"/>
    <mergeCell ref="B1:B2"/>
    <mergeCell ref="C1:C2"/>
    <mergeCell ref="D1:K1"/>
    <mergeCell ref="D17:AI17"/>
    <mergeCell ref="AJ17:AM17"/>
    <mergeCell ref="AN17:AQ17"/>
    <mergeCell ref="A26:B26"/>
    <mergeCell ref="A36:B36"/>
  </mergeCells>
  <conditionalFormatting sqref="A22:C25">
    <cfRule type="expression" dxfId="5" priority="2">
      <formula>" =ÇİFTMİ(SATIR())"</formula>
    </cfRule>
  </conditionalFormatting>
  <conditionalFormatting sqref="A29:C35">
    <cfRule type="expression" dxfId="4" priority="3">
      <formula>ISEVEN(ROW())</formula>
    </cfRule>
  </conditionalFormatting>
  <conditionalFormatting sqref="A3:AI14">
    <cfRule type="expression" dxfId="3" priority="4">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N16"/>
  <sheetViews>
    <sheetView showZeros="0" zoomScaleNormal="100" workbookViewId="0">
      <pane ySplit="2" topLeftCell="A3" activePane="bottomLeft" state="frozen"/>
      <selection pane="bottomLeft" activeCell="B13" sqref="B13"/>
    </sheetView>
  </sheetViews>
  <sheetFormatPr defaultColWidth="8.7109375" defaultRowHeight="15" x14ac:dyDescent="0.25"/>
  <cols>
    <col min="1" max="1" width="6" customWidth="1"/>
    <col min="2" max="3" width="16" customWidth="1"/>
    <col min="4" max="4" width="10" customWidth="1"/>
    <col min="5" max="5" width="12" customWidth="1"/>
    <col min="6" max="7" width="10" customWidth="1"/>
    <col min="8" max="8" width="8" customWidth="1"/>
    <col min="9" max="9" width="14" customWidth="1"/>
    <col min="10" max="10" width="16" customWidth="1"/>
    <col min="11" max="12" width="12" customWidth="1"/>
    <col min="13" max="13" width="15" customWidth="1"/>
    <col min="14" max="14" width="20" customWidth="1"/>
  </cols>
  <sheetData>
    <row r="1" spans="1:14" ht="30" customHeight="1" x14ac:dyDescent="0.25">
      <c r="A1" s="253" t="s">
        <v>5469</v>
      </c>
      <c r="B1" s="253"/>
      <c r="C1" s="253"/>
      <c r="D1" s="253"/>
      <c r="E1" s="253"/>
      <c r="F1" s="253"/>
      <c r="G1" s="253"/>
      <c r="H1" s="253"/>
      <c r="I1" s="253"/>
      <c r="J1" s="253"/>
      <c r="K1" s="253"/>
      <c r="L1" s="253"/>
      <c r="M1" s="253"/>
      <c r="N1" s="253"/>
    </row>
    <row r="2" spans="1:14" ht="36" customHeight="1" x14ac:dyDescent="0.25">
      <c r="A2" s="223" t="s">
        <v>5470</v>
      </c>
      <c r="B2" s="223" t="s">
        <v>5471</v>
      </c>
      <c r="C2" s="223" t="s">
        <v>5472</v>
      </c>
      <c r="D2" s="224" t="s">
        <v>3536</v>
      </c>
      <c r="E2" s="224" t="s">
        <v>3537</v>
      </c>
      <c r="F2" s="224" t="s">
        <v>205</v>
      </c>
      <c r="G2" s="224" t="s">
        <v>3538</v>
      </c>
      <c r="H2" s="224" t="s">
        <v>3539</v>
      </c>
      <c r="I2" s="224" t="s">
        <v>3540</v>
      </c>
      <c r="J2" s="224" t="s">
        <v>3541</v>
      </c>
      <c r="K2" s="224" t="s">
        <v>5473</v>
      </c>
      <c r="L2" s="223" t="s">
        <v>4</v>
      </c>
      <c r="M2" s="223" t="s">
        <v>5474</v>
      </c>
      <c r="N2" s="223" t="s">
        <v>5475</v>
      </c>
    </row>
    <row r="3" spans="1:14" ht="21.75" customHeight="1" x14ac:dyDescent="0.25">
      <c r="A3" s="225">
        <v>1</v>
      </c>
      <c r="B3" s="226">
        <f>DATE(2026,1,6)</f>
        <v>46028</v>
      </c>
      <c r="C3" s="225" t="str">
        <f>"1. Toplantı"</f>
        <v>1. Toplantı</v>
      </c>
      <c r="D3" s="225">
        <f>COUNTIFS(Başvuru!I:I,DATE(2026,1,6),Başvuru!P:P,"ONAY")</f>
        <v>50</v>
      </c>
      <c r="E3" s="225">
        <f>COUNTIFS(Başvuru!I:I,DATE(2026,1,6),Başvuru!P:P,"DÜZELTME")</f>
        <v>2</v>
      </c>
      <c r="F3" s="225">
        <f>COUNTIFS(Başvuru!I:I,DATE(2026,1,6),Başvuru!P:P,"KAEK")</f>
        <v>2</v>
      </c>
      <c r="G3" s="225">
        <f>COUNTIFS(Başvuru!I:I,DATE(2026,1,6),Başvuru!P:P,"GÖRÜŞ")</f>
        <v>0</v>
      </c>
      <c r="H3" s="225">
        <f>COUNTIFS(Başvuru!I:I,DATE(2026,1,6),Başvuru!P:P,"RET")</f>
        <v>0</v>
      </c>
      <c r="I3" s="225">
        <f>COUNTIFS(Başvuru!I:I,DATE(2026,1,6),Başvuru!P:P,"KAPSAM DIŞI")</f>
        <v>1</v>
      </c>
      <c r="J3" s="225">
        <f>COUNTIFS(Başvuru!I:I,DATE(2026,1,6),Başvuru!P:P,"GERİ ÇEKİLDİ")</f>
        <v>0</v>
      </c>
      <c r="K3" s="225">
        <f>COUNTIFS(Başvuru!I:I,DATE(2026,1,6),Başvuru!P:P,0)</f>
        <v>0</v>
      </c>
      <c r="L3" s="227">
        <f t="shared" ref="L3:L13" si="0">SUM(D3:K3)</f>
        <v>55</v>
      </c>
      <c r="M3" s="228">
        <f t="shared" ref="M3:M14" si="1">IF(L3&gt;0,D3/L3,0)</f>
        <v>0.90909090909090906</v>
      </c>
      <c r="N3" s="229"/>
    </row>
    <row r="4" spans="1:14" ht="21.75" customHeight="1" x14ac:dyDescent="0.25">
      <c r="A4" s="230">
        <v>2</v>
      </c>
      <c r="B4" s="231">
        <f>DATE(2026,1,20)</f>
        <v>46042</v>
      </c>
      <c r="C4" s="230" t="str">
        <f>"2. Toplantı"</f>
        <v>2. Toplantı</v>
      </c>
      <c r="D4" s="230">
        <f>COUNTIFS(Başvuru!I:I,DATE(2026,1,20),Başvuru!P:P,"ONAY")</f>
        <v>39</v>
      </c>
      <c r="E4" s="230">
        <f>COUNTIFS(Başvuru!I:I,DATE(2026,1,20),Başvuru!P:P,"DÜZELTME")</f>
        <v>3</v>
      </c>
      <c r="F4" s="230">
        <f>COUNTIFS(Başvuru!I:I,DATE(2026,1,20),Başvuru!P:P,"KAEK")</f>
        <v>0</v>
      </c>
      <c r="G4" s="230">
        <f>COUNTIFS(Başvuru!I:I,DATE(2026,1,20),Başvuru!P:P,"GÖRÜŞ")</f>
        <v>0</v>
      </c>
      <c r="H4" s="230">
        <f>COUNTIFS(Başvuru!I:I,DATE(2026,1,20),Başvuru!P:P,"RET")</f>
        <v>0</v>
      </c>
      <c r="I4" s="230">
        <f>COUNTIFS(Başvuru!I:I,DATE(2026,1,20),Başvuru!P:P,"KAPSAM DIŞI")</f>
        <v>0</v>
      </c>
      <c r="J4" s="230">
        <f>COUNTIFS(Başvuru!I:I,DATE(2026,1,20),Başvuru!P:P,"GERİ ÇEKİLDİ")</f>
        <v>3</v>
      </c>
      <c r="K4" s="230">
        <f>COUNTIFS(Başvuru!I:I,DATE(2026,1,20),Başvuru!P:P,0)</f>
        <v>0</v>
      </c>
      <c r="L4" s="232">
        <f t="shared" si="0"/>
        <v>45</v>
      </c>
      <c r="M4" s="233">
        <f t="shared" si="1"/>
        <v>0.8666666666666667</v>
      </c>
      <c r="N4" s="234"/>
    </row>
    <row r="5" spans="1:14" ht="21.75" customHeight="1" x14ac:dyDescent="0.25">
      <c r="A5" s="225">
        <v>3</v>
      </c>
      <c r="B5" s="226">
        <f>DATE(2026,2,4)</f>
        <v>46057</v>
      </c>
      <c r="C5" s="225" t="str">
        <f>"3. Toplantı"</f>
        <v>3. Toplantı</v>
      </c>
      <c r="D5" s="225">
        <f>COUNTIFS(Başvuru!I:I,DATE(2026,2,4),Başvuru!P:P,"ONAY")</f>
        <v>40</v>
      </c>
      <c r="E5" s="225">
        <f>COUNTIFS(Başvuru!I:I,DATE(2026,2,4),Başvuru!P:P,"DÜZELTME")</f>
        <v>4</v>
      </c>
      <c r="F5" s="225">
        <f>COUNTIFS(Başvuru!I:I,DATE(2026,2,4),Başvuru!P:P,"KAEK")</f>
        <v>1</v>
      </c>
      <c r="G5" s="225">
        <f>COUNTIFS(Başvuru!I:I,DATE(2026,2,4),Başvuru!P:P,"GÖRÜŞ")</f>
        <v>0</v>
      </c>
      <c r="H5" s="225">
        <f>COUNTIFS(Başvuru!I:I,DATE(2026,2,4),Başvuru!P:P,"RET")</f>
        <v>0</v>
      </c>
      <c r="I5" s="225">
        <f>COUNTIFS(Başvuru!I:I,DATE(2026,2,4),Başvuru!P:P,"KAPSAM DIŞI")</f>
        <v>0</v>
      </c>
      <c r="J5" s="225">
        <f>COUNTIFS(Başvuru!I:I,DATE(2026,2,4),Başvuru!P:P,"GERİ ÇEKİLDİ")</f>
        <v>0</v>
      </c>
      <c r="K5" s="225">
        <f>COUNTIFS(Başvuru!I:I,DATE(2026,2,4),Başvuru!P:P,0)</f>
        <v>0</v>
      </c>
      <c r="L5" s="227">
        <f t="shared" si="0"/>
        <v>45</v>
      </c>
      <c r="M5" s="228">
        <f t="shared" si="1"/>
        <v>0.88888888888888884</v>
      </c>
      <c r="N5" s="229"/>
    </row>
    <row r="6" spans="1:14" ht="21.75" customHeight="1" x14ac:dyDescent="0.25">
      <c r="A6" s="230">
        <v>4</v>
      </c>
      <c r="B6" s="231">
        <f>DATE(2026,2,17)</f>
        <v>46070</v>
      </c>
      <c r="C6" s="230" t="str">
        <f>"4. Toplantı"</f>
        <v>4. Toplantı</v>
      </c>
      <c r="D6" s="230">
        <f>COUNTIFS(Başvuru!I:I,DATE(2026,2,17),Başvuru!P:P,"ONAY")</f>
        <v>39</v>
      </c>
      <c r="E6" s="230">
        <f>COUNTIFS(Başvuru!I:I,DATE(2026,2,17),Başvuru!P:P,"DÜZELTME")</f>
        <v>2</v>
      </c>
      <c r="F6" s="230">
        <f>COUNTIFS(Başvuru!I:I,DATE(2026,2,17),Başvuru!P:P,"KAEK")</f>
        <v>1</v>
      </c>
      <c r="G6" s="230">
        <f>COUNTIFS(Başvuru!I:I,DATE(2026,2,17),Başvuru!P:P,"GÖRÜŞ")</f>
        <v>0</v>
      </c>
      <c r="H6" s="230">
        <f>COUNTIFS(Başvuru!I:I,DATE(2026,2,17),Başvuru!P:P,"RET")</f>
        <v>3</v>
      </c>
      <c r="I6" s="230">
        <f>COUNTIFS(Başvuru!I:I,DATE(2026,2,17),Başvuru!P:P,"KAPSAM DIŞI")</f>
        <v>0</v>
      </c>
      <c r="J6" s="230">
        <f>COUNTIFS(Başvuru!I:I,DATE(2026,2,17),Başvuru!P:P,"GERİ ÇEKİLDİ")</f>
        <v>0</v>
      </c>
      <c r="K6" s="230">
        <f>COUNTIFS(Başvuru!I:I,DATE(2026,2,17),Başvuru!P:P,0)</f>
        <v>0</v>
      </c>
      <c r="L6" s="232">
        <f t="shared" si="0"/>
        <v>45</v>
      </c>
      <c r="M6" s="233">
        <f t="shared" si="1"/>
        <v>0.8666666666666667</v>
      </c>
      <c r="N6" s="234"/>
    </row>
    <row r="7" spans="1:14" ht="21.75" customHeight="1" x14ac:dyDescent="0.25">
      <c r="A7" s="225">
        <v>5</v>
      </c>
      <c r="B7" s="226">
        <f>DATE(2026,3,3)</f>
        <v>46084</v>
      </c>
      <c r="C7" s="225" t="str">
        <f>"5. Toplantı"</f>
        <v>5. Toplantı</v>
      </c>
      <c r="D7" s="225">
        <f>COUNTIFS(Başvuru!I:I,DATE(2026,3,3),Başvuru!P:P,"ONAY")</f>
        <v>29</v>
      </c>
      <c r="E7" s="225">
        <f>COUNTIFS(Başvuru!I:I,DATE(2026,3,3),Başvuru!P:P,"DÜZELTME")</f>
        <v>3</v>
      </c>
      <c r="F7" s="225">
        <f>COUNTIFS(Başvuru!I:I,DATE(2026,3,3),Başvuru!P:P,"KAEK")</f>
        <v>0</v>
      </c>
      <c r="G7" s="225">
        <f>COUNTIFS(Başvuru!I:I,DATE(2026,3,3),Başvuru!P:P,"GÖRÜŞ")</f>
        <v>0</v>
      </c>
      <c r="H7" s="225">
        <f>COUNTIFS(Başvuru!I:I,DATE(2026,3,3),Başvuru!P:P,"RET")</f>
        <v>0</v>
      </c>
      <c r="I7" s="225">
        <f>COUNTIFS(Başvuru!I:I,DATE(2026,3,3),Başvuru!P:P,"KAPSAM DIŞI")</f>
        <v>3</v>
      </c>
      <c r="J7" s="225">
        <f>COUNTIFS(Başvuru!I:I,DATE(2026,3,3),Başvuru!P:P,"GERİ ÇEKİLDİ")</f>
        <v>0</v>
      </c>
      <c r="K7" s="225">
        <f>COUNTIFS(Başvuru!I:I,DATE(2026,3,3),Başvuru!P:P,0)</f>
        <v>0</v>
      </c>
      <c r="L7" s="227">
        <f t="shared" si="0"/>
        <v>35</v>
      </c>
      <c r="M7" s="228">
        <f t="shared" si="1"/>
        <v>0.82857142857142863</v>
      </c>
      <c r="N7" s="229"/>
    </row>
    <row r="8" spans="1:14" ht="21.75" customHeight="1" x14ac:dyDescent="0.25">
      <c r="A8" s="230">
        <v>6</v>
      </c>
      <c r="B8" s="231">
        <f>DATE(2026,3,17)</f>
        <v>46098</v>
      </c>
      <c r="C8" s="230" t="str">
        <f>"6. Toplantı"</f>
        <v>6. Toplantı</v>
      </c>
      <c r="D8" s="230">
        <f>COUNTIFS(Başvuru!I:I,DATE(2026,3,17),Başvuru!P:P,"ONAY")</f>
        <v>37</v>
      </c>
      <c r="E8" s="230">
        <f>COUNTIFS(Başvuru!I:I,DATE(2026,3,17),Başvuru!P:P,"DÜZELTME")</f>
        <v>4</v>
      </c>
      <c r="F8" s="230">
        <f>COUNTIFS(Başvuru!I:I,DATE(2026,3,17),Başvuru!P:P,"KAEK")</f>
        <v>2</v>
      </c>
      <c r="G8" s="230">
        <f>COUNTIFS(Başvuru!I:I,DATE(2026,3,17),Başvuru!P:P,"GÖRÜŞ")</f>
        <v>0</v>
      </c>
      <c r="H8" s="230">
        <f>COUNTIFS(Başvuru!I:I,DATE(2026,3,17),Başvuru!P:P,"RET")</f>
        <v>1</v>
      </c>
      <c r="I8" s="230">
        <f>COUNTIFS(Başvuru!I:I,DATE(2026,3,17),Başvuru!P:P,"KAPSAM DIŞI")</f>
        <v>2</v>
      </c>
      <c r="J8" s="230">
        <f>COUNTIFS(Başvuru!I:I,DATE(2026,3,17),Başvuru!P:P,"GERİ ÇEKİLDİ")</f>
        <v>1</v>
      </c>
      <c r="K8" s="230">
        <f>COUNTIFS(Başvuru!I:I,DATE(2026,3,17),Başvuru!P:P,0)</f>
        <v>0</v>
      </c>
      <c r="L8" s="232">
        <f t="shared" si="0"/>
        <v>47</v>
      </c>
      <c r="M8" s="233">
        <f t="shared" si="1"/>
        <v>0.78723404255319152</v>
      </c>
      <c r="N8" s="234"/>
    </row>
    <row r="9" spans="1:14" ht="21.75" customHeight="1" x14ac:dyDescent="0.25">
      <c r="A9" s="225">
        <v>7</v>
      </c>
      <c r="B9" s="226">
        <f>DATE(2026,3,31)</f>
        <v>46112</v>
      </c>
      <c r="C9" s="225" t="str">
        <f>"7. Toplantı"</f>
        <v>7. Toplantı</v>
      </c>
      <c r="D9" s="225">
        <f>COUNTIFS(Başvuru!I:I,DATE(2026,3,31),Başvuru!P:P,"ONAY")</f>
        <v>32</v>
      </c>
      <c r="E9" s="225">
        <f>COUNTIFS(Başvuru!I:I,DATE(2026,3,31),Başvuru!P:P,"DÜZELTME")</f>
        <v>4</v>
      </c>
      <c r="F9" s="225">
        <f>COUNTIFS(Başvuru!I:I,DATE(2026,3,31),Başvuru!P:P,"KAEK")</f>
        <v>1</v>
      </c>
      <c r="G9" s="225">
        <f>COUNTIFS(Başvuru!I:I,DATE(2026,3,31),Başvuru!P:P,"GÖRÜŞ")</f>
        <v>0</v>
      </c>
      <c r="H9" s="225">
        <f>COUNTIFS(Başvuru!I:I,DATE(2026,3,31),Başvuru!P:P,"RET")</f>
        <v>2</v>
      </c>
      <c r="I9" s="225">
        <f>COUNTIFS(Başvuru!I:I,DATE(2026,3,31),Başvuru!P:P,"KAPSAM DIŞI")</f>
        <v>1</v>
      </c>
      <c r="J9" s="225">
        <f>COUNTIFS(Başvuru!I:I,DATE(2026,3,31),Başvuru!P:P,"GERİ ÇEKİLDİ")</f>
        <v>0</v>
      </c>
      <c r="K9" s="225">
        <f>COUNTIFS(Başvuru!I:I,DATE(2026,3,31),Başvuru!P:P,0)</f>
        <v>0</v>
      </c>
      <c r="L9" s="227">
        <f t="shared" si="0"/>
        <v>40</v>
      </c>
      <c r="M9" s="228">
        <f t="shared" si="1"/>
        <v>0.8</v>
      </c>
      <c r="N9" s="229"/>
    </row>
    <row r="10" spans="1:14" ht="21.75" customHeight="1" x14ac:dyDescent="0.25">
      <c r="A10" s="230">
        <v>8</v>
      </c>
      <c r="B10" s="231">
        <f>DATE(2026,4,14)</f>
        <v>46126</v>
      </c>
      <c r="C10" s="230" t="str">
        <f>"8. Toplantı"</f>
        <v>8. Toplantı</v>
      </c>
      <c r="D10" s="230">
        <f>COUNTIFS(Başvuru!I:I,DATE(2026,4,14),Başvuru!P:P,"ONAY")</f>
        <v>30</v>
      </c>
      <c r="E10" s="230">
        <f>COUNTIFS(Başvuru!I:I,DATE(2026,4,14),Başvuru!P:P,"DÜZELTME")</f>
        <v>5</v>
      </c>
      <c r="F10" s="230">
        <f>COUNTIFS(Başvuru!I:I,DATE(2026,4,14),Başvuru!P:P,"KAEK")</f>
        <v>1</v>
      </c>
      <c r="G10" s="230">
        <f>COUNTIFS(Başvuru!I:I,DATE(2026,4,14),Başvuru!P:P,"GÖRÜŞ")</f>
        <v>0</v>
      </c>
      <c r="H10" s="230">
        <f>COUNTIFS(Başvuru!I:I,DATE(2026,4,14),Başvuru!P:P,"RET")</f>
        <v>4</v>
      </c>
      <c r="I10" s="230">
        <f>COUNTIFS(Başvuru!I:I,DATE(2026,4,14),Başvuru!P:P,"KAPSAM DIŞI")</f>
        <v>0</v>
      </c>
      <c r="J10" s="230">
        <f>COUNTIFS(Başvuru!I:I,DATE(2026,4,14),Başvuru!P:P,"GERİ ÇEKİLDİ")</f>
        <v>0</v>
      </c>
      <c r="K10" s="230">
        <f>COUNTIFS(Başvuru!I:I,DATE(2026,4,14),Başvuru!P:P,0)</f>
        <v>0</v>
      </c>
      <c r="L10" s="232">
        <f t="shared" si="0"/>
        <v>40</v>
      </c>
      <c r="M10" s="233">
        <f t="shared" si="1"/>
        <v>0.75</v>
      </c>
      <c r="N10" s="234"/>
    </row>
    <row r="11" spans="1:14" ht="21.75" customHeight="1" x14ac:dyDescent="0.25">
      <c r="A11" s="225">
        <v>9</v>
      </c>
      <c r="B11" s="226">
        <f>DATE(2026,4,28)</f>
        <v>46140</v>
      </c>
      <c r="C11" s="225" t="str">
        <f>"9. Toplantı"</f>
        <v>9. Toplantı</v>
      </c>
      <c r="D11" s="225">
        <f>COUNTIFS(Başvuru!I:I,DATE(2026,4,28),Başvuru!P:P,"ONAY")</f>
        <v>36</v>
      </c>
      <c r="E11" s="225">
        <f>COUNTIFS(Başvuru!I:I,DATE(2026,4,28),Başvuru!P:P,"DÜZELTME")</f>
        <v>9</v>
      </c>
      <c r="F11" s="225">
        <f>COUNTIFS(Başvuru!I:I,DATE(2026,4,28),Başvuru!P:P,"KAEK")</f>
        <v>0</v>
      </c>
      <c r="G11" s="225">
        <f>COUNTIFS(Başvuru!I:I,DATE(2026,4,28),Başvuru!P:P,"GÖRÜŞ")</f>
        <v>0</v>
      </c>
      <c r="H11" s="225">
        <f>COUNTIFS(Başvuru!I:I,DATE(2026,4,28),Başvuru!P:P,"RET")</f>
        <v>3</v>
      </c>
      <c r="I11" s="225">
        <f>COUNTIFS(Başvuru!I:I,DATE(2026,4,28),Başvuru!P:P,"KAPSAM DIŞI")</f>
        <v>0</v>
      </c>
      <c r="J11" s="225">
        <f>COUNTIFS(Başvuru!I:I,DATE(2026,4,28),Başvuru!P:P,"GERİ ÇEKİLDİ")</f>
        <v>0</v>
      </c>
      <c r="K11" s="225">
        <f>COUNTIFS(Başvuru!I:I,DATE(2026,4,28),Başvuru!P:P,0)</f>
        <v>0</v>
      </c>
      <c r="L11" s="227">
        <f t="shared" si="0"/>
        <v>48</v>
      </c>
      <c r="M11" s="228">
        <f t="shared" si="1"/>
        <v>0.75</v>
      </c>
      <c r="N11" s="229"/>
    </row>
    <row r="12" spans="1:14" ht="21.75" customHeight="1" x14ac:dyDescent="0.25">
      <c r="A12" s="230">
        <v>10</v>
      </c>
      <c r="B12" s="231">
        <f>DATE(2026,5,12)</f>
        <v>46154</v>
      </c>
      <c r="C12" s="230" t="str">
        <f>"10. Toplantı"</f>
        <v>10. Toplantı</v>
      </c>
      <c r="D12" s="230">
        <f>COUNTIFS(Başvuru!I:I,DATE(2026,5,12),Başvuru!P:P,"ONAY")</f>
        <v>36</v>
      </c>
      <c r="E12" s="230">
        <f>COUNTIFS(Başvuru!I:I,DATE(2026,5,12),Başvuru!P:P,"DÜZELTME")</f>
        <v>8</v>
      </c>
      <c r="F12" s="230">
        <f>COUNTIFS(Başvuru!I:I,DATE(2026,5,12),Başvuru!P:P,"KAEK")</f>
        <v>0</v>
      </c>
      <c r="G12" s="230">
        <f>COUNTIFS(Başvuru!I:I,DATE(2026,5,12),Başvuru!P:P,"GÖRÜŞ")</f>
        <v>1</v>
      </c>
      <c r="H12" s="230">
        <f>COUNTIFS(Başvuru!I:I,DATE(2026,5,12),Başvuru!P:P,"RET")</f>
        <v>0</v>
      </c>
      <c r="I12" s="230">
        <f>COUNTIFS(Başvuru!I:I,DATE(2026,5,12),Başvuru!P:P,"KAPSAM DIŞI")</f>
        <v>1</v>
      </c>
      <c r="J12" s="230">
        <f>COUNTIFS(Başvuru!I:I,DATE(2026,5,12),Başvuru!P:P,"GERİ ÇEKİLDİ")</f>
        <v>0</v>
      </c>
      <c r="K12" s="230">
        <f>COUNTIFS(Başvuru!I:I,DATE(2026,5,12),Başvuru!P:P,0)</f>
        <v>6</v>
      </c>
      <c r="L12" s="232">
        <f t="shared" si="0"/>
        <v>52</v>
      </c>
      <c r="M12" s="233">
        <f t="shared" si="1"/>
        <v>0.69230769230769229</v>
      </c>
      <c r="N12" s="234"/>
    </row>
    <row r="13" spans="1:14" ht="21.75" customHeight="1" x14ac:dyDescent="0.25">
      <c r="A13" s="225">
        <v>11</v>
      </c>
      <c r="B13" s="226">
        <f>DATE(2026,6,2)</f>
        <v>46175</v>
      </c>
      <c r="C13" s="225" t="str">
        <f>"11. Toplantı"</f>
        <v>11. Toplantı</v>
      </c>
      <c r="D13" s="225">
        <f>COUNTIFS(Başvuru!I:I,DATE(2026,6,2),Başvuru!P:P,"ONAY")</f>
        <v>19</v>
      </c>
      <c r="E13" s="225">
        <f>COUNTIFS(Başvuru!I:I,DATE(2026,6,2),Başvuru!P:P,"DÜZELTME")</f>
        <v>17</v>
      </c>
      <c r="F13" s="225">
        <f>COUNTIFS(Başvuru!I:I,DATE(2026,6,2),Başvuru!P:P,"KAEK")</f>
        <v>0</v>
      </c>
      <c r="G13" s="225">
        <f>COUNTIFS(Başvuru!I:I,DATE(2026,6,2),Başvuru!P:P,"GÖRÜŞ")</f>
        <v>1</v>
      </c>
      <c r="H13" s="225">
        <f>COUNTIFS(Başvuru!I:I,DATE(2026,6,2),Başvuru!P:P,"RET")</f>
        <v>1</v>
      </c>
      <c r="I13" s="225">
        <f>COUNTIFS(Başvuru!I:I,DATE(2026,6,2),Başvuru!P:P,"KAPSAM DIŞI")</f>
        <v>0</v>
      </c>
      <c r="J13" s="225">
        <f>COUNTIFS(Başvuru!I:I,DATE(2026,6,2),Başvuru!P:P,"GERİ ÇEKİLDİ")</f>
        <v>0</v>
      </c>
      <c r="K13" s="225">
        <f>COUNTIFS(Başvuru!I:I,DATE(2026,6,2),Başvuru!P:P,0)</f>
        <v>2</v>
      </c>
      <c r="L13" s="227">
        <f t="shared" si="0"/>
        <v>40</v>
      </c>
      <c r="M13" s="228">
        <f t="shared" si="1"/>
        <v>0.47499999999999998</v>
      </c>
      <c r="N13" s="229"/>
    </row>
    <row r="14" spans="1:14" ht="24" customHeight="1" x14ac:dyDescent="0.25">
      <c r="A14" s="254" t="s">
        <v>3530</v>
      </c>
      <c r="B14" s="254"/>
      <c r="C14" s="254"/>
      <c r="D14" s="235">
        <f t="shared" ref="D14:L14" si="2">SUM(D3:D13)</f>
        <v>387</v>
      </c>
      <c r="E14" s="235">
        <f t="shared" si="2"/>
        <v>61</v>
      </c>
      <c r="F14" s="235">
        <f t="shared" si="2"/>
        <v>8</v>
      </c>
      <c r="G14" s="235">
        <f t="shared" si="2"/>
        <v>2</v>
      </c>
      <c r="H14" s="235">
        <f t="shared" si="2"/>
        <v>14</v>
      </c>
      <c r="I14" s="235">
        <f t="shared" si="2"/>
        <v>8</v>
      </c>
      <c r="J14" s="235">
        <f t="shared" si="2"/>
        <v>4</v>
      </c>
      <c r="K14" s="235">
        <f t="shared" si="2"/>
        <v>8</v>
      </c>
      <c r="L14" s="235">
        <f t="shared" si="2"/>
        <v>492</v>
      </c>
      <c r="M14" s="236">
        <f t="shared" si="1"/>
        <v>0.78658536585365857</v>
      </c>
    </row>
    <row r="16" spans="1:14" ht="30" customHeight="1" x14ac:dyDescent="0.25">
      <c r="A16" s="255" t="s">
        <v>5476</v>
      </c>
      <c r="B16" s="255"/>
      <c r="C16" s="255"/>
      <c r="D16" s="255"/>
      <c r="E16" s="255"/>
      <c r="F16" s="255"/>
      <c r="G16" s="255"/>
      <c r="H16" s="255"/>
      <c r="I16" s="255"/>
      <c r="J16" s="255"/>
      <c r="K16" s="255"/>
      <c r="L16" s="255"/>
      <c r="M16" s="255"/>
      <c r="N16" s="255"/>
    </row>
  </sheetData>
  <mergeCells count="3">
    <mergeCell ref="A1:N1"/>
    <mergeCell ref="A14:C14"/>
    <mergeCell ref="A16:N1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E272"/>
  <sheetViews>
    <sheetView showZeros="0" zoomScaleNormal="100" workbookViewId="0">
      <selection activeCell="D35" sqref="D35"/>
    </sheetView>
  </sheetViews>
  <sheetFormatPr defaultColWidth="8.7109375" defaultRowHeight="15" x14ac:dyDescent="0.25"/>
  <cols>
    <col min="1" max="1" width="100.85546875" customWidth="1"/>
    <col min="2" max="2" width="10.28515625" customWidth="1"/>
    <col min="4" max="4" width="40.85546875" customWidth="1"/>
    <col min="5" max="5" width="16.140625" customWidth="1"/>
  </cols>
  <sheetData>
    <row r="1" spans="1:5" x14ac:dyDescent="0.25">
      <c r="A1" s="135" t="s">
        <v>42</v>
      </c>
      <c r="B1" s="136" t="s">
        <v>3546</v>
      </c>
      <c r="D1" s="135" t="s">
        <v>41</v>
      </c>
      <c r="E1" s="136" t="s">
        <v>3547</v>
      </c>
    </row>
    <row r="2" spans="1:5" x14ac:dyDescent="0.25">
      <c r="A2" s="137" t="s">
        <v>100</v>
      </c>
      <c r="B2" s="138">
        <v>82</v>
      </c>
      <c r="D2" s="137" t="s">
        <v>99</v>
      </c>
      <c r="E2" s="138">
        <v>14</v>
      </c>
    </row>
    <row r="3" spans="1:5" x14ac:dyDescent="0.25">
      <c r="A3" s="139" t="s">
        <v>209</v>
      </c>
      <c r="B3" s="140">
        <v>72</v>
      </c>
      <c r="D3" s="139" t="s">
        <v>272</v>
      </c>
      <c r="E3" s="140">
        <v>9</v>
      </c>
    </row>
    <row r="4" spans="1:5" x14ac:dyDescent="0.25">
      <c r="A4" s="139" t="s">
        <v>215</v>
      </c>
      <c r="B4" s="140">
        <v>25</v>
      </c>
      <c r="D4" s="139" t="s">
        <v>179</v>
      </c>
      <c r="E4" s="140">
        <v>8</v>
      </c>
    </row>
    <row r="5" spans="1:5" x14ac:dyDescent="0.25">
      <c r="A5" s="139" t="s">
        <v>351</v>
      </c>
      <c r="B5" s="140">
        <v>18</v>
      </c>
      <c r="D5" s="139" t="s">
        <v>377</v>
      </c>
      <c r="E5" s="140">
        <v>8</v>
      </c>
    </row>
    <row r="6" spans="1:5" x14ac:dyDescent="0.25">
      <c r="A6" s="139" t="s">
        <v>75</v>
      </c>
      <c r="B6" s="140">
        <v>17</v>
      </c>
      <c r="D6" s="139" t="s">
        <v>1339</v>
      </c>
      <c r="E6" s="140">
        <v>7</v>
      </c>
    </row>
    <row r="7" spans="1:5" x14ac:dyDescent="0.25">
      <c r="A7" s="139" t="s">
        <v>378</v>
      </c>
      <c r="B7" s="140">
        <v>16</v>
      </c>
      <c r="D7" s="139" t="s">
        <v>214</v>
      </c>
      <c r="E7" s="140">
        <v>7</v>
      </c>
    </row>
    <row r="8" spans="1:5" x14ac:dyDescent="0.25">
      <c r="A8" s="139" t="s">
        <v>156</v>
      </c>
      <c r="B8" s="140">
        <v>15</v>
      </c>
      <c r="D8" s="139" t="s">
        <v>620</v>
      </c>
      <c r="E8" s="140">
        <v>7</v>
      </c>
    </row>
    <row r="9" spans="1:5" x14ac:dyDescent="0.25">
      <c r="A9" s="139" t="s">
        <v>180</v>
      </c>
      <c r="B9" s="140">
        <v>13</v>
      </c>
      <c r="D9" s="139" t="s">
        <v>511</v>
      </c>
      <c r="E9" s="140">
        <v>6</v>
      </c>
    </row>
    <row r="10" spans="1:5" x14ac:dyDescent="0.25">
      <c r="A10" s="139" t="s">
        <v>120</v>
      </c>
      <c r="B10" s="140">
        <v>13</v>
      </c>
      <c r="D10" s="139" t="s">
        <v>1418</v>
      </c>
      <c r="E10" s="140">
        <v>6</v>
      </c>
    </row>
    <row r="11" spans="1:5" x14ac:dyDescent="0.25">
      <c r="A11" s="139" t="s">
        <v>384</v>
      </c>
      <c r="B11" s="140">
        <v>12</v>
      </c>
      <c r="D11" s="139" t="s">
        <v>506</v>
      </c>
      <c r="E11" s="140">
        <v>5</v>
      </c>
    </row>
    <row r="12" spans="1:5" x14ac:dyDescent="0.25">
      <c r="A12" s="139" t="s">
        <v>221</v>
      </c>
      <c r="B12" s="140">
        <v>11</v>
      </c>
      <c r="D12" s="139" t="s">
        <v>1571</v>
      </c>
      <c r="E12" s="140">
        <v>5</v>
      </c>
    </row>
    <row r="13" spans="1:5" x14ac:dyDescent="0.25">
      <c r="A13" s="139" t="s">
        <v>328</v>
      </c>
      <c r="B13" s="140">
        <v>11</v>
      </c>
      <c r="D13" s="139" t="s">
        <v>1039</v>
      </c>
      <c r="E13" s="140">
        <v>5</v>
      </c>
    </row>
    <row r="14" spans="1:5" x14ac:dyDescent="0.25">
      <c r="A14" s="139" t="s">
        <v>278</v>
      </c>
      <c r="B14" s="140">
        <v>10</v>
      </c>
      <c r="D14" s="139" t="s">
        <v>1093</v>
      </c>
      <c r="E14" s="140">
        <v>5</v>
      </c>
    </row>
    <row r="15" spans="1:5" x14ac:dyDescent="0.25">
      <c r="A15" s="139" t="s">
        <v>372</v>
      </c>
      <c r="B15" s="140">
        <v>9</v>
      </c>
      <c r="D15" s="139" t="s">
        <v>383</v>
      </c>
      <c r="E15" s="140">
        <v>5</v>
      </c>
    </row>
    <row r="16" spans="1:5" x14ac:dyDescent="0.25">
      <c r="A16" s="139" t="s">
        <v>953</v>
      </c>
      <c r="B16" s="140">
        <v>9</v>
      </c>
      <c r="D16" s="139" t="s">
        <v>366</v>
      </c>
      <c r="E16" s="140">
        <v>5</v>
      </c>
    </row>
    <row r="17" spans="1:5" x14ac:dyDescent="0.25">
      <c r="A17" s="139" t="s">
        <v>257</v>
      </c>
      <c r="B17" s="140">
        <v>8</v>
      </c>
      <c r="D17" s="139" t="s">
        <v>196</v>
      </c>
      <c r="E17" s="140">
        <v>4</v>
      </c>
    </row>
    <row r="18" spans="1:5" x14ac:dyDescent="0.25">
      <c r="A18" s="139" t="s">
        <v>284</v>
      </c>
      <c r="B18" s="140">
        <v>7</v>
      </c>
      <c r="D18" s="139" t="s">
        <v>1234</v>
      </c>
      <c r="E18" s="140">
        <v>4</v>
      </c>
    </row>
    <row r="19" spans="1:5" x14ac:dyDescent="0.25">
      <c r="A19" s="139" t="s">
        <v>168</v>
      </c>
      <c r="B19" s="140">
        <v>7</v>
      </c>
      <c r="D19" s="139" t="s">
        <v>698</v>
      </c>
      <c r="E19" s="140">
        <v>4</v>
      </c>
    </row>
    <row r="20" spans="1:5" x14ac:dyDescent="0.25">
      <c r="A20" s="139" t="s">
        <v>190</v>
      </c>
      <c r="B20" s="140">
        <v>7</v>
      </c>
      <c r="D20" s="139" t="s">
        <v>406</v>
      </c>
      <c r="E20" s="140">
        <v>4</v>
      </c>
    </row>
    <row r="21" spans="1:5" x14ac:dyDescent="0.25">
      <c r="A21" s="139" t="s">
        <v>267</v>
      </c>
      <c r="B21" s="140">
        <v>6</v>
      </c>
      <c r="D21" s="139" t="s">
        <v>1194</v>
      </c>
      <c r="E21" s="140">
        <v>4</v>
      </c>
    </row>
    <row r="22" spans="1:5" x14ac:dyDescent="0.25">
      <c r="A22" s="139" t="s">
        <v>202</v>
      </c>
      <c r="B22" s="140">
        <v>6</v>
      </c>
      <c r="D22" s="139" t="s">
        <v>535</v>
      </c>
      <c r="E22" s="140">
        <v>4</v>
      </c>
    </row>
    <row r="23" spans="1:5" x14ac:dyDescent="0.25">
      <c r="A23" s="139" t="s">
        <v>526</v>
      </c>
      <c r="B23" s="140">
        <v>6</v>
      </c>
      <c r="D23" s="139" t="s">
        <v>371</v>
      </c>
      <c r="E23" s="140">
        <v>4</v>
      </c>
    </row>
    <row r="24" spans="1:5" x14ac:dyDescent="0.25">
      <c r="A24" s="139" t="s">
        <v>417</v>
      </c>
      <c r="B24" s="140">
        <v>6</v>
      </c>
      <c r="D24" s="139" t="s">
        <v>639</v>
      </c>
      <c r="E24" s="140">
        <v>4</v>
      </c>
    </row>
    <row r="25" spans="1:5" x14ac:dyDescent="0.25">
      <c r="A25" s="139" t="s">
        <v>391</v>
      </c>
      <c r="B25" s="140">
        <v>6</v>
      </c>
      <c r="D25" s="139" t="s">
        <v>2065</v>
      </c>
      <c r="E25" s="140">
        <v>4</v>
      </c>
    </row>
    <row r="26" spans="1:5" x14ac:dyDescent="0.25">
      <c r="A26" s="139" t="s">
        <v>107</v>
      </c>
      <c r="B26" s="140">
        <v>6</v>
      </c>
      <c r="D26" s="139" t="s">
        <v>162</v>
      </c>
      <c r="E26" s="140">
        <v>4</v>
      </c>
    </row>
    <row r="27" spans="1:5" x14ac:dyDescent="0.25">
      <c r="A27" s="139" t="s">
        <v>401</v>
      </c>
      <c r="B27" s="140">
        <v>5</v>
      </c>
      <c r="D27" s="139" t="s">
        <v>155</v>
      </c>
      <c r="E27" s="140">
        <v>4</v>
      </c>
    </row>
    <row r="28" spans="1:5" x14ac:dyDescent="0.25">
      <c r="A28" s="139" t="s">
        <v>312</v>
      </c>
      <c r="B28" s="140">
        <v>5</v>
      </c>
      <c r="D28" s="139" t="s">
        <v>411</v>
      </c>
      <c r="E28" s="140">
        <v>4</v>
      </c>
    </row>
    <row r="29" spans="1:5" x14ac:dyDescent="0.25">
      <c r="A29" s="139" t="s">
        <v>471</v>
      </c>
      <c r="B29" s="140">
        <v>5</v>
      </c>
      <c r="D29" s="139" t="s">
        <v>189</v>
      </c>
      <c r="E29" s="140">
        <v>3</v>
      </c>
    </row>
    <row r="30" spans="1:5" x14ac:dyDescent="0.25">
      <c r="A30" s="139" t="s">
        <v>137</v>
      </c>
      <c r="B30" s="140">
        <v>5</v>
      </c>
      <c r="D30" s="139" t="s">
        <v>1413</v>
      </c>
      <c r="E30" s="140">
        <v>3</v>
      </c>
    </row>
    <row r="31" spans="1:5" x14ac:dyDescent="0.25">
      <c r="A31" s="139" t="s">
        <v>1479</v>
      </c>
      <c r="B31" s="140">
        <v>4</v>
      </c>
      <c r="D31" s="139" t="s">
        <v>247</v>
      </c>
      <c r="E31" s="140">
        <v>3</v>
      </c>
    </row>
    <row r="32" spans="1:5" x14ac:dyDescent="0.25">
      <c r="A32" s="139" t="s">
        <v>1130</v>
      </c>
      <c r="B32" s="140">
        <v>4</v>
      </c>
      <c r="D32" s="139" t="s">
        <v>63</v>
      </c>
      <c r="E32" s="140">
        <v>3</v>
      </c>
    </row>
    <row r="33" spans="1:5" x14ac:dyDescent="0.25">
      <c r="A33" s="139" t="s">
        <v>334</v>
      </c>
      <c r="B33" s="140">
        <v>4</v>
      </c>
      <c r="D33" s="139" t="s">
        <v>230</v>
      </c>
      <c r="E33" s="140">
        <v>3</v>
      </c>
    </row>
    <row r="34" spans="1:5" x14ac:dyDescent="0.25">
      <c r="A34" s="139" t="s">
        <v>571</v>
      </c>
      <c r="B34" s="140">
        <v>4</v>
      </c>
      <c r="D34" s="139" t="s">
        <v>565</v>
      </c>
      <c r="E34" s="140">
        <v>3</v>
      </c>
    </row>
    <row r="35" spans="1:5" x14ac:dyDescent="0.25">
      <c r="A35" s="139" t="s">
        <v>649</v>
      </c>
      <c r="B35" s="140">
        <v>3</v>
      </c>
      <c r="D35" s="139" t="s">
        <v>944</v>
      </c>
      <c r="E35" s="140">
        <v>3</v>
      </c>
    </row>
    <row r="36" spans="1:5" x14ac:dyDescent="0.25">
      <c r="A36" s="139" t="s">
        <v>1155</v>
      </c>
      <c r="B36" s="140">
        <v>3</v>
      </c>
      <c r="D36" s="139" t="s">
        <v>1184</v>
      </c>
      <c r="E36" s="140">
        <v>3</v>
      </c>
    </row>
    <row r="37" spans="1:5" x14ac:dyDescent="0.25">
      <c r="A37" s="139" t="s">
        <v>150</v>
      </c>
      <c r="B37" s="140">
        <v>3</v>
      </c>
      <c r="D37" s="139" t="s">
        <v>1079</v>
      </c>
      <c r="E37" s="140">
        <v>3</v>
      </c>
    </row>
    <row r="38" spans="1:5" x14ac:dyDescent="0.25">
      <c r="A38" s="139" t="s">
        <v>1651</v>
      </c>
      <c r="B38" s="140">
        <v>3</v>
      </c>
      <c r="D38" s="139" t="s">
        <v>131</v>
      </c>
      <c r="E38" s="140">
        <v>3</v>
      </c>
    </row>
    <row r="39" spans="1:5" x14ac:dyDescent="0.25">
      <c r="A39" s="139" t="s">
        <v>174</v>
      </c>
      <c r="B39" s="140">
        <v>3</v>
      </c>
      <c r="D39" s="139" t="s">
        <v>658</v>
      </c>
      <c r="E39" s="140">
        <v>3</v>
      </c>
    </row>
    <row r="40" spans="1:5" x14ac:dyDescent="0.25">
      <c r="A40" s="139" t="s">
        <v>1025</v>
      </c>
      <c r="B40" s="140">
        <v>2</v>
      </c>
      <c r="D40" s="139" t="s">
        <v>1365</v>
      </c>
      <c r="E40" s="140">
        <v>3</v>
      </c>
    </row>
    <row r="41" spans="1:5" x14ac:dyDescent="0.25">
      <c r="A41" s="139" t="s">
        <v>685</v>
      </c>
      <c r="B41" s="140">
        <v>2</v>
      </c>
      <c r="D41" s="139" t="s">
        <v>615</v>
      </c>
      <c r="E41" s="140">
        <v>3</v>
      </c>
    </row>
    <row r="42" spans="1:5" x14ac:dyDescent="0.25">
      <c r="A42" s="139" t="s">
        <v>1060</v>
      </c>
      <c r="B42" s="140">
        <v>2</v>
      </c>
      <c r="D42" s="139" t="s">
        <v>294</v>
      </c>
      <c r="E42" s="140">
        <v>3</v>
      </c>
    </row>
    <row r="43" spans="1:5" x14ac:dyDescent="0.25">
      <c r="A43" s="139" t="s">
        <v>1582</v>
      </c>
      <c r="B43" s="140">
        <v>2</v>
      </c>
      <c r="D43" s="139" t="s">
        <v>1030</v>
      </c>
      <c r="E43" s="140">
        <v>3</v>
      </c>
    </row>
    <row r="44" spans="1:5" x14ac:dyDescent="0.25">
      <c r="A44" s="139" t="s">
        <v>978</v>
      </c>
      <c r="B44" s="140">
        <v>2</v>
      </c>
      <c r="D44" s="139" t="s">
        <v>1286</v>
      </c>
      <c r="E44" s="140">
        <v>3</v>
      </c>
    </row>
    <row r="45" spans="1:5" x14ac:dyDescent="0.25">
      <c r="A45" s="139" t="s">
        <v>144</v>
      </c>
      <c r="B45" s="140">
        <v>2</v>
      </c>
      <c r="D45" s="139" t="s">
        <v>311</v>
      </c>
      <c r="E45" s="140">
        <v>3</v>
      </c>
    </row>
    <row r="46" spans="1:5" ht="30" x14ac:dyDescent="0.25">
      <c r="A46" s="141" t="s">
        <v>83</v>
      </c>
      <c r="B46" s="140">
        <v>2</v>
      </c>
      <c r="D46" s="139" t="s">
        <v>464</v>
      </c>
      <c r="E46" s="140">
        <v>3</v>
      </c>
    </row>
    <row r="47" spans="1:5" x14ac:dyDescent="0.25">
      <c r="A47" s="139" t="s">
        <v>1149</v>
      </c>
      <c r="B47" s="140">
        <v>2</v>
      </c>
      <c r="D47" s="139" t="s">
        <v>356</v>
      </c>
      <c r="E47" s="140">
        <v>3</v>
      </c>
    </row>
    <row r="48" spans="1:5" x14ac:dyDescent="0.25">
      <c r="A48" s="139" t="s">
        <v>712</v>
      </c>
      <c r="B48" s="140">
        <v>2</v>
      </c>
      <c r="D48" s="139" t="s">
        <v>1576</v>
      </c>
      <c r="E48" s="140">
        <v>3</v>
      </c>
    </row>
    <row r="49" spans="1:5" ht="45" x14ac:dyDescent="0.25">
      <c r="A49" s="141" t="s">
        <v>806</v>
      </c>
      <c r="B49" s="140">
        <v>2</v>
      </c>
      <c r="D49" s="139" t="s">
        <v>1782</v>
      </c>
      <c r="E49" s="140">
        <v>3</v>
      </c>
    </row>
    <row r="50" spans="1:5" x14ac:dyDescent="0.25">
      <c r="A50" s="139" t="s">
        <v>491</v>
      </c>
      <c r="B50" s="140">
        <v>2</v>
      </c>
      <c r="D50" s="139" t="s">
        <v>476</v>
      </c>
      <c r="E50" s="140">
        <v>3</v>
      </c>
    </row>
    <row r="51" spans="1:5" x14ac:dyDescent="0.25">
      <c r="A51" s="139" t="s">
        <v>1882</v>
      </c>
      <c r="B51" s="140">
        <v>1</v>
      </c>
      <c r="D51" s="139" t="s">
        <v>74</v>
      </c>
      <c r="E51" s="140">
        <v>3</v>
      </c>
    </row>
    <row r="52" spans="1:5" x14ac:dyDescent="0.25">
      <c r="A52" s="139" t="s">
        <v>1330</v>
      </c>
      <c r="B52" s="140">
        <v>1</v>
      </c>
      <c r="D52" s="139" t="s">
        <v>1514</v>
      </c>
      <c r="E52" s="140">
        <v>3</v>
      </c>
    </row>
    <row r="53" spans="1:5" x14ac:dyDescent="0.25">
      <c r="A53" s="139" t="s">
        <v>1808</v>
      </c>
      <c r="B53" s="140">
        <v>1</v>
      </c>
      <c r="D53" s="139" t="s">
        <v>835</v>
      </c>
      <c r="E53" s="140">
        <v>2</v>
      </c>
    </row>
    <row r="54" spans="1:5" x14ac:dyDescent="0.25">
      <c r="A54" s="139" t="s">
        <v>2224</v>
      </c>
      <c r="B54" s="140">
        <v>1</v>
      </c>
      <c r="D54" s="139" t="s">
        <v>570</v>
      </c>
      <c r="E54" s="140">
        <v>2</v>
      </c>
    </row>
    <row r="55" spans="1:5" x14ac:dyDescent="0.25">
      <c r="A55" s="139" t="s">
        <v>126</v>
      </c>
      <c r="B55" s="140">
        <v>1</v>
      </c>
      <c r="D55" s="139" t="s">
        <v>787</v>
      </c>
      <c r="E55" s="140">
        <v>2</v>
      </c>
    </row>
    <row r="56" spans="1:5" x14ac:dyDescent="0.25">
      <c r="A56" s="139" t="s">
        <v>674</v>
      </c>
      <c r="B56" s="140">
        <v>1</v>
      </c>
      <c r="D56" s="139" t="s">
        <v>1679</v>
      </c>
      <c r="E56" s="140">
        <v>2</v>
      </c>
    </row>
    <row r="57" spans="1:5" x14ac:dyDescent="0.25">
      <c r="A57" s="139" t="s">
        <v>1453</v>
      </c>
      <c r="B57" s="140">
        <v>1</v>
      </c>
      <c r="D57" s="139" t="s">
        <v>739</v>
      </c>
      <c r="E57" s="140">
        <v>2</v>
      </c>
    </row>
    <row r="58" spans="1:5" x14ac:dyDescent="0.25">
      <c r="A58" s="139" t="s">
        <v>2166</v>
      </c>
      <c r="B58" s="140">
        <v>1</v>
      </c>
      <c r="D58" s="139" t="s">
        <v>1694</v>
      </c>
      <c r="E58" s="140">
        <v>2</v>
      </c>
    </row>
    <row r="59" spans="1:5" x14ac:dyDescent="0.25">
      <c r="A59" s="139" t="s">
        <v>879</v>
      </c>
      <c r="B59" s="140">
        <v>1</v>
      </c>
      <c r="D59" s="139" t="s">
        <v>1215</v>
      </c>
      <c r="E59" s="140">
        <v>2</v>
      </c>
    </row>
    <row r="60" spans="1:5" x14ac:dyDescent="0.25">
      <c r="A60" s="139" t="s">
        <v>465</v>
      </c>
      <c r="B60" s="140">
        <v>1</v>
      </c>
      <c r="D60" s="139" t="s">
        <v>721</v>
      </c>
      <c r="E60" s="140">
        <v>2</v>
      </c>
    </row>
    <row r="61" spans="1:5" x14ac:dyDescent="0.25">
      <c r="A61" s="139" t="s">
        <v>92</v>
      </c>
      <c r="B61" s="140">
        <v>1</v>
      </c>
      <c r="D61" s="139" t="s">
        <v>663</v>
      </c>
      <c r="E61" s="140">
        <v>2</v>
      </c>
    </row>
    <row r="62" spans="1:5" x14ac:dyDescent="0.25">
      <c r="A62" s="139" t="s">
        <v>2256</v>
      </c>
      <c r="B62" s="140">
        <v>1</v>
      </c>
      <c r="D62" s="139" t="s">
        <v>1074</v>
      </c>
      <c r="E62" s="140">
        <v>2</v>
      </c>
    </row>
    <row r="63" spans="1:5" x14ac:dyDescent="0.25">
      <c r="A63" s="139" t="s">
        <v>59</v>
      </c>
      <c r="B63" s="140">
        <v>1</v>
      </c>
      <c r="D63" s="139" t="s">
        <v>2189</v>
      </c>
      <c r="E63" s="140">
        <v>2</v>
      </c>
    </row>
    <row r="64" spans="1:5" x14ac:dyDescent="0.25">
      <c r="A64" s="139" t="s">
        <v>340</v>
      </c>
      <c r="B64" s="140">
        <v>1</v>
      </c>
      <c r="D64" s="139" t="s">
        <v>757</v>
      </c>
      <c r="E64" s="140">
        <v>2</v>
      </c>
    </row>
    <row r="65" spans="1:5" x14ac:dyDescent="0.25">
      <c r="A65" s="139" t="s">
        <v>2203</v>
      </c>
      <c r="B65" s="140">
        <v>1</v>
      </c>
      <c r="D65" s="139" t="s">
        <v>1084</v>
      </c>
      <c r="E65" s="140">
        <v>2</v>
      </c>
    </row>
    <row r="66" spans="1:5" x14ac:dyDescent="0.25">
      <c r="A66" s="139" t="s">
        <v>450</v>
      </c>
      <c r="B66" s="140">
        <v>1</v>
      </c>
      <c r="D66" s="139" t="s">
        <v>501</v>
      </c>
      <c r="E66" s="140">
        <v>2</v>
      </c>
    </row>
    <row r="67" spans="1:5" x14ac:dyDescent="0.25">
      <c r="A67" s="139" t="s">
        <v>2114</v>
      </c>
      <c r="B67" s="140">
        <v>1</v>
      </c>
      <c r="D67" s="139" t="s">
        <v>87</v>
      </c>
      <c r="E67" s="140">
        <v>2</v>
      </c>
    </row>
    <row r="68" spans="1:5" x14ac:dyDescent="0.25">
      <c r="A68" s="139" t="s">
        <v>1930</v>
      </c>
      <c r="B68" s="140">
        <v>1</v>
      </c>
      <c r="D68" s="139" t="s">
        <v>711</v>
      </c>
      <c r="E68" s="140">
        <v>2</v>
      </c>
    </row>
    <row r="69" spans="1:5" x14ac:dyDescent="0.25">
      <c r="A69" s="139" t="s">
        <v>68</v>
      </c>
      <c r="B69" s="140">
        <v>1</v>
      </c>
      <c r="D69" s="139" t="s">
        <v>1670</v>
      </c>
      <c r="E69" s="140">
        <v>2</v>
      </c>
    </row>
    <row r="70" spans="1:5" x14ac:dyDescent="0.25">
      <c r="A70" s="139" t="s">
        <v>758</v>
      </c>
      <c r="B70" s="140">
        <v>1</v>
      </c>
      <c r="D70" s="139" t="s">
        <v>1225</v>
      </c>
      <c r="E70" s="140">
        <v>2</v>
      </c>
    </row>
    <row r="71" spans="1:5" x14ac:dyDescent="0.25">
      <c r="A71" s="139" t="s">
        <v>1179</v>
      </c>
      <c r="B71" s="140">
        <v>1</v>
      </c>
      <c r="D71" s="139" t="s">
        <v>235</v>
      </c>
      <c r="E71" s="140">
        <v>2</v>
      </c>
    </row>
    <row r="72" spans="1:5" x14ac:dyDescent="0.25">
      <c r="A72" s="139" t="s">
        <v>3548</v>
      </c>
      <c r="B72" s="142"/>
      <c r="D72" s="139" t="s">
        <v>119</v>
      </c>
      <c r="E72" s="140">
        <v>2</v>
      </c>
    </row>
    <row r="73" spans="1:5" x14ac:dyDescent="0.25">
      <c r="A73" s="143" t="s">
        <v>3549</v>
      </c>
      <c r="B73" s="144">
        <v>492</v>
      </c>
      <c r="D73" s="139" t="s">
        <v>991</v>
      </c>
      <c r="E73" s="140">
        <v>2</v>
      </c>
    </row>
    <row r="74" spans="1:5" x14ac:dyDescent="0.25">
      <c r="D74" s="139" t="s">
        <v>256</v>
      </c>
      <c r="E74" s="140">
        <v>2</v>
      </c>
    </row>
    <row r="75" spans="1:5" x14ac:dyDescent="0.25">
      <c r="D75" s="139" t="s">
        <v>610</v>
      </c>
      <c r="E75" s="140">
        <v>2</v>
      </c>
    </row>
    <row r="76" spans="1:5" x14ac:dyDescent="0.25">
      <c r="D76" s="139" t="s">
        <v>1400</v>
      </c>
      <c r="E76" s="140">
        <v>2</v>
      </c>
    </row>
    <row r="77" spans="1:5" x14ac:dyDescent="0.25">
      <c r="D77" s="139" t="s">
        <v>149</v>
      </c>
      <c r="E77" s="140">
        <v>2</v>
      </c>
    </row>
    <row r="78" spans="1:5" x14ac:dyDescent="0.25">
      <c r="D78" s="139" t="s">
        <v>668</v>
      </c>
      <c r="E78" s="140">
        <v>2</v>
      </c>
    </row>
    <row r="79" spans="1:5" x14ac:dyDescent="0.25">
      <c r="D79" s="139" t="s">
        <v>1307</v>
      </c>
      <c r="E79" s="140">
        <v>2</v>
      </c>
    </row>
    <row r="80" spans="1:5" x14ac:dyDescent="0.25">
      <c r="D80" s="139" t="s">
        <v>390</v>
      </c>
      <c r="E80" s="140">
        <v>2</v>
      </c>
    </row>
    <row r="81" spans="4:5" x14ac:dyDescent="0.25">
      <c r="D81" s="139" t="s">
        <v>426</v>
      </c>
      <c r="E81" s="140">
        <v>2</v>
      </c>
    </row>
    <row r="82" spans="4:5" x14ac:dyDescent="0.25">
      <c r="D82" s="139" t="s">
        <v>208</v>
      </c>
      <c r="E82" s="140">
        <v>2</v>
      </c>
    </row>
    <row r="83" spans="4:5" x14ac:dyDescent="0.25">
      <c r="D83" s="139" t="s">
        <v>1684</v>
      </c>
      <c r="E83" s="140">
        <v>2</v>
      </c>
    </row>
    <row r="84" spans="4:5" x14ac:dyDescent="0.25">
      <c r="D84" s="139" t="s">
        <v>630</v>
      </c>
      <c r="E84" s="140">
        <v>2</v>
      </c>
    </row>
    <row r="85" spans="4:5" x14ac:dyDescent="0.25">
      <c r="D85" s="139" t="s">
        <v>520</v>
      </c>
      <c r="E85" s="140">
        <v>2</v>
      </c>
    </row>
    <row r="86" spans="4:5" x14ac:dyDescent="0.25">
      <c r="D86" s="139" t="s">
        <v>345</v>
      </c>
      <c r="E86" s="140">
        <v>2</v>
      </c>
    </row>
    <row r="87" spans="4:5" x14ac:dyDescent="0.25">
      <c r="D87" s="139" t="s">
        <v>1315</v>
      </c>
      <c r="E87" s="140">
        <v>2</v>
      </c>
    </row>
    <row r="88" spans="4:5" x14ac:dyDescent="0.25">
      <c r="D88" s="139" t="s">
        <v>1015</v>
      </c>
      <c r="E88" s="140">
        <v>2</v>
      </c>
    </row>
    <row r="89" spans="4:5" x14ac:dyDescent="0.25">
      <c r="D89" s="139" t="s">
        <v>924</v>
      </c>
      <c r="E89" s="140">
        <v>2</v>
      </c>
    </row>
    <row r="90" spans="4:5" x14ac:dyDescent="0.25">
      <c r="D90" s="139" t="s">
        <v>416</v>
      </c>
      <c r="E90" s="140">
        <v>2</v>
      </c>
    </row>
    <row r="91" spans="4:5" x14ac:dyDescent="0.25">
      <c r="D91" s="139" t="s">
        <v>1102</v>
      </c>
      <c r="E91" s="140">
        <v>2</v>
      </c>
    </row>
    <row r="92" spans="4:5" x14ac:dyDescent="0.25">
      <c r="D92" s="139" t="s">
        <v>496</v>
      </c>
      <c r="E92" s="140">
        <v>2</v>
      </c>
    </row>
    <row r="93" spans="4:5" x14ac:dyDescent="0.25">
      <c r="D93" s="139" t="s">
        <v>782</v>
      </c>
      <c r="E93" s="140">
        <v>2</v>
      </c>
    </row>
    <row r="94" spans="4:5" x14ac:dyDescent="0.25">
      <c r="D94" s="139" t="s">
        <v>1650</v>
      </c>
      <c r="E94" s="140">
        <v>2</v>
      </c>
    </row>
    <row r="95" spans="4:5" x14ac:dyDescent="0.25">
      <c r="D95" s="139" t="s">
        <v>1524</v>
      </c>
      <c r="E95" s="140">
        <v>2</v>
      </c>
    </row>
    <row r="96" spans="4:5" x14ac:dyDescent="0.25">
      <c r="D96" s="139" t="s">
        <v>103</v>
      </c>
      <c r="E96" s="140">
        <v>2</v>
      </c>
    </row>
    <row r="97" spans="4:5" x14ac:dyDescent="0.25">
      <c r="D97" s="139" t="s">
        <v>731</v>
      </c>
      <c r="E97" s="140">
        <v>2</v>
      </c>
    </row>
    <row r="98" spans="4:5" x14ac:dyDescent="0.25">
      <c r="D98" s="139" t="s">
        <v>283</v>
      </c>
      <c r="E98" s="140">
        <v>2</v>
      </c>
    </row>
    <row r="99" spans="4:5" x14ac:dyDescent="0.25">
      <c r="D99" s="139" t="s">
        <v>1489</v>
      </c>
      <c r="E99" s="140">
        <v>2</v>
      </c>
    </row>
    <row r="100" spans="4:5" x14ac:dyDescent="0.25">
      <c r="D100" s="139" t="s">
        <v>1935</v>
      </c>
      <c r="E100" s="140">
        <v>2</v>
      </c>
    </row>
    <row r="101" spans="4:5" x14ac:dyDescent="0.25">
      <c r="D101" s="139" t="s">
        <v>2318</v>
      </c>
      <c r="E101" s="140">
        <v>2</v>
      </c>
    </row>
    <row r="102" spans="4:5" x14ac:dyDescent="0.25">
      <c r="D102" s="139" t="s">
        <v>1148</v>
      </c>
      <c r="E102" s="140">
        <v>2</v>
      </c>
    </row>
    <row r="103" spans="4:5" x14ac:dyDescent="0.25">
      <c r="D103" s="139" t="s">
        <v>82</v>
      </c>
      <c r="E103" s="140">
        <v>2</v>
      </c>
    </row>
    <row r="104" spans="4:5" x14ac:dyDescent="0.25">
      <c r="D104" s="139" t="s">
        <v>289</v>
      </c>
      <c r="E104" s="140">
        <v>2</v>
      </c>
    </row>
    <row r="105" spans="4:5" x14ac:dyDescent="0.25">
      <c r="D105" s="139" t="s">
        <v>1427</v>
      </c>
      <c r="E105" s="140">
        <v>1</v>
      </c>
    </row>
    <row r="106" spans="4:5" x14ac:dyDescent="0.25">
      <c r="D106" s="139" t="s">
        <v>1743</v>
      </c>
      <c r="E106" s="140">
        <v>1</v>
      </c>
    </row>
    <row r="107" spans="4:5" x14ac:dyDescent="0.25">
      <c r="D107" s="139" t="s">
        <v>726</v>
      </c>
      <c r="E107" s="140">
        <v>1</v>
      </c>
    </row>
    <row r="108" spans="4:5" x14ac:dyDescent="0.25">
      <c r="D108" s="139" t="s">
        <v>1484</v>
      </c>
      <c r="E108" s="140">
        <v>1</v>
      </c>
    </row>
    <row r="109" spans="4:5" x14ac:dyDescent="0.25">
      <c r="D109" s="139" t="s">
        <v>939</v>
      </c>
      <c r="E109" s="140">
        <v>1</v>
      </c>
    </row>
    <row r="110" spans="4:5" x14ac:dyDescent="0.25">
      <c r="D110" s="139" t="s">
        <v>591</v>
      </c>
      <c r="E110" s="140">
        <v>1</v>
      </c>
    </row>
    <row r="111" spans="4:5" ht="30" x14ac:dyDescent="0.25">
      <c r="D111" s="141" t="s">
        <v>1748</v>
      </c>
      <c r="E111" s="140">
        <v>1</v>
      </c>
    </row>
    <row r="112" spans="4:5" x14ac:dyDescent="0.25">
      <c r="D112" s="139" t="s">
        <v>1777</v>
      </c>
      <c r="E112" s="140">
        <v>1</v>
      </c>
    </row>
    <row r="113" spans="4:5" x14ac:dyDescent="0.25">
      <c r="D113" s="139" t="s">
        <v>1821</v>
      </c>
      <c r="E113" s="140">
        <v>1</v>
      </c>
    </row>
    <row r="114" spans="4:5" x14ac:dyDescent="0.25">
      <c r="D114" s="139" t="s">
        <v>525</v>
      </c>
      <c r="E114" s="140">
        <v>1</v>
      </c>
    </row>
    <row r="115" spans="4:5" x14ac:dyDescent="0.25">
      <c r="D115" s="139" t="s">
        <v>95</v>
      </c>
      <c r="E115" s="140">
        <v>1</v>
      </c>
    </row>
    <row r="116" spans="4:5" x14ac:dyDescent="0.25">
      <c r="D116" s="139" t="s">
        <v>2301</v>
      </c>
      <c r="E116" s="140">
        <v>1</v>
      </c>
    </row>
    <row r="117" spans="4:5" x14ac:dyDescent="0.25">
      <c r="D117" s="139" t="s">
        <v>2335</v>
      </c>
      <c r="E117" s="140">
        <v>1</v>
      </c>
    </row>
    <row r="118" spans="4:5" x14ac:dyDescent="0.25">
      <c r="D118" s="139" t="s">
        <v>1536</v>
      </c>
      <c r="E118" s="140">
        <v>1</v>
      </c>
    </row>
    <row r="119" spans="4:5" x14ac:dyDescent="0.25">
      <c r="D119" s="139" t="s">
        <v>929</v>
      </c>
      <c r="E119" s="140">
        <v>1</v>
      </c>
    </row>
    <row r="120" spans="4:5" x14ac:dyDescent="0.25">
      <c r="D120" s="139" t="s">
        <v>2245</v>
      </c>
      <c r="E120" s="140">
        <v>1</v>
      </c>
    </row>
    <row r="121" spans="4:5" x14ac:dyDescent="0.25">
      <c r="D121" s="139" t="s">
        <v>1440</v>
      </c>
      <c r="E121" s="140">
        <v>1</v>
      </c>
    </row>
    <row r="122" spans="4:5" x14ac:dyDescent="0.25">
      <c r="D122" s="139" t="s">
        <v>2025</v>
      </c>
      <c r="E122" s="140">
        <v>1</v>
      </c>
    </row>
    <row r="123" spans="4:5" x14ac:dyDescent="0.25">
      <c r="D123" s="139" t="s">
        <v>1463</v>
      </c>
      <c r="E123" s="140">
        <v>1</v>
      </c>
    </row>
    <row r="124" spans="4:5" x14ac:dyDescent="0.25">
      <c r="D124" s="139" t="s">
        <v>201</v>
      </c>
      <c r="E124" s="140">
        <v>1</v>
      </c>
    </row>
    <row r="125" spans="4:5" x14ac:dyDescent="0.25">
      <c r="D125" s="139" t="s">
        <v>125</v>
      </c>
      <c r="E125" s="140">
        <v>1</v>
      </c>
    </row>
    <row r="126" spans="4:5" x14ac:dyDescent="0.25">
      <c r="D126" s="139" t="s">
        <v>2202</v>
      </c>
      <c r="E126" s="140">
        <v>1</v>
      </c>
    </row>
    <row r="127" spans="4:5" x14ac:dyDescent="0.25">
      <c r="D127" s="139" t="s">
        <v>67</v>
      </c>
      <c r="E127" s="140">
        <v>1</v>
      </c>
    </row>
    <row r="128" spans="4:5" x14ac:dyDescent="0.25">
      <c r="D128" s="139" t="s">
        <v>1794</v>
      </c>
      <c r="E128" s="140">
        <v>1</v>
      </c>
    </row>
    <row r="129" spans="4:5" x14ac:dyDescent="0.25">
      <c r="D129" s="139" t="s">
        <v>1924</v>
      </c>
      <c r="E129" s="140">
        <v>1</v>
      </c>
    </row>
    <row r="130" spans="4:5" x14ac:dyDescent="0.25">
      <c r="D130" s="139" t="s">
        <v>796</v>
      </c>
      <c r="E130" s="140">
        <v>1</v>
      </c>
    </row>
    <row r="131" spans="4:5" x14ac:dyDescent="0.25">
      <c r="D131" s="139" t="s">
        <v>327</v>
      </c>
      <c r="E131" s="140">
        <v>1</v>
      </c>
    </row>
    <row r="132" spans="4:5" x14ac:dyDescent="0.25">
      <c r="D132" s="139" t="s">
        <v>444</v>
      </c>
      <c r="E132" s="140">
        <v>1</v>
      </c>
    </row>
    <row r="133" spans="4:5" x14ac:dyDescent="0.25">
      <c r="D133" s="139" t="s">
        <v>1851</v>
      </c>
      <c r="E133" s="140">
        <v>1</v>
      </c>
    </row>
    <row r="134" spans="4:5" x14ac:dyDescent="0.25">
      <c r="D134" s="139" t="s">
        <v>2250</v>
      </c>
      <c r="E134" s="140">
        <v>1</v>
      </c>
    </row>
    <row r="135" spans="4:5" x14ac:dyDescent="0.25">
      <c r="D135" s="139" t="s">
        <v>91</v>
      </c>
      <c r="E135" s="140">
        <v>1</v>
      </c>
    </row>
    <row r="136" spans="4:5" x14ac:dyDescent="0.25">
      <c r="D136" s="139" t="s">
        <v>143</v>
      </c>
      <c r="E136" s="140">
        <v>1</v>
      </c>
    </row>
    <row r="137" spans="4:5" x14ac:dyDescent="0.25">
      <c r="D137" s="139" t="s">
        <v>333</v>
      </c>
      <c r="E137" s="140">
        <v>1</v>
      </c>
    </row>
    <row r="138" spans="4:5" x14ac:dyDescent="0.25">
      <c r="D138" s="139" t="s">
        <v>481</v>
      </c>
      <c r="E138" s="140">
        <v>1</v>
      </c>
    </row>
    <row r="139" spans="4:5" x14ac:dyDescent="0.25">
      <c r="D139" s="139" t="s">
        <v>2119</v>
      </c>
      <c r="E139" s="140">
        <v>1</v>
      </c>
    </row>
    <row r="140" spans="4:5" x14ac:dyDescent="0.25">
      <c r="D140" s="139" t="s">
        <v>136</v>
      </c>
      <c r="E140" s="140">
        <v>1</v>
      </c>
    </row>
    <row r="141" spans="4:5" x14ac:dyDescent="0.25">
      <c r="D141" s="139" t="s">
        <v>322</v>
      </c>
      <c r="E141" s="140">
        <v>1</v>
      </c>
    </row>
    <row r="142" spans="4:5" x14ac:dyDescent="0.25">
      <c r="D142" s="139" t="s">
        <v>2004</v>
      </c>
      <c r="E142" s="140">
        <v>1</v>
      </c>
    </row>
    <row r="143" spans="4:5" x14ac:dyDescent="0.25">
      <c r="D143" s="139" t="s">
        <v>684</v>
      </c>
      <c r="E143" s="140">
        <v>1</v>
      </c>
    </row>
    <row r="144" spans="4:5" x14ac:dyDescent="0.25">
      <c r="D144" s="139" t="s">
        <v>2218</v>
      </c>
      <c r="E144" s="140">
        <v>1</v>
      </c>
    </row>
    <row r="145" spans="4:5" x14ac:dyDescent="0.25">
      <c r="D145" s="139" t="s">
        <v>2330</v>
      </c>
      <c r="E145" s="140">
        <v>1</v>
      </c>
    </row>
    <row r="146" spans="4:5" x14ac:dyDescent="0.25">
      <c r="D146" s="139" t="s">
        <v>1247</v>
      </c>
      <c r="E146" s="140">
        <v>1</v>
      </c>
    </row>
    <row r="147" spans="4:5" x14ac:dyDescent="0.25">
      <c r="D147" s="139" t="s">
        <v>1154</v>
      </c>
      <c r="E147" s="140">
        <v>1</v>
      </c>
    </row>
    <row r="148" spans="4:5" x14ac:dyDescent="0.25">
      <c r="D148" s="139" t="s">
        <v>934</v>
      </c>
      <c r="E148" s="140">
        <v>1</v>
      </c>
    </row>
    <row r="149" spans="4:5" x14ac:dyDescent="0.25">
      <c r="D149" s="139" t="s">
        <v>605</v>
      </c>
      <c r="E149" s="140">
        <v>1</v>
      </c>
    </row>
    <row r="150" spans="4:5" x14ac:dyDescent="0.25">
      <c r="D150" s="139" t="s">
        <v>350</v>
      </c>
      <c r="E150" s="140">
        <v>1</v>
      </c>
    </row>
    <row r="151" spans="4:5" x14ac:dyDescent="0.25">
      <c r="D151" s="139" t="s">
        <v>220</v>
      </c>
      <c r="E151" s="140">
        <v>1</v>
      </c>
    </row>
    <row r="152" spans="4:5" x14ac:dyDescent="0.25">
      <c r="D152" s="139" t="s">
        <v>768</v>
      </c>
      <c r="E152" s="140">
        <v>1</v>
      </c>
    </row>
    <row r="153" spans="4:5" x14ac:dyDescent="0.25">
      <c r="D153" s="139" t="s">
        <v>1660</v>
      </c>
      <c r="E153" s="140">
        <v>1</v>
      </c>
    </row>
    <row r="154" spans="4:5" x14ac:dyDescent="0.25">
      <c r="D154" s="139" t="s">
        <v>1956</v>
      </c>
      <c r="E154" s="140">
        <v>1</v>
      </c>
    </row>
    <row r="155" spans="4:5" x14ac:dyDescent="0.25">
      <c r="D155" s="139" t="s">
        <v>1024</v>
      </c>
      <c r="E155" s="140">
        <v>1</v>
      </c>
    </row>
    <row r="156" spans="4:5" x14ac:dyDescent="0.25">
      <c r="D156" s="139" t="s">
        <v>490</v>
      </c>
      <c r="E156" s="140">
        <v>1</v>
      </c>
    </row>
    <row r="157" spans="4:5" x14ac:dyDescent="0.25">
      <c r="D157" s="139" t="s">
        <v>1665</v>
      </c>
      <c r="E157" s="140">
        <v>1</v>
      </c>
    </row>
    <row r="158" spans="4:5" x14ac:dyDescent="0.25">
      <c r="D158" s="139" t="s">
        <v>400</v>
      </c>
      <c r="E158" s="140">
        <v>1</v>
      </c>
    </row>
    <row r="159" spans="4:5" x14ac:dyDescent="0.25">
      <c r="D159" s="139" t="s">
        <v>2213</v>
      </c>
      <c r="E159" s="140">
        <v>1</v>
      </c>
    </row>
    <row r="160" spans="4:5" x14ac:dyDescent="0.25">
      <c r="D160" s="139" t="s">
        <v>110</v>
      </c>
      <c r="E160" s="140">
        <v>1</v>
      </c>
    </row>
    <row r="161" spans="4:5" x14ac:dyDescent="0.25">
      <c r="D161" s="139" t="s">
        <v>854</v>
      </c>
      <c r="E161" s="140">
        <v>1</v>
      </c>
    </row>
    <row r="162" spans="4:5" x14ac:dyDescent="0.25">
      <c r="D162" s="139" t="s">
        <v>2233</v>
      </c>
      <c r="E162" s="140">
        <v>1</v>
      </c>
    </row>
    <row r="163" spans="4:5" x14ac:dyDescent="0.25">
      <c r="D163" s="139" t="s">
        <v>1265</v>
      </c>
      <c r="E163" s="140">
        <v>1</v>
      </c>
    </row>
    <row r="164" spans="4:5" x14ac:dyDescent="0.25">
      <c r="D164" s="139" t="s">
        <v>2087</v>
      </c>
      <c r="E164" s="140">
        <v>1</v>
      </c>
    </row>
    <row r="165" spans="4:5" x14ac:dyDescent="0.25">
      <c r="D165" s="139" t="s">
        <v>1986</v>
      </c>
      <c r="E165" s="140">
        <v>1</v>
      </c>
    </row>
    <row r="166" spans="4:5" x14ac:dyDescent="0.25">
      <c r="D166" s="139" t="s">
        <v>96</v>
      </c>
      <c r="E166" s="140">
        <v>1</v>
      </c>
    </row>
    <row r="167" spans="4:5" x14ac:dyDescent="0.25">
      <c r="D167" s="139" t="s">
        <v>1129</v>
      </c>
      <c r="E167" s="140">
        <v>1</v>
      </c>
    </row>
    <row r="168" spans="4:5" x14ac:dyDescent="0.25">
      <c r="D168" s="139" t="s">
        <v>1645</v>
      </c>
      <c r="E168" s="140">
        <v>1</v>
      </c>
    </row>
    <row r="169" spans="4:5" x14ac:dyDescent="0.25">
      <c r="D169" s="139" t="s">
        <v>972</v>
      </c>
      <c r="E169" s="140">
        <v>1</v>
      </c>
    </row>
    <row r="170" spans="4:5" x14ac:dyDescent="0.25">
      <c r="D170" s="139" t="s">
        <v>266</v>
      </c>
      <c r="E170" s="140">
        <v>1</v>
      </c>
    </row>
    <row r="171" spans="4:5" x14ac:dyDescent="0.25">
      <c r="D171" s="139" t="s">
        <v>1719</v>
      </c>
      <c r="E171" s="140">
        <v>1</v>
      </c>
    </row>
    <row r="172" spans="4:5" x14ac:dyDescent="0.25">
      <c r="D172" s="139" t="s">
        <v>878</v>
      </c>
      <c r="E172" s="140">
        <v>1</v>
      </c>
    </row>
    <row r="173" spans="4:5" x14ac:dyDescent="0.25">
      <c r="D173" s="139" t="s">
        <v>455</v>
      </c>
      <c r="E173" s="140">
        <v>1</v>
      </c>
    </row>
    <row r="174" spans="4:5" x14ac:dyDescent="0.25">
      <c r="D174" s="139" t="s">
        <v>952</v>
      </c>
      <c r="E174" s="140">
        <v>1</v>
      </c>
    </row>
    <row r="175" spans="4:5" x14ac:dyDescent="0.25">
      <c r="D175" s="139" t="s">
        <v>1189</v>
      </c>
      <c r="E175" s="140">
        <v>1</v>
      </c>
    </row>
    <row r="176" spans="4:5" x14ac:dyDescent="0.25">
      <c r="D176" s="139" t="s">
        <v>2038</v>
      </c>
      <c r="E176" s="140">
        <v>1</v>
      </c>
    </row>
    <row r="177" spans="4:5" x14ac:dyDescent="0.25">
      <c r="D177" s="139" t="s">
        <v>1324</v>
      </c>
      <c r="E177" s="140">
        <v>1</v>
      </c>
    </row>
    <row r="178" spans="4:5" x14ac:dyDescent="0.25">
      <c r="D178" s="139" t="s">
        <v>2306</v>
      </c>
      <c r="E178" s="140">
        <v>1</v>
      </c>
    </row>
    <row r="179" spans="4:5" x14ac:dyDescent="0.25">
      <c r="D179" s="139" t="s">
        <v>1860</v>
      </c>
      <c r="E179" s="140">
        <v>1</v>
      </c>
    </row>
    <row r="180" spans="4:5" x14ac:dyDescent="0.25">
      <c r="D180" s="139" t="s">
        <v>361</v>
      </c>
      <c r="E180" s="140">
        <v>1</v>
      </c>
    </row>
    <row r="181" spans="4:5" x14ac:dyDescent="0.25">
      <c r="D181" s="139" t="s">
        <v>1807</v>
      </c>
      <c r="E181" s="140">
        <v>1</v>
      </c>
    </row>
    <row r="182" spans="4:5" x14ac:dyDescent="0.25">
      <c r="D182" s="139" t="s">
        <v>113</v>
      </c>
      <c r="E182" s="140">
        <v>1</v>
      </c>
    </row>
    <row r="183" spans="4:5" x14ac:dyDescent="0.25">
      <c r="D183" s="139" t="s">
        <v>1519</v>
      </c>
      <c r="E183" s="140">
        <v>1</v>
      </c>
    </row>
    <row r="184" spans="4:5" x14ac:dyDescent="0.25">
      <c r="D184" s="139" t="s">
        <v>1360</v>
      </c>
      <c r="E184" s="140">
        <v>1</v>
      </c>
    </row>
    <row r="185" spans="4:5" x14ac:dyDescent="0.25">
      <c r="D185" s="139" t="s">
        <v>1912</v>
      </c>
      <c r="E185" s="140">
        <v>1</v>
      </c>
    </row>
    <row r="186" spans="4:5" x14ac:dyDescent="0.25">
      <c r="D186" s="139" t="s">
        <v>773</v>
      </c>
      <c r="E186" s="140">
        <v>1</v>
      </c>
    </row>
    <row r="187" spans="4:5" x14ac:dyDescent="0.25">
      <c r="D187" s="139" t="s">
        <v>673</v>
      </c>
      <c r="E187" s="140">
        <v>1</v>
      </c>
    </row>
    <row r="188" spans="4:5" x14ac:dyDescent="0.25">
      <c r="D188" s="139" t="s">
        <v>1173</v>
      </c>
      <c r="E188" s="140">
        <v>1</v>
      </c>
    </row>
    <row r="189" spans="4:5" x14ac:dyDescent="0.25">
      <c r="D189" s="139" t="s">
        <v>2255</v>
      </c>
      <c r="E189" s="140">
        <v>1</v>
      </c>
    </row>
    <row r="190" spans="4:5" x14ac:dyDescent="0.25">
      <c r="D190" s="139" t="s">
        <v>1961</v>
      </c>
      <c r="E190" s="140">
        <v>1</v>
      </c>
    </row>
    <row r="191" spans="4:5" x14ac:dyDescent="0.25">
      <c r="D191" s="139" t="s">
        <v>2060</v>
      </c>
      <c r="E191" s="140">
        <v>1</v>
      </c>
    </row>
    <row r="192" spans="4:5" x14ac:dyDescent="0.25">
      <c r="D192" s="139" t="s">
        <v>173</v>
      </c>
      <c r="E192" s="140">
        <v>1</v>
      </c>
    </row>
    <row r="193" spans="4:5" x14ac:dyDescent="0.25">
      <c r="D193" s="139" t="s">
        <v>1178</v>
      </c>
      <c r="E193" s="140">
        <v>1</v>
      </c>
    </row>
    <row r="194" spans="4:5" x14ac:dyDescent="0.25">
      <c r="D194" s="139" t="s">
        <v>996</v>
      </c>
      <c r="E194" s="140">
        <v>1</v>
      </c>
    </row>
    <row r="195" spans="4:5" x14ac:dyDescent="0.25">
      <c r="D195" s="139" t="s">
        <v>449</v>
      </c>
      <c r="E195" s="140">
        <v>1</v>
      </c>
    </row>
    <row r="196" spans="4:5" x14ac:dyDescent="0.25">
      <c r="D196" s="139" t="s">
        <v>840</v>
      </c>
      <c r="E196" s="140">
        <v>1</v>
      </c>
    </row>
    <row r="197" spans="4:5" x14ac:dyDescent="0.25">
      <c r="D197" s="139" t="s">
        <v>431</v>
      </c>
      <c r="E197" s="140">
        <v>1</v>
      </c>
    </row>
    <row r="198" spans="4:5" x14ac:dyDescent="0.25">
      <c r="D198" s="139" t="s">
        <v>2092</v>
      </c>
      <c r="E198" s="140">
        <v>1</v>
      </c>
    </row>
    <row r="199" spans="4:5" x14ac:dyDescent="0.25">
      <c r="D199" s="139" t="s">
        <v>1458</v>
      </c>
      <c r="E199" s="140">
        <v>1</v>
      </c>
    </row>
    <row r="200" spans="4:5" x14ac:dyDescent="0.25">
      <c r="D200" s="139" t="s">
        <v>625</v>
      </c>
      <c r="E200" s="140">
        <v>1</v>
      </c>
    </row>
    <row r="201" spans="4:5" x14ac:dyDescent="0.25">
      <c r="D201" s="139" t="s">
        <v>859</v>
      </c>
      <c r="E201" s="140">
        <v>1</v>
      </c>
    </row>
    <row r="202" spans="4:5" x14ac:dyDescent="0.25">
      <c r="D202" s="139" t="s">
        <v>106</v>
      </c>
      <c r="E202" s="140">
        <v>1</v>
      </c>
    </row>
    <row r="203" spans="4:5" x14ac:dyDescent="0.25">
      <c r="D203" s="139" t="s">
        <v>2113</v>
      </c>
      <c r="E203" s="140">
        <v>1</v>
      </c>
    </row>
    <row r="204" spans="4:5" x14ac:dyDescent="0.25">
      <c r="D204" s="139" t="s">
        <v>2161</v>
      </c>
      <c r="E204" s="140">
        <v>1</v>
      </c>
    </row>
    <row r="205" spans="4:5" x14ac:dyDescent="0.25">
      <c r="D205" s="139" t="s">
        <v>1260</v>
      </c>
      <c r="E205" s="140">
        <v>1</v>
      </c>
    </row>
    <row r="206" spans="4:5" x14ac:dyDescent="0.25">
      <c r="D206" s="139" t="s">
        <v>962</v>
      </c>
      <c r="E206" s="140">
        <v>1</v>
      </c>
    </row>
    <row r="207" spans="4:5" x14ac:dyDescent="0.25">
      <c r="D207" s="139" t="s">
        <v>1111</v>
      </c>
      <c r="E207" s="140">
        <v>1</v>
      </c>
    </row>
    <row r="208" spans="4:5" x14ac:dyDescent="0.25">
      <c r="D208" s="139" t="s">
        <v>1999</v>
      </c>
      <c r="E208" s="140">
        <v>1</v>
      </c>
    </row>
    <row r="209" spans="4:5" x14ac:dyDescent="0.25">
      <c r="D209" s="139" t="s">
        <v>1549</v>
      </c>
      <c r="E209" s="140">
        <v>1</v>
      </c>
    </row>
    <row r="210" spans="4:5" x14ac:dyDescent="0.25">
      <c r="D210" s="139" t="s">
        <v>1581</v>
      </c>
      <c r="E210" s="140">
        <v>1</v>
      </c>
    </row>
    <row r="211" spans="4:5" x14ac:dyDescent="0.25">
      <c r="D211" s="139" t="s">
        <v>911</v>
      </c>
      <c r="E211" s="140">
        <v>1</v>
      </c>
    </row>
    <row r="212" spans="4:5" x14ac:dyDescent="0.25">
      <c r="D212" s="139" t="s">
        <v>2073</v>
      </c>
      <c r="E212" s="140">
        <v>1</v>
      </c>
    </row>
    <row r="213" spans="4:5" x14ac:dyDescent="0.25">
      <c r="D213" s="139" t="s">
        <v>79</v>
      </c>
      <c r="E213" s="140">
        <v>1</v>
      </c>
    </row>
    <row r="214" spans="4:5" x14ac:dyDescent="0.25">
      <c r="D214" s="139" t="s">
        <v>560</v>
      </c>
      <c r="E214" s="140">
        <v>1</v>
      </c>
    </row>
    <row r="215" spans="4:5" x14ac:dyDescent="0.25">
      <c r="D215" s="139" t="s">
        <v>1351</v>
      </c>
      <c r="E215" s="140">
        <v>1</v>
      </c>
    </row>
    <row r="216" spans="4:5" x14ac:dyDescent="0.25">
      <c r="D216" s="139" t="s">
        <v>1395</v>
      </c>
      <c r="E216" s="140">
        <v>1</v>
      </c>
    </row>
    <row r="217" spans="4:5" x14ac:dyDescent="0.25">
      <c r="D217" s="139" t="s">
        <v>864</v>
      </c>
      <c r="E217" s="140">
        <v>1</v>
      </c>
    </row>
    <row r="218" spans="4:5" x14ac:dyDescent="0.25">
      <c r="D218" s="139" t="s">
        <v>805</v>
      </c>
      <c r="E218" s="140">
        <v>1</v>
      </c>
    </row>
    <row r="219" spans="4:5" x14ac:dyDescent="0.25">
      <c r="D219" s="139" t="s">
        <v>2131</v>
      </c>
      <c r="E219" s="140">
        <v>1</v>
      </c>
    </row>
    <row r="220" spans="4:5" x14ac:dyDescent="0.25">
      <c r="D220" s="139" t="s">
        <v>547</v>
      </c>
      <c r="E220" s="140">
        <v>1</v>
      </c>
    </row>
    <row r="221" spans="4:5" x14ac:dyDescent="0.25">
      <c r="D221" s="139" t="s">
        <v>1116</v>
      </c>
      <c r="E221" s="140">
        <v>1</v>
      </c>
    </row>
    <row r="222" spans="4:5" x14ac:dyDescent="0.25">
      <c r="D222" s="139" t="s">
        <v>1624</v>
      </c>
      <c r="E222" s="140">
        <v>1</v>
      </c>
    </row>
    <row r="223" spans="4:5" x14ac:dyDescent="0.25">
      <c r="D223" s="139" t="s">
        <v>1881</v>
      </c>
      <c r="E223" s="140">
        <v>1</v>
      </c>
    </row>
    <row r="224" spans="4:5" x14ac:dyDescent="0.25">
      <c r="D224" s="139" t="s">
        <v>2266</v>
      </c>
      <c r="E224" s="140">
        <v>1</v>
      </c>
    </row>
    <row r="225" spans="4:5" x14ac:dyDescent="0.25">
      <c r="D225" s="139" t="s">
        <v>58</v>
      </c>
      <c r="E225" s="140">
        <v>1</v>
      </c>
    </row>
    <row r="226" spans="4:5" x14ac:dyDescent="0.25">
      <c r="D226" s="139" t="s">
        <v>1478</v>
      </c>
      <c r="E226" s="140">
        <v>1</v>
      </c>
    </row>
    <row r="227" spans="4:5" x14ac:dyDescent="0.25">
      <c r="D227" s="139" t="s">
        <v>277</v>
      </c>
      <c r="E227" s="140">
        <v>1</v>
      </c>
    </row>
    <row r="228" spans="4:5" x14ac:dyDescent="0.25">
      <c r="D228" s="139" t="s">
        <v>1220</v>
      </c>
      <c r="E228" s="140">
        <v>1</v>
      </c>
    </row>
    <row r="229" spans="4:5" x14ac:dyDescent="0.25">
      <c r="D229" s="139" t="s">
        <v>1001</v>
      </c>
      <c r="E229" s="140">
        <v>1</v>
      </c>
    </row>
    <row r="230" spans="4:5" x14ac:dyDescent="0.25">
      <c r="D230" s="139" t="s">
        <v>811</v>
      </c>
      <c r="E230" s="140">
        <v>1</v>
      </c>
    </row>
    <row r="231" spans="4:5" x14ac:dyDescent="0.25">
      <c r="D231" s="139" t="s">
        <v>1611</v>
      </c>
      <c r="E231" s="140">
        <v>1</v>
      </c>
    </row>
    <row r="232" spans="4:5" x14ac:dyDescent="0.25">
      <c r="D232" s="139" t="s">
        <v>1951</v>
      </c>
      <c r="E232" s="140">
        <v>1</v>
      </c>
    </row>
    <row r="233" spans="4:5" x14ac:dyDescent="0.25">
      <c r="D233" s="139" t="s">
        <v>1929</v>
      </c>
      <c r="E233" s="140">
        <v>1</v>
      </c>
    </row>
    <row r="234" spans="4:5" x14ac:dyDescent="0.25">
      <c r="D234" s="139" t="s">
        <v>1907</v>
      </c>
      <c r="E234" s="140">
        <v>1</v>
      </c>
    </row>
    <row r="235" spans="4:5" x14ac:dyDescent="0.25">
      <c r="D235" s="139" t="s">
        <v>317</v>
      </c>
      <c r="E235" s="140">
        <v>1</v>
      </c>
    </row>
    <row r="236" spans="4:5" x14ac:dyDescent="0.25">
      <c r="D236" s="139" t="s">
        <v>1329</v>
      </c>
      <c r="E236" s="140">
        <v>1</v>
      </c>
    </row>
    <row r="237" spans="4:5" x14ac:dyDescent="0.25">
      <c r="D237" s="139" t="s">
        <v>2047</v>
      </c>
      <c r="E237" s="140">
        <v>1</v>
      </c>
    </row>
    <row r="238" spans="4:5" x14ac:dyDescent="0.25">
      <c r="D238" s="139" t="s">
        <v>2148</v>
      </c>
      <c r="E238" s="140">
        <v>1</v>
      </c>
    </row>
    <row r="239" spans="4:5" x14ac:dyDescent="0.25">
      <c r="D239" s="139" t="s">
        <v>744</v>
      </c>
      <c r="E239" s="140">
        <v>1</v>
      </c>
    </row>
    <row r="240" spans="4:5" x14ac:dyDescent="0.25">
      <c r="D240" s="139" t="s">
        <v>339</v>
      </c>
      <c r="E240" s="140">
        <v>1</v>
      </c>
    </row>
    <row r="241" spans="4:5" x14ac:dyDescent="0.25">
      <c r="D241" s="139" t="s">
        <v>167</v>
      </c>
      <c r="E241" s="140">
        <v>1</v>
      </c>
    </row>
    <row r="242" spans="4:5" x14ac:dyDescent="0.25">
      <c r="D242" s="139" t="s">
        <v>1164</v>
      </c>
      <c r="E242" s="140">
        <v>1</v>
      </c>
    </row>
    <row r="243" spans="4:5" x14ac:dyDescent="0.25">
      <c r="D243" s="139" t="s">
        <v>306</v>
      </c>
      <c r="E243" s="140">
        <v>1</v>
      </c>
    </row>
    <row r="244" spans="4:5" x14ac:dyDescent="0.25">
      <c r="D244" s="139" t="s">
        <v>2271</v>
      </c>
      <c r="E244" s="140">
        <v>1</v>
      </c>
    </row>
    <row r="245" spans="4:5" x14ac:dyDescent="0.25">
      <c r="D245" s="139" t="s">
        <v>1468</v>
      </c>
      <c r="E245" s="140">
        <v>1</v>
      </c>
    </row>
    <row r="246" spans="4:5" x14ac:dyDescent="0.25">
      <c r="D246" s="139" t="s">
        <v>1390</v>
      </c>
      <c r="E246" s="140">
        <v>1</v>
      </c>
    </row>
    <row r="247" spans="4:5" x14ac:dyDescent="0.25">
      <c r="D247" s="139" t="s">
        <v>1830</v>
      </c>
      <c r="E247" s="140">
        <v>1</v>
      </c>
    </row>
    <row r="248" spans="4:5" x14ac:dyDescent="0.25">
      <c r="D248" s="139" t="s">
        <v>2296</v>
      </c>
      <c r="E248" s="140">
        <v>1</v>
      </c>
    </row>
    <row r="249" spans="4:5" x14ac:dyDescent="0.25">
      <c r="D249" s="139" t="s">
        <v>977</v>
      </c>
      <c r="E249" s="140">
        <v>1</v>
      </c>
    </row>
    <row r="250" spans="4:5" x14ac:dyDescent="0.25">
      <c r="D250" s="139" t="s">
        <v>1554</v>
      </c>
      <c r="E250" s="140">
        <v>1</v>
      </c>
    </row>
    <row r="251" spans="4:5" x14ac:dyDescent="0.25">
      <c r="D251" s="139" t="s">
        <v>596</v>
      </c>
      <c r="E251" s="140">
        <v>1</v>
      </c>
    </row>
    <row r="252" spans="4:5" x14ac:dyDescent="0.25">
      <c r="D252" s="139" t="s">
        <v>2208</v>
      </c>
      <c r="E252" s="140">
        <v>1</v>
      </c>
    </row>
    <row r="253" spans="4:5" x14ac:dyDescent="0.25">
      <c r="D253" s="139" t="s">
        <v>763</v>
      </c>
      <c r="E253" s="140">
        <v>1</v>
      </c>
    </row>
    <row r="254" spans="4:5" x14ac:dyDescent="0.25">
      <c r="D254" s="139" t="s">
        <v>1689</v>
      </c>
      <c r="E254" s="140">
        <v>1</v>
      </c>
    </row>
    <row r="255" spans="4:5" x14ac:dyDescent="0.25">
      <c r="D255" s="139" t="s">
        <v>1059</v>
      </c>
      <c r="E255" s="140">
        <v>1</v>
      </c>
    </row>
    <row r="256" spans="4:5" x14ac:dyDescent="0.25">
      <c r="D256" s="139" t="s">
        <v>470</v>
      </c>
      <c r="E256" s="140">
        <v>1</v>
      </c>
    </row>
    <row r="257" spans="4:5" x14ac:dyDescent="0.25">
      <c r="D257" s="139" t="s">
        <v>1143</v>
      </c>
      <c r="E257" s="140">
        <v>1</v>
      </c>
    </row>
    <row r="258" spans="4:5" x14ac:dyDescent="0.25">
      <c r="D258" s="139" t="s">
        <v>845</v>
      </c>
      <c r="E258" s="140">
        <v>1</v>
      </c>
    </row>
    <row r="259" spans="4:5" x14ac:dyDescent="0.25">
      <c r="D259" s="139" t="s">
        <v>1050</v>
      </c>
      <c r="E259" s="140">
        <v>1</v>
      </c>
    </row>
    <row r="260" spans="4:5" x14ac:dyDescent="0.25">
      <c r="D260" s="139" t="s">
        <v>679</v>
      </c>
      <c r="E260" s="140">
        <v>1</v>
      </c>
    </row>
    <row r="261" spans="4:5" x14ac:dyDescent="0.25">
      <c r="D261" s="139" t="s">
        <v>644</v>
      </c>
      <c r="E261" s="140">
        <v>1</v>
      </c>
    </row>
    <row r="262" spans="4:5" x14ac:dyDescent="0.25">
      <c r="D262" s="139" t="s">
        <v>2082</v>
      </c>
      <c r="E262" s="140">
        <v>1</v>
      </c>
    </row>
    <row r="263" spans="4:5" x14ac:dyDescent="0.25">
      <c r="D263" s="139" t="s">
        <v>967</v>
      </c>
      <c r="E263" s="140">
        <v>1</v>
      </c>
    </row>
    <row r="264" spans="4:5" x14ac:dyDescent="0.25">
      <c r="D264" s="139" t="s">
        <v>2223</v>
      </c>
      <c r="E264" s="140">
        <v>1</v>
      </c>
    </row>
    <row r="265" spans="4:5" x14ac:dyDescent="0.25">
      <c r="D265" s="139" t="s">
        <v>2283</v>
      </c>
      <c r="E265" s="140">
        <v>1</v>
      </c>
    </row>
    <row r="266" spans="4:5" x14ac:dyDescent="0.25">
      <c r="D266" s="139" t="s">
        <v>2177</v>
      </c>
      <c r="E266" s="140">
        <v>1</v>
      </c>
    </row>
    <row r="267" spans="4:5" x14ac:dyDescent="0.25">
      <c r="D267" s="139" t="s">
        <v>1473</v>
      </c>
      <c r="E267" s="140">
        <v>1</v>
      </c>
    </row>
    <row r="268" spans="4:5" x14ac:dyDescent="0.25">
      <c r="D268" s="139" t="s">
        <v>1006</v>
      </c>
      <c r="E268" s="140">
        <v>1</v>
      </c>
    </row>
    <row r="269" spans="4:5" x14ac:dyDescent="0.25">
      <c r="D269" s="139" t="s">
        <v>1065</v>
      </c>
      <c r="E269" s="140">
        <v>1</v>
      </c>
    </row>
    <row r="270" spans="4:5" x14ac:dyDescent="0.25">
      <c r="D270" s="139" t="s">
        <v>2261</v>
      </c>
      <c r="E270" s="140">
        <v>1</v>
      </c>
    </row>
    <row r="271" spans="4:5" x14ac:dyDescent="0.25">
      <c r="D271" s="139" t="s">
        <v>3548</v>
      </c>
      <c r="E271" s="142"/>
    </row>
    <row r="272" spans="4:5" x14ac:dyDescent="0.25">
      <c r="D272" s="143" t="s">
        <v>3549</v>
      </c>
      <c r="E272" s="144">
        <v>492</v>
      </c>
    </row>
  </sheetData>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F29"/>
  <sheetViews>
    <sheetView showZeros="0" zoomScaleNormal="100" workbookViewId="0">
      <selection activeCell="C14" sqref="C14"/>
    </sheetView>
  </sheetViews>
  <sheetFormatPr defaultColWidth="9.140625" defaultRowHeight="15.75" x14ac:dyDescent="0.25"/>
  <cols>
    <col min="1" max="1" width="9.140625" style="27"/>
    <col min="2" max="2" width="17.85546875" style="27" customWidth="1"/>
    <col min="3" max="3" width="18" style="27" customWidth="1"/>
    <col min="4" max="42" width="9.7109375" style="27" customWidth="1"/>
    <col min="43" max="43" width="12.85546875" style="27" customWidth="1"/>
    <col min="44" max="16384" width="9.140625" style="27"/>
  </cols>
  <sheetData>
    <row r="1" spans="1:6" x14ac:dyDescent="0.25">
      <c r="A1" s="256" t="s">
        <v>3550</v>
      </c>
      <c r="B1" s="256"/>
      <c r="C1" s="256"/>
      <c r="D1" s="256"/>
      <c r="E1" s="256"/>
      <c r="F1" s="256"/>
    </row>
    <row r="3" spans="1:6" x14ac:dyDescent="0.25">
      <c r="A3" s="145" t="s">
        <v>39</v>
      </c>
      <c r="B3" s="145" t="s">
        <v>3551</v>
      </c>
      <c r="C3" s="145" t="s">
        <v>3543</v>
      </c>
      <c r="D3" s="145" t="s">
        <v>3537</v>
      </c>
      <c r="E3" s="145" t="s">
        <v>3544</v>
      </c>
      <c r="F3" s="145" t="s">
        <v>3545</v>
      </c>
    </row>
    <row r="4" spans="1:6" x14ac:dyDescent="0.25">
      <c r="A4" s="145" t="s">
        <v>56</v>
      </c>
      <c r="B4" s="146">
        <v>46028</v>
      </c>
      <c r="C4" s="147">
        <v>55</v>
      </c>
      <c r="D4" s="147">
        <v>16</v>
      </c>
      <c r="E4" s="147">
        <v>9</v>
      </c>
      <c r="F4" s="147">
        <f t="shared" ref="F4:F26" si="0">SUM(C4:E4)</f>
        <v>80</v>
      </c>
    </row>
    <row r="5" spans="1:6" x14ac:dyDescent="0.25">
      <c r="A5" s="145" t="s">
        <v>65</v>
      </c>
      <c r="B5" s="146">
        <v>46042</v>
      </c>
      <c r="C5" s="147">
        <v>45</v>
      </c>
      <c r="D5" s="147">
        <v>13</v>
      </c>
      <c r="E5" s="147">
        <v>11</v>
      </c>
      <c r="F5" s="147">
        <f t="shared" si="0"/>
        <v>69</v>
      </c>
    </row>
    <row r="6" spans="1:6" x14ac:dyDescent="0.25">
      <c r="A6" s="145" t="s">
        <v>72</v>
      </c>
      <c r="B6" s="146">
        <v>46057</v>
      </c>
      <c r="C6" s="147">
        <v>45</v>
      </c>
      <c r="D6" s="147">
        <v>12</v>
      </c>
      <c r="E6" s="147">
        <v>15</v>
      </c>
      <c r="F6" s="147">
        <f t="shared" si="0"/>
        <v>72</v>
      </c>
    </row>
    <row r="7" spans="1:6" x14ac:dyDescent="0.25">
      <c r="A7" s="145" t="s">
        <v>80</v>
      </c>
      <c r="B7" s="146">
        <v>46070</v>
      </c>
      <c r="C7" s="147">
        <v>45</v>
      </c>
      <c r="D7" s="147">
        <v>17</v>
      </c>
      <c r="E7" s="147">
        <v>6</v>
      </c>
      <c r="F7" s="147">
        <f t="shared" si="0"/>
        <v>68</v>
      </c>
    </row>
    <row r="8" spans="1:6" x14ac:dyDescent="0.25">
      <c r="A8" s="145" t="s">
        <v>89</v>
      </c>
      <c r="B8" s="146">
        <v>46084</v>
      </c>
      <c r="C8" s="147">
        <v>35</v>
      </c>
      <c r="D8" s="147">
        <v>19</v>
      </c>
      <c r="E8" s="147">
        <v>8</v>
      </c>
      <c r="F8" s="147">
        <f t="shared" si="0"/>
        <v>62</v>
      </c>
    </row>
    <row r="9" spans="1:6" x14ac:dyDescent="0.25">
      <c r="A9" s="145" t="s">
        <v>97</v>
      </c>
      <c r="B9" s="146">
        <v>46098</v>
      </c>
      <c r="C9" s="147">
        <v>47</v>
      </c>
      <c r="D9" s="147">
        <v>21</v>
      </c>
      <c r="E9" s="147">
        <v>14</v>
      </c>
      <c r="F9" s="147">
        <f t="shared" si="0"/>
        <v>82</v>
      </c>
    </row>
    <row r="10" spans="1:6" x14ac:dyDescent="0.25">
      <c r="A10" s="145" t="s">
        <v>104</v>
      </c>
      <c r="B10" s="146">
        <v>46112</v>
      </c>
      <c r="C10" s="147">
        <v>40</v>
      </c>
      <c r="D10" s="147">
        <v>15</v>
      </c>
      <c r="E10" s="147">
        <v>11</v>
      </c>
      <c r="F10" s="147">
        <f t="shared" si="0"/>
        <v>66</v>
      </c>
    </row>
    <row r="11" spans="1:6" x14ac:dyDescent="0.25">
      <c r="A11" s="145" t="s">
        <v>111</v>
      </c>
      <c r="B11" s="146">
        <v>46126</v>
      </c>
      <c r="C11" s="147">
        <v>40</v>
      </c>
      <c r="D11" s="147">
        <v>15</v>
      </c>
      <c r="E11" s="147">
        <v>6</v>
      </c>
      <c r="F11" s="147">
        <f t="shared" si="0"/>
        <v>61</v>
      </c>
    </row>
    <row r="12" spans="1:6" x14ac:dyDescent="0.25">
      <c r="A12" s="145" t="s">
        <v>117</v>
      </c>
      <c r="B12" s="146">
        <v>46140</v>
      </c>
      <c r="C12" s="147">
        <v>48</v>
      </c>
      <c r="D12" s="147">
        <v>14</v>
      </c>
      <c r="E12" s="147">
        <v>9</v>
      </c>
      <c r="F12" s="147">
        <f t="shared" si="0"/>
        <v>71</v>
      </c>
    </row>
    <row r="13" spans="1:6" x14ac:dyDescent="0.25">
      <c r="A13" s="145" t="s">
        <v>123</v>
      </c>
      <c r="B13" s="146">
        <v>46154</v>
      </c>
      <c r="C13" s="147">
        <v>52</v>
      </c>
      <c r="D13" s="147">
        <v>16</v>
      </c>
      <c r="E13" s="147">
        <v>13</v>
      </c>
      <c r="F13" s="147">
        <f t="shared" si="0"/>
        <v>81</v>
      </c>
    </row>
    <row r="14" spans="1:6" x14ac:dyDescent="0.25">
      <c r="A14" s="145" t="s">
        <v>129</v>
      </c>
      <c r="B14" s="146">
        <v>46175</v>
      </c>
      <c r="C14" s="147">
        <v>40</v>
      </c>
      <c r="D14" s="147">
        <v>24</v>
      </c>
      <c r="E14" s="147">
        <v>10</v>
      </c>
      <c r="F14" s="147">
        <f t="shared" si="0"/>
        <v>74</v>
      </c>
    </row>
    <row r="15" spans="1:6" x14ac:dyDescent="0.25">
      <c r="A15" s="145" t="s">
        <v>134</v>
      </c>
      <c r="B15" s="146"/>
      <c r="C15" s="147"/>
      <c r="D15" s="147"/>
      <c r="E15" s="147"/>
      <c r="F15" s="147">
        <f t="shared" si="0"/>
        <v>0</v>
      </c>
    </row>
    <row r="16" spans="1:6" x14ac:dyDescent="0.25">
      <c r="A16" s="145" t="s">
        <v>141</v>
      </c>
      <c r="B16" s="146"/>
      <c r="C16" s="147"/>
      <c r="D16" s="147"/>
      <c r="E16" s="147"/>
      <c r="F16" s="147">
        <f t="shared" si="0"/>
        <v>0</v>
      </c>
    </row>
    <row r="17" spans="1:6" x14ac:dyDescent="0.25">
      <c r="A17" s="145" t="s">
        <v>147</v>
      </c>
      <c r="B17" s="146"/>
      <c r="C17" s="147"/>
      <c r="D17" s="147"/>
      <c r="E17" s="147"/>
      <c r="F17" s="147">
        <f t="shared" si="0"/>
        <v>0</v>
      </c>
    </row>
    <row r="18" spans="1:6" x14ac:dyDescent="0.25">
      <c r="A18" s="145" t="s">
        <v>153</v>
      </c>
      <c r="B18" s="146"/>
      <c r="C18" s="147"/>
      <c r="D18" s="147"/>
      <c r="E18" s="147"/>
      <c r="F18" s="147">
        <f t="shared" si="0"/>
        <v>0</v>
      </c>
    </row>
    <row r="19" spans="1:6" x14ac:dyDescent="0.25">
      <c r="A19" s="145" t="s">
        <v>160</v>
      </c>
      <c r="B19" s="146"/>
      <c r="C19" s="147"/>
      <c r="D19" s="147"/>
      <c r="E19" s="147"/>
      <c r="F19" s="147">
        <f t="shared" si="0"/>
        <v>0</v>
      </c>
    </row>
    <row r="20" spans="1:6" x14ac:dyDescent="0.25">
      <c r="A20" s="145" t="s">
        <v>165</v>
      </c>
      <c r="B20" s="146"/>
      <c r="C20" s="147"/>
      <c r="D20" s="147"/>
      <c r="E20" s="147"/>
      <c r="F20" s="147">
        <f t="shared" si="0"/>
        <v>0</v>
      </c>
    </row>
    <row r="21" spans="1:6" x14ac:dyDescent="0.25">
      <c r="A21" s="145" t="s">
        <v>171</v>
      </c>
      <c r="B21" s="146"/>
      <c r="C21" s="147"/>
      <c r="D21" s="147"/>
      <c r="E21" s="147"/>
      <c r="F21" s="147">
        <f t="shared" si="0"/>
        <v>0</v>
      </c>
    </row>
    <row r="22" spans="1:6" x14ac:dyDescent="0.25">
      <c r="A22" s="145" t="s">
        <v>177</v>
      </c>
      <c r="B22" s="146"/>
      <c r="C22" s="147"/>
      <c r="D22" s="147"/>
      <c r="E22" s="147"/>
      <c r="F22" s="147">
        <f t="shared" si="0"/>
        <v>0</v>
      </c>
    </row>
    <row r="23" spans="1:6" x14ac:dyDescent="0.25">
      <c r="A23" s="145" t="s">
        <v>183</v>
      </c>
      <c r="B23" s="146"/>
      <c r="C23" s="147"/>
      <c r="D23" s="147"/>
      <c r="E23" s="147"/>
      <c r="F23" s="147">
        <f t="shared" si="0"/>
        <v>0</v>
      </c>
    </row>
    <row r="24" spans="1:6" x14ac:dyDescent="0.25">
      <c r="A24" s="145" t="s">
        <v>187</v>
      </c>
      <c r="B24" s="146"/>
      <c r="C24" s="147"/>
      <c r="D24" s="147"/>
      <c r="E24" s="147"/>
      <c r="F24" s="147">
        <f t="shared" si="0"/>
        <v>0</v>
      </c>
    </row>
    <row r="25" spans="1:6" x14ac:dyDescent="0.25">
      <c r="A25" s="145" t="s">
        <v>194</v>
      </c>
      <c r="B25" s="146"/>
      <c r="C25" s="147"/>
      <c r="D25" s="147"/>
      <c r="E25" s="147"/>
      <c r="F25" s="147">
        <f t="shared" si="0"/>
        <v>0</v>
      </c>
    </row>
    <row r="26" spans="1:6" x14ac:dyDescent="0.25">
      <c r="A26" s="145" t="s">
        <v>199</v>
      </c>
      <c r="B26" s="146"/>
      <c r="C26" s="147"/>
      <c r="D26" s="147"/>
      <c r="E26" s="147"/>
      <c r="F26" s="147">
        <f t="shared" si="0"/>
        <v>0</v>
      </c>
    </row>
    <row r="27" spans="1:6" ht="20.25" customHeight="1" x14ac:dyDescent="0.25">
      <c r="A27" s="257" t="s">
        <v>4</v>
      </c>
      <c r="B27" s="257"/>
      <c r="C27" s="148">
        <f>SUM(C4:C26)</f>
        <v>492</v>
      </c>
      <c r="D27" s="149">
        <f>SUM(D4:D26)</f>
        <v>182</v>
      </c>
      <c r="E27" s="150">
        <f>SUM(E4:E26)</f>
        <v>112</v>
      </c>
      <c r="F27" s="148">
        <f>SUM(F4:F26)</f>
        <v>786</v>
      </c>
    </row>
    <row r="28" spans="1:6" x14ac:dyDescent="0.25">
      <c r="D28" s="258">
        <f>SUM(D27:E27)</f>
        <v>294</v>
      </c>
      <c r="E28" s="258"/>
    </row>
    <row r="29" spans="1:6" x14ac:dyDescent="0.25">
      <c r="D29" s="259">
        <f>F27-D28</f>
        <v>492</v>
      </c>
      <c r="E29" s="259"/>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pageSetUpPr fitToPage="1"/>
  </sheetPr>
  <dimension ref="A1:E50"/>
  <sheetViews>
    <sheetView showZeros="0" topLeftCell="A22" zoomScaleNormal="100" workbookViewId="0">
      <selection activeCell="B53" sqref="B53"/>
    </sheetView>
  </sheetViews>
  <sheetFormatPr defaultColWidth="64" defaultRowHeight="15.75" x14ac:dyDescent="0.25"/>
  <cols>
    <col min="1" max="1" width="41" style="151" customWidth="1"/>
    <col min="2" max="3" width="38.5703125" style="151" customWidth="1"/>
    <col min="4" max="4" width="64" style="152"/>
    <col min="5" max="5" width="33.85546875" style="29" customWidth="1"/>
    <col min="6" max="16384" width="64" style="152"/>
  </cols>
  <sheetData>
    <row r="1" spans="1:3" x14ac:dyDescent="0.25">
      <c r="A1" s="153"/>
      <c r="B1" s="151">
        <f t="array" ref="B1">INDEX($A:$A, (ROW()-1)*2 + COLUMN()-1)</f>
        <v>0</v>
      </c>
      <c r="C1" s="151">
        <f t="array" ref="C1">INDEX($A:$A, (ROW()-1)*2 + COLUMN()-1)</f>
        <v>0</v>
      </c>
    </row>
    <row r="2" spans="1:3" x14ac:dyDescent="0.25">
      <c r="B2" s="151">
        <f t="array" ref="B2">INDEX($A:$A, (ROW()-1)*2 + COLUMN()-1)</f>
        <v>0</v>
      </c>
      <c r="C2" s="151">
        <f t="array" ref="C2">INDEX($A:$A, (ROW()-1)*2 + COLUMN()-1)</f>
        <v>0</v>
      </c>
    </row>
    <row r="3" spans="1:3" x14ac:dyDescent="0.25">
      <c r="B3" s="151">
        <f t="array" ref="B3">INDEX($A:$A, (ROW()-1)*2 + COLUMN()-1)</f>
        <v>0</v>
      </c>
      <c r="C3" s="151">
        <f t="array" ref="C3">INDEX($A:$A, (ROW()-1)*2 + COLUMN()-1)</f>
        <v>0</v>
      </c>
    </row>
    <row r="4" spans="1:3" x14ac:dyDescent="0.25">
      <c r="B4" s="151">
        <f t="array" ref="B4">INDEX($A:$A, (ROW()-1)*2 + COLUMN()-1)</f>
        <v>0</v>
      </c>
      <c r="C4" s="151">
        <f t="array" ref="C4">INDEX($A:$A, (ROW()-1)*2 + COLUMN()-1)</f>
        <v>0</v>
      </c>
    </row>
    <row r="5" spans="1:3" x14ac:dyDescent="0.25">
      <c r="B5" s="151">
        <f t="array" ref="B5">INDEX($A:$A, (ROW()-1)*2 + COLUMN()-1)</f>
        <v>0</v>
      </c>
      <c r="C5" s="151">
        <f t="array" ref="C5">INDEX($A:$A, (ROW()-1)*2 + COLUMN()-1)</f>
        <v>0</v>
      </c>
    </row>
    <row r="6" spans="1:3" x14ac:dyDescent="0.25">
      <c r="B6" s="151">
        <f t="array" ref="B6">INDEX($A:$A, (ROW()-1)*2 + COLUMN()-1)</f>
        <v>0</v>
      </c>
      <c r="C6" s="151">
        <f t="array" ref="C6">INDEX($A:$A, (ROW()-1)*2 + COLUMN()-1)</f>
        <v>0</v>
      </c>
    </row>
    <row r="7" spans="1:3" x14ac:dyDescent="0.25">
      <c r="B7" s="151">
        <f t="array" ref="B7">INDEX($A:$A, (ROW()-1)*2 + COLUMN()-1)</f>
        <v>0</v>
      </c>
      <c r="C7" s="151">
        <f t="array" ref="C7">INDEX($A:$A, (ROW()-1)*2 + COLUMN()-1)</f>
        <v>0</v>
      </c>
    </row>
    <row r="8" spans="1:3" x14ac:dyDescent="0.25">
      <c r="B8" s="151">
        <f t="array" ref="B8">INDEX($A:$A, (ROW()-1)*2 + COLUMN()-1)</f>
        <v>0</v>
      </c>
      <c r="C8" s="151">
        <f t="array" ref="C8">INDEX($A:$A, (ROW()-1)*2 + COLUMN()-1)</f>
        <v>0</v>
      </c>
    </row>
    <row r="9" spans="1:3" x14ac:dyDescent="0.25">
      <c r="B9" s="151">
        <f t="array" ref="B9">INDEX($A:$A, (ROW()-1)*2 + COLUMN()-1)</f>
        <v>0</v>
      </c>
      <c r="C9" s="151">
        <f t="array" ref="C9">INDEX($A:$A, (ROW()-1)*2 + COLUMN()-1)</f>
        <v>0</v>
      </c>
    </row>
    <row r="10" spans="1:3" x14ac:dyDescent="0.25">
      <c r="B10" s="151">
        <f t="array" ref="B10">INDEX($A:$A, (ROW()-1)*2 + COLUMN()-1)</f>
        <v>0</v>
      </c>
      <c r="C10" s="151">
        <f t="array" ref="C10">INDEX($A:$A, (ROW()-1)*2 + COLUMN()-1)</f>
        <v>0</v>
      </c>
    </row>
    <row r="11" spans="1:3" x14ac:dyDescent="0.25">
      <c r="B11" s="151">
        <f t="array" ref="B11">INDEX($A:$A, (ROW()-1)*2 + COLUMN()-1)</f>
        <v>0</v>
      </c>
      <c r="C11" s="151">
        <f t="array" ref="C11">INDEX($A:$A, (ROW()-1)*2 + COLUMN()-1)</f>
        <v>0</v>
      </c>
    </row>
    <row r="12" spans="1:3" x14ac:dyDescent="0.25">
      <c r="B12" s="151">
        <f t="array" ref="B12">INDEX($A:$A, (ROW()-1)*2 + COLUMN()-1)</f>
        <v>0</v>
      </c>
      <c r="C12" s="151">
        <f t="array" ref="C12">INDEX($A:$A, (ROW()-1)*2 + COLUMN()-1)</f>
        <v>0</v>
      </c>
    </row>
    <row r="13" spans="1:3" x14ac:dyDescent="0.25">
      <c r="B13" s="151">
        <f t="array" ref="B13">INDEX($A:$A, (ROW()-1)*2 + COLUMN()-1)</f>
        <v>0</v>
      </c>
      <c r="C13" s="151">
        <f t="array" ref="C13">INDEX($A:$A, (ROW()-1)*2 + COLUMN()-1)</f>
        <v>0</v>
      </c>
    </row>
    <row r="14" spans="1:3" x14ac:dyDescent="0.25">
      <c r="B14" s="151">
        <f t="array" ref="B14">INDEX($A:$A, (ROW()-1)*2 + COLUMN()-1)</f>
        <v>0</v>
      </c>
      <c r="C14" s="151">
        <f t="array" ref="C14">INDEX($A:$A, (ROW()-1)*2 + COLUMN()-1)</f>
        <v>0</v>
      </c>
    </row>
    <row r="15" spans="1:3" x14ac:dyDescent="0.25">
      <c r="B15" s="151">
        <f t="array" ref="B15">INDEX($A:$A, (ROW()-1)*2 + COLUMN()-1)</f>
        <v>0</v>
      </c>
      <c r="C15" s="151">
        <f t="array" ref="C15">INDEX($A:$A, (ROW()-1)*2 + COLUMN()-1)</f>
        <v>0</v>
      </c>
    </row>
    <row r="16" spans="1:3" x14ac:dyDescent="0.25">
      <c r="B16" s="151">
        <f t="array" ref="B16">INDEX($A:$A, (ROW()-1)*2 + COLUMN()-1)</f>
        <v>0</v>
      </c>
      <c r="C16" s="151">
        <f t="array" ref="C16">INDEX($A:$A, (ROW()-1)*2 + COLUMN()-1)</f>
        <v>0</v>
      </c>
    </row>
    <row r="17" spans="2:3" x14ac:dyDescent="0.25">
      <c r="B17" s="151">
        <f t="array" ref="B17">INDEX($A:$A, (ROW()-1)*2 + COLUMN()-1)</f>
        <v>0</v>
      </c>
      <c r="C17" s="151">
        <f t="array" ref="C17">INDEX($A:$A, (ROW()-1)*2 + COLUMN()-1)</f>
        <v>0</v>
      </c>
    </row>
    <row r="18" spans="2:3" x14ac:dyDescent="0.25">
      <c r="B18" s="151">
        <f t="array" ref="B18">INDEX($A:$A, (ROW()-1)*2 + COLUMN()-1)</f>
        <v>0</v>
      </c>
      <c r="C18" s="151">
        <f t="array" ref="C18">INDEX($A:$A, (ROW()-1)*2 + COLUMN()-1)</f>
        <v>0</v>
      </c>
    </row>
    <row r="19" spans="2:3" x14ac:dyDescent="0.25">
      <c r="B19" s="151">
        <f t="array" ref="B19">INDEX($A:$A, (ROW()-1)*2 + COLUMN()-1)</f>
        <v>0</v>
      </c>
      <c r="C19" s="151">
        <f t="array" ref="C19">INDEX($A:$A, (ROW()-1)*2 + COLUMN()-1)</f>
        <v>0</v>
      </c>
    </row>
    <row r="20" spans="2:3" x14ac:dyDescent="0.25">
      <c r="B20" s="151">
        <f t="array" ref="B20">INDEX($A:$A, (ROW()-1)*2 + COLUMN()-1)</f>
        <v>0</v>
      </c>
      <c r="C20" s="151">
        <f t="array" ref="C20">INDEX($A:$A, (ROW()-1)*2 + COLUMN()-1)</f>
        <v>0</v>
      </c>
    </row>
    <row r="21" spans="2:3" x14ac:dyDescent="0.25">
      <c r="B21" s="151">
        <f t="array" ref="B21">INDEX($A:$A, (ROW()-1)*2 + COLUMN()-1)</f>
        <v>0</v>
      </c>
      <c r="C21" s="151">
        <f t="array" ref="C21">INDEX($A:$A, (ROW()-1)*2 + COLUMN()-1)</f>
        <v>0</v>
      </c>
    </row>
    <row r="22" spans="2:3" x14ac:dyDescent="0.25">
      <c r="B22" s="151">
        <f t="array" ref="B22">INDEX($A:$A, (ROW()-1)*2 + COLUMN()-1)</f>
        <v>0</v>
      </c>
      <c r="C22" s="151">
        <f t="array" ref="C22">INDEX($A:$A, (ROW()-1)*2 + COLUMN()-1)</f>
        <v>0</v>
      </c>
    </row>
    <row r="23" spans="2:3" x14ac:dyDescent="0.25">
      <c r="B23" s="151">
        <f t="array" ref="B23">INDEX($A:$A, (ROW()-1)*2 + COLUMN()-1)</f>
        <v>0</v>
      </c>
      <c r="C23" s="151">
        <f t="array" ref="C23">INDEX($A:$A, (ROW()-1)*2 + COLUMN()-1)</f>
        <v>0</v>
      </c>
    </row>
    <row r="24" spans="2:3" x14ac:dyDescent="0.25">
      <c r="B24" s="151">
        <f t="array" ref="B24">INDEX($A:$A, (ROW()-1)*2 + COLUMN()-1)</f>
        <v>0</v>
      </c>
      <c r="C24" s="151">
        <f t="array" ref="C24">INDEX($A:$A, (ROW()-1)*2 + COLUMN()-1)</f>
        <v>0</v>
      </c>
    </row>
    <row r="25" spans="2:3" x14ac:dyDescent="0.25">
      <c r="B25" s="151">
        <f t="array" ref="B25">INDEX($A:$A, (ROW()-1)*2 + COLUMN()-1)</f>
        <v>0</v>
      </c>
      <c r="C25" s="151">
        <f t="array" ref="C25">INDEX($A:$A, (ROW()-1)*2 + COLUMN()-1)</f>
        <v>0</v>
      </c>
    </row>
    <row r="26" spans="2:3" x14ac:dyDescent="0.25">
      <c r="B26" s="151">
        <f t="array" ref="B26">INDEX($A:$A, (ROW()-1)*2 + COLUMN()-1)</f>
        <v>0</v>
      </c>
      <c r="C26" s="151">
        <f t="array" ref="C26">INDEX($A:$A, (ROW()-1)*2 + COLUMN()-1)</f>
        <v>0</v>
      </c>
    </row>
    <row r="27" spans="2:3" x14ac:dyDescent="0.25">
      <c r="B27" s="151">
        <f t="array" ref="B27">INDEX($A:$A, (ROW()-1)*2 + COLUMN()-1)</f>
        <v>0</v>
      </c>
      <c r="C27" s="151">
        <f t="array" ref="C27">INDEX($A:$A, (ROW()-1)*2 + COLUMN()-1)</f>
        <v>0</v>
      </c>
    </row>
    <row r="28" spans="2:3" x14ac:dyDescent="0.25">
      <c r="B28" s="151">
        <f t="array" ref="B28">INDEX($A:$A, (ROW()-1)*2 + COLUMN()-1)</f>
        <v>0</v>
      </c>
      <c r="C28" s="151">
        <f t="array" ref="C28">INDEX($A:$A, (ROW()-1)*2 + COLUMN()-1)</f>
        <v>0</v>
      </c>
    </row>
    <row r="29" spans="2:3" x14ac:dyDescent="0.25">
      <c r="B29" s="151">
        <f t="array" ref="B29">INDEX($A:$A, (ROW()-1)*2 + COLUMN()-1)</f>
        <v>0</v>
      </c>
      <c r="C29" s="151">
        <f t="array" ref="C29">INDEX($A:$A, (ROW()-1)*2 + COLUMN()-1)</f>
        <v>0</v>
      </c>
    </row>
    <row r="30" spans="2:3" x14ac:dyDescent="0.25">
      <c r="B30" s="151">
        <f t="array" ref="B30">INDEX($A:$A, (ROW()-1)*2 + COLUMN()-1)</f>
        <v>0</v>
      </c>
      <c r="C30" s="151">
        <f t="array" ref="C30">INDEX($A:$A, (ROW()-1)*2 + COLUMN()-1)</f>
        <v>0</v>
      </c>
    </row>
    <row r="31" spans="2:3" x14ac:dyDescent="0.25">
      <c r="B31" s="151">
        <f t="array" ref="B31">INDEX($A:$A, (ROW()-1)*2 + COLUMN()-1)</f>
        <v>0</v>
      </c>
      <c r="C31" s="151">
        <f t="array" ref="C31">INDEX($A:$A, (ROW()-1)*2 + COLUMN()-1)</f>
        <v>0</v>
      </c>
    </row>
    <row r="32" spans="2:3" x14ac:dyDescent="0.25">
      <c r="B32" s="151">
        <f t="array" ref="B32">INDEX($A:$A, (ROW()-1)*2 + COLUMN()-1)</f>
        <v>0</v>
      </c>
      <c r="C32" s="151">
        <f t="array" ref="C32">INDEX($A:$A, (ROW()-1)*2 + COLUMN()-1)</f>
        <v>0</v>
      </c>
    </row>
    <row r="33" spans="2:3" x14ac:dyDescent="0.25">
      <c r="B33" s="151">
        <f t="array" ref="B33">INDEX($A:$A, (ROW()-1)*2 + COLUMN()-1)</f>
        <v>0</v>
      </c>
      <c r="C33" s="151">
        <f t="array" ref="C33">INDEX($A:$A, (ROW()-1)*2 + COLUMN()-1)</f>
        <v>0</v>
      </c>
    </row>
    <row r="34" spans="2:3" x14ac:dyDescent="0.25">
      <c r="B34" s="151">
        <f t="array" ref="B34">INDEX($A:$A, (ROW()-1)*2 + COLUMN()-1)</f>
        <v>0</v>
      </c>
      <c r="C34" s="151">
        <f t="array" ref="C34">INDEX($A:$A, (ROW()-1)*2 + COLUMN()-1)</f>
        <v>0</v>
      </c>
    </row>
    <row r="35" spans="2:3" x14ac:dyDescent="0.25">
      <c r="B35" s="151">
        <f t="array" ref="B35">INDEX($A:$A, (ROW()-1)*2 + COLUMN()-1)</f>
        <v>0</v>
      </c>
      <c r="C35" s="151">
        <f t="array" ref="C35">INDEX($A:$A, (ROW()-1)*2 + COLUMN()-1)</f>
        <v>0</v>
      </c>
    </row>
    <row r="36" spans="2:3" x14ac:dyDescent="0.25">
      <c r="B36" s="151">
        <f t="array" ref="B36">INDEX($A:$A, (ROW()-1)*2 + COLUMN()-1)</f>
        <v>0</v>
      </c>
      <c r="C36" s="151">
        <f t="array" ref="C36">INDEX($A:$A, (ROW()-1)*2 + COLUMN()-1)</f>
        <v>0</v>
      </c>
    </row>
    <row r="37" spans="2:3" x14ac:dyDescent="0.25">
      <c r="B37" s="151">
        <f t="array" ref="B37">INDEX($A:$A, (ROW()-1)*2 + COLUMN()-1)</f>
        <v>0</v>
      </c>
      <c r="C37" s="151">
        <f t="array" ref="C37">INDEX($A:$A, (ROW()-1)*2 + COLUMN()-1)</f>
        <v>0</v>
      </c>
    </row>
    <row r="38" spans="2:3" x14ac:dyDescent="0.25">
      <c r="B38" s="151">
        <f t="array" ref="B38">INDEX($A:$A, (ROW()-1)*2 + COLUMN()-1)</f>
        <v>0</v>
      </c>
      <c r="C38" s="151">
        <f t="array" ref="C38">INDEX($A:$A, (ROW()-1)*2 + COLUMN()-1)</f>
        <v>0</v>
      </c>
    </row>
    <row r="39" spans="2:3" x14ac:dyDescent="0.25">
      <c r="B39" s="151">
        <f t="array" ref="B39">INDEX($A:$A, (ROW()-1)*2 + COLUMN()-1)</f>
        <v>0</v>
      </c>
      <c r="C39" s="151">
        <f t="array" ref="C39">INDEX($A:$A, (ROW()-1)*2 + COLUMN()-1)</f>
        <v>0</v>
      </c>
    </row>
    <row r="40" spans="2:3" x14ac:dyDescent="0.25">
      <c r="B40" s="151">
        <f t="array" ref="B40">INDEX($A:$A, (ROW()-1)*2 + COLUMN()-1)</f>
        <v>0</v>
      </c>
      <c r="C40" s="151">
        <f t="array" ref="C40">INDEX($A:$A, (ROW()-1)*2 + COLUMN()-1)</f>
        <v>0</v>
      </c>
    </row>
    <row r="41" spans="2:3" x14ac:dyDescent="0.25">
      <c r="B41" s="151">
        <f t="array" ref="B41">INDEX($A:$A, (ROW()-1)*2 + COLUMN()-1)</f>
        <v>0</v>
      </c>
      <c r="C41" s="151">
        <f t="array" ref="C41">INDEX($A:$A, (ROW()-1)*2 + COLUMN()-1)</f>
        <v>0</v>
      </c>
    </row>
    <row r="42" spans="2:3" x14ac:dyDescent="0.25">
      <c r="B42" s="151">
        <f t="array" ref="B42">INDEX($A:$A, (ROW()-1)*2 + COLUMN()-1)</f>
        <v>0</v>
      </c>
      <c r="C42" s="151">
        <f t="array" ref="C42">INDEX($A:$A, (ROW()-1)*2 + COLUMN()-1)</f>
        <v>0</v>
      </c>
    </row>
    <row r="43" spans="2:3" x14ac:dyDescent="0.25">
      <c r="B43" s="151">
        <f t="array" ref="B43">INDEX($A:$A, (ROW()-1)*2 + COLUMN()-1)</f>
        <v>0</v>
      </c>
      <c r="C43" s="151">
        <f t="array" ref="C43">INDEX($A:$A, (ROW()-1)*2 + COLUMN()-1)</f>
        <v>0</v>
      </c>
    </row>
    <row r="44" spans="2:3" x14ac:dyDescent="0.25">
      <c r="B44" s="151">
        <f t="array" ref="B44">INDEX($A:$A, (ROW()-1)*2 + COLUMN()-1)</f>
        <v>0</v>
      </c>
      <c r="C44" s="151">
        <f t="array" ref="C44">INDEX($A:$A, (ROW()-1)*2 + COLUMN()-1)</f>
        <v>0</v>
      </c>
    </row>
    <row r="45" spans="2:3" x14ac:dyDescent="0.25">
      <c r="B45" s="151">
        <f t="array" ref="B45">INDEX($A:$A, (ROW()-1)*2 + COLUMN()-1)</f>
        <v>0</v>
      </c>
      <c r="C45" s="151">
        <f t="array" ref="C45">INDEX($A:$A, (ROW()-1)*2 + COLUMN()-1)</f>
        <v>0</v>
      </c>
    </row>
    <row r="46" spans="2:3" x14ac:dyDescent="0.25">
      <c r="B46" s="151">
        <f t="array" ref="B46">INDEX($A:$A, (ROW()-1)*2 + COLUMN()-1)</f>
        <v>0</v>
      </c>
      <c r="C46" s="151">
        <f t="array" ref="C46">INDEX($A:$A, (ROW()-1)*2 + COLUMN()-1)</f>
        <v>0</v>
      </c>
    </row>
    <row r="47" spans="2:3" x14ac:dyDescent="0.25">
      <c r="B47" s="151">
        <f t="array" ref="B47">INDEX($A:$A, (ROW()-1)*2 + COLUMN()-1)</f>
        <v>0</v>
      </c>
      <c r="C47" s="151">
        <f t="array" ref="C47">INDEX($A:$A, (ROW()-1)*2 + COLUMN()-1)</f>
        <v>0</v>
      </c>
    </row>
    <row r="48" spans="2:3" x14ac:dyDescent="0.25">
      <c r="B48" s="151">
        <f t="array" ref="B48">INDEX($A:$A, (ROW()-1)*2 + COLUMN()-1)</f>
        <v>0</v>
      </c>
      <c r="C48" s="151">
        <f t="array" ref="C48">INDEX($A:$A, (ROW()-1)*2 + COLUMN()-1)</f>
        <v>0</v>
      </c>
    </row>
    <row r="49" spans="2:3" x14ac:dyDescent="0.25">
      <c r="B49" s="151">
        <f t="array" ref="B49">INDEX($A:$A, (ROW()-1)*2 + COLUMN()-1)</f>
        <v>0</v>
      </c>
      <c r="C49" s="151">
        <f t="array" ref="C49">INDEX($A:$A, (ROW()-1)*2 + COLUMN()-1)</f>
        <v>0</v>
      </c>
    </row>
    <row r="50" spans="2:3" x14ac:dyDescent="0.25">
      <c r="B50" s="151">
        <f t="array" ref="B50">INDEX($A:$A, (ROW()-1)*2 + COLUMN()-1)</f>
        <v>0</v>
      </c>
      <c r="C50" s="151">
        <f t="array" ref="C50">INDEX($A:$A, (ROW()-1)*2 + COLUMN()-1)</f>
        <v>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4" customWidth="1"/>
    <col min="2" max="2" width="18.85546875" style="24" customWidth="1"/>
    <col min="3" max="3" width="46.28515625" style="24" customWidth="1"/>
    <col min="4" max="4" width="50.7109375" style="25" customWidth="1"/>
    <col min="5" max="16384" width="9.140625" style="27"/>
  </cols>
  <sheetData>
    <row r="1" spans="1:4" ht="31.5" customHeight="1" x14ac:dyDescent="0.25">
      <c r="A1" s="154" t="s">
        <v>56</v>
      </c>
      <c r="B1" s="154" t="s">
        <v>3552</v>
      </c>
      <c r="C1" s="155" t="s">
        <v>3553</v>
      </c>
      <c r="D1" s="52" t="s">
        <v>2408</v>
      </c>
    </row>
    <row r="2" spans="1:4" ht="31.5" customHeight="1" x14ac:dyDescent="0.25">
      <c r="A2" s="154" t="s">
        <v>65</v>
      </c>
      <c r="B2" s="154" t="s">
        <v>3554</v>
      </c>
      <c r="C2" s="155" t="s">
        <v>3555</v>
      </c>
      <c r="D2" s="52" t="s">
        <v>2409</v>
      </c>
    </row>
    <row r="3" spans="1:4" ht="47.25" customHeight="1" x14ac:dyDescent="0.25">
      <c r="A3" s="154" t="s">
        <v>72</v>
      </c>
      <c r="B3" s="154" t="s">
        <v>3556</v>
      </c>
      <c r="C3" s="155" t="s">
        <v>1339</v>
      </c>
      <c r="D3" s="52" t="s">
        <v>2410</v>
      </c>
    </row>
    <row r="4" spans="1:4" ht="63" customHeight="1" x14ac:dyDescent="0.25">
      <c r="A4" s="154" t="s">
        <v>80</v>
      </c>
      <c r="B4" s="154" t="s">
        <v>3557</v>
      </c>
      <c r="C4" s="155" t="s">
        <v>1339</v>
      </c>
      <c r="D4" s="52" t="s">
        <v>2411</v>
      </c>
    </row>
    <row r="5" spans="1:4" ht="47.25" customHeight="1" x14ac:dyDescent="0.25">
      <c r="A5" s="154" t="s">
        <v>89</v>
      </c>
      <c r="B5" s="154" t="s">
        <v>3558</v>
      </c>
      <c r="C5" s="155" t="s">
        <v>406</v>
      </c>
      <c r="D5" s="52" t="s">
        <v>2412</v>
      </c>
    </row>
    <row r="6" spans="1:4" ht="31.5" customHeight="1" x14ac:dyDescent="0.25">
      <c r="A6" s="154" t="s">
        <v>97</v>
      </c>
      <c r="B6" s="154" t="s">
        <v>3559</v>
      </c>
      <c r="C6" s="155" t="s">
        <v>1315</v>
      </c>
      <c r="D6" s="52" t="s">
        <v>2413</v>
      </c>
    </row>
    <row r="7" spans="1:4" ht="31.5" customHeight="1" x14ac:dyDescent="0.25">
      <c r="A7" s="154" t="s">
        <v>104</v>
      </c>
      <c r="B7" s="154" t="s">
        <v>3560</v>
      </c>
      <c r="C7" s="155" t="s">
        <v>1571</v>
      </c>
      <c r="D7" s="52" t="s">
        <v>2414</v>
      </c>
    </row>
    <row r="8" spans="1:4" ht="47.25" customHeight="1" x14ac:dyDescent="0.25">
      <c r="A8" s="154" t="s">
        <v>111</v>
      </c>
      <c r="B8" s="154" t="s">
        <v>3561</v>
      </c>
      <c r="C8" s="155" t="s">
        <v>1571</v>
      </c>
      <c r="D8" s="52" t="s">
        <v>2415</v>
      </c>
    </row>
    <row r="9" spans="1:4" ht="31.5" customHeight="1" x14ac:dyDescent="0.25">
      <c r="A9" s="154" t="s">
        <v>117</v>
      </c>
      <c r="B9" s="154" t="s">
        <v>3562</v>
      </c>
      <c r="C9" s="155" t="s">
        <v>3563</v>
      </c>
      <c r="D9" s="52" t="s">
        <v>2416</v>
      </c>
    </row>
    <row r="10" spans="1:4" ht="47.25" customHeight="1" x14ac:dyDescent="0.25">
      <c r="A10" s="154" t="s">
        <v>123</v>
      </c>
      <c r="B10" s="154" t="s">
        <v>3564</v>
      </c>
      <c r="C10" s="155" t="s">
        <v>663</v>
      </c>
      <c r="D10" s="52" t="s">
        <v>2417</v>
      </c>
    </row>
    <row r="11" spans="1:4" ht="63" customHeight="1" x14ac:dyDescent="0.25">
      <c r="A11" s="154" t="s">
        <v>129</v>
      </c>
      <c r="B11" s="154" t="s">
        <v>3565</v>
      </c>
      <c r="C11" s="155" t="s">
        <v>3566</v>
      </c>
      <c r="D11" s="52" t="s">
        <v>2418</v>
      </c>
    </row>
    <row r="12" spans="1:4" ht="31.5" customHeight="1" x14ac:dyDescent="0.25">
      <c r="A12" s="154" t="s">
        <v>134</v>
      </c>
      <c r="B12" s="154" t="s">
        <v>3567</v>
      </c>
      <c r="C12" s="155" t="s">
        <v>366</v>
      </c>
      <c r="D12" s="52" t="s">
        <v>2419</v>
      </c>
    </row>
    <row r="13" spans="1:4" ht="31.5" customHeight="1" x14ac:dyDescent="0.25">
      <c r="A13" s="154" t="s">
        <v>141</v>
      </c>
      <c r="B13" s="154" t="s">
        <v>3568</v>
      </c>
      <c r="C13" s="155" t="s">
        <v>1093</v>
      </c>
      <c r="D13" s="52" t="s">
        <v>2420</v>
      </c>
    </row>
    <row r="14" spans="1:4" ht="31.5" customHeight="1" x14ac:dyDescent="0.25">
      <c r="A14" s="154" t="s">
        <v>147</v>
      </c>
      <c r="B14" s="154" t="s">
        <v>3569</v>
      </c>
      <c r="C14" s="155" t="s">
        <v>3570</v>
      </c>
      <c r="D14" s="52" t="s">
        <v>2421</v>
      </c>
    </row>
    <row r="15" spans="1:4" ht="31.5" customHeight="1" x14ac:dyDescent="0.25">
      <c r="A15" s="154" t="s">
        <v>153</v>
      </c>
      <c r="B15" s="154" t="s">
        <v>3571</v>
      </c>
      <c r="C15" s="155" t="s">
        <v>3570</v>
      </c>
      <c r="D15" s="52" t="s">
        <v>2422</v>
      </c>
    </row>
    <row r="16" spans="1:4" ht="31.5" customHeight="1" x14ac:dyDescent="0.25">
      <c r="A16" s="154" t="s">
        <v>160</v>
      </c>
      <c r="B16" s="154" t="s">
        <v>3572</v>
      </c>
      <c r="C16" s="155" t="s">
        <v>247</v>
      </c>
      <c r="D16" s="52" t="s">
        <v>2423</v>
      </c>
    </row>
    <row r="17" spans="1:4" ht="47.25" customHeight="1" x14ac:dyDescent="0.25">
      <c r="A17" s="154" t="s">
        <v>165</v>
      </c>
      <c r="B17" s="154" t="s">
        <v>3573</v>
      </c>
      <c r="C17" s="155" t="s">
        <v>476</v>
      </c>
      <c r="D17" s="52" t="s">
        <v>2424</v>
      </c>
    </row>
    <row r="18" spans="1:4" ht="31.5" customHeight="1" x14ac:dyDescent="0.25">
      <c r="A18" s="154" t="s">
        <v>171</v>
      </c>
      <c r="B18" s="154" t="s">
        <v>3574</v>
      </c>
      <c r="C18" s="155" t="s">
        <v>179</v>
      </c>
      <c r="D18" s="52" t="s">
        <v>2425</v>
      </c>
    </row>
    <row r="19" spans="1:4" ht="47.25" customHeight="1" x14ac:dyDescent="0.25">
      <c r="A19" s="154" t="s">
        <v>177</v>
      </c>
      <c r="B19" s="154" t="s">
        <v>3575</v>
      </c>
      <c r="C19" s="155" t="s">
        <v>3576</v>
      </c>
      <c r="D19" s="52" t="s">
        <v>2426</v>
      </c>
    </row>
    <row r="20" spans="1:4" ht="47.25" customHeight="1" x14ac:dyDescent="0.25">
      <c r="A20" s="154" t="s">
        <v>183</v>
      </c>
      <c r="B20" s="154" t="s">
        <v>3577</v>
      </c>
      <c r="C20" s="155" t="s">
        <v>547</v>
      </c>
      <c r="D20" s="52" t="s">
        <v>2427</v>
      </c>
    </row>
    <row r="21" spans="1:4" ht="47.25" customHeight="1" x14ac:dyDescent="0.25">
      <c r="A21" s="154" t="s">
        <v>187</v>
      </c>
      <c r="B21" s="154" t="s">
        <v>3578</v>
      </c>
      <c r="C21" s="155" t="s">
        <v>591</v>
      </c>
      <c r="D21" s="52" t="s">
        <v>2428</v>
      </c>
    </row>
    <row r="22" spans="1:4" ht="47.25" customHeight="1" x14ac:dyDescent="0.25">
      <c r="A22" s="154" t="s">
        <v>194</v>
      </c>
      <c r="B22" s="154" t="s">
        <v>3579</v>
      </c>
      <c r="C22" s="155" t="s">
        <v>3580</v>
      </c>
      <c r="D22" s="52" t="s">
        <v>2429</v>
      </c>
    </row>
    <row r="23" spans="1:4" ht="31.5" customHeight="1" x14ac:dyDescent="0.25">
      <c r="A23" s="154" t="s">
        <v>199</v>
      </c>
      <c r="B23" s="154" t="s">
        <v>3581</v>
      </c>
      <c r="C23" s="155" t="s">
        <v>3580</v>
      </c>
      <c r="D23" s="52" t="s">
        <v>2430</v>
      </c>
    </row>
    <row r="24" spans="1:4" ht="31.5" customHeight="1" x14ac:dyDescent="0.25">
      <c r="A24" s="154" t="s">
        <v>206</v>
      </c>
      <c r="B24" s="154" t="s">
        <v>3582</v>
      </c>
      <c r="C24" s="155" t="s">
        <v>3580</v>
      </c>
      <c r="D24" s="52" t="s">
        <v>2431</v>
      </c>
    </row>
    <row r="25" spans="1:4" ht="31.5" customHeight="1" x14ac:dyDescent="0.25">
      <c r="A25" s="154" t="s">
        <v>212</v>
      </c>
      <c r="B25" s="154" t="s">
        <v>3583</v>
      </c>
      <c r="C25" s="155" t="s">
        <v>3580</v>
      </c>
      <c r="D25" s="52" t="s">
        <v>2432</v>
      </c>
    </row>
    <row r="26" spans="1:4" ht="31.5" customHeight="1" x14ac:dyDescent="0.25">
      <c r="A26" s="154" t="s">
        <v>218</v>
      </c>
      <c r="B26" s="154" t="s">
        <v>3584</v>
      </c>
      <c r="C26" s="155" t="s">
        <v>3585</v>
      </c>
      <c r="D26" s="52" t="s">
        <v>2433</v>
      </c>
    </row>
    <row r="27" spans="1:4" ht="47.25" customHeight="1" x14ac:dyDescent="0.25">
      <c r="A27" s="154" t="s">
        <v>224</v>
      </c>
      <c r="B27" s="154" t="s">
        <v>3586</v>
      </c>
      <c r="C27" s="155" t="s">
        <v>1413</v>
      </c>
      <c r="D27" s="52" t="s">
        <v>2434</v>
      </c>
    </row>
    <row r="28" spans="1:4" ht="47.25" customHeight="1" x14ac:dyDescent="0.25">
      <c r="A28" s="154" t="s">
        <v>228</v>
      </c>
      <c r="B28" s="154" t="s">
        <v>3587</v>
      </c>
      <c r="C28" s="155" t="s">
        <v>1413</v>
      </c>
      <c r="D28" s="52" t="s">
        <v>2435</v>
      </c>
    </row>
    <row r="29" spans="1:4" ht="47.25" customHeight="1" x14ac:dyDescent="0.25">
      <c r="A29" s="154" t="s">
        <v>233</v>
      </c>
      <c r="B29" s="154" t="s">
        <v>3588</v>
      </c>
      <c r="C29" s="155" t="s">
        <v>3589</v>
      </c>
      <c r="D29" s="52" t="s">
        <v>2436</v>
      </c>
    </row>
    <row r="30" spans="1:4" ht="31.5" customHeight="1" x14ac:dyDescent="0.25">
      <c r="A30" s="154" t="s">
        <v>238</v>
      </c>
      <c r="B30" s="154" t="s">
        <v>3590</v>
      </c>
      <c r="C30" s="155" t="s">
        <v>3589</v>
      </c>
      <c r="D30" s="52" t="s">
        <v>2437</v>
      </c>
    </row>
    <row r="31" spans="1:4" ht="63" customHeight="1" x14ac:dyDescent="0.25">
      <c r="A31" s="154" t="s">
        <v>242</v>
      </c>
      <c r="B31" s="154" t="s">
        <v>3591</v>
      </c>
      <c r="C31" s="155" t="s">
        <v>535</v>
      </c>
      <c r="D31" s="52" t="s">
        <v>2438</v>
      </c>
    </row>
    <row r="32" spans="1:4" ht="47.25" customHeight="1" x14ac:dyDescent="0.25">
      <c r="A32" s="154" t="s">
        <v>245</v>
      </c>
      <c r="B32" s="154" t="s">
        <v>3592</v>
      </c>
      <c r="C32" s="155" t="s">
        <v>952</v>
      </c>
      <c r="D32" s="52" t="s">
        <v>2439</v>
      </c>
    </row>
    <row r="33" spans="1:4" ht="63" customHeight="1" x14ac:dyDescent="0.25">
      <c r="A33" s="154" t="s">
        <v>250</v>
      </c>
      <c r="B33" s="154" t="s">
        <v>3593</v>
      </c>
      <c r="C33" s="155" t="s">
        <v>3594</v>
      </c>
      <c r="D33" s="52" t="s">
        <v>2440</v>
      </c>
    </row>
    <row r="34" spans="1:4" ht="47.25" customHeight="1" x14ac:dyDescent="0.25">
      <c r="A34" s="154" t="s">
        <v>254</v>
      </c>
      <c r="B34" s="154" t="s">
        <v>3595</v>
      </c>
      <c r="C34" s="155" t="s">
        <v>99</v>
      </c>
      <c r="D34" s="52" t="s">
        <v>2441</v>
      </c>
    </row>
    <row r="35" spans="1:4" ht="47.25" customHeight="1" x14ac:dyDescent="0.25">
      <c r="A35" s="154" t="s">
        <v>260</v>
      </c>
      <c r="B35" s="154" t="s">
        <v>3596</v>
      </c>
      <c r="C35" s="155" t="s">
        <v>99</v>
      </c>
      <c r="D35" s="52" t="s">
        <v>2442</v>
      </c>
    </row>
    <row r="36" spans="1:4" ht="47.25" customHeight="1" x14ac:dyDescent="0.25">
      <c r="A36" s="154" t="s">
        <v>264</v>
      </c>
      <c r="B36" s="154" t="s">
        <v>3597</v>
      </c>
      <c r="C36" s="155" t="s">
        <v>3598</v>
      </c>
      <c r="D36" s="52" t="s">
        <v>2443</v>
      </c>
    </row>
    <row r="37" spans="1:4" ht="47.25" customHeight="1" x14ac:dyDescent="0.25">
      <c r="A37" s="154" t="s">
        <v>270</v>
      </c>
      <c r="B37" s="154" t="s">
        <v>3599</v>
      </c>
      <c r="C37" s="155" t="s">
        <v>1645</v>
      </c>
      <c r="D37" s="52" t="s">
        <v>2444</v>
      </c>
    </row>
    <row r="38" spans="1:4" ht="47.25" customHeight="1" x14ac:dyDescent="0.25">
      <c r="A38" s="154" t="s">
        <v>275</v>
      </c>
      <c r="B38" s="154" t="s">
        <v>3600</v>
      </c>
      <c r="C38" s="155" t="s">
        <v>1645</v>
      </c>
      <c r="D38" s="52" t="s">
        <v>2445</v>
      </c>
    </row>
    <row r="39" spans="1:4" ht="63" customHeight="1" x14ac:dyDescent="0.25">
      <c r="A39" s="154" t="s">
        <v>281</v>
      </c>
      <c r="B39" s="154" t="s">
        <v>3601</v>
      </c>
      <c r="C39" s="155" t="s">
        <v>3602</v>
      </c>
      <c r="D39" s="52" t="s">
        <v>2446</v>
      </c>
    </row>
    <row r="40" spans="1:4" ht="78.75" customHeight="1" x14ac:dyDescent="0.25">
      <c r="A40" s="154" t="s">
        <v>287</v>
      </c>
      <c r="B40" s="154" t="s">
        <v>3603</v>
      </c>
      <c r="C40" s="155" t="s">
        <v>3602</v>
      </c>
      <c r="D40" s="52" t="s">
        <v>2447</v>
      </c>
    </row>
    <row r="41" spans="1:4" ht="31.5" customHeight="1" x14ac:dyDescent="0.25">
      <c r="A41" s="154" t="s">
        <v>292</v>
      </c>
      <c r="B41" s="154" t="s">
        <v>3604</v>
      </c>
      <c r="C41" s="155" t="s">
        <v>615</v>
      </c>
      <c r="D41" s="52" t="s">
        <v>2448</v>
      </c>
    </row>
    <row r="42" spans="1:4" ht="47.25" customHeight="1" x14ac:dyDescent="0.25">
      <c r="A42" s="154" t="s">
        <v>297</v>
      </c>
      <c r="B42" s="154" t="s">
        <v>3605</v>
      </c>
      <c r="C42" s="155" t="s">
        <v>3606</v>
      </c>
      <c r="D42" s="52" t="s">
        <v>2449</v>
      </c>
    </row>
    <row r="43" spans="1:4" ht="63" customHeight="1" x14ac:dyDescent="0.25">
      <c r="A43" s="154" t="s">
        <v>301</v>
      </c>
      <c r="B43" s="154" t="s">
        <v>3607</v>
      </c>
      <c r="C43" s="155" t="s">
        <v>3608</v>
      </c>
      <c r="D43" s="52" t="s">
        <v>2450</v>
      </c>
    </row>
    <row r="44" spans="1:4" ht="63" customHeight="1" x14ac:dyDescent="0.25">
      <c r="A44" s="154" t="s">
        <v>304</v>
      </c>
      <c r="B44" s="154" t="s">
        <v>3609</v>
      </c>
      <c r="C44" s="155" t="s">
        <v>3610</v>
      </c>
      <c r="D44" s="52" t="s">
        <v>2451</v>
      </c>
    </row>
    <row r="45" spans="1:4" ht="31.5" customHeight="1" x14ac:dyDescent="0.25">
      <c r="A45" s="154" t="s">
        <v>309</v>
      </c>
      <c r="B45" s="154" t="s">
        <v>3611</v>
      </c>
      <c r="C45" s="155" t="s">
        <v>361</v>
      </c>
      <c r="D45" s="52" t="s">
        <v>2452</v>
      </c>
    </row>
    <row r="46" spans="1:4" ht="31.5" customHeight="1" x14ac:dyDescent="0.25">
      <c r="A46" s="154" t="s">
        <v>315</v>
      </c>
      <c r="B46" s="154" t="s">
        <v>3612</v>
      </c>
      <c r="C46" s="155" t="s">
        <v>143</v>
      </c>
      <c r="D46" s="52" t="s">
        <v>2453</v>
      </c>
    </row>
    <row r="47" spans="1:4" ht="31.5" customHeight="1" x14ac:dyDescent="0.25">
      <c r="A47" s="154" t="s">
        <v>320</v>
      </c>
      <c r="B47" s="154" t="s">
        <v>3613</v>
      </c>
      <c r="C47" s="155" t="s">
        <v>143</v>
      </c>
      <c r="D47" s="52" t="s">
        <v>2454</v>
      </c>
    </row>
    <row r="48" spans="1:4" ht="31.5" customHeight="1" x14ac:dyDescent="0.25">
      <c r="A48" s="154" t="s">
        <v>325</v>
      </c>
      <c r="B48" s="154" t="s">
        <v>3614</v>
      </c>
      <c r="C48" s="155" t="s">
        <v>3615</v>
      </c>
      <c r="D48" s="52" t="s">
        <v>2455</v>
      </c>
    </row>
    <row r="49" spans="1:4" ht="31.5" customHeight="1" x14ac:dyDescent="0.25">
      <c r="A49" s="154" t="s">
        <v>331</v>
      </c>
      <c r="B49" s="154" t="s">
        <v>3616</v>
      </c>
      <c r="C49" s="155" t="s">
        <v>3617</v>
      </c>
      <c r="D49" s="52" t="s">
        <v>2456</v>
      </c>
    </row>
    <row r="50" spans="1:4" ht="31.5" customHeight="1" x14ac:dyDescent="0.25">
      <c r="A50" s="154" t="s">
        <v>337</v>
      </c>
      <c r="B50" s="154" t="s">
        <v>3618</v>
      </c>
      <c r="C50" s="155" t="s">
        <v>3619</v>
      </c>
      <c r="D50" s="52" t="s">
        <v>2457</v>
      </c>
    </row>
    <row r="51" spans="1:4" ht="31.5" customHeight="1" x14ac:dyDescent="0.25">
      <c r="A51" s="154" t="s">
        <v>343</v>
      </c>
      <c r="B51" s="154" t="s">
        <v>3620</v>
      </c>
      <c r="C51" s="155" t="s">
        <v>3553</v>
      </c>
      <c r="D51" s="52" t="s">
        <v>2458</v>
      </c>
    </row>
    <row r="52" spans="1:4" ht="47.25" customHeight="1" x14ac:dyDescent="0.25">
      <c r="A52" s="154" t="s">
        <v>348</v>
      </c>
      <c r="B52" s="154" t="s">
        <v>3621</v>
      </c>
      <c r="C52" s="155" t="s">
        <v>3622</v>
      </c>
      <c r="D52" s="52" t="s">
        <v>2459</v>
      </c>
    </row>
    <row r="53" spans="1:4" ht="31.5" customHeight="1" x14ac:dyDescent="0.25">
      <c r="A53" s="154" t="s">
        <v>354</v>
      </c>
      <c r="B53" s="154" t="s">
        <v>3623</v>
      </c>
      <c r="C53" s="155" t="s">
        <v>3624</v>
      </c>
      <c r="D53" s="52" t="s">
        <v>2460</v>
      </c>
    </row>
    <row r="54" spans="1:4" ht="63" customHeight="1" x14ac:dyDescent="0.25">
      <c r="A54" s="154" t="s">
        <v>359</v>
      </c>
      <c r="B54" s="154" t="s">
        <v>3625</v>
      </c>
      <c r="C54" s="155" t="s">
        <v>3626</v>
      </c>
      <c r="D54" s="52" t="s">
        <v>2461</v>
      </c>
    </row>
    <row r="55" spans="1:4" ht="47.25" customHeight="1" x14ac:dyDescent="0.25">
      <c r="A55" s="154" t="s">
        <v>364</v>
      </c>
      <c r="B55" s="154" t="s">
        <v>3627</v>
      </c>
      <c r="C55" s="155" t="s">
        <v>289</v>
      </c>
      <c r="D55" s="52" t="s">
        <v>2462</v>
      </c>
    </row>
    <row r="56" spans="1:4" ht="47.25" customHeight="1" x14ac:dyDescent="0.25">
      <c r="A56" s="154" t="s">
        <v>369</v>
      </c>
      <c r="B56" s="154" t="s">
        <v>3628</v>
      </c>
      <c r="C56" s="155" t="s">
        <v>3629</v>
      </c>
      <c r="D56" s="52" t="s">
        <v>2463</v>
      </c>
    </row>
    <row r="57" spans="1:4" ht="31.5" customHeight="1" x14ac:dyDescent="0.25">
      <c r="A57" s="154" t="s">
        <v>375</v>
      </c>
      <c r="B57" s="154" t="s">
        <v>3630</v>
      </c>
      <c r="C57" s="156" t="s">
        <v>3631</v>
      </c>
      <c r="D57" s="52" t="s">
        <v>2464</v>
      </c>
    </row>
    <row r="58" spans="1:4" ht="31.5" customHeight="1" x14ac:dyDescent="0.25">
      <c r="A58" s="154" t="s">
        <v>381</v>
      </c>
      <c r="B58" s="154" t="s">
        <v>3632</v>
      </c>
      <c r="C58" s="155" t="s">
        <v>3633</v>
      </c>
      <c r="D58" s="52" t="s">
        <v>2465</v>
      </c>
    </row>
    <row r="59" spans="1:4" ht="47.25" customHeight="1" x14ac:dyDescent="0.25">
      <c r="A59" s="154" t="s">
        <v>388</v>
      </c>
      <c r="B59" s="154" t="s">
        <v>3634</v>
      </c>
      <c r="C59" s="155" t="s">
        <v>3635</v>
      </c>
      <c r="D59" s="52" t="s">
        <v>2466</v>
      </c>
    </row>
    <row r="60" spans="1:4" ht="31.5" customHeight="1" x14ac:dyDescent="0.25">
      <c r="A60" s="154" t="s">
        <v>394</v>
      </c>
      <c r="B60" s="154" t="s">
        <v>3636</v>
      </c>
      <c r="C60" s="155" t="s">
        <v>1489</v>
      </c>
      <c r="D60" s="52" t="s">
        <v>2467</v>
      </c>
    </row>
    <row r="61" spans="1:4" ht="47.25" customHeight="1" x14ac:dyDescent="0.25">
      <c r="A61" s="154" t="s">
        <v>398</v>
      </c>
      <c r="B61" s="154" t="s">
        <v>3637</v>
      </c>
      <c r="C61" s="155" t="s">
        <v>3638</v>
      </c>
      <c r="D61" s="52" t="s">
        <v>2468</v>
      </c>
    </row>
    <row r="62" spans="1:4" ht="63" customHeight="1" x14ac:dyDescent="0.25">
      <c r="A62" s="154" t="s">
        <v>404</v>
      </c>
      <c r="B62" s="154" t="s">
        <v>3639</v>
      </c>
      <c r="C62" s="155" t="s">
        <v>501</v>
      </c>
      <c r="D62" s="52" t="s">
        <v>2469</v>
      </c>
    </row>
    <row r="63" spans="1:4" ht="31.5" customHeight="1" x14ac:dyDescent="0.25">
      <c r="A63" s="154" t="s">
        <v>409</v>
      </c>
      <c r="B63" s="154" t="s">
        <v>3640</v>
      </c>
      <c r="C63" s="155" t="s">
        <v>3641</v>
      </c>
      <c r="D63" s="52" t="s">
        <v>2470</v>
      </c>
    </row>
    <row r="64" spans="1:4" ht="47.25" customHeight="1" x14ac:dyDescent="0.25">
      <c r="A64" s="154" t="s">
        <v>414</v>
      </c>
      <c r="B64" s="154" t="s">
        <v>3642</v>
      </c>
      <c r="C64" s="155" t="s">
        <v>3643</v>
      </c>
      <c r="D64" s="52" t="s">
        <v>2471</v>
      </c>
    </row>
    <row r="65" spans="1:4" ht="31.5" customHeight="1" x14ac:dyDescent="0.25">
      <c r="A65" s="154" t="s">
        <v>420</v>
      </c>
      <c r="B65" s="154" t="s">
        <v>3644</v>
      </c>
      <c r="C65" s="155" t="s">
        <v>3645</v>
      </c>
      <c r="D65" s="52" t="s">
        <v>2472</v>
      </c>
    </row>
    <row r="66" spans="1:4" ht="31.5" customHeight="1" x14ac:dyDescent="0.25">
      <c r="A66" s="154" t="s">
        <v>424</v>
      </c>
      <c r="B66" s="154" t="s">
        <v>3646</v>
      </c>
      <c r="C66" s="155" t="s">
        <v>3647</v>
      </c>
      <c r="D66" s="52" t="s">
        <v>2473</v>
      </c>
    </row>
    <row r="67" spans="1:4" ht="63" customHeight="1" x14ac:dyDescent="0.25">
      <c r="A67" s="154" t="s">
        <v>429</v>
      </c>
      <c r="B67" s="154" t="s">
        <v>3648</v>
      </c>
      <c r="C67" s="156" t="s">
        <v>3647</v>
      </c>
      <c r="D67" s="52" t="s">
        <v>2474</v>
      </c>
    </row>
    <row r="68" spans="1:4" ht="47.25" customHeight="1" x14ac:dyDescent="0.25">
      <c r="A68" s="154" t="s">
        <v>434</v>
      </c>
      <c r="B68" s="154" t="s">
        <v>3649</v>
      </c>
      <c r="C68" s="155" t="s">
        <v>272</v>
      </c>
      <c r="D68" s="52" t="s">
        <v>2475</v>
      </c>
    </row>
    <row r="69" spans="1:4" ht="31.5" customHeight="1" x14ac:dyDescent="0.25">
      <c r="A69" s="154" t="s">
        <v>438</v>
      </c>
      <c r="B69" s="154" t="s">
        <v>3650</v>
      </c>
      <c r="C69" s="155" t="s">
        <v>3651</v>
      </c>
      <c r="D69" s="52" t="s">
        <v>2476</v>
      </c>
    </row>
    <row r="70" spans="1:4" ht="31.5" customHeight="1" x14ac:dyDescent="0.25">
      <c r="A70" s="154" t="s">
        <v>442</v>
      </c>
      <c r="B70" s="154" t="s">
        <v>3652</v>
      </c>
      <c r="C70" s="155" t="s">
        <v>366</v>
      </c>
      <c r="D70" s="52" t="s">
        <v>2477</v>
      </c>
    </row>
    <row r="71" spans="1:4" ht="31.5" customHeight="1" x14ac:dyDescent="0.25">
      <c r="A71" s="154" t="s">
        <v>447</v>
      </c>
      <c r="B71" s="154" t="s">
        <v>3653</v>
      </c>
      <c r="C71" s="155" t="s">
        <v>1821</v>
      </c>
      <c r="D71" s="52" t="s">
        <v>2478</v>
      </c>
    </row>
    <row r="72" spans="1:4" ht="31.5" customHeight="1" x14ac:dyDescent="0.25">
      <c r="A72" s="154" t="s">
        <v>453</v>
      </c>
      <c r="B72" s="36" t="s">
        <v>3654</v>
      </c>
      <c r="C72" s="37" t="s">
        <v>644</v>
      </c>
      <c r="D72" s="38" t="s">
        <v>2479</v>
      </c>
    </row>
    <row r="73" spans="1:4" ht="63" customHeight="1" x14ac:dyDescent="0.25">
      <c r="A73" s="154" t="s">
        <v>458</v>
      </c>
      <c r="B73" s="36" t="s">
        <v>3655</v>
      </c>
      <c r="C73" s="37" t="s">
        <v>3656</v>
      </c>
      <c r="D73" s="38" t="s">
        <v>2480</v>
      </c>
    </row>
    <row r="74" spans="1:4" ht="63" customHeight="1" x14ac:dyDescent="0.25">
      <c r="A74" s="154" t="s">
        <v>462</v>
      </c>
      <c r="B74" s="36" t="s">
        <v>3657</v>
      </c>
      <c r="C74" s="37" t="s">
        <v>1645</v>
      </c>
      <c r="D74" s="38" t="s">
        <v>2481</v>
      </c>
    </row>
    <row r="75" spans="1:4" ht="31.5" customHeight="1" x14ac:dyDescent="0.25">
      <c r="A75" s="154" t="s">
        <v>468</v>
      </c>
      <c r="B75" s="36" t="s">
        <v>3658</v>
      </c>
      <c r="C75" s="37" t="s">
        <v>1576</v>
      </c>
      <c r="D75" s="38" t="s">
        <v>2482</v>
      </c>
    </row>
    <row r="76" spans="1:4" ht="47.25" customHeight="1" x14ac:dyDescent="0.25">
      <c r="A76" s="154" t="s">
        <v>474</v>
      </c>
      <c r="B76" s="36" t="s">
        <v>3659</v>
      </c>
      <c r="C76" s="37" t="s">
        <v>3615</v>
      </c>
      <c r="D76" s="38" t="s">
        <v>2483</v>
      </c>
    </row>
    <row r="77" spans="1:4" ht="31.5" customHeight="1" x14ac:dyDescent="0.25">
      <c r="A77" s="154" t="s">
        <v>479</v>
      </c>
      <c r="B77" s="36" t="s">
        <v>3660</v>
      </c>
      <c r="C77" s="37" t="s">
        <v>3661</v>
      </c>
      <c r="D77" s="38" t="s">
        <v>2484</v>
      </c>
    </row>
    <row r="78" spans="1:4" ht="31.5" customHeight="1" x14ac:dyDescent="0.25">
      <c r="A78" s="154" t="s">
        <v>484</v>
      </c>
      <c r="B78" s="36" t="s">
        <v>3662</v>
      </c>
      <c r="C78" s="37" t="s">
        <v>952</v>
      </c>
      <c r="D78" s="38" t="s">
        <v>2485</v>
      </c>
    </row>
    <row r="79" spans="1:4" ht="63" customHeight="1" x14ac:dyDescent="0.25">
      <c r="A79" s="154" t="s">
        <v>488</v>
      </c>
      <c r="B79" s="36" t="s">
        <v>3663</v>
      </c>
      <c r="C79" s="37" t="s">
        <v>3664</v>
      </c>
      <c r="D79" s="38" t="s">
        <v>2486</v>
      </c>
    </row>
    <row r="80" spans="1:4" ht="31.5" customHeight="1" x14ac:dyDescent="0.25">
      <c r="A80" s="36" t="s">
        <v>117</v>
      </c>
      <c r="B80" s="36" t="s">
        <v>3665</v>
      </c>
      <c r="C80" s="37" t="s">
        <v>658</v>
      </c>
      <c r="D80" s="38" t="s">
        <v>2487</v>
      </c>
    </row>
    <row r="81" spans="1:4" ht="47.25" customHeight="1" x14ac:dyDescent="0.25">
      <c r="A81" s="36" t="s">
        <v>123</v>
      </c>
      <c r="B81" s="36" t="s">
        <v>3666</v>
      </c>
      <c r="C81" s="37" t="s">
        <v>3667</v>
      </c>
      <c r="D81" s="38" t="s">
        <v>2488</v>
      </c>
    </row>
    <row r="82" spans="1:4" ht="47.25" customHeight="1" x14ac:dyDescent="0.25">
      <c r="A82" s="36" t="s">
        <v>129</v>
      </c>
      <c r="B82" s="36" t="s">
        <v>3668</v>
      </c>
      <c r="C82" s="37" t="s">
        <v>3669</v>
      </c>
      <c r="D82" s="38" t="s">
        <v>2489</v>
      </c>
    </row>
    <row r="83" spans="1:4" ht="47.25" customHeight="1" x14ac:dyDescent="0.25">
      <c r="A83" s="36" t="s">
        <v>134</v>
      </c>
      <c r="B83" s="36" t="s">
        <v>3670</v>
      </c>
      <c r="C83" s="37" t="s">
        <v>3671</v>
      </c>
      <c r="D83" s="38" t="s">
        <v>2490</v>
      </c>
    </row>
    <row r="84" spans="1:4" ht="47.25" customHeight="1" x14ac:dyDescent="0.25">
      <c r="A84" s="36" t="s">
        <v>141</v>
      </c>
      <c r="B84" s="36" t="s">
        <v>3672</v>
      </c>
      <c r="C84" s="37" t="s">
        <v>3673</v>
      </c>
      <c r="D84" s="38" t="s">
        <v>2491</v>
      </c>
    </row>
    <row r="85" spans="1:4" ht="31.5" customHeight="1" x14ac:dyDescent="0.25">
      <c r="A85" s="36" t="s">
        <v>147</v>
      </c>
      <c r="B85" s="36" t="s">
        <v>3674</v>
      </c>
      <c r="C85" s="37" t="s">
        <v>3675</v>
      </c>
      <c r="D85" s="38" t="s">
        <v>2492</v>
      </c>
    </row>
    <row r="86" spans="1:4" ht="47.25" customHeight="1" x14ac:dyDescent="0.25">
      <c r="A86" s="36" t="s">
        <v>153</v>
      </c>
      <c r="B86" s="36" t="s">
        <v>3676</v>
      </c>
      <c r="C86" s="37" t="s">
        <v>739</v>
      </c>
      <c r="D86" s="38" t="s">
        <v>2493</v>
      </c>
    </row>
    <row r="87" spans="1:4" ht="31.5" customHeight="1" x14ac:dyDescent="0.25">
      <c r="A87" s="36" t="s">
        <v>160</v>
      </c>
      <c r="B87" s="36" t="s">
        <v>3677</v>
      </c>
      <c r="C87" s="37" t="s">
        <v>3678</v>
      </c>
      <c r="D87" s="38" t="s">
        <v>2494</v>
      </c>
    </row>
    <row r="88" spans="1:4" ht="47.25" customHeight="1" x14ac:dyDescent="0.25">
      <c r="A88" s="36" t="s">
        <v>165</v>
      </c>
      <c r="B88" s="36" t="s">
        <v>3679</v>
      </c>
      <c r="C88" s="37" t="s">
        <v>3680</v>
      </c>
      <c r="D88" s="38" t="s">
        <v>2495</v>
      </c>
    </row>
    <row r="89" spans="1:4" ht="47.25" customHeight="1" x14ac:dyDescent="0.25">
      <c r="A89" s="36" t="s">
        <v>171</v>
      </c>
      <c r="B89" s="36" t="s">
        <v>3681</v>
      </c>
      <c r="C89" s="37" t="s">
        <v>3682</v>
      </c>
      <c r="D89" s="38" t="s">
        <v>2496</v>
      </c>
    </row>
    <row r="90" spans="1:4" ht="47.25" customHeight="1" x14ac:dyDescent="0.25">
      <c r="A90" s="36" t="s">
        <v>177</v>
      </c>
      <c r="B90" s="36" t="s">
        <v>3683</v>
      </c>
      <c r="C90" s="37" t="s">
        <v>3684</v>
      </c>
      <c r="D90" s="38" t="s">
        <v>2497</v>
      </c>
    </row>
    <row r="91" spans="1:4" ht="47.25" customHeight="1" x14ac:dyDescent="0.25">
      <c r="A91" s="36" t="s">
        <v>183</v>
      </c>
      <c r="B91" s="36" t="s">
        <v>3685</v>
      </c>
      <c r="C91" s="37" t="s">
        <v>3686</v>
      </c>
      <c r="D91" s="38" t="s">
        <v>2498</v>
      </c>
    </row>
    <row r="92" spans="1:4" ht="47.25" customHeight="1" x14ac:dyDescent="0.25">
      <c r="A92" s="36" t="s">
        <v>187</v>
      </c>
      <c r="B92" s="36" t="s">
        <v>3687</v>
      </c>
      <c r="C92" s="37" t="s">
        <v>911</v>
      </c>
      <c r="D92" s="38" t="s">
        <v>2499</v>
      </c>
    </row>
    <row r="93" spans="1:4" ht="78.75" customHeight="1" x14ac:dyDescent="0.25">
      <c r="A93" s="36" t="s">
        <v>194</v>
      </c>
      <c r="B93" s="36" t="s">
        <v>3688</v>
      </c>
      <c r="C93" s="37" t="s">
        <v>726</v>
      </c>
      <c r="D93" s="38" t="s">
        <v>2500</v>
      </c>
    </row>
    <row r="94" spans="1:4" ht="78.75" customHeight="1" x14ac:dyDescent="0.25">
      <c r="A94" s="36" t="s">
        <v>199</v>
      </c>
      <c r="B94" s="36" t="s">
        <v>3689</v>
      </c>
      <c r="C94" s="37" t="s">
        <v>3690</v>
      </c>
      <c r="D94" s="38" t="s">
        <v>2501</v>
      </c>
    </row>
    <row r="95" spans="1:4" ht="31.5" customHeight="1" x14ac:dyDescent="0.25">
      <c r="A95" s="36" t="s">
        <v>206</v>
      </c>
      <c r="B95" s="36" t="s">
        <v>3691</v>
      </c>
      <c r="C95" s="37" t="s">
        <v>3692</v>
      </c>
      <c r="D95" s="38" t="s">
        <v>2502</v>
      </c>
    </row>
    <row r="96" spans="1:4" ht="31.5" customHeight="1" x14ac:dyDescent="0.25">
      <c r="A96" s="36" t="s">
        <v>212</v>
      </c>
      <c r="B96" s="36" t="s">
        <v>3693</v>
      </c>
      <c r="C96" s="37" t="s">
        <v>3694</v>
      </c>
      <c r="D96" s="38" t="s">
        <v>2503</v>
      </c>
    </row>
    <row r="97" spans="1:4" ht="63" customHeight="1" x14ac:dyDescent="0.25">
      <c r="A97" s="36" t="s">
        <v>218</v>
      </c>
      <c r="B97" s="36" t="s">
        <v>3695</v>
      </c>
      <c r="C97" s="37" t="s">
        <v>383</v>
      </c>
      <c r="D97" s="38" t="s">
        <v>2504</v>
      </c>
    </row>
    <row r="98" spans="1:4" ht="31.5" customHeight="1" x14ac:dyDescent="0.25">
      <c r="A98" s="36" t="s">
        <v>224</v>
      </c>
      <c r="B98" s="36" t="s">
        <v>3696</v>
      </c>
      <c r="C98" s="37" t="s">
        <v>3697</v>
      </c>
      <c r="D98" s="38" t="s">
        <v>2505</v>
      </c>
    </row>
    <row r="99" spans="1:4" ht="47.25" customHeight="1" x14ac:dyDescent="0.25">
      <c r="A99" s="36" t="s">
        <v>228</v>
      </c>
      <c r="B99" s="36" t="s">
        <v>3698</v>
      </c>
      <c r="C99" s="37" t="s">
        <v>1093</v>
      </c>
      <c r="D99" s="38" t="s">
        <v>2506</v>
      </c>
    </row>
    <row r="100" spans="1:4" ht="47.25" customHeight="1" x14ac:dyDescent="0.25">
      <c r="A100" s="36" t="s">
        <v>233</v>
      </c>
      <c r="B100" s="36" t="s">
        <v>3699</v>
      </c>
      <c r="C100" s="37" t="s">
        <v>99</v>
      </c>
      <c r="D100" s="38" t="s">
        <v>2507</v>
      </c>
    </row>
    <row r="101" spans="1:4" ht="63" customHeight="1" x14ac:dyDescent="0.25">
      <c r="A101" s="36" t="s">
        <v>238</v>
      </c>
      <c r="B101" s="36" t="s">
        <v>3700</v>
      </c>
      <c r="C101" s="37" t="s">
        <v>113</v>
      </c>
      <c r="D101" s="38" t="s">
        <v>2508</v>
      </c>
    </row>
    <row r="102" spans="1:4" ht="31.5" customHeight="1" x14ac:dyDescent="0.25">
      <c r="A102" s="36" t="s">
        <v>242</v>
      </c>
      <c r="B102" s="36" t="s">
        <v>3701</v>
      </c>
      <c r="C102" s="37" t="s">
        <v>739</v>
      </c>
      <c r="D102" s="38" t="s">
        <v>2509</v>
      </c>
    </row>
    <row r="103" spans="1:4" ht="47.25" customHeight="1" x14ac:dyDescent="0.25">
      <c r="A103" s="36" t="s">
        <v>245</v>
      </c>
      <c r="B103" s="36" t="s">
        <v>3702</v>
      </c>
      <c r="C103" s="37" t="s">
        <v>520</v>
      </c>
      <c r="D103" s="38" t="s">
        <v>2510</v>
      </c>
    </row>
    <row r="104" spans="1:4" ht="63" customHeight="1" x14ac:dyDescent="0.25">
      <c r="A104" s="36" t="s">
        <v>250</v>
      </c>
      <c r="B104" s="36" t="s">
        <v>3703</v>
      </c>
      <c r="C104" s="37" t="s">
        <v>3704</v>
      </c>
      <c r="D104" s="38" t="s">
        <v>2511</v>
      </c>
    </row>
    <row r="105" spans="1:4" ht="47.25" customHeight="1" x14ac:dyDescent="0.25">
      <c r="A105" s="36" t="s">
        <v>254</v>
      </c>
      <c r="B105" s="36" t="s">
        <v>3705</v>
      </c>
      <c r="C105" s="37" t="s">
        <v>3706</v>
      </c>
      <c r="D105" s="38" t="s">
        <v>2512</v>
      </c>
    </row>
    <row r="106" spans="1:4" ht="47.25" customHeight="1" x14ac:dyDescent="0.25">
      <c r="A106" s="36" t="s">
        <v>260</v>
      </c>
      <c r="B106" s="36" t="s">
        <v>3707</v>
      </c>
      <c r="C106" s="37" t="s">
        <v>3706</v>
      </c>
      <c r="D106" s="38" t="s">
        <v>2513</v>
      </c>
    </row>
    <row r="107" spans="1:4" ht="47.25" customHeight="1" x14ac:dyDescent="0.25">
      <c r="A107" s="36" t="s">
        <v>264</v>
      </c>
      <c r="B107" s="36" t="s">
        <v>3708</v>
      </c>
      <c r="C107" s="37" t="s">
        <v>496</v>
      </c>
      <c r="D107" s="38" t="s">
        <v>2514</v>
      </c>
    </row>
    <row r="108" spans="1:4" ht="47.25" customHeight="1" x14ac:dyDescent="0.25">
      <c r="A108" s="36" t="s">
        <v>270</v>
      </c>
      <c r="B108" s="36" t="s">
        <v>3709</v>
      </c>
      <c r="C108" s="37" t="s">
        <v>496</v>
      </c>
      <c r="D108" s="38" t="s">
        <v>2515</v>
      </c>
    </row>
    <row r="109" spans="1:4" ht="47.25" customHeight="1" x14ac:dyDescent="0.25">
      <c r="A109" s="36" t="s">
        <v>275</v>
      </c>
      <c r="B109" s="36" t="s">
        <v>3710</v>
      </c>
      <c r="C109" s="37" t="s">
        <v>1093</v>
      </c>
      <c r="D109" s="38" t="s">
        <v>2516</v>
      </c>
    </row>
    <row r="110" spans="1:4" ht="31.5" customHeight="1" x14ac:dyDescent="0.25">
      <c r="A110" s="36" t="s">
        <v>281</v>
      </c>
      <c r="B110" s="36" t="s">
        <v>3711</v>
      </c>
      <c r="C110" s="37" t="s">
        <v>639</v>
      </c>
      <c r="D110" s="38" t="s">
        <v>2517</v>
      </c>
    </row>
    <row r="111" spans="1:4" ht="31.5" customHeight="1" x14ac:dyDescent="0.25">
      <c r="A111" s="36" t="s">
        <v>287</v>
      </c>
      <c r="B111" s="36" t="s">
        <v>3712</v>
      </c>
      <c r="C111" s="37" t="s">
        <v>639</v>
      </c>
      <c r="D111" s="38" t="s">
        <v>2518</v>
      </c>
    </row>
    <row r="112" spans="1:4" ht="63" customHeight="1" x14ac:dyDescent="0.25">
      <c r="A112" s="36" t="s">
        <v>292</v>
      </c>
      <c r="B112" s="36" t="s">
        <v>3713</v>
      </c>
      <c r="C112" s="37" t="s">
        <v>1339</v>
      </c>
      <c r="D112" s="38" t="s">
        <v>2519</v>
      </c>
    </row>
    <row r="113" spans="1:4" ht="47.25" customHeight="1" x14ac:dyDescent="0.25">
      <c r="A113" s="36" t="s">
        <v>297</v>
      </c>
      <c r="B113" s="36" t="s">
        <v>3714</v>
      </c>
      <c r="C113" s="37" t="s">
        <v>644</v>
      </c>
      <c r="D113" s="38" t="s">
        <v>2520</v>
      </c>
    </row>
    <row r="114" spans="1:4" ht="47.25" customHeight="1" x14ac:dyDescent="0.25">
      <c r="A114" s="36" t="s">
        <v>301</v>
      </c>
      <c r="B114" s="36" t="s">
        <v>3715</v>
      </c>
      <c r="C114" s="37" t="s">
        <v>426</v>
      </c>
      <c r="D114" s="38" t="s">
        <v>2521</v>
      </c>
    </row>
    <row r="115" spans="1:4" ht="47.25" customHeight="1" x14ac:dyDescent="0.25">
      <c r="A115" s="36" t="s">
        <v>304</v>
      </c>
      <c r="B115" s="36" t="s">
        <v>3716</v>
      </c>
      <c r="C115" s="37" t="s">
        <v>3717</v>
      </c>
      <c r="D115" s="38" t="s">
        <v>2522</v>
      </c>
    </row>
    <row r="116" spans="1:4" ht="63" customHeight="1" x14ac:dyDescent="0.25">
      <c r="A116" s="36" t="s">
        <v>309</v>
      </c>
      <c r="B116" s="36" t="s">
        <v>3718</v>
      </c>
      <c r="C116" s="37" t="s">
        <v>3719</v>
      </c>
      <c r="D116" s="38" t="s">
        <v>2523</v>
      </c>
    </row>
    <row r="117" spans="1:4" ht="31.5" customHeight="1" x14ac:dyDescent="0.25">
      <c r="A117" s="36" t="s">
        <v>315</v>
      </c>
      <c r="B117" s="36" t="s">
        <v>3720</v>
      </c>
      <c r="C117" s="37" t="s">
        <v>173</v>
      </c>
      <c r="D117" s="38" t="s">
        <v>2524</v>
      </c>
    </row>
    <row r="118" spans="1:4" ht="31.5" customHeight="1" x14ac:dyDescent="0.25">
      <c r="A118" s="36" t="s">
        <v>320</v>
      </c>
      <c r="B118" s="36" t="s">
        <v>3721</v>
      </c>
      <c r="C118" s="37" t="s">
        <v>3722</v>
      </c>
      <c r="D118" s="38" t="s">
        <v>2525</v>
      </c>
    </row>
    <row r="119" spans="1:4" ht="63" customHeight="1" x14ac:dyDescent="0.25">
      <c r="A119" s="36" t="s">
        <v>325</v>
      </c>
      <c r="B119" s="36" t="s">
        <v>3723</v>
      </c>
      <c r="C119" s="37" t="s">
        <v>1484</v>
      </c>
      <c r="D119" s="38" t="s">
        <v>2526</v>
      </c>
    </row>
    <row r="120" spans="1:4" ht="47.25" customHeight="1" x14ac:dyDescent="0.25">
      <c r="A120" s="36" t="s">
        <v>331</v>
      </c>
      <c r="B120" s="36" t="s">
        <v>3724</v>
      </c>
      <c r="C120" s="37" t="s">
        <v>103</v>
      </c>
      <c r="D120" s="38" t="s">
        <v>2527</v>
      </c>
    </row>
    <row r="121" spans="1:4" ht="47.25" customHeight="1" x14ac:dyDescent="0.25">
      <c r="A121" s="36" t="s">
        <v>337</v>
      </c>
      <c r="B121" s="36" t="s">
        <v>3725</v>
      </c>
      <c r="C121" s="37" t="s">
        <v>289</v>
      </c>
      <c r="D121" s="38" t="s">
        <v>2528</v>
      </c>
    </row>
    <row r="122" spans="1:4" ht="31.5" customHeight="1" x14ac:dyDescent="0.25">
      <c r="A122" s="36" t="s">
        <v>343</v>
      </c>
      <c r="B122" s="36" t="s">
        <v>3726</v>
      </c>
      <c r="C122" s="37" t="s">
        <v>3727</v>
      </c>
      <c r="D122" s="38" t="s">
        <v>2529</v>
      </c>
    </row>
    <row r="123" spans="1:4" ht="63" customHeight="1" x14ac:dyDescent="0.25">
      <c r="A123" s="36" t="s">
        <v>348</v>
      </c>
      <c r="B123" s="36" t="s">
        <v>3728</v>
      </c>
      <c r="C123" s="37" t="s">
        <v>2318</v>
      </c>
      <c r="D123" s="38" t="s">
        <v>2530</v>
      </c>
    </row>
    <row r="124" spans="1:4" ht="78.75" customHeight="1" x14ac:dyDescent="0.25">
      <c r="A124" s="36" t="s">
        <v>354</v>
      </c>
      <c r="B124" s="36" t="s">
        <v>3729</v>
      </c>
      <c r="C124" s="37" t="s">
        <v>3730</v>
      </c>
      <c r="D124" s="38" t="s">
        <v>2531</v>
      </c>
    </row>
    <row r="125" spans="1:4" ht="31.5" customHeight="1" x14ac:dyDescent="0.25">
      <c r="A125" s="36" t="s">
        <v>359</v>
      </c>
      <c r="B125" s="36" t="s">
        <v>3731</v>
      </c>
      <c r="C125" s="37" t="s">
        <v>3732</v>
      </c>
      <c r="D125" s="38" t="s">
        <v>2532</v>
      </c>
    </row>
    <row r="126" spans="1:4" ht="31.5" customHeight="1" x14ac:dyDescent="0.25">
      <c r="A126" s="36" t="s">
        <v>364</v>
      </c>
      <c r="B126" s="36" t="s">
        <v>3733</v>
      </c>
      <c r="C126" s="37" t="s">
        <v>272</v>
      </c>
      <c r="D126" s="38" t="s">
        <v>2533</v>
      </c>
    </row>
    <row r="127" spans="1:4" ht="31.5" customHeight="1" x14ac:dyDescent="0.25">
      <c r="A127" s="36" t="s">
        <v>369</v>
      </c>
      <c r="B127" s="36" t="s">
        <v>3734</v>
      </c>
      <c r="C127" s="37" t="s">
        <v>173</v>
      </c>
      <c r="D127" s="38" t="s">
        <v>2534</v>
      </c>
    </row>
    <row r="128" spans="1:4" ht="31.5" customHeight="1" x14ac:dyDescent="0.25">
      <c r="A128" s="36" t="s">
        <v>375</v>
      </c>
      <c r="B128" s="36" t="s">
        <v>3735</v>
      </c>
      <c r="C128" s="37" t="s">
        <v>3736</v>
      </c>
      <c r="D128" s="38" t="s">
        <v>2535</v>
      </c>
    </row>
    <row r="129" spans="1:4" ht="31.5" customHeight="1" x14ac:dyDescent="0.25">
      <c r="A129" s="36" t="s">
        <v>381</v>
      </c>
      <c r="B129" s="36" t="s">
        <v>3737</v>
      </c>
      <c r="C129" s="37" t="s">
        <v>3738</v>
      </c>
      <c r="D129" s="38" t="s">
        <v>2536</v>
      </c>
    </row>
    <row r="130" spans="1:4" ht="31.5" customHeight="1" x14ac:dyDescent="0.25">
      <c r="A130" s="36" t="s">
        <v>388</v>
      </c>
      <c r="B130" s="36" t="s">
        <v>3739</v>
      </c>
      <c r="C130" s="37" t="s">
        <v>366</v>
      </c>
      <c r="D130" s="38" t="s">
        <v>2537</v>
      </c>
    </row>
    <row r="131" spans="1:4" ht="47.25" customHeight="1" x14ac:dyDescent="0.25">
      <c r="A131" s="36" t="s">
        <v>394</v>
      </c>
      <c r="B131" s="36" t="s">
        <v>3740</v>
      </c>
      <c r="C131" s="37" t="s">
        <v>113</v>
      </c>
      <c r="D131" s="38" t="s">
        <v>2538</v>
      </c>
    </row>
    <row r="132" spans="1:4" ht="47.25" customHeight="1" x14ac:dyDescent="0.25">
      <c r="A132" s="36" t="s">
        <v>398</v>
      </c>
      <c r="B132" s="36" t="s">
        <v>3741</v>
      </c>
      <c r="C132" s="37" t="s">
        <v>3742</v>
      </c>
      <c r="D132" s="38" t="s">
        <v>2539</v>
      </c>
    </row>
    <row r="133" spans="1:4" ht="47.25" customHeight="1" x14ac:dyDescent="0.25">
      <c r="A133" s="36" t="s">
        <v>404</v>
      </c>
      <c r="B133" s="36" t="s">
        <v>3743</v>
      </c>
      <c r="C133" s="37" t="s">
        <v>3742</v>
      </c>
      <c r="D133" s="38" t="s">
        <v>2540</v>
      </c>
    </row>
    <row r="134" spans="1:4" ht="78.75" customHeight="1" x14ac:dyDescent="0.25">
      <c r="A134" s="36" t="s">
        <v>409</v>
      </c>
      <c r="B134" s="36" t="s">
        <v>3744</v>
      </c>
      <c r="C134" s="37" t="s">
        <v>3745</v>
      </c>
      <c r="D134" s="38" t="s">
        <v>2541</v>
      </c>
    </row>
    <row r="135" spans="1:4" ht="47.25" customHeight="1" x14ac:dyDescent="0.25">
      <c r="A135" s="36" t="s">
        <v>414</v>
      </c>
      <c r="B135" s="36" t="s">
        <v>3746</v>
      </c>
      <c r="C135" s="37" t="s">
        <v>2004</v>
      </c>
      <c r="D135" s="38" t="s">
        <v>2542</v>
      </c>
    </row>
    <row r="136" spans="1:4" ht="47.25" customHeight="1" x14ac:dyDescent="0.25">
      <c r="A136" s="36" t="s">
        <v>420</v>
      </c>
      <c r="B136" s="36" t="s">
        <v>3747</v>
      </c>
      <c r="C136" s="37" t="s">
        <v>3748</v>
      </c>
      <c r="D136" s="38" t="s">
        <v>2543</v>
      </c>
    </row>
    <row r="137" spans="1:4" ht="47.25" customHeight="1" x14ac:dyDescent="0.25">
      <c r="A137" s="36" t="s">
        <v>424</v>
      </c>
      <c r="B137" s="36" t="s">
        <v>3749</v>
      </c>
      <c r="C137" s="37" t="s">
        <v>3750</v>
      </c>
      <c r="D137" s="38" t="s">
        <v>2544</v>
      </c>
    </row>
    <row r="138" spans="1:4" ht="47.25" customHeight="1" x14ac:dyDescent="0.25">
      <c r="A138" s="36" t="s">
        <v>429</v>
      </c>
      <c r="B138" s="36" t="s">
        <v>3751</v>
      </c>
      <c r="C138" s="37" t="s">
        <v>3750</v>
      </c>
      <c r="D138" s="38" t="s">
        <v>2545</v>
      </c>
    </row>
    <row r="139" spans="1:4" ht="31.5" customHeight="1" x14ac:dyDescent="0.25">
      <c r="A139" s="36" t="s">
        <v>434</v>
      </c>
      <c r="B139" s="36" t="s">
        <v>3752</v>
      </c>
      <c r="C139" s="37" t="s">
        <v>3753</v>
      </c>
      <c r="D139" s="38" t="s">
        <v>2546</v>
      </c>
    </row>
    <row r="140" spans="1:4" ht="47.25" customHeight="1" x14ac:dyDescent="0.25">
      <c r="A140" s="36" t="s">
        <v>438</v>
      </c>
      <c r="B140" s="36" t="s">
        <v>3754</v>
      </c>
      <c r="C140" s="37" t="s">
        <v>3753</v>
      </c>
      <c r="D140" s="38" t="s">
        <v>2547</v>
      </c>
    </row>
    <row r="141" spans="1:4" ht="31.5" customHeight="1" x14ac:dyDescent="0.25">
      <c r="A141" s="36" t="s">
        <v>442</v>
      </c>
      <c r="B141" s="36" t="s">
        <v>3755</v>
      </c>
      <c r="C141" s="37" t="s">
        <v>3753</v>
      </c>
      <c r="D141" s="38" t="s">
        <v>2548</v>
      </c>
    </row>
    <row r="142" spans="1:4" ht="110.25" customHeight="1" x14ac:dyDescent="0.25">
      <c r="A142" s="36" t="s">
        <v>447</v>
      </c>
      <c r="B142" s="36" t="s">
        <v>3756</v>
      </c>
      <c r="C142" s="37" t="s">
        <v>3757</v>
      </c>
      <c r="D142" s="38" t="s">
        <v>2549</v>
      </c>
    </row>
    <row r="143" spans="1:4" ht="31.5" customHeight="1" x14ac:dyDescent="0.25">
      <c r="A143" s="36" t="s">
        <v>453</v>
      </c>
      <c r="B143" s="36" t="s">
        <v>3758</v>
      </c>
      <c r="C143" s="37" t="s">
        <v>787</v>
      </c>
      <c r="D143" s="38" t="s">
        <v>2550</v>
      </c>
    </row>
    <row r="144" spans="1:4" ht="47.25" customHeight="1" x14ac:dyDescent="0.25">
      <c r="A144" s="36" t="s">
        <v>458</v>
      </c>
      <c r="B144" s="36" t="s">
        <v>3759</v>
      </c>
      <c r="C144" s="37" t="s">
        <v>520</v>
      </c>
      <c r="D144" s="38" t="s">
        <v>2551</v>
      </c>
    </row>
    <row r="145" spans="1:4" ht="31.5" customHeight="1" x14ac:dyDescent="0.25">
      <c r="A145" s="36" t="s">
        <v>462</v>
      </c>
      <c r="B145" s="36" t="s">
        <v>3760</v>
      </c>
      <c r="C145" s="37" t="s">
        <v>520</v>
      </c>
      <c r="D145" s="38" t="s">
        <v>2552</v>
      </c>
    </row>
    <row r="146" spans="1:4" ht="47.25" customHeight="1" x14ac:dyDescent="0.25">
      <c r="A146" s="36" t="s">
        <v>468</v>
      </c>
      <c r="B146" s="36" t="s">
        <v>3761</v>
      </c>
      <c r="C146" s="37" t="s">
        <v>3686</v>
      </c>
      <c r="D146" s="38" t="s">
        <v>2553</v>
      </c>
    </row>
    <row r="147" spans="1:4" ht="63" customHeight="1" x14ac:dyDescent="0.25">
      <c r="A147" s="36" t="s">
        <v>474</v>
      </c>
      <c r="B147" s="36" t="s">
        <v>3762</v>
      </c>
      <c r="C147" s="37" t="s">
        <v>3763</v>
      </c>
      <c r="D147" s="38" t="s">
        <v>2554</v>
      </c>
    </row>
    <row r="148" spans="1:4" ht="63" customHeight="1" x14ac:dyDescent="0.25">
      <c r="A148" s="36" t="s">
        <v>479</v>
      </c>
      <c r="B148" s="36" t="s">
        <v>3764</v>
      </c>
      <c r="C148" s="37" t="s">
        <v>220</v>
      </c>
      <c r="D148" s="38" t="s">
        <v>2555</v>
      </c>
    </row>
    <row r="149" spans="1:4" ht="31.5" customHeight="1" x14ac:dyDescent="0.25">
      <c r="A149" s="36" t="s">
        <v>484</v>
      </c>
      <c r="B149" s="36" t="s">
        <v>3765</v>
      </c>
      <c r="C149" s="37" t="s">
        <v>1184</v>
      </c>
      <c r="D149" s="38" t="s">
        <v>2556</v>
      </c>
    </row>
    <row r="150" spans="1:4" ht="47.25" customHeight="1" x14ac:dyDescent="0.25">
      <c r="A150" s="36" t="s">
        <v>488</v>
      </c>
      <c r="B150" s="36" t="s">
        <v>3766</v>
      </c>
      <c r="C150" s="37" t="s">
        <v>929</v>
      </c>
      <c r="D150" s="38" t="s">
        <v>2557</v>
      </c>
    </row>
    <row r="151" spans="1:4" ht="47.25" customHeight="1" x14ac:dyDescent="0.25">
      <c r="A151" s="36" t="s">
        <v>494</v>
      </c>
      <c r="B151" s="36" t="s">
        <v>3767</v>
      </c>
      <c r="C151" s="37" t="s">
        <v>416</v>
      </c>
      <c r="D151" s="38" t="s">
        <v>2558</v>
      </c>
    </row>
    <row r="152" spans="1:4" ht="47.25" customHeight="1" x14ac:dyDescent="0.25">
      <c r="A152" s="36" t="s">
        <v>499</v>
      </c>
      <c r="B152" s="36" t="s">
        <v>3768</v>
      </c>
      <c r="C152" s="37" t="s">
        <v>565</v>
      </c>
      <c r="D152" s="38" t="s">
        <v>2559</v>
      </c>
    </row>
    <row r="153" spans="1:4" ht="47.25" customHeight="1" x14ac:dyDescent="0.25">
      <c r="A153" s="36" t="s">
        <v>504</v>
      </c>
      <c r="B153" s="36" t="s">
        <v>3769</v>
      </c>
      <c r="C153" s="37" t="s">
        <v>3770</v>
      </c>
      <c r="D153" s="38" t="s">
        <v>2560</v>
      </c>
    </row>
    <row r="154" spans="1:4" ht="47.25" customHeight="1" x14ac:dyDescent="0.25">
      <c r="A154" s="36" t="s">
        <v>509</v>
      </c>
      <c r="B154" s="36" t="s">
        <v>3771</v>
      </c>
      <c r="C154" s="37" t="s">
        <v>306</v>
      </c>
      <c r="D154" s="38" t="s">
        <v>2561</v>
      </c>
    </row>
    <row r="155" spans="1:4" ht="47.25" customHeight="1" x14ac:dyDescent="0.25">
      <c r="A155" s="36" t="s">
        <v>514</v>
      </c>
      <c r="B155" s="36" t="s">
        <v>3772</v>
      </c>
      <c r="C155" s="37" t="s">
        <v>3773</v>
      </c>
      <c r="D155" s="38" t="s">
        <v>2562</v>
      </c>
    </row>
    <row r="156" spans="1:4" ht="63" customHeight="1" x14ac:dyDescent="0.25">
      <c r="A156" s="36" t="s">
        <v>518</v>
      </c>
      <c r="B156" s="36" t="s">
        <v>3774</v>
      </c>
      <c r="C156" s="37" t="s">
        <v>3775</v>
      </c>
      <c r="D156" s="38" t="s">
        <v>2563</v>
      </c>
    </row>
    <row r="157" spans="1:4" ht="63" customHeight="1" x14ac:dyDescent="0.25">
      <c r="A157" s="36" t="s">
        <v>523</v>
      </c>
      <c r="B157" s="36" t="s">
        <v>3776</v>
      </c>
      <c r="C157" s="37" t="s">
        <v>3773</v>
      </c>
      <c r="D157" s="38" t="s">
        <v>2564</v>
      </c>
    </row>
    <row r="158" spans="1:4" ht="78.75" customHeight="1" x14ac:dyDescent="0.25">
      <c r="A158" s="36" t="s">
        <v>529</v>
      </c>
      <c r="B158" s="36" t="s">
        <v>3777</v>
      </c>
      <c r="C158" s="37" t="s">
        <v>3778</v>
      </c>
      <c r="D158" s="38" t="s">
        <v>2565</v>
      </c>
    </row>
    <row r="159" spans="1:4" ht="47.25" customHeight="1" x14ac:dyDescent="0.25">
      <c r="A159" s="36" t="s">
        <v>533</v>
      </c>
      <c r="B159" s="36" t="s">
        <v>3779</v>
      </c>
      <c r="C159" s="37" t="s">
        <v>1912</v>
      </c>
      <c r="D159" s="38" t="s">
        <v>2566</v>
      </c>
    </row>
    <row r="160" spans="1:4" ht="31.5" customHeight="1" x14ac:dyDescent="0.25">
      <c r="A160" s="36" t="s">
        <v>538</v>
      </c>
      <c r="B160" s="36" t="s">
        <v>3780</v>
      </c>
      <c r="C160" s="37" t="s">
        <v>1050</v>
      </c>
      <c r="D160" s="38" t="s">
        <v>2567</v>
      </c>
    </row>
    <row r="161" spans="1:4" ht="31.5" customHeight="1" x14ac:dyDescent="0.25">
      <c r="A161" s="36" t="s">
        <v>541</v>
      </c>
      <c r="B161" s="36" t="s">
        <v>3781</v>
      </c>
      <c r="C161" s="37" t="s">
        <v>3782</v>
      </c>
      <c r="D161" s="38" t="s">
        <v>2568</v>
      </c>
    </row>
    <row r="162" spans="1:4" x14ac:dyDescent="0.25">
      <c r="A162" s="36" t="s">
        <v>545</v>
      </c>
      <c r="B162" s="36" t="s">
        <v>3783</v>
      </c>
      <c r="C162" s="37" t="s">
        <v>2047</v>
      </c>
      <c r="D162" s="38" t="s">
        <v>2569</v>
      </c>
    </row>
    <row r="163" spans="1:4" ht="31.5" customHeight="1" x14ac:dyDescent="0.25">
      <c r="A163" s="36" t="s">
        <v>550</v>
      </c>
      <c r="B163" s="36" t="s">
        <v>3784</v>
      </c>
      <c r="C163" s="37" t="s">
        <v>2148</v>
      </c>
      <c r="D163" s="38" t="s">
        <v>2570</v>
      </c>
    </row>
    <row r="164" spans="1:4" ht="47.25" customHeight="1" x14ac:dyDescent="0.25">
      <c r="A164" s="36" t="s">
        <v>554</v>
      </c>
      <c r="B164" s="36" t="s">
        <v>3785</v>
      </c>
      <c r="C164" s="37" t="s">
        <v>3786</v>
      </c>
      <c r="D164" s="38" t="s">
        <v>2571</v>
      </c>
    </row>
    <row r="165" spans="1:4" ht="47.25" customHeight="1" x14ac:dyDescent="0.25">
      <c r="A165" s="36" t="s">
        <v>558</v>
      </c>
      <c r="B165" s="36" t="s">
        <v>3787</v>
      </c>
      <c r="C165" s="46" t="s">
        <v>3788</v>
      </c>
      <c r="D165" s="38" t="s">
        <v>2572</v>
      </c>
    </row>
    <row r="166" spans="1:4" ht="47.25" customHeight="1" x14ac:dyDescent="0.25">
      <c r="A166" s="36" t="s">
        <v>563</v>
      </c>
      <c r="B166" s="36" t="s">
        <v>3789</v>
      </c>
      <c r="C166" s="37" t="s">
        <v>3790</v>
      </c>
      <c r="D166" s="38" t="s">
        <v>2573</v>
      </c>
    </row>
    <row r="167" spans="1:4" ht="47.25" customHeight="1" x14ac:dyDescent="0.25">
      <c r="A167" s="36" t="s">
        <v>568</v>
      </c>
      <c r="B167" s="36" t="s">
        <v>3791</v>
      </c>
      <c r="C167" s="37" t="s">
        <v>3792</v>
      </c>
      <c r="D167" s="38" t="s">
        <v>2574</v>
      </c>
    </row>
    <row r="168" spans="1:4" ht="47.25" customHeight="1" x14ac:dyDescent="0.25">
      <c r="A168" s="36" t="s">
        <v>574</v>
      </c>
      <c r="B168" s="36" t="s">
        <v>3793</v>
      </c>
      <c r="C168" s="37" t="s">
        <v>1339</v>
      </c>
      <c r="D168" s="38" t="s">
        <v>2575</v>
      </c>
    </row>
    <row r="169" spans="1:4" ht="47.25" customHeight="1" x14ac:dyDescent="0.25">
      <c r="A169" s="36" t="s">
        <v>578</v>
      </c>
      <c r="B169" s="36" t="s">
        <v>3794</v>
      </c>
      <c r="C169" s="37" t="s">
        <v>952</v>
      </c>
      <c r="D169" s="38" t="s">
        <v>2576</v>
      </c>
    </row>
    <row r="170" spans="1:4" ht="31.5" customHeight="1" x14ac:dyDescent="0.25">
      <c r="A170" s="36" t="s">
        <v>581</v>
      </c>
      <c r="B170" s="36" t="s">
        <v>3795</v>
      </c>
      <c r="C170" s="37" t="s">
        <v>1093</v>
      </c>
      <c r="D170" s="38" t="s">
        <v>2577</v>
      </c>
    </row>
    <row r="171" spans="1:4" ht="47.25" customHeight="1" x14ac:dyDescent="0.25">
      <c r="A171" s="36" t="s">
        <v>585</v>
      </c>
      <c r="B171" s="36" t="s">
        <v>3796</v>
      </c>
      <c r="C171" s="37" t="s">
        <v>1912</v>
      </c>
      <c r="D171" s="38" t="s">
        <v>2578</v>
      </c>
    </row>
    <row r="172" spans="1:4" ht="47.25" customHeight="1" x14ac:dyDescent="0.25">
      <c r="A172" s="36" t="s">
        <v>589</v>
      </c>
      <c r="B172" s="36" t="s">
        <v>3797</v>
      </c>
      <c r="C172" s="37" t="s">
        <v>684</v>
      </c>
      <c r="D172" s="38" t="s">
        <v>2579</v>
      </c>
    </row>
    <row r="173" spans="1:4" ht="47.25" customHeight="1" x14ac:dyDescent="0.25">
      <c r="A173" s="36" t="s">
        <v>594</v>
      </c>
      <c r="B173" s="36" t="s">
        <v>3798</v>
      </c>
      <c r="C173" s="37" t="s">
        <v>3686</v>
      </c>
      <c r="D173" s="38" t="s">
        <v>2580</v>
      </c>
    </row>
    <row r="174" spans="1:4" ht="47.25" customHeight="1" x14ac:dyDescent="0.25">
      <c r="A174" s="36" t="s">
        <v>599</v>
      </c>
      <c r="B174" s="36" t="s">
        <v>3799</v>
      </c>
      <c r="C174" s="37" t="s">
        <v>2306</v>
      </c>
      <c r="D174" s="38" t="s">
        <v>2581</v>
      </c>
    </row>
    <row r="175" spans="1:4" ht="31.5" customHeight="1" x14ac:dyDescent="0.25">
      <c r="A175" s="36" t="s">
        <v>603</v>
      </c>
      <c r="B175" s="36" t="s">
        <v>3800</v>
      </c>
      <c r="C175" s="37" t="s">
        <v>1514</v>
      </c>
      <c r="D175" s="38" t="s">
        <v>2582</v>
      </c>
    </row>
    <row r="176" spans="1:4" ht="31.5" customHeight="1" x14ac:dyDescent="0.25">
      <c r="A176" s="36" t="s">
        <v>608</v>
      </c>
      <c r="B176" s="36" t="s">
        <v>3801</v>
      </c>
      <c r="C176" s="37" t="s">
        <v>1116</v>
      </c>
      <c r="D176" s="38" t="s">
        <v>2583</v>
      </c>
    </row>
    <row r="177" spans="1:4" ht="47.25" customHeight="1" x14ac:dyDescent="0.25">
      <c r="A177" s="36" t="s">
        <v>613</v>
      </c>
      <c r="B177" s="36" t="s">
        <v>3802</v>
      </c>
      <c r="C177" s="37" t="s">
        <v>3803</v>
      </c>
      <c r="D177" s="38" t="s">
        <v>2584</v>
      </c>
    </row>
    <row r="178" spans="1:4" ht="63" customHeight="1" x14ac:dyDescent="0.25">
      <c r="A178" s="36" t="s">
        <v>618</v>
      </c>
      <c r="B178" s="36" t="s">
        <v>3804</v>
      </c>
      <c r="C178" s="37" t="s">
        <v>1116</v>
      </c>
      <c r="D178" s="38" t="s">
        <v>2585</v>
      </c>
    </row>
    <row r="179" spans="1:4" ht="31.5" customHeight="1" x14ac:dyDescent="0.25">
      <c r="A179" s="36" t="s">
        <v>623</v>
      </c>
      <c r="B179" s="36" t="s">
        <v>3805</v>
      </c>
      <c r="C179" s="37" t="s">
        <v>3806</v>
      </c>
      <c r="D179" s="38" t="s">
        <v>2586</v>
      </c>
    </row>
    <row r="180" spans="1:4" ht="31.5" customHeight="1" x14ac:dyDescent="0.25">
      <c r="A180" s="36" t="s">
        <v>628</v>
      </c>
      <c r="B180" s="36" t="s">
        <v>3807</v>
      </c>
      <c r="C180" s="37" t="s">
        <v>3808</v>
      </c>
      <c r="D180" s="38" t="s">
        <v>2587</v>
      </c>
    </row>
    <row r="181" spans="1:4" ht="63" customHeight="1" x14ac:dyDescent="0.25">
      <c r="A181" s="36" t="s">
        <v>633</v>
      </c>
      <c r="B181" s="36" t="s">
        <v>3809</v>
      </c>
      <c r="C181" s="37" t="s">
        <v>3810</v>
      </c>
      <c r="D181" s="38" t="s">
        <v>2588</v>
      </c>
    </row>
    <row r="182" spans="1:4" ht="47.25" customHeight="1" x14ac:dyDescent="0.25">
      <c r="A182" s="36" t="s">
        <v>637</v>
      </c>
      <c r="B182" s="36" t="s">
        <v>3811</v>
      </c>
      <c r="C182" s="37" t="s">
        <v>3812</v>
      </c>
      <c r="D182" s="38" t="s">
        <v>2589</v>
      </c>
    </row>
    <row r="183" spans="1:4" ht="31.5" customHeight="1" x14ac:dyDescent="0.25">
      <c r="A183" s="36" t="s">
        <v>642</v>
      </c>
      <c r="B183" s="36" t="s">
        <v>3813</v>
      </c>
      <c r="C183" s="37" t="s">
        <v>3812</v>
      </c>
      <c r="D183" s="38" t="s">
        <v>2590</v>
      </c>
    </row>
    <row r="184" spans="1:4" ht="47.25" customHeight="1" x14ac:dyDescent="0.25">
      <c r="A184" s="36" t="s">
        <v>647</v>
      </c>
      <c r="B184" s="36" t="s">
        <v>3814</v>
      </c>
      <c r="C184" s="37" t="s">
        <v>3815</v>
      </c>
      <c r="D184" s="38" t="s">
        <v>2591</v>
      </c>
    </row>
    <row r="185" spans="1:4" ht="47.25" customHeight="1" x14ac:dyDescent="0.25">
      <c r="A185" s="36" t="s">
        <v>652</v>
      </c>
      <c r="B185" s="36" t="s">
        <v>3816</v>
      </c>
      <c r="C185" s="37" t="s">
        <v>3817</v>
      </c>
      <c r="D185" s="38" t="s">
        <v>2592</v>
      </c>
    </row>
    <row r="186" spans="1:4" ht="31.5" customHeight="1" x14ac:dyDescent="0.25">
      <c r="A186" s="36" t="s">
        <v>656</v>
      </c>
      <c r="B186" s="36" t="s">
        <v>3818</v>
      </c>
      <c r="C186" s="37" t="s">
        <v>1413</v>
      </c>
      <c r="D186" s="38" t="s">
        <v>2593</v>
      </c>
    </row>
    <row r="187" spans="1:4" ht="31.5" customHeight="1" x14ac:dyDescent="0.25">
      <c r="A187" s="36" t="s">
        <v>661</v>
      </c>
      <c r="B187" s="36" t="s">
        <v>3819</v>
      </c>
      <c r="C187" s="37" t="s">
        <v>1413</v>
      </c>
      <c r="D187" s="38" t="s">
        <v>2594</v>
      </c>
    </row>
    <row r="188" spans="1:4" ht="63" customHeight="1" x14ac:dyDescent="0.25">
      <c r="A188" s="36" t="s">
        <v>666</v>
      </c>
      <c r="B188" s="36" t="s">
        <v>3820</v>
      </c>
      <c r="C188" s="37" t="s">
        <v>3821</v>
      </c>
      <c r="D188" s="38" t="s">
        <v>2595</v>
      </c>
    </row>
    <row r="189" spans="1:4" ht="31.5" customHeight="1" x14ac:dyDescent="0.25">
      <c r="A189" s="36" t="s">
        <v>671</v>
      </c>
      <c r="B189" s="36" t="s">
        <v>3822</v>
      </c>
      <c r="C189" s="37" t="s">
        <v>3823</v>
      </c>
      <c r="D189" s="38" t="s">
        <v>2596</v>
      </c>
    </row>
    <row r="190" spans="1:4" ht="47.25" customHeight="1" x14ac:dyDescent="0.25">
      <c r="A190" s="36" t="s">
        <v>677</v>
      </c>
      <c r="B190" s="36" t="s">
        <v>3824</v>
      </c>
      <c r="C190" s="37" t="s">
        <v>2161</v>
      </c>
      <c r="D190" s="38" t="s">
        <v>2597</v>
      </c>
    </row>
    <row r="191" spans="1:4" ht="31.5" customHeight="1" x14ac:dyDescent="0.25">
      <c r="A191" s="36" t="s">
        <v>682</v>
      </c>
      <c r="B191" s="36" t="s">
        <v>3825</v>
      </c>
      <c r="C191" s="37" t="s">
        <v>361</v>
      </c>
      <c r="D191" s="38" t="s">
        <v>2598</v>
      </c>
    </row>
    <row r="192" spans="1:4" ht="63" customHeight="1" x14ac:dyDescent="0.25">
      <c r="A192" s="36" t="s">
        <v>688</v>
      </c>
      <c r="B192" s="36" t="s">
        <v>3826</v>
      </c>
      <c r="C192" s="37" t="s">
        <v>74</v>
      </c>
      <c r="D192" s="38" t="s">
        <v>2599</v>
      </c>
    </row>
    <row r="193" spans="1:4" ht="78.75" customHeight="1" x14ac:dyDescent="0.25">
      <c r="A193" s="36" t="s">
        <v>692</v>
      </c>
      <c r="B193" s="36" t="s">
        <v>3827</v>
      </c>
      <c r="C193" s="37" t="s">
        <v>3828</v>
      </c>
      <c r="D193" s="38" t="s">
        <v>2600</v>
      </c>
    </row>
    <row r="194" spans="1:4" ht="31.5" customHeight="1" x14ac:dyDescent="0.25">
      <c r="A194" s="36" t="s">
        <v>696</v>
      </c>
      <c r="B194" s="36" t="s">
        <v>3829</v>
      </c>
      <c r="C194" s="37" t="s">
        <v>1743</v>
      </c>
      <c r="D194" s="38" t="s">
        <v>2601</v>
      </c>
    </row>
    <row r="195" spans="1:4" ht="47.25" customHeight="1" x14ac:dyDescent="0.25">
      <c r="A195" s="36" t="s">
        <v>701</v>
      </c>
      <c r="B195" s="36" t="s">
        <v>3830</v>
      </c>
      <c r="C195" s="37" t="s">
        <v>155</v>
      </c>
      <c r="D195" s="38" t="s">
        <v>2602</v>
      </c>
    </row>
    <row r="196" spans="1:4" ht="47.25" customHeight="1" x14ac:dyDescent="0.25">
      <c r="A196" s="36" t="s">
        <v>705</v>
      </c>
      <c r="B196" s="36" t="s">
        <v>3831</v>
      </c>
      <c r="C196" s="37" t="s">
        <v>155</v>
      </c>
      <c r="D196" s="38" t="s">
        <v>2603</v>
      </c>
    </row>
    <row r="197" spans="1:4" ht="47.25" customHeight="1" x14ac:dyDescent="0.25">
      <c r="A197" s="36" t="s">
        <v>709</v>
      </c>
      <c r="B197" s="36" t="s">
        <v>3832</v>
      </c>
      <c r="C197" s="37" t="s">
        <v>1164</v>
      </c>
      <c r="D197" s="38" t="s">
        <v>2604</v>
      </c>
    </row>
    <row r="198" spans="1:4" ht="31.5" customHeight="1" x14ac:dyDescent="0.25">
      <c r="A198" s="36" t="s">
        <v>715</v>
      </c>
      <c r="B198" s="36" t="s">
        <v>3833</v>
      </c>
      <c r="C198" s="37" t="s">
        <v>99</v>
      </c>
      <c r="D198" s="38" t="s">
        <v>2605</v>
      </c>
    </row>
    <row r="199" spans="1:4" ht="31.5" customHeight="1" x14ac:dyDescent="0.25">
      <c r="A199" s="36" t="s">
        <v>719</v>
      </c>
      <c r="B199" s="36" t="s">
        <v>3834</v>
      </c>
      <c r="C199" s="37" t="s">
        <v>3835</v>
      </c>
      <c r="D199" s="38" t="s">
        <v>2606</v>
      </c>
    </row>
    <row r="200" spans="1:4" ht="31.5" customHeight="1" x14ac:dyDescent="0.25">
      <c r="A200" s="36" t="s">
        <v>724</v>
      </c>
      <c r="B200" s="36" t="s">
        <v>3836</v>
      </c>
      <c r="C200" s="37" t="s">
        <v>1093</v>
      </c>
      <c r="D200" s="38" t="s">
        <v>2607</v>
      </c>
    </row>
    <row r="201" spans="1:4" ht="31.5" customHeight="1" x14ac:dyDescent="0.25">
      <c r="A201" s="36" t="s">
        <v>729</v>
      </c>
      <c r="B201" s="36" t="s">
        <v>3837</v>
      </c>
      <c r="C201" s="37" t="s">
        <v>3838</v>
      </c>
      <c r="D201" s="38" t="s">
        <v>2608</v>
      </c>
    </row>
    <row r="202" spans="1:4" ht="47.25" customHeight="1" x14ac:dyDescent="0.25">
      <c r="A202" s="36" t="s">
        <v>734</v>
      </c>
      <c r="B202" s="36" t="s">
        <v>3839</v>
      </c>
      <c r="C202" s="37" t="s">
        <v>3812</v>
      </c>
      <c r="D202" s="38" t="s">
        <v>2609</v>
      </c>
    </row>
    <row r="203" spans="1:4" ht="47.25" customHeight="1" x14ac:dyDescent="0.25">
      <c r="A203" s="36" t="s">
        <v>737</v>
      </c>
      <c r="B203" s="36" t="s">
        <v>3840</v>
      </c>
      <c r="C203" s="37" t="s">
        <v>1576</v>
      </c>
      <c r="D203" s="38" t="s">
        <v>2610</v>
      </c>
    </row>
    <row r="204" spans="1:4" ht="63" customHeight="1" x14ac:dyDescent="0.25">
      <c r="A204" s="36" t="s">
        <v>742</v>
      </c>
      <c r="B204" s="36" t="s">
        <v>3841</v>
      </c>
      <c r="C204" s="37" t="s">
        <v>3842</v>
      </c>
      <c r="D204" s="38" t="s">
        <v>2611</v>
      </c>
    </row>
    <row r="205" spans="1:4" ht="63" customHeight="1" x14ac:dyDescent="0.25">
      <c r="A205" s="36" t="s">
        <v>747</v>
      </c>
      <c r="B205" s="36" t="s">
        <v>3843</v>
      </c>
      <c r="C205" s="37" t="s">
        <v>1247</v>
      </c>
      <c r="D205" s="38" t="s">
        <v>2612</v>
      </c>
    </row>
    <row r="206" spans="1:4" ht="31.5" customHeight="1" x14ac:dyDescent="0.25">
      <c r="A206" s="36" t="s">
        <v>751</v>
      </c>
      <c r="B206" s="36" t="s">
        <v>3844</v>
      </c>
      <c r="C206" s="37" t="s">
        <v>3675</v>
      </c>
      <c r="D206" s="38" t="s">
        <v>2613</v>
      </c>
    </row>
    <row r="207" spans="1:4" ht="31.5" customHeight="1" x14ac:dyDescent="0.25">
      <c r="A207" s="36" t="s">
        <v>755</v>
      </c>
      <c r="B207" s="36" t="s">
        <v>3845</v>
      </c>
      <c r="C207" s="37" t="s">
        <v>1489</v>
      </c>
      <c r="D207" s="38" t="s">
        <v>2614</v>
      </c>
    </row>
    <row r="208" spans="1:4" ht="47.25" customHeight="1" x14ac:dyDescent="0.25">
      <c r="A208" s="36" t="s">
        <v>761</v>
      </c>
      <c r="B208" s="36" t="s">
        <v>3846</v>
      </c>
      <c r="C208" s="37" t="s">
        <v>1093</v>
      </c>
      <c r="D208" s="38" t="s">
        <v>2615</v>
      </c>
    </row>
    <row r="209" spans="1:4" ht="31.5" customHeight="1" x14ac:dyDescent="0.25">
      <c r="A209" s="36" t="s">
        <v>766</v>
      </c>
      <c r="B209" s="36" t="s">
        <v>3847</v>
      </c>
      <c r="C209" s="37" t="s">
        <v>3848</v>
      </c>
      <c r="D209" s="38" t="s">
        <v>2616</v>
      </c>
    </row>
    <row r="210" spans="1:4" ht="31.5" customHeight="1" x14ac:dyDescent="0.25">
      <c r="A210" s="36" t="s">
        <v>771</v>
      </c>
      <c r="B210" s="36" t="s">
        <v>3849</v>
      </c>
      <c r="C210" s="37" t="s">
        <v>3622</v>
      </c>
      <c r="D210" s="38" t="s">
        <v>2617</v>
      </c>
    </row>
    <row r="211" spans="1:4" ht="63" customHeight="1" x14ac:dyDescent="0.25">
      <c r="A211" s="36" t="s">
        <v>776</v>
      </c>
      <c r="B211" s="36" t="s">
        <v>3850</v>
      </c>
      <c r="C211" s="37" t="s">
        <v>3851</v>
      </c>
      <c r="D211" s="38" t="s">
        <v>2618</v>
      </c>
    </row>
    <row r="212" spans="1:4" ht="31.5" customHeight="1" x14ac:dyDescent="0.25">
      <c r="A212" s="36" t="s">
        <v>780</v>
      </c>
      <c r="B212" s="36" t="s">
        <v>3852</v>
      </c>
      <c r="C212" s="37" t="s">
        <v>739</v>
      </c>
      <c r="D212" s="38" t="s">
        <v>2619</v>
      </c>
    </row>
    <row r="213" spans="1:4" ht="47.25" customHeight="1" x14ac:dyDescent="0.25">
      <c r="A213" s="36" t="s">
        <v>785</v>
      </c>
      <c r="B213" s="36" t="s">
        <v>3853</v>
      </c>
      <c r="C213" s="37" t="s">
        <v>3854</v>
      </c>
      <c r="D213" s="38" t="s">
        <v>2620</v>
      </c>
    </row>
    <row r="214" spans="1:4" ht="47.25" customHeight="1" x14ac:dyDescent="0.25">
      <c r="A214" s="36" t="s">
        <v>790</v>
      </c>
      <c r="B214" s="36" t="s">
        <v>3855</v>
      </c>
      <c r="C214" s="37" t="s">
        <v>289</v>
      </c>
      <c r="D214" s="38" t="s">
        <v>2621</v>
      </c>
    </row>
    <row r="215" spans="1:4" ht="47.25" customHeight="1" x14ac:dyDescent="0.25">
      <c r="A215" s="36" t="s">
        <v>794</v>
      </c>
      <c r="B215" s="36" t="s">
        <v>3856</v>
      </c>
      <c r="C215" s="37" t="s">
        <v>3606</v>
      </c>
      <c r="D215" s="38" t="s">
        <v>2622</v>
      </c>
    </row>
    <row r="216" spans="1:4" ht="47.25" customHeight="1" x14ac:dyDescent="0.25">
      <c r="A216" s="36" t="s">
        <v>799</v>
      </c>
      <c r="B216" s="36" t="s">
        <v>3857</v>
      </c>
      <c r="C216" s="37" t="s">
        <v>3858</v>
      </c>
      <c r="D216" s="38" t="s">
        <v>2623</v>
      </c>
    </row>
    <row r="217" spans="1:4" ht="47.25" customHeight="1" x14ac:dyDescent="0.25">
      <c r="A217" s="36" t="s">
        <v>803</v>
      </c>
      <c r="B217" s="36" t="s">
        <v>3859</v>
      </c>
      <c r="C217" s="37" t="s">
        <v>3763</v>
      </c>
      <c r="D217" s="38" t="s">
        <v>2624</v>
      </c>
    </row>
    <row r="218" spans="1:4" ht="47.25" customHeight="1" x14ac:dyDescent="0.25">
      <c r="A218" s="36" t="s">
        <v>809</v>
      </c>
      <c r="B218" s="36" t="s">
        <v>3860</v>
      </c>
      <c r="C218" s="37" t="s">
        <v>1339</v>
      </c>
      <c r="D218" s="38" t="s">
        <v>2625</v>
      </c>
    </row>
    <row r="219" spans="1:4" ht="47.25" customHeight="1" x14ac:dyDescent="0.25">
      <c r="A219" s="36" t="s">
        <v>814</v>
      </c>
      <c r="B219" s="36" t="s">
        <v>3861</v>
      </c>
      <c r="C219" s="37" t="s">
        <v>511</v>
      </c>
      <c r="D219" s="38" t="s">
        <v>2626</v>
      </c>
    </row>
    <row r="220" spans="1:4" ht="63" customHeight="1" x14ac:dyDescent="0.25">
      <c r="A220" s="36" t="s">
        <v>818</v>
      </c>
      <c r="B220" s="36" t="s">
        <v>3862</v>
      </c>
      <c r="C220" s="37" t="s">
        <v>3863</v>
      </c>
      <c r="D220" s="38" t="s">
        <v>2627</v>
      </c>
    </row>
    <row r="221" spans="1:4" ht="47.25" customHeight="1" x14ac:dyDescent="0.25">
      <c r="A221" s="36" t="s">
        <v>821</v>
      </c>
      <c r="B221" s="36" t="s">
        <v>3864</v>
      </c>
      <c r="C221" s="37" t="s">
        <v>3865</v>
      </c>
      <c r="D221" s="38" t="s">
        <v>2628</v>
      </c>
    </row>
    <row r="222" spans="1:4" ht="47.25" customHeight="1" x14ac:dyDescent="0.25">
      <c r="A222" s="36" t="s">
        <v>825</v>
      </c>
      <c r="B222" s="36" t="s">
        <v>3866</v>
      </c>
      <c r="C222" s="37" t="s">
        <v>2087</v>
      </c>
      <c r="D222" s="38" t="s">
        <v>2629</v>
      </c>
    </row>
    <row r="223" spans="1:4" ht="31.5" customHeight="1" x14ac:dyDescent="0.25">
      <c r="A223" s="36" t="s">
        <v>829</v>
      </c>
      <c r="B223" s="36" t="s">
        <v>3867</v>
      </c>
      <c r="C223" s="37" t="s">
        <v>3868</v>
      </c>
      <c r="D223" s="38" t="s">
        <v>2630</v>
      </c>
    </row>
    <row r="224" spans="1:4" ht="31.5" customHeight="1" x14ac:dyDescent="0.25">
      <c r="A224" s="36" t="s">
        <v>833</v>
      </c>
      <c r="B224" s="36" t="s">
        <v>3869</v>
      </c>
      <c r="C224" s="37" t="s">
        <v>1489</v>
      </c>
      <c r="D224" s="38" t="s">
        <v>2631</v>
      </c>
    </row>
    <row r="225" spans="1:4" ht="47.25" customHeight="1" x14ac:dyDescent="0.25">
      <c r="A225" s="36" t="s">
        <v>838</v>
      </c>
      <c r="B225" s="36" t="s">
        <v>3870</v>
      </c>
      <c r="C225" s="37" t="s">
        <v>63</v>
      </c>
      <c r="D225" s="38" t="s">
        <v>2632</v>
      </c>
    </row>
    <row r="226" spans="1:4" ht="47.25" customHeight="1" x14ac:dyDescent="0.25">
      <c r="A226" s="36" t="s">
        <v>843</v>
      </c>
      <c r="B226" s="36" t="s">
        <v>3871</v>
      </c>
      <c r="C226" s="37" t="s">
        <v>3872</v>
      </c>
      <c r="D226" s="38" t="s">
        <v>2633</v>
      </c>
    </row>
    <row r="227" spans="1:4" ht="31.5" customHeight="1" x14ac:dyDescent="0.25">
      <c r="A227" s="36" t="s">
        <v>848</v>
      </c>
      <c r="B227" s="36" t="s">
        <v>3873</v>
      </c>
      <c r="C227" s="37" t="s">
        <v>377</v>
      </c>
      <c r="D227" s="38" t="s">
        <v>2634</v>
      </c>
    </row>
    <row r="228" spans="1:4" ht="31.5" customHeight="1" x14ac:dyDescent="0.25">
      <c r="A228" s="36" t="s">
        <v>852</v>
      </c>
      <c r="B228" s="36" t="s">
        <v>3874</v>
      </c>
      <c r="C228" s="37" t="s">
        <v>1050</v>
      </c>
      <c r="D228" s="38" t="s">
        <v>2635</v>
      </c>
    </row>
    <row r="229" spans="1:4" ht="31.5" customHeight="1" x14ac:dyDescent="0.25">
      <c r="A229" s="36" t="s">
        <v>857</v>
      </c>
      <c r="B229" s="36" t="s">
        <v>3875</v>
      </c>
      <c r="C229" s="37" t="s">
        <v>2073</v>
      </c>
      <c r="D229" s="38" t="s">
        <v>2636</v>
      </c>
    </row>
    <row r="230" spans="1:4" ht="31.5" customHeight="1" x14ac:dyDescent="0.25">
      <c r="A230" s="36" t="s">
        <v>862</v>
      </c>
      <c r="B230" s="36" t="s">
        <v>3876</v>
      </c>
      <c r="C230" s="37" t="s">
        <v>3877</v>
      </c>
      <c r="D230" s="38" t="s">
        <v>2637</v>
      </c>
    </row>
    <row r="231" spans="1:4" ht="31.5" customHeight="1" x14ac:dyDescent="0.25">
      <c r="A231" s="36" t="s">
        <v>867</v>
      </c>
      <c r="B231" s="36" t="s">
        <v>3878</v>
      </c>
      <c r="C231" s="37" t="s">
        <v>3879</v>
      </c>
      <c r="D231" s="38" t="s">
        <v>2638</v>
      </c>
    </row>
    <row r="232" spans="1:4" ht="63" customHeight="1" x14ac:dyDescent="0.25">
      <c r="A232" s="36" t="s">
        <v>872</v>
      </c>
      <c r="B232" s="36" t="s">
        <v>3880</v>
      </c>
      <c r="C232" s="37" t="s">
        <v>2271</v>
      </c>
      <c r="D232" s="38" t="s">
        <v>2639</v>
      </c>
    </row>
    <row r="233" spans="1:4" ht="31.5" customHeight="1" x14ac:dyDescent="0.25">
      <c r="A233" s="36" t="s">
        <v>876</v>
      </c>
      <c r="B233" s="36" t="s">
        <v>3881</v>
      </c>
      <c r="C233" s="37" t="s">
        <v>3786</v>
      </c>
      <c r="D233" s="38" t="s">
        <v>2640</v>
      </c>
    </row>
    <row r="234" spans="1:4" ht="47.25" customHeight="1" x14ac:dyDescent="0.25">
      <c r="A234" s="36" t="s">
        <v>882</v>
      </c>
      <c r="B234" s="36" t="s">
        <v>3882</v>
      </c>
      <c r="C234" s="37" t="s">
        <v>3786</v>
      </c>
      <c r="D234" s="38" t="s">
        <v>2641</v>
      </c>
    </row>
    <row r="235" spans="1:4" ht="47.25" customHeight="1" x14ac:dyDescent="0.25">
      <c r="A235" s="36" t="s">
        <v>886</v>
      </c>
      <c r="B235" s="36" t="s">
        <v>3883</v>
      </c>
      <c r="C235" s="37" t="s">
        <v>3884</v>
      </c>
      <c r="D235" s="38" t="s">
        <v>2642</v>
      </c>
    </row>
    <row r="236" spans="1:4" ht="47.25" customHeight="1" x14ac:dyDescent="0.25">
      <c r="A236" s="36" t="s">
        <v>890</v>
      </c>
      <c r="B236" s="36" t="s">
        <v>3885</v>
      </c>
      <c r="C236" s="37" t="s">
        <v>2271</v>
      </c>
      <c r="D236" s="38" t="s">
        <v>2643</v>
      </c>
    </row>
    <row r="237" spans="1:4" ht="47.25" customHeight="1" x14ac:dyDescent="0.25">
      <c r="A237" s="36" t="s">
        <v>894</v>
      </c>
      <c r="B237" s="36" t="s">
        <v>3886</v>
      </c>
      <c r="C237" s="37" t="s">
        <v>3887</v>
      </c>
      <c r="D237" s="38" t="s">
        <v>2644</v>
      </c>
    </row>
    <row r="238" spans="1:4" ht="47.25" customHeight="1" x14ac:dyDescent="0.25">
      <c r="A238" s="36" t="s">
        <v>898</v>
      </c>
      <c r="B238" s="36" t="s">
        <v>3888</v>
      </c>
      <c r="C238" s="37" t="s">
        <v>3884</v>
      </c>
      <c r="D238" s="38" t="s">
        <v>2645</v>
      </c>
    </row>
    <row r="239" spans="1:4" ht="47.25" customHeight="1" x14ac:dyDescent="0.25">
      <c r="A239" s="36" t="s">
        <v>901</v>
      </c>
      <c r="B239" s="36" t="s">
        <v>3889</v>
      </c>
      <c r="C239" s="37" t="s">
        <v>3884</v>
      </c>
      <c r="D239" s="38" t="s">
        <v>2646</v>
      </c>
    </row>
    <row r="240" spans="1:4" ht="47.25" customHeight="1" x14ac:dyDescent="0.25">
      <c r="A240" s="36" t="s">
        <v>905</v>
      </c>
      <c r="B240" s="36" t="s">
        <v>3890</v>
      </c>
      <c r="C240" s="37" t="s">
        <v>3589</v>
      </c>
      <c r="D240" s="38" t="s">
        <v>2647</v>
      </c>
    </row>
    <row r="241" spans="1:4" ht="31.5" customHeight="1" x14ac:dyDescent="0.25">
      <c r="A241" s="36" t="s">
        <v>909</v>
      </c>
      <c r="B241" s="36" t="s">
        <v>3891</v>
      </c>
      <c r="C241" s="37" t="s">
        <v>511</v>
      </c>
      <c r="D241" s="38" t="s">
        <v>2648</v>
      </c>
    </row>
    <row r="242" spans="1:4" ht="31.5" customHeight="1" x14ac:dyDescent="0.25">
      <c r="A242" s="36" t="s">
        <v>914</v>
      </c>
      <c r="B242" s="36" t="s">
        <v>3892</v>
      </c>
      <c r="C242" s="37" t="s">
        <v>1782</v>
      </c>
      <c r="D242" s="38" t="s">
        <v>2649</v>
      </c>
    </row>
    <row r="243" spans="1:4" ht="47.25" customHeight="1" x14ac:dyDescent="0.25">
      <c r="A243" s="36" t="s">
        <v>918</v>
      </c>
      <c r="B243" s="36" t="s">
        <v>3893</v>
      </c>
      <c r="C243" s="37" t="s">
        <v>63</v>
      </c>
      <c r="D243" s="38" t="s">
        <v>2650</v>
      </c>
    </row>
    <row r="244" spans="1:4" ht="31.5" customHeight="1" x14ac:dyDescent="0.25">
      <c r="A244" s="36" t="s">
        <v>922</v>
      </c>
      <c r="B244" s="36" t="s">
        <v>3894</v>
      </c>
      <c r="C244" s="37" t="s">
        <v>3895</v>
      </c>
      <c r="D244" s="38" t="s">
        <v>2651</v>
      </c>
    </row>
    <row r="245" spans="1:4" ht="47.25" customHeight="1" x14ac:dyDescent="0.25">
      <c r="A245" s="36" t="s">
        <v>927</v>
      </c>
      <c r="B245" s="36" t="s">
        <v>3896</v>
      </c>
      <c r="C245" s="37" t="s">
        <v>511</v>
      </c>
      <c r="D245" s="38" t="s">
        <v>2652</v>
      </c>
    </row>
    <row r="246" spans="1:4" ht="47.25" customHeight="1" x14ac:dyDescent="0.25">
      <c r="A246" s="36" t="s">
        <v>932</v>
      </c>
      <c r="B246" s="36" t="s">
        <v>3897</v>
      </c>
      <c r="C246" s="37" t="s">
        <v>1129</v>
      </c>
      <c r="D246" s="38" t="s">
        <v>2653</v>
      </c>
    </row>
    <row r="247" spans="1:4" ht="31.5" customHeight="1" x14ac:dyDescent="0.25">
      <c r="A247" s="36" t="s">
        <v>937</v>
      </c>
      <c r="B247" s="36" t="s">
        <v>3898</v>
      </c>
      <c r="C247" s="37" t="s">
        <v>1178</v>
      </c>
      <c r="D247" s="38" t="s">
        <v>2654</v>
      </c>
    </row>
    <row r="248" spans="1:4" ht="47.25" customHeight="1" x14ac:dyDescent="0.25">
      <c r="A248" s="36" t="s">
        <v>942</v>
      </c>
      <c r="B248" s="36" t="s">
        <v>3899</v>
      </c>
      <c r="C248" s="37" t="s">
        <v>63</v>
      </c>
      <c r="D248" s="38" t="s">
        <v>2655</v>
      </c>
    </row>
    <row r="249" spans="1:4" ht="31.5" customHeight="1" x14ac:dyDescent="0.25">
      <c r="A249" s="36" t="s">
        <v>947</v>
      </c>
      <c r="B249" s="36" t="s">
        <v>3900</v>
      </c>
      <c r="C249" s="37" t="s">
        <v>2113</v>
      </c>
      <c r="D249" s="38" t="s">
        <v>2656</v>
      </c>
    </row>
    <row r="250" spans="1:4" ht="47.25" customHeight="1" x14ac:dyDescent="0.25">
      <c r="A250" s="36" t="s">
        <v>950</v>
      </c>
      <c r="B250" s="36" t="s">
        <v>3901</v>
      </c>
      <c r="C250" s="37" t="s">
        <v>1660</v>
      </c>
      <c r="D250" s="38" t="s">
        <v>2657</v>
      </c>
    </row>
    <row r="251" spans="1:4" ht="31.5" customHeight="1" x14ac:dyDescent="0.25">
      <c r="A251" s="36" t="s">
        <v>956</v>
      </c>
      <c r="B251" s="36" t="s">
        <v>3902</v>
      </c>
      <c r="C251" s="37" t="s">
        <v>496</v>
      </c>
      <c r="D251" s="38" t="s">
        <v>2658</v>
      </c>
    </row>
    <row r="252" spans="1:4" ht="31.5" customHeight="1" x14ac:dyDescent="0.25">
      <c r="A252" s="36" t="s">
        <v>960</v>
      </c>
      <c r="B252" s="36" t="s">
        <v>3903</v>
      </c>
      <c r="C252" s="37" t="s">
        <v>496</v>
      </c>
      <c r="D252" s="38" t="s">
        <v>2659</v>
      </c>
    </row>
    <row r="253" spans="1:4" ht="31.5" customHeight="1" x14ac:dyDescent="0.25">
      <c r="A253" s="36" t="s">
        <v>965</v>
      </c>
      <c r="B253" s="36" t="s">
        <v>3904</v>
      </c>
      <c r="C253" s="37" t="s">
        <v>356</v>
      </c>
      <c r="D253" s="38" t="s">
        <v>2660</v>
      </c>
    </row>
    <row r="254" spans="1:4" ht="63" customHeight="1" x14ac:dyDescent="0.25">
      <c r="A254" s="36" t="s">
        <v>970</v>
      </c>
      <c r="B254" s="36" t="s">
        <v>3905</v>
      </c>
      <c r="C254" s="37" t="s">
        <v>179</v>
      </c>
      <c r="D254" s="38" t="s">
        <v>2661</v>
      </c>
    </row>
    <row r="255" spans="1:4" ht="31.5" customHeight="1" x14ac:dyDescent="0.25">
      <c r="A255" s="36" t="s">
        <v>975</v>
      </c>
      <c r="B255" s="36" t="s">
        <v>3906</v>
      </c>
      <c r="C255" s="37" t="s">
        <v>2025</v>
      </c>
      <c r="D255" s="38" t="s">
        <v>2662</v>
      </c>
    </row>
    <row r="256" spans="1:4" ht="31.5" customHeight="1" x14ac:dyDescent="0.25">
      <c r="A256" s="36" t="s">
        <v>981</v>
      </c>
      <c r="B256" s="36" t="s">
        <v>3907</v>
      </c>
      <c r="C256" s="37" t="s">
        <v>3908</v>
      </c>
      <c r="D256" s="38" t="s">
        <v>2663</v>
      </c>
    </row>
    <row r="257" spans="1:4" ht="47.25" customHeight="1" x14ac:dyDescent="0.25">
      <c r="A257" s="36" t="s">
        <v>985</v>
      </c>
      <c r="B257" s="36" t="s">
        <v>3909</v>
      </c>
      <c r="C257" s="37" t="s">
        <v>3910</v>
      </c>
      <c r="D257" s="38" t="s">
        <v>2664</v>
      </c>
    </row>
    <row r="258" spans="1:4" ht="31.5" customHeight="1" x14ac:dyDescent="0.25">
      <c r="A258" s="36" t="s">
        <v>989</v>
      </c>
      <c r="B258" s="36" t="s">
        <v>3911</v>
      </c>
      <c r="C258" s="37" t="s">
        <v>63</v>
      </c>
      <c r="D258" s="38" t="s">
        <v>2665</v>
      </c>
    </row>
    <row r="259" spans="1:4" ht="31.5" customHeight="1" x14ac:dyDescent="0.25">
      <c r="A259" s="36" t="s">
        <v>994</v>
      </c>
      <c r="B259" s="36" t="s">
        <v>3912</v>
      </c>
      <c r="C259" s="37" t="s">
        <v>272</v>
      </c>
      <c r="D259" s="38" t="s">
        <v>2666</v>
      </c>
    </row>
    <row r="260" spans="1:4" ht="31.5" customHeight="1" x14ac:dyDescent="0.25">
      <c r="A260" s="36" t="s">
        <v>999</v>
      </c>
      <c r="B260" s="36" t="s">
        <v>3913</v>
      </c>
      <c r="C260" s="37" t="s">
        <v>3914</v>
      </c>
      <c r="D260" s="38" t="s">
        <v>2667</v>
      </c>
    </row>
    <row r="261" spans="1:4" ht="47.25" customHeight="1" x14ac:dyDescent="0.25">
      <c r="A261" s="36" t="s">
        <v>1004</v>
      </c>
      <c r="B261" s="36" t="s">
        <v>3915</v>
      </c>
      <c r="C261" s="37" t="s">
        <v>371</v>
      </c>
      <c r="D261" s="38" t="s">
        <v>2668</v>
      </c>
    </row>
    <row r="262" spans="1:4" ht="47.25" customHeight="1" x14ac:dyDescent="0.25">
      <c r="A262" s="36" t="s">
        <v>1009</v>
      </c>
      <c r="B262" s="36" t="s">
        <v>3916</v>
      </c>
      <c r="C262" s="37" t="s">
        <v>731</v>
      </c>
      <c r="D262" s="38" t="s">
        <v>2669</v>
      </c>
    </row>
    <row r="263" spans="1:4" ht="47.25" customHeight="1" x14ac:dyDescent="0.25">
      <c r="A263" s="36" t="s">
        <v>1013</v>
      </c>
      <c r="B263" s="36" t="s">
        <v>3917</v>
      </c>
      <c r="C263" s="37" t="s">
        <v>591</v>
      </c>
      <c r="D263" s="38" t="s">
        <v>2670</v>
      </c>
    </row>
    <row r="264" spans="1:4" ht="78.75" customHeight="1" x14ac:dyDescent="0.25">
      <c r="A264" s="36" t="s">
        <v>1018</v>
      </c>
      <c r="B264" s="36" t="s">
        <v>3918</v>
      </c>
      <c r="C264" s="37" t="s">
        <v>773</v>
      </c>
      <c r="D264" s="38" t="s">
        <v>2671</v>
      </c>
    </row>
    <row r="265" spans="1:4" ht="31.5" customHeight="1" x14ac:dyDescent="0.25">
      <c r="A265" s="36" t="s">
        <v>1022</v>
      </c>
      <c r="B265" s="36" t="s">
        <v>3919</v>
      </c>
      <c r="C265" s="37" t="s">
        <v>366</v>
      </c>
      <c r="D265" s="38" t="s">
        <v>2672</v>
      </c>
    </row>
    <row r="266" spans="1:4" ht="47.25" customHeight="1" x14ac:dyDescent="0.25">
      <c r="A266" s="36" t="s">
        <v>1028</v>
      </c>
      <c r="B266" s="36" t="s">
        <v>3920</v>
      </c>
      <c r="C266" s="37" t="s">
        <v>1463</v>
      </c>
      <c r="D266" s="38" t="s">
        <v>2673</v>
      </c>
    </row>
    <row r="267" spans="1:4" ht="63" customHeight="1" x14ac:dyDescent="0.25">
      <c r="A267" s="36" t="s">
        <v>1033</v>
      </c>
      <c r="B267" s="36" t="s">
        <v>3921</v>
      </c>
      <c r="C267" s="37" t="s">
        <v>214</v>
      </c>
      <c r="D267" s="38" t="s">
        <v>2674</v>
      </c>
    </row>
    <row r="268" spans="1:4" ht="47.25" customHeight="1" x14ac:dyDescent="0.25">
      <c r="A268" s="36" t="s">
        <v>1037</v>
      </c>
      <c r="B268" s="36" t="s">
        <v>3922</v>
      </c>
      <c r="C268" s="37" t="s">
        <v>972</v>
      </c>
      <c r="D268" s="38" t="s">
        <v>2675</v>
      </c>
    </row>
    <row r="269" spans="1:4" ht="47.25" customHeight="1" x14ac:dyDescent="0.25">
      <c r="A269" s="36" t="s">
        <v>1042</v>
      </c>
      <c r="B269" s="36" t="s">
        <v>3923</v>
      </c>
      <c r="C269" s="37" t="s">
        <v>3924</v>
      </c>
      <c r="D269" s="38" t="s">
        <v>2676</v>
      </c>
    </row>
    <row r="270" spans="1:4" ht="47.25" customHeight="1" x14ac:dyDescent="0.25">
      <c r="A270" s="36" t="s">
        <v>1045</v>
      </c>
      <c r="B270" s="36" t="s">
        <v>3925</v>
      </c>
      <c r="C270" s="37" t="s">
        <v>1489</v>
      </c>
      <c r="D270" s="38" t="s">
        <v>2677</v>
      </c>
    </row>
    <row r="271" spans="1:4" ht="47.25" customHeight="1" x14ac:dyDescent="0.25">
      <c r="A271" s="36" t="s">
        <v>1048</v>
      </c>
      <c r="B271" s="36" t="s">
        <v>3926</v>
      </c>
      <c r="C271" s="37" t="s">
        <v>3927</v>
      </c>
      <c r="D271" s="38" t="s">
        <v>2678</v>
      </c>
    </row>
    <row r="272" spans="1:4" ht="31.5" customHeight="1" x14ac:dyDescent="0.25">
      <c r="A272" s="36" t="s">
        <v>1053</v>
      </c>
      <c r="B272" s="36" t="s">
        <v>3928</v>
      </c>
      <c r="C272" s="37" t="s">
        <v>1116</v>
      </c>
      <c r="D272" s="38" t="s">
        <v>2679</v>
      </c>
    </row>
    <row r="273" spans="1:4" ht="47.25" customHeight="1" x14ac:dyDescent="0.25">
      <c r="A273" s="36" t="s">
        <v>1057</v>
      </c>
      <c r="B273" s="36" t="s">
        <v>3929</v>
      </c>
      <c r="C273" s="37" t="s">
        <v>272</v>
      </c>
      <c r="D273" s="38" t="s">
        <v>2680</v>
      </c>
    </row>
    <row r="274" spans="1:4" ht="78.75" customHeight="1" x14ac:dyDescent="0.25">
      <c r="A274" s="36" t="s">
        <v>1063</v>
      </c>
      <c r="B274" s="36" t="s">
        <v>3930</v>
      </c>
      <c r="C274" s="37" t="s">
        <v>1093</v>
      </c>
      <c r="D274" s="38" t="s">
        <v>2681</v>
      </c>
    </row>
    <row r="275" spans="1:4" ht="47.25" customHeight="1" x14ac:dyDescent="0.25">
      <c r="A275" s="36" t="s">
        <v>1068</v>
      </c>
      <c r="B275" s="36" t="s">
        <v>3931</v>
      </c>
      <c r="C275" s="37" t="s">
        <v>3932</v>
      </c>
      <c r="D275" s="38" t="s">
        <v>2682</v>
      </c>
    </row>
    <row r="276" spans="1:4" ht="47.25" customHeight="1" x14ac:dyDescent="0.25">
      <c r="A276" s="36" t="s">
        <v>1072</v>
      </c>
      <c r="B276" s="36" t="s">
        <v>3933</v>
      </c>
      <c r="C276" s="37" t="s">
        <v>2271</v>
      </c>
      <c r="D276" s="38" t="s">
        <v>2683</v>
      </c>
    </row>
    <row r="277" spans="1:4" ht="47.25" customHeight="1" x14ac:dyDescent="0.25">
      <c r="A277" s="36" t="s">
        <v>1077</v>
      </c>
      <c r="B277" s="36" t="s">
        <v>3934</v>
      </c>
      <c r="C277" s="37" t="s">
        <v>3935</v>
      </c>
      <c r="D277" s="38" t="s">
        <v>2684</v>
      </c>
    </row>
    <row r="278" spans="1:4" ht="31.5" customHeight="1" x14ac:dyDescent="0.25">
      <c r="A278" s="36" t="s">
        <v>1082</v>
      </c>
      <c r="B278" s="36" t="s">
        <v>3936</v>
      </c>
      <c r="C278" s="37" t="s">
        <v>1093</v>
      </c>
      <c r="D278" s="38" t="s">
        <v>2685</v>
      </c>
    </row>
    <row r="279" spans="1:4" ht="63" customHeight="1" x14ac:dyDescent="0.25">
      <c r="A279" s="36" t="s">
        <v>1087</v>
      </c>
      <c r="B279" s="36" t="s">
        <v>3937</v>
      </c>
      <c r="C279" s="37" t="s">
        <v>3938</v>
      </c>
      <c r="D279" s="38" t="s">
        <v>2686</v>
      </c>
    </row>
    <row r="280" spans="1:4" ht="47.25" customHeight="1" x14ac:dyDescent="0.25">
      <c r="A280" s="36" t="s">
        <v>1091</v>
      </c>
      <c r="B280" s="36" t="s">
        <v>3939</v>
      </c>
      <c r="C280" s="37" t="s">
        <v>3828</v>
      </c>
      <c r="D280" s="38" t="s">
        <v>2687</v>
      </c>
    </row>
    <row r="281" spans="1:4" ht="47.25" customHeight="1" x14ac:dyDescent="0.25">
      <c r="A281" s="36" t="s">
        <v>1096</v>
      </c>
      <c r="B281" s="36" t="s">
        <v>3940</v>
      </c>
      <c r="C281" s="37" t="s">
        <v>2250</v>
      </c>
      <c r="D281" s="38" t="s">
        <v>2688</v>
      </c>
    </row>
    <row r="282" spans="1:4" ht="47.25" customHeight="1" x14ac:dyDescent="0.25">
      <c r="A282" s="36" t="s">
        <v>1100</v>
      </c>
      <c r="B282" s="36" t="s">
        <v>3941</v>
      </c>
      <c r="C282" s="37" t="s">
        <v>3942</v>
      </c>
      <c r="D282" s="38" t="s">
        <v>2689</v>
      </c>
    </row>
    <row r="283" spans="1:4" ht="47.25" customHeight="1" x14ac:dyDescent="0.25">
      <c r="A283" s="36" t="s">
        <v>1105</v>
      </c>
      <c r="B283" s="36" t="s">
        <v>3943</v>
      </c>
      <c r="C283" s="37" t="s">
        <v>1093</v>
      </c>
      <c r="D283" s="38" t="s">
        <v>2690</v>
      </c>
    </row>
    <row r="284" spans="1:4" ht="31.5" customHeight="1" x14ac:dyDescent="0.25">
      <c r="A284" s="36" t="s">
        <v>1109</v>
      </c>
      <c r="B284" s="36" t="s">
        <v>3944</v>
      </c>
      <c r="C284" s="37" t="s">
        <v>3706</v>
      </c>
      <c r="D284" s="38" t="s">
        <v>2691</v>
      </c>
    </row>
    <row r="285" spans="1:4" ht="31.5" customHeight="1" x14ac:dyDescent="0.25">
      <c r="A285" s="36" t="s">
        <v>1114</v>
      </c>
      <c r="B285" s="36" t="s">
        <v>3945</v>
      </c>
      <c r="C285" s="37" t="s">
        <v>3706</v>
      </c>
      <c r="D285" s="38" t="s">
        <v>2692</v>
      </c>
    </row>
    <row r="286" spans="1:4" ht="31.5" customHeight="1" x14ac:dyDescent="0.25">
      <c r="A286" s="36" t="s">
        <v>1119</v>
      </c>
      <c r="B286" s="36" t="s">
        <v>3946</v>
      </c>
      <c r="C286" s="37" t="s">
        <v>3706</v>
      </c>
      <c r="D286" s="38" t="s">
        <v>2693</v>
      </c>
    </row>
    <row r="287" spans="1:4" ht="31.5" customHeight="1" x14ac:dyDescent="0.25">
      <c r="A287" s="36" t="s">
        <v>1123</v>
      </c>
      <c r="B287" s="36" t="s">
        <v>3947</v>
      </c>
      <c r="C287" s="37" t="s">
        <v>3706</v>
      </c>
      <c r="D287" s="38" t="s">
        <v>2694</v>
      </c>
    </row>
    <row r="288" spans="1:4" ht="31.5" customHeight="1" x14ac:dyDescent="0.25">
      <c r="A288" s="36" t="s">
        <v>1127</v>
      </c>
      <c r="B288" s="36" t="s">
        <v>3948</v>
      </c>
      <c r="C288" s="37" t="s">
        <v>1315</v>
      </c>
      <c r="D288" s="38" t="s">
        <v>2695</v>
      </c>
    </row>
    <row r="289" spans="1:4" ht="31.5" customHeight="1" x14ac:dyDescent="0.25">
      <c r="A289" s="36" t="s">
        <v>1133</v>
      </c>
      <c r="B289" s="36" t="s">
        <v>3949</v>
      </c>
      <c r="C289" s="37" t="s">
        <v>3619</v>
      </c>
      <c r="D289" s="38" t="s">
        <v>2696</v>
      </c>
    </row>
    <row r="290" spans="1:4" ht="47.25" customHeight="1" x14ac:dyDescent="0.25">
      <c r="A290" s="36" t="s">
        <v>1137</v>
      </c>
      <c r="B290" s="36" t="s">
        <v>3950</v>
      </c>
      <c r="C290" s="37" t="s">
        <v>3619</v>
      </c>
      <c r="D290" s="38" t="s">
        <v>2697</v>
      </c>
    </row>
    <row r="291" spans="1:4" ht="31.5" customHeight="1" x14ac:dyDescent="0.25">
      <c r="A291" s="36" t="s">
        <v>1141</v>
      </c>
      <c r="B291" s="36" t="s">
        <v>3951</v>
      </c>
      <c r="C291" s="37" t="s">
        <v>3952</v>
      </c>
      <c r="D291" s="38" t="s">
        <v>2698</v>
      </c>
    </row>
    <row r="292" spans="1:4" ht="31.5" customHeight="1" x14ac:dyDescent="0.25">
      <c r="A292" s="36" t="s">
        <v>1146</v>
      </c>
      <c r="B292" s="36" t="s">
        <v>3953</v>
      </c>
      <c r="C292" s="37" t="s">
        <v>605</v>
      </c>
      <c r="D292" s="38" t="s">
        <v>2699</v>
      </c>
    </row>
    <row r="293" spans="1:4" ht="31.5" customHeight="1" x14ac:dyDescent="0.25">
      <c r="A293" s="36" t="s">
        <v>1152</v>
      </c>
      <c r="B293" s="36" t="s">
        <v>3954</v>
      </c>
      <c r="C293" s="37" t="s">
        <v>3955</v>
      </c>
      <c r="D293" s="38" t="s">
        <v>2700</v>
      </c>
    </row>
    <row r="294" spans="1:4" ht="63" customHeight="1" x14ac:dyDescent="0.25">
      <c r="A294" s="36" t="s">
        <v>1158</v>
      </c>
      <c r="B294" s="36" t="s">
        <v>3956</v>
      </c>
      <c r="C294" s="37" t="s">
        <v>3821</v>
      </c>
      <c r="D294" s="38" t="s">
        <v>2701</v>
      </c>
    </row>
    <row r="295" spans="1:4" ht="31.5" customHeight="1" x14ac:dyDescent="0.25">
      <c r="A295" s="36" t="s">
        <v>1162</v>
      </c>
      <c r="B295" s="36" t="s">
        <v>3957</v>
      </c>
      <c r="C295" s="37" t="s">
        <v>283</v>
      </c>
      <c r="D295" s="38" t="s">
        <v>2702</v>
      </c>
    </row>
    <row r="296" spans="1:4" ht="63" customHeight="1" x14ac:dyDescent="0.25">
      <c r="A296" s="36" t="s">
        <v>1167</v>
      </c>
      <c r="B296" s="36" t="s">
        <v>3958</v>
      </c>
      <c r="C296" s="37" t="s">
        <v>952</v>
      </c>
      <c r="D296" s="38" t="s">
        <v>2703</v>
      </c>
    </row>
    <row r="297" spans="1:4" ht="47.25" customHeight="1" x14ac:dyDescent="0.25">
      <c r="A297" s="36" t="s">
        <v>1171</v>
      </c>
      <c r="B297" s="36" t="s">
        <v>3959</v>
      </c>
      <c r="C297" s="37" t="s">
        <v>3960</v>
      </c>
      <c r="D297" s="38" t="s">
        <v>2704</v>
      </c>
    </row>
    <row r="298" spans="1:4" ht="63" customHeight="1" x14ac:dyDescent="0.25">
      <c r="A298" s="36" t="s">
        <v>1176</v>
      </c>
      <c r="B298" s="36" t="s">
        <v>3961</v>
      </c>
      <c r="C298" s="37" t="s">
        <v>377</v>
      </c>
      <c r="D298" s="38" t="s">
        <v>2705</v>
      </c>
    </row>
    <row r="299" spans="1:4" ht="31.5" customHeight="1" x14ac:dyDescent="0.25">
      <c r="A299" s="36" t="s">
        <v>1182</v>
      </c>
      <c r="B299" s="36" t="s">
        <v>3962</v>
      </c>
      <c r="C299" s="37" t="s">
        <v>3963</v>
      </c>
      <c r="D299" s="38" t="s">
        <v>2706</v>
      </c>
    </row>
    <row r="300" spans="1:4" ht="63" customHeight="1" x14ac:dyDescent="0.25">
      <c r="A300" s="36" t="s">
        <v>1187</v>
      </c>
      <c r="B300" s="36" t="s">
        <v>3964</v>
      </c>
      <c r="C300" s="37" t="s">
        <v>3963</v>
      </c>
      <c r="D300" s="38" t="s">
        <v>2707</v>
      </c>
    </row>
    <row r="301" spans="1:4" ht="63" customHeight="1" x14ac:dyDescent="0.25">
      <c r="A301" s="36" t="s">
        <v>1192</v>
      </c>
      <c r="B301" s="36" t="s">
        <v>3965</v>
      </c>
      <c r="C301" s="37" t="s">
        <v>470</v>
      </c>
      <c r="D301" s="38" t="s">
        <v>2708</v>
      </c>
    </row>
    <row r="302" spans="1:4" ht="31.5" customHeight="1" x14ac:dyDescent="0.25">
      <c r="A302" s="36" t="s">
        <v>1197</v>
      </c>
      <c r="B302" s="36" t="s">
        <v>3966</v>
      </c>
      <c r="C302" s="37" t="s">
        <v>911</v>
      </c>
      <c r="D302" s="38" t="s">
        <v>2709</v>
      </c>
    </row>
    <row r="303" spans="1:4" ht="31.5" customHeight="1" x14ac:dyDescent="0.25">
      <c r="A303" s="36" t="s">
        <v>1201</v>
      </c>
      <c r="B303" s="36" t="s">
        <v>3967</v>
      </c>
      <c r="C303" s="37" t="s">
        <v>1427</v>
      </c>
      <c r="D303" s="38" t="s">
        <v>2710</v>
      </c>
    </row>
    <row r="304" spans="1:4" ht="31.5" customHeight="1" x14ac:dyDescent="0.25">
      <c r="A304" s="36" t="s">
        <v>1204</v>
      </c>
      <c r="B304" s="36" t="s">
        <v>3968</v>
      </c>
      <c r="C304" s="37" t="s">
        <v>1093</v>
      </c>
      <c r="D304" s="38" t="s">
        <v>2711</v>
      </c>
    </row>
    <row r="305" spans="1:4" ht="47.25" customHeight="1" x14ac:dyDescent="0.25">
      <c r="A305" s="36" t="s">
        <v>1207</v>
      </c>
      <c r="B305" s="36" t="s">
        <v>3969</v>
      </c>
      <c r="C305" s="37" t="s">
        <v>1093</v>
      </c>
      <c r="D305" s="38" t="s">
        <v>2712</v>
      </c>
    </row>
    <row r="306" spans="1:4" ht="31.5" customHeight="1" x14ac:dyDescent="0.25">
      <c r="A306" s="36" t="s">
        <v>1210</v>
      </c>
      <c r="B306" s="36" t="s">
        <v>3970</v>
      </c>
      <c r="C306" s="37" t="s">
        <v>1286</v>
      </c>
      <c r="D306" s="38" t="s">
        <v>2713</v>
      </c>
    </row>
    <row r="307" spans="1:4" ht="31.5" customHeight="1" x14ac:dyDescent="0.25">
      <c r="A307" s="36" t="s">
        <v>1213</v>
      </c>
      <c r="B307" s="36" t="s">
        <v>3971</v>
      </c>
      <c r="C307" s="37" t="s">
        <v>361</v>
      </c>
      <c r="D307" s="38" t="s">
        <v>2714</v>
      </c>
    </row>
    <row r="308" spans="1:4" ht="31.5" customHeight="1" x14ac:dyDescent="0.25">
      <c r="A308" s="36" t="s">
        <v>1218</v>
      </c>
      <c r="B308" s="36" t="s">
        <v>3972</v>
      </c>
      <c r="C308" s="37" t="s">
        <v>3973</v>
      </c>
      <c r="D308" s="38" t="s">
        <v>2715</v>
      </c>
    </row>
    <row r="309" spans="1:4" ht="31.5" customHeight="1" x14ac:dyDescent="0.25">
      <c r="A309" s="36" t="s">
        <v>1223</v>
      </c>
      <c r="B309" s="36" t="s">
        <v>3974</v>
      </c>
      <c r="C309" s="37" t="s">
        <v>570</v>
      </c>
      <c r="D309" s="38" t="s">
        <v>2716</v>
      </c>
    </row>
    <row r="310" spans="1:4" ht="47.25" customHeight="1" x14ac:dyDescent="0.25">
      <c r="A310" s="36" t="s">
        <v>1228</v>
      </c>
      <c r="B310" s="36" t="s">
        <v>3975</v>
      </c>
      <c r="C310" s="37" t="s">
        <v>1463</v>
      </c>
      <c r="D310" s="38" t="s">
        <v>2717</v>
      </c>
    </row>
    <row r="311" spans="1:4" ht="63" customHeight="1" x14ac:dyDescent="0.25">
      <c r="A311" s="36" t="s">
        <v>1232</v>
      </c>
      <c r="B311" s="36" t="s">
        <v>3976</v>
      </c>
      <c r="C311" s="37" t="s">
        <v>106</v>
      </c>
      <c r="D311" s="38" t="s">
        <v>2718</v>
      </c>
    </row>
    <row r="312" spans="1:4" ht="63" customHeight="1" x14ac:dyDescent="0.25">
      <c r="A312" s="36" t="s">
        <v>1237</v>
      </c>
      <c r="B312" s="36" t="s">
        <v>3977</v>
      </c>
      <c r="C312" s="37" t="s">
        <v>131</v>
      </c>
      <c r="D312" s="38" t="s">
        <v>2719</v>
      </c>
    </row>
    <row r="313" spans="1:4" ht="47.25" customHeight="1" x14ac:dyDescent="0.25">
      <c r="A313" s="36" t="s">
        <v>1241</v>
      </c>
      <c r="B313" s="36" t="s">
        <v>3978</v>
      </c>
      <c r="C313" s="37" t="s">
        <v>911</v>
      </c>
      <c r="D313" s="38" t="s">
        <v>2720</v>
      </c>
    </row>
    <row r="314" spans="1:4" ht="47.25" customHeight="1" x14ac:dyDescent="0.25">
      <c r="A314" s="36" t="s">
        <v>1245</v>
      </c>
      <c r="B314" s="36" t="s">
        <v>3979</v>
      </c>
      <c r="C314" s="37" t="s">
        <v>3980</v>
      </c>
      <c r="D314" s="38" t="s">
        <v>2721</v>
      </c>
    </row>
    <row r="315" spans="1:4" ht="47.25" customHeight="1" x14ac:dyDescent="0.25">
      <c r="A315" s="36" t="s">
        <v>1250</v>
      </c>
      <c r="B315" s="36" t="s">
        <v>3981</v>
      </c>
      <c r="C315" s="37" t="s">
        <v>3982</v>
      </c>
      <c r="D315" s="38" t="s">
        <v>2722</v>
      </c>
    </row>
    <row r="316" spans="1:4" ht="31.5" customHeight="1" x14ac:dyDescent="0.25">
      <c r="A316" s="36" t="s">
        <v>1254</v>
      </c>
      <c r="B316" s="36" t="s">
        <v>3983</v>
      </c>
      <c r="C316" s="37" t="s">
        <v>1463</v>
      </c>
      <c r="D316" s="38" t="s">
        <v>2723</v>
      </c>
    </row>
    <row r="317" spans="1:4" ht="47.25" customHeight="1" x14ac:dyDescent="0.25">
      <c r="A317" s="36" t="s">
        <v>1258</v>
      </c>
      <c r="B317" s="36" t="s">
        <v>3984</v>
      </c>
      <c r="C317" s="37" t="s">
        <v>3985</v>
      </c>
      <c r="D317" s="38" t="s">
        <v>2724</v>
      </c>
    </row>
    <row r="318" spans="1:4" ht="31.5" customHeight="1" x14ac:dyDescent="0.25">
      <c r="A318" s="36" t="s">
        <v>1263</v>
      </c>
      <c r="B318" s="36" t="s">
        <v>3986</v>
      </c>
      <c r="C318" s="37" t="s">
        <v>1339</v>
      </c>
      <c r="D318" s="38" t="s">
        <v>2725</v>
      </c>
    </row>
    <row r="319" spans="1:4" ht="47.25" customHeight="1" x14ac:dyDescent="0.25">
      <c r="A319" s="36" t="s">
        <v>1268</v>
      </c>
      <c r="B319" s="36" t="s">
        <v>3987</v>
      </c>
      <c r="C319" s="37" t="s">
        <v>3750</v>
      </c>
      <c r="D319" s="38" t="s">
        <v>2726</v>
      </c>
    </row>
    <row r="320" spans="1:4" ht="31.5" customHeight="1" x14ac:dyDescent="0.25">
      <c r="A320" s="36" t="s">
        <v>1272</v>
      </c>
      <c r="B320" s="36" t="s">
        <v>3988</v>
      </c>
      <c r="C320" s="37" t="s">
        <v>1413</v>
      </c>
      <c r="D320" s="38" t="s">
        <v>2727</v>
      </c>
    </row>
    <row r="321" spans="1:4" ht="31.5" customHeight="1" x14ac:dyDescent="0.25">
      <c r="A321" s="36" t="s">
        <v>1276</v>
      </c>
      <c r="B321" s="36" t="s">
        <v>3989</v>
      </c>
      <c r="C321" s="37" t="s">
        <v>1093</v>
      </c>
      <c r="D321" s="38" t="s">
        <v>2728</v>
      </c>
    </row>
    <row r="322" spans="1:4" ht="94.5" customHeight="1" x14ac:dyDescent="0.25">
      <c r="A322" s="36" t="s">
        <v>1280</v>
      </c>
      <c r="B322" s="36" t="s">
        <v>3990</v>
      </c>
      <c r="C322" s="37" t="s">
        <v>2047</v>
      </c>
      <c r="D322" s="38" t="s">
        <v>2729</v>
      </c>
    </row>
    <row r="323" spans="1:4" ht="31.5" customHeight="1" x14ac:dyDescent="0.25">
      <c r="A323" s="36" t="s">
        <v>1284</v>
      </c>
      <c r="B323" s="36" t="s">
        <v>3991</v>
      </c>
      <c r="C323" s="37" t="s">
        <v>3992</v>
      </c>
      <c r="D323" s="38" t="s">
        <v>2730</v>
      </c>
    </row>
    <row r="324" spans="1:4" ht="47.25" customHeight="1" x14ac:dyDescent="0.25">
      <c r="A324" s="36" t="s">
        <v>1289</v>
      </c>
      <c r="B324" s="36" t="s">
        <v>3993</v>
      </c>
      <c r="C324" s="37" t="s">
        <v>911</v>
      </c>
      <c r="D324" s="38" t="s">
        <v>2731</v>
      </c>
    </row>
    <row r="325" spans="1:4" ht="47.25" customHeight="1" x14ac:dyDescent="0.25">
      <c r="A325" s="36" t="s">
        <v>1293</v>
      </c>
      <c r="B325" s="36" t="s">
        <v>3994</v>
      </c>
      <c r="C325" s="37" t="s">
        <v>1307</v>
      </c>
      <c r="D325" s="38" t="s">
        <v>2732</v>
      </c>
    </row>
    <row r="326" spans="1:4" ht="31.5" customHeight="1" x14ac:dyDescent="0.25">
      <c r="A326" s="36" t="s">
        <v>1297</v>
      </c>
      <c r="B326" s="36" t="s">
        <v>3995</v>
      </c>
      <c r="C326" s="37" t="s">
        <v>366</v>
      </c>
      <c r="D326" s="38" t="s">
        <v>2733</v>
      </c>
    </row>
    <row r="327" spans="1:4" ht="63" customHeight="1" x14ac:dyDescent="0.25">
      <c r="A327" s="36" t="s">
        <v>1301</v>
      </c>
      <c r="B327" s="36" t="s">
        <v>3996</v>
      </c>
      <c r="C327" s="37" t="s">
        <v>2025</v>
      </c>
      <c r="D327" s="38" t="s">
        <v>2734</v>
      </c>
    </row>
    <row r="328" spans="1:4" ht="31.5" customHeight="1" x14ac:dyDescent="0.25">
      <c r="A328" s="36" t="s">
        <v>1305</v>
      </c>
      <c r="B328" s="36" t="s">
        <v>3997</v>
      </c>
      <c r="C328" s="37" t="s">
        <v>2119</v>
      </c>
      <c r="D328" s="38" t="s">
        <v>2735</v>
      </c>
    </row>
    <row r="329" spans="1:4" ht="47.25" customHeight="1" x14ac:dyDescent="0.25">
      <c r="A329" s="36" t="s">
        <v>1310</v>
      </c>
      <c r="B329" s="36" t="s">
        <v>3998</v>
      </c>
      <c r="C329" s="37" t="s">
        <v>1315</v>
      </c>
      <c r="D329" s="38" t="s">
        <v>2736</v>
      </c>
    </row>
    <row r="330" spans="1:4" ht="31.5" customHeight="1" x14ac:dyDescent="0.25">
      <c r="A330" s="36" t="s">
        <v>1313</v>
      </c>
      <c r="B330" s="36" t="s">
        <v>3999</v>
      </c>
      <c r="C330" s="37" t="s">
        <v>4000</v>
      </c>
      <c r="D330" s="38" t="s">
        <v>2737</v>
      </c>
    </row>
    <row r="331" spans="1:4" ht="31.5" customHeight="1" x14ac:dyDescent="0.25">
      <c r="A331" s="36" t="s">
        <v>1318</v>
      </c>
      <c r="B331" s="36" t="s">
        <v>4001</v>
      </c>
      <c r="C331" s="37" t="s">
        <v>256</v>
      </c>
      <c r="D331" s="38" t="s">
        <v>2738</v>
      </c>
    </row>
    <row r="332" spans="1:4" ht="47.25" customHeight="1" x14ac:dyDescent="0.25">
      <c r="A332" s="36" t="s">
        <v>1322</v>
      </c>
      <c r="B332" s="36" t="s">
        <v>4002</v>
      </c>
      <c r="C332" s="37" t="s">
        <v>3563</v>
      </c>
      <c r="D332" s="38" t="s">
        <v>2739</v>
      </c>
    </row>
    <row r="333" spans="1:4" ht="47.25" customHeight="1" x14ac:dyDescent="0.25">
      <c r="A333" s="36" t="s">
        <v>1327</v>
      </c>
      <c r="B333" s="36" t="s">
        <v>4003</v>
      </c>
      <c r="C333" s="37" t="s">
        <v>1719</v>
      </c>
      <c r="D333" s="38" t="s">
        <v>2740</v>
      </c>
    </row>
    <row r="334" spans="1:4" ht="47.25" customHeight="1" x14ac:dyDescent="0.25">
      <c r="A334" s="36" t="s">
        <v>1333</v>
      </c>
      <c r="B334" s="36" t="s">
        <v>4004</v>
      </c>
      <c r="C334" s="37" t="s">
        <v>1339</v>
      </c>
      <c r="D334" s="38" t="s">
        <v>2741</v>
      </c>
    </row>
    <row r="335" spans="1:4" ht="47.25" customHeight="1" x14ac:dyDescent="0.25">
      <c r="A335" s="36" t="s">
        <v>1337</v>
      </c>
      <c r="B335" s="36" t="s">
        <v>4005</v>
      </c>
      <c r="C335" s="37" t="s">
        <v>1463</v>
      </c>
      <c r="D335" s="38" t="s">
        <v>2742</v>
      </c>
    </row>
    <row r="336" spans="1:4" ht="47.25" customHeight="1" x14ac:dyDescent="0.25">
      <c r="A336" s="36" t="s">
        <v>1342</v>
      </c>
      <c r="B336" s="36" t="s">
        <v>4006</v>
      </c>
      <c r="C336" s="37" t="s">
        <v>1571</v>
      </c>
      <c r="D336" s="38" t="s">
        <v>2743</v>
      </c>
    </row>
    <row r="337" spans="1:4" ht="31.5" customHeight="1" x14ac:dyDescent="0.25">
      <c r="A337" s="36" t="s">
        <v>1345</v>
      </c>
      <c r="B337" s="36" t="s">
        <v>4007</v>
      </c>
      <c r="C337" s="37" t="s">
        <v>929</v>
      </c>
      <c r="D337" s="38" t="s">
        <v>2744</v>
      </c>
    </row>
    <row r="338" spans="1:4" ht="47.25" customHeight="1" x14ac:dyDescent="0.25">
      <c r="A338" s="36" t="s">
        <v>1349</v>
      </c>
      <c r="B338" s="36" t="s">
        <v>4008</v>
      </c>
      <c r="C338" s="37" t="s">
        <v>4009</v>
      </c>
      <c r="D338" s="38" t="s">
        <v>2745</v>
      </c>
    </row>
    <row r="339" spans="1:4" ht="47.25" customHeight="1" x14ac:dyDescent="0.25">
      <c r="A339" s="36" t="s">
        <v>1354</v>
      </c>
      <c r="B339" s="36" t="s">
        <v>4010</v>
      </c>
      <c r="C339" s="37" t="s">
        <v>110</v>
      </c>
      <c r="D339" s="38" t="s">
        <v>2746</v>
      </c>
    </row>
    <row r="340" spans="1:4" ht="31.5" customHeight="1" x14ac:dyDescent="0.25">
      <c r="A340" s="36" t="s">
        <v>1358</v>
      </c>
      <c r="B340" s="36" t="s">
        <v>4011</v>
      </c>
      <c r="C340" s="37" t="s">
        <v>4012</v>
      </c>
      <c r="D340" s="38" t="s">
        <v>2747</v>
      </c>
    </row>
    <row r="341" spans="1:4" ht="31.5" customHeight="1" x14ac:dyDescent="0.25">
      <c r="A341" s="36" t="s">
        <v>1363</v>
      </c>
      <c r="B341" s="36" t="s">
        <v>4013</v>
      </c>
      <c r="C341" s="37" t="s">
        <v>3647</v>
      </c>
      <c r="D341" s="38" t="s">
        <v>2748</v>
      </c>
    </row>
    <row r="342" spans="1:4" ht="31.5" customHeight="1" x14ac:dyDescent="0.25">
      <c r="A342" s="36" t="s">
        <v>1368</v>
      </c>
      <c r="B342" s="36" t="s">
        <v>4014</v>
      </c>
      <c r="C342" s="37" t="s">
        <v>4015</v>
      </c>
      <c r="D342" s="38" t="s">
        <v>2749</v>
      </c>
    </row>
    <row r="343" spans="1:4" ht="47.25" customHeight="1" x14ac:dyDescent="0.25">
      <c r="A343" s="36" t="s">
        <v>1372</v>
      </c>
      <c r="B343" s="36" t="s">
        <v>4016</v>
      </c>
      <c r="C343" s="37" t="s">
        <v>4017</v>
      </c>
      <c r="D343" s="38" t="s">
        <v>2750</v>
      </c>
    </row>
    <row r="344" spans="1:4" ht="31.5" customHeight="1" x14ac:dyDescent="0.25">
      <c r="A344" s="36" t="s">
        <v>1376</v>
      </c>
      <c r="B344" s="36" t="s">
        <v>4018</v>
      </c>
      <c r="C344" s="37" t="s">
        <v>639</v>
      </c>
      <c r="D344" s="38" t="s">
        <v>2751</v>
      </c>
    </row>
    <row r="345" spans="1:4" ht="31.5" customHeight="1" x14ac:dyDescent="0.25">
      <c r="A345" s="36" t="s">
        <v>1380</v>
      </c>
      <c r="B345" s="36" t="s">
        <v>4019</v>
      </c>
      <c r="C345" s="37" t="s">
        <v>639</v>
      </c>
      <c r="D345" s="38" t="s">
        <v>2752</v>
      </c>
    </row>
    <row r="346" spans="1:4" ht="63" customHeight="1" x14ac:dyDescent="0.25">
      <c r="A346" s="36" t="s">
        <v>1384</v>
      </c>
      <c r="B346" s="36" t="s">
        <v>4020</v>
      </c>
      <c r="C346" s="37" t="s">
        <v>1860</v>
      </c>
      <c r="D346" s="38" t="s">
        <v>2753</v>
      </c>
    </row>
    <row r="347" spans="1:4" ht="47.25" customHeight="1" x14ac:dyDescent="0.25">
      <c r="A347" s="36" t="s">
        <v>1388</v>
      </c>
      <c r="B347" s="36" t="s">
        <v>4021</v>
      </c>
      <c r="C347" s="37" t="s">
        <v>4022</v>
      </c>
      <c r="D347" s="38" t="s">
        <v>2754</v>
      </c>
    </row>
    <row r="348" spans="1:4" ht="47.25" customHeight="1" x14ac:dyDescent="0.25">
      <c r="A348" s="36" t="s">
        <v>1393</v>
      </c>
      <c r="B348" s="36" t="s">
        <v>4023</v>
      </c>
      <c r="C348" s="37" t="s">
        <v>4024</v>
      </c>
      <c r="D348" s="38" t="s">
        <v>2755</v>
      </c>
    </row>
    <row r="349" spans="1:4" ht="47.25" customHeight="1" x14ac:dyDescent="0.25">
      <c r="A349" s="36" t="s">
        <v>1398</v>
      </c>
      <c r="B349" s="36" t="s">
        <v>4025</v>
      </c>
      <c r="C349" s="37" t="s">
        <v>3615</v>
      </c>
      <c r="D349" s="38" t="s">
        <v>2756</v>
      </c>
    </row>
    <row r="350" spans="1:4" ht="47.25" customHeight="1" x14ac:dyDescent="0.25">
      <c r="A350" s="36" t="s">
        <v>1403</v>
      </c>
      <c r="B350" s="36" t="s">
        <v>4026</v>
      </c>
      <c r="C350" s="37" t="s">
        <v>4027</v>
      </c>
      <c r="D350" s="38" t="s">
        <v>2757</v>
      </c>
    </row>
    <row r="351" spans="1:4" ht="63" customHeight="1" x14ac:dyDescent="0.25">
      <c r="A351" s="36" t="s">
        <v>1407</v>
      </c>
      <c r="B351" s="36" t="s">
        <v>4028</v>
      </c>
      <c r="C351" s="37" t="s">
        <v>4027</v>
      </c>
      <c r="D351" s="38" t="s">
        <v>2758</v>
      </c>
    </row>
    <row r="352" spans="1:4" ht="63" customHeight="1" x14ac:dyDescent="0.25">
      <c r="A352" s="36" t="s">
        <v>1411</v>
      </c>
      <c r="B352" s="36" t="s">
        <v>4029</v>
      </c>
      <c r="C352" s="37" t="s">
        <v>4030</v>
      </c>
      <c r="D352" s="38" t="s">
        <v>2759</v>
      </c>
    </row>
    <row r="353" spans="1:4" ht="47.25" customHeight="1" x14ac:dyDescent="0.25">
      <c r="A353" s="36" t="s">
        <v>1416</v>
      </c>
      <c r="B353" s="36" t="s">
        <v>4031</v>
      </c>
      <c r="C353" s="37" t="s">
        <v>4032</v>
      </c>
      <c r="D353" s="38" t="s">
        <v>2760</v>
      </c>
    </row>
    <row r="354" spans="1:4" ht="63" customHeight="1" x14ac:dyDescent="0.25">
      <c r="A354" s="36" t="s">
        <v>1421</v>
      </c>
      <c r="B354" s="36" t="s">
        <v>4033</v>
      </c>
      <c r="C354" s="37" t="s">
        <v>481</v>
      </c>
      <c r="D354" s="38" t="s">
        <v>2761</v>
      </c>
    </row>
    <row r="355" spans="1:4" ht="78.75" customHeight="1" x14ac:dyDescent="0.25">
      <c r="A355" s="36" t="s">
        <v>1425</v>
      </c>
      <c r="B355" s="36" t="s">
        <v>4034</v>
      </c>
      <c r="C355" s="37" t="s">
        <v>644</v>
      </c>
      <c r="D355" s="38" t="s">
        <v>2762</v>
      </c>
    </row>
    <row r="356" spans="1:4" ht="31.5" customHeight="1" x14ac:dyDescent="0.25">
      <c r="A356" s="36" t="s">
        <v>1430</v>
      </c>
      <c r="B356" s="36" t="s">
        <v>4035</v>
      </c>
      <c r="C356" s="37" t="s">
        <v>535</v>
      </c>
      <c r="D356" s="38" t="s">
        <v>2763</v>
      </c>
    </row>
    <row r="357" spans="1:4" ht="78.75" customHeight="1" x14ac:dyDescent="0.25">
      <c r="A357" s="36" t="s">
        <v>1434</v>
      </c>
      <c r="B357" s="36" t="s">
        <v>4036</v>
      </c>
      <c r="C357" s="37" t="s">
        <v>591</v>
      </c>
      <c r="D357" s="38" t="s">
        <v>2764</v>
      </c>
    </row>
    <row r="358" spans="1:4" ht="47.25" customHeight="1" x14ac:dyDescent="0.25">
      <c r="A358" s="36" t="s">
        <v>1438</v>
      </c>
      <c r="B358" s="36" t="s">
        <v>4037</v>
      </c>
      <c r="C358" s="37" t="s">
        <v>4038</v>
      </c>
      <c r="D358" s="38" t="s">
        <v>2765</v>
      </c>
    </row>
    <row r="359" spans="1:4" ht="31.5" customHeight="1" x14ac:dyDescent="0.25">
      <c r="A359" s="36" t="s">
        <v>1443</v>
      </c>
      <c r="B359" s="36" t="s">
        <v>4039</v>
      </c>
      <c r="C359" s="37" t="s">
        <v>3730</v>
      </c>
      <c r="D359" s="38" t="s">
        <v>2766</v>
      </c>
    </row>
    <row r="360" spans="1:4" ht="78.75" customHeight="1" x14ac:dyDescent="0.25">
      <c r="A360" s="36" t="s">
        <v>1447</v>
      </c>
      <c r="B360" s="36" t="s">
        <v>4040</v>
      </c>
      <c r="C360" s="37" t="s">
        <v>220</v>
      </c>
      <c r="D360" s="38" t="s">
        <v>2767</v>
      </c>
    </row>
    <row r="361" spans="1:4" ht="31.5" customHeight="1" x14ac:dyDescent="0.25">
      <c r="A361" s="36" t="s">
        <v>1451</v>
      </c>
      <c r="B361" s="36" t="s">
        <v>4041</v>
      </c>
      <c r="C361" s="37" t="s">
        <v>4042</v>
      </c>
      <c r="D361" s="38" t="s">
        <v>2768</v>
      </c>
    </row>
    <row r="362" spans="1:4" ht="47.25" customHeight="1" x14ac:dyDescent="0.25">
      <c r="A362" s="36" t="s">
        <v>1456</v>
      </c>
      <c r="B362" s="36" t="s">
        <v>4043</v>
      </c>
      <c r="C362" s="37" t="s">
        <v>4042</v>
      </c>
      <c r="D362" s="38" t="s">
        <v>2769</v>
      </c>
    </row>
    <row r="363" spans="1:4" ht="31.5" customHeight="1" x14ac:dyDescent="0.25">
      <c r="A363" s="36" t="s">
        <v>1461</v>
      </c>
      <c r="B363" s="36" t="s">
        <v>4044</v>
      </c>
      <c r="C363" s="37" t="s">
        <v>3884</v>
      </c>
      <c r="D363" s="38" t="s">
        <v>2770</v>
      </c>
    </row>
    <row r="364" spans="1:4" ht="63" customHeight="1" x14ac:dyDescent="0.25">
      <c r="A364" s="36" t="s">
        <v>1466</v>
      </c>
      <c r="B364" s="36" t="s">
        <v>4045</v>
      </c>
      <c r="C364" s="46" t="s">
        <v>4046</v>
      </c>
      <c r="D364" s="38" t="s">
        <v>2771</v>
      </c>
    </row>
    <row r="365" spans="1:4" ht="78.75" customHeight="1" x14ac:dyDescent="0.25">
      <c r="A365" s="36" t="s">
        <v>1471</v>
      </c>
      <c r="B365" s="36" t="s">
        <v>4047</v>
      </c>
      <c r="C365" s="37" t="s">
        <v>247</v>
      </c>
      <c r="D365" s="38" t="s">
        <v>2772</v>
      </c>
    </row>
    <row r="366" spans="1:4" ht="63" customHeight="1" x14ac:dyDescent="0.25">
      <c r="A366" s="36" t="s">
        <v>1476</v>
      </c>
      <c r="B366" s="36" t="s">
        <v>4048</v>
      </c>
      <c r="C366" s="37" t="s">
        <v>1719</v>
      </c>
      <c r="D366" s="38" t="s">
        <v>2773</v>
      </c>
    </row>
    <row r="367" spans="1:4" ht="31.5" customHeight="1" x14ac:dyDescent="0.25">
      <c r="A367" s="36" t="s">
        <v>1482</v>
      </c>
      <c r="B367" s="36" t="s">
        <v>4049</v>
      </c>
      <c r="C367" s="37" t="s">
        <v>4050</v>
      </c>
      <c r="D367" s="38" t="s">
        <v>2774</v>
      </c>
    </row>
    <row r="368" spans="1:4" ht="31.5" customHeight="1" x14ac:dyDescent="0.25">
      <c r="A368" s="36" t="s">
        <v>1487</v>
      </c>
      <c r="B368" s="36" t="s">
        <v>4051</v>
      </c>
      <c r="C368" s="37" t="s">
        <v>149</v>
      </c>
      <c r="D368" s="38" t="s">
        <v>2775</v>
      </c>
    </row>
    <row r="369" spans="1:4" ht="31.5" customHeight="1" x14ac:dyDescent="0.25">
      <c r="A369" s="36" t="s">
        <v>1492</v>
      </c>
      <c r="B369" s="36" t="s">
        <v>4052</v>
      </c>
      <c r="C369" s="37" t="s">
        <v>4053</v>
      </c>
      <c r="D369" s="38" t="s">
        <v>2776</v>
      </c>
    </row>
    <row r="370" spans="1:4" ht="47.25" customHeight="1" x14ac:dyDescent="0.25">
      <c r="A370" s="36" t="s">
        <v>1496</v>
      </c>
      <c r="B370" s="36" t="s">
        <v>4054</v>
      </c>
      <c r="C370" s="37" t="s">
        <v>390</v>
      </c>
      <c r="D370" s="38" t="s">
        <v>2777</v>
      </c>
    </row>
    <row r="371" spans="1:4" ht="47.25" customHeight="1" x14ac:dyDescent="0.25">
      <c r="A371" s="36" t="s">
        <v>1500</v>
      </c>
      <c r="B371" s="36" t="s">
        <v>4055</v>
      </c>
      <c r="C371" s="37" t="s">
        <v>4056</v>
      </c>
      <c r="D371" s="38" t="s">
        <v>2778</v>
      </c>
    </row>
    <row r="372" spans="1:4" ht="31.5" customHeight="1" x14ac:dyDescent="0.25">
      <c r="A372" s="36" t="s">
        <v>1504</v>
      </c>
      <c r="B372" s="36" t="s">
        <v>4057</v>
      </c>
      <c r="C372" s="37" t="s">
        <v>506</v>
      </c>
      <c r="D372" s="38" t="s">
        <v>2779</v>
      </c>
    </row>
    <row r="373" spans="1:4" ht="31.5" customHeight="1" x14ac:dyDescent="0.25">
      <c r="A373" s="36" t="s">
        <v>1508</v>
      </c>
      <c r="B373" s="36" t="s">
        <v>4058</v>
      </c>
      <c r="C373" s="37" t="s">
        <v>3617</v>
      </c>
      <c r="D373" s="38" t="s">
        <v>2780</v>
      </c>
    </row>
    <row r="374" spans="1:4" x14ac:dyDescent="0.25">
      <c r="A374" s="36" t="s">
        <v>1512</v>
      </c>
      <c r="B374" s="36" t="s">
        <v>4059</v>
      </c>
      <c r="C374" s="37" t="s">
        <v>639</v>
      </c>
      <c r="D374" s="38" t="s">
        <v>2781</v>
      </c>
    </row>
    <row r="375" spans="1:4" ht="31.5" customHeight="1" x14ac:dyDescent="0.25">
      <c r="A375" s="36" t="s">
        <v>1517</v>
      </c>
      <c r="B375" s="36" t="s">
        <v>4060</v>
      </c>
      <c r="C375" s="37" t="s">
        <v>3730</v>
      </c>
      <c r="D375" s="38" t="s">
        <v>2782</v>
      </c>
    </row>
    <row r="376" spans="1:4" ht="31.5" customHeight="1" x14ac:dyDescent="0.25">
      <c r="A376" s="36" t="s">
        <v>1522</v>
      </c>
      <c r="B376" s="36" t="s">
        <v>4061</v>
      </c>
      <c r="C376" s="37" t="s">
        <v>4032</v>
      </c>
      <c r="D376" s="38" t="s">
        <v>2783</v>
      </c>
    </row>
    <row r="377" spans="1:4" ht="31.5" customHeight="1" x14ac:dyDescent="0.25">
      <c r="A377" s="36" t="s">
        <v>1527</v>
      </c>
      <c r="B377" s="36" t="s">
        <v>4062</v>
      </c>
      <c r="C377" s="37" t="s">
        <v>1184</v>
      </c>
      <c r="D377" s="38" t="s">
        <v>2784</v>
      </c>
    </row>
    <row r="378" spans="1:4" ht="63" customHeight="1" x14ac:dyDescent="0.25">
      <c r="A378" s="36" t="s">
        <v>1531</v>
      </c>
      <c r="B378" s="36" t="s">
        <v>4063</v>
      </c>
      <c r="C378" s="37" t="s">
        <v>311</v>
      </c>
      <c r="D378" s="38" t="s">
        <v>2785</v>
      </c>
    </row>
    <row r="379" spans="1:4" ht="47.25" customHeight="1" x14ac:dyDescent="0.25">
      <c r="A379" s="36" t="s">
        <v>1534</v>
      </c>
      <c r="B379" s="36" t="s">
        <v>4064</v>
      </c>
      <c r="C379" s="37" t="s">
        <v>4065</v>
      </c>
      <c r="D379" s="38" t="s">
        <v>2786</v>
      </c>
    </row>
    <row r="380" spans="1:4" ht="47.25" customHeight="1" x14ac:dyDescent="0.25">
      <c r="A380" s="36" t="s">
        <v>1539</v>
      </c>
      <c r="B380" s="36" t="s">
        <v>4066</v>
      </c>
      <c r="C380" s="37" t="s">
        <v>113</v>
      </c>
      <c r="D380" s="38" t="s">
        <v>2787</v>
      </c>
    </row>
    <row r="381" spans="1:4" ht="31.5" customHeight="1" x14ac:dyDescent="0.25">
      <c r="A381" s="36" t="s">
        <v>1543</v>
      </c>
      <c r="B381" s="36" t="s">
        <v>4067</v>
      </c>
      <c r="C381" s="37" t="s">
        <v>4068</v>
      </c>
      <c r="D381" s="38" t="s">
        <v>2788</v>
      </c>
    </row>
    <row r="382" spans="1:4" ht="31.5" customHeight="1" x14ac:dyDescent="0.25">
      <c r="A382" s="36" t="s">
        <v>1547</v>
      </c>
      <c r="B382" s="36" t="s">
        <v>4069</v>
      </c>
      <c r="C382" s="37" t="s">
        <v>3748</v>
      </c>
      <c r="D382" s="38" t="s">
        <v>2789</v>
      </c>
    </row>
    <row r="383" spans="1:4" ht="31.5" customHeight="1" x14ac:dyDescent="0.25">
      <c r="A383" s="36" t="s">
        <v>1552</v>
      </c>
      <c r="B383" s="36" t="s">
        <v>4070</v>
      </c>
      <c r="C383" s="37" t="s">
        <v>744</v>
      </c>
      <c r="D383" s="38" t="s">
        <v>2790</v>
      </c>
    </row>
    <row r="384" spans="1:4" ht="47.25" customHeight="1" x14ac:dyDescent="0.25">
      <c r="A384" s="36" t="s">
        <v>1557</v>
      </c>
      <c r="B384" s="36" t="s">
        <v>4071</v>
      </c>
      <c r="C384" s="37" t="s">
        <v>4027</v>
      </c>
      <c r="D384" s="38" t="s">
        <v>2791</v>
      </c>
    </row>
    <row r="385" spans="1:4" ht="47.25" customHeight="1" x14ac:dyDescent="0.25">
      <c r="A385" s="36" t="s">
        <v>1561</v>
      </c>
      <c r="B385" s="36" t="s">
        <v>4072</v>
      </c>
      <c r="C385" s="37" t="s">
        <v>4027</v>
      </c>
      <c r="D385" s="38" t="s">
        <v>2792</v>
      </c>
    </row>
    <row r="386" spans="1:4" ht="31.5" customHeight="1" x14ac:dyDescent="0.25">
      <c r="A386" s="36" t="s">
        <v>1565</v>
      </c>
      <c r="B386" s="36" t="s">
        <v>4073</v>
      </c>
      <c r="C386" s="37" t="s">
        <v>4022</v>
      </c>
      <c r="D386" s="38" t="s">
        <v>2793</v>
      </c>
    </row>
    <row r="387" spans="1:4" ht="47.25" customHeight="1" x14ac:dyDescent="0.25">
      <c r="A387" s="36" t="s">
        <v>1569</v>
      </c>
      <c r="B387" s="36" t="s">
        <v>4074</v>
      </c>
      <c r="C387" s="37" t="s">
        <v>3617</v>
      </c>
      <c r="D387" s="38" t="s">
        <v>2794</v>
      </c>
    </row>
    <row r="388" spans="1:4" ht="31.5" customHeight="1" x14ac:dyDescent="0.25">
      <c r="A388" s="36" t="s">
        <v>1574</v>
      </c>
      <c r="B388" s="36" t="s">
        <v>4075</v>
      </c>
      <c r="C388" s="37" t="s">
        <v>744</v>
      </c>
      <c r="D388" s="38" t="s">
        <v>2795</v>
      </c>
    </row>
    <row r="389" spans="1:4" ht="47.25" customHeight="1" x14ac:dyDescent="0.25">
      <c r="A389" s="36" t="s">
        <v>1579</v>
      </c>
      <c r="B389" s="36" t="s">
        <v>4076</v>
      </c>
      <c r="C389" s="37" t="s">
        <v>383</v>
      </c>
      <c r="D389" s="38" t="s">
        <v>2796</v>
      </c>
    </row>
    <row r="390" spans="1:4" ht="31.5" customHeight="1" x14ac:dyDescent="0.25">
      <c r="A390" s="36" t="s">
        <v>1585</v>
      </c>
      <c r="B390" s="36" t="s">
        <v>4077</v>
      </c>
      <c r="C390" s="37" t="s">
        <v>4078</v>
      </c>
      <c r="D390" s="38" t="s">
        <v>2797</v>
      </c>
    </row>
    <row r="391" spans="1:4" ht="63" customHeight="1" x14ac:dyDescent="0.25">
      <c r="A391" s="36" t="s">
        <v>1589</v>
      </c>
      <c r="B391" s="36" t="s">
        <v>4079</v>
      </c>
      <c r="C391" s="37" t="s">
        <v>2082</v>
      </c>
      <c r="D391" s="38" t="s">
        <v>2798</v>
      </c>
    </row>
    <row r="392" spans="1:4" ht="47.25" customHeight="1" x14ac:dyDescent="0.25">
      <c r="A392" s="36" t="s">
        <v>1593</v>
      </c>
      <c r="B392" s="36" t="s">
        <v>4080</v>
      </c>
      <c r="C392" s="37" t="s">
        <v>247</v>
      </c>
      <c r="D392" s="38" t="s">
        <v>2799</v>
      </c>
    </row>
    <row r="393" spans="1:4" ht="47.25" customHeight="1" x14ac:dyDescent="0.25">
      <c r="A393" s="36" t="s">
        <v>1597</v>
      </c>
      <c r="B393" s="36" t="s">
        <v>4081</v>
      </c>
      <c r="C393" s="37" t="s">
        <v>731</v>
      </c>
      <c r="D393" s="38" t="s">
        <v>2800</v>
      </c>
    </row>
    <row r="394" spans="1:4" ht="31.5" customHeight="1" x14ac:dyDescent="0.25">
      <c r="A394" s="36" t="s">
        <v>1601</v>
      </c>
      <c r="B394" s="36" t="s">
        <v>4082</v>
      </c>
      <c r="C394" s="37" t="s">
        <v>591</v>
      </c>
      <c r="D394" s="38" t="s">
        <v>2801</v>
      </c>
    </row>
    <row r="395" spans="1:4" ht="47.25" customHeight="1" x14ac:dyDescent="0.25">
      <c r="A395" s="36" t="s">
        <v>1605</v>
      </c>
      <c r="B395" s="36" t="s">
        <v>4083</v>
      </c>
      <c r="C395" s="37" t="s">
        <v>952</v>
      </c>
      <c r="D395" s="38" t="s">
        <v>2802</v>
      </c>
    </row>
    <row r="396" spans="1:4" ht="31.5" customHeight="1" x14ac:dyDescent="0.25">
      <c r="A396" s="36" t="s">
        <v>1609</v>
      </c>
      <c r="B396" s="36" t="s">
        <v>4084</v>
      </c>
      <c r="C396" s="37" t="s">
        <v>3619</v>
      </c>
      <c r="D396" s="38" t="s">
        <v>2803</v>
      </c>
    </row>
    <row r="397" spans="1:4" ht="63" customHeight="1" x14ac:dyDescent="0.25">
      <c r="A397" s="36" t="s">
        <v>1614</v>
      </c>
      <c r="B397" s="36" t="s">
        <v>4085</v>
      </c>
      <c r="C397" s="37" t="s">
        <v>4086</v>
      </c>
      <c r="D397" s="38" t="s">
        <v>2804</v>
      </c>
    </row>
    <row r="398" spans="1:4" ht="63" customHeight="1" x14ac:dyDescent="0.25">
      <c r="A398" s="36" t="s">
        <v>1618</v>
      </c>
      <c r="B398" s="36" t="s">
        <v>4087</v>
      </c>
      <c r="C398" s="37" t="s">
        <v>4088</v>
      </c>
      <c r="D398" s="38" t="s">
        <v>2805</v>
      </c>
    </row>
    <row r="399" spans="1:4" ht="47.25" customHeight="1" x14ac:dyDescent="0.25">
      <c r="A399" s="36" t="s">
        <v>1622</v>
      </c>
      <c r="B399" s="36" t="s">
        <v>4089</v>
      </c>
      <c r="C399" s="37" t="s">
        <v>547</v>
      </c>
      <c r="D399" s="38" t="s">
        <v>2806</v>
      </c>
    </row>
    <row r="400" spans="1:4" ht="31.5" customHeight="1" x14ac:dyDescent="0.25">
      <c r="A400" s="36" t="s">
        <v>1627</v>
      </c>
      <c r="B400" s="36" t="s">
        <v>4090</v>
      </c>
      <c r="C400" s="37" t="s">
        <v>63</v>
      </c>
      <c r="D400" s="38" t="s">
        <v>2807</v>
      </c>
    </row>
    <row r="401" spans="1:4" ht="47.25" customHeight="1" x14ac:dyDescent="0.25">
      <c r="A401" s="36" t="s">
        <v>1631</v>
      </c>
      <c r="B401" s="36" t="s">
        <v>4091</v>
      </c>
      <c r="C401" s="37" t="s">
        <v>4092</v>
      </c>
      <c r="D401" s="38" t="s">
        <v>2808</v>
      </c>
    </row>
    <row r="402" spans="1:4" ht="47.25" customHeight="1" x14ac:dyDescent="0.25">
      <c r="A402" s="36" t="s">
        <v>1635</v>
      </c>
      <c r="B402" s="36" t="s">
        <v>4093</v>
      </c>
      <c r="C402" s="37" t="s">
        <v>3792</v>
      </c>
      <c r="D402" s="38" t="s">
        <v>2809</v>
      </c>
    </row>
    <row r="403" spans="1:4" ht="63" customHeight="1" x14ac:dyDescent="0.25">
      <c r="A403" s="36" t="s">
        <v>1639</v>
      </c>
      <c r="B403" s="36" t="s">
        <v>4094</v>
      </c>
      <c r="C403" s="37" t="s">
        <v>1514</v>
      </c>
      <c r="D403" s="38" t="s">
        <v>2810</v>
      </c>
    </row>
    <row r="404" spans="1:4" ht="47.25" customHeight="1" x14ac:dyDescent="0.25">
      <c r="A404" s="36" t="s">
        <v>1643</v>
      </c>
      <c r="B404" s="36" t="s">
        <v>4095</v>
      </c>
      <c r="C404" s="37" t="s">
        <v>1039</v>
      </c>
      <c r="D404" s="38" t="s">
        <v>2811</v>
      </c>
    </row>
    <row r="405" spans="1:4" ht="31.5" customHeight="1" x14ac:dyDescent="0.25">
      <c r="A405" s="36" t="s">
        <v>1648</v>
      </c>
      <c r="B405" s="36" t="s">
        <v>4096</v>
      </c>
      <c r="C405" s="37" t="s">
        <v>2318</v>
      </c>
      <c r="D405" s="38" t="s">
        <v>2812</v>
      </c>
    </row>
    <row r="406" spans="1:4" ht="47.25" customHeight="1" x14ac:dyDescent="0.25">
      <c r="A406" s="36" t="s">
        <v>1654</v>
      </c>
      <c r="B406" s="36" t="s">
        <v>4097</v>
      </c>
      <c r="C406" s="37" t="s">
        <v>4098</v>
      </c>
      <c r="D406" s="38" t="s">
        <v>2813</v>
      </c>
    </row>
    <row r="407" spans="1:4" ht="47.25" customHeight="1" x14ac:dyDescent="0.25">
      <c r="A407" s="36" t="s">
        <v>1658</v>
      </c>
      <c r="B407" s="36" t="s">
        <v>4099</v>
      </c>
      <c r="C407" s="37" t="s">
        <v>4100</v>
      </c>
      <c r="D407" s="38" t="s">
        <v>2814</v>
      </c>
    </row>
    <row r="408" spans="1:4" ht="31.5" customHeight="1" x14ac:dyDescent="0.25">
      <c r="A408" s="36" t="s">
        <v>1663</v>
      </c>
      <c r="B408" s="36" t="s">
        <v>4101</v>
      </c>
      <c r="C408" s="37" t="s">
        <v>4102</v>
      </c>
      <c r="D408" s="38" t="s">
        <v>2815</v>
      </c>
    </row>
    <row r="409" spans="1:4" ht="63" customHeight="1" x14ac:dyDescent="0.25">
      <c r="A409" s="36" t="s">
        <v>1668</v>
      </c>
      <c r="B409" s="36" t="s">
        <v>4103</v>
      </c>
      <c r="C409" s="37" t="s">
        <v>3555</v>
      </c>
      <c r="D409" s="38" t="s">
        <v>2816</v>
      </c>
    </row>
    <row r="410" spans="1:4" ht="47.25" customHeight="1" x14ac:dyDescent="0.25">
      <c r="A410" s="36" t="s">
        <v>1673</v>
      </c>
      <c r="B410" s="36" t="s">
        <v>4104</v>
      </c>
      <c r="C410" s="37" t="s">
        <v>3858</v>
      </c>
      <c r="D410" s="38" t="s">
        <v>2817</v>
      </c>
    </row>
    <row r="411" spans="1:4" ht="47.25" customHeight="1" x14ac:dyDescent="0.25">
      <c r="A411" s="36" t="s">
        <v>1677</v>
      </c>
      <c r="B411" s="36" t="s">
        <v>4105</v>
      </c>
      <c r="C411" s="37" t="s">
        <v>4106</v>
      </c>
      <c r="D411" s="38" t="s">
        <v>2818</v>
      </c>
    </row>
    <row r="412" spans="1:4" ht="47.25" customHeight="1" x14ac:dyDescent="0.25">
      <c r="A412" s="36" t="s">
        <v>1682</v>
      </c>
      <c r="B412" s="36" t="s">
        <v>4107</v>
      </c>
      <c r="C412" s="37" t="s">
        <v>1821</v>
      </c>
      <c r="D412" s="38" t="s">
        <v>2819</v>
      </c>
    </row>
    <row r="413" spans="1:4" ht="31.5" customHeight="1" x14ac:dyDescent="0.25">
      <c r="A413" s="36" t="s">
        <v>1687</v>
      </c>
      <c r="B413" s="36" t="s">
        <v>4108</v>
      </c>
      <c r="C413" s="37" t="s">
        <v>1912</v>
      </c>
      <c r="D413" s="38" t="s">
        <v>2820</v>
      </c>
    </row>
    <row r="414" spans="1:4" ht="47.25" customHeight="1" x14ac:dyDescent="0.25">
      <c r="A414" s="36" t="s">
        <v>1692</v>
      </c>
      <c r="B414" s="36" t="s">
        <v>4109</v>
      </c>
      <c r="C414" s="37" t="s">
        <v>4027</v>
      </c>
      <c r="D414" s="38" t="s">
        <v>2821</v>
      </c>
    </row>
    <row r="415" spans="1:4" ht="31.5" customHeight="1" x14ac:dyDescent="0.25">
      <c r="A415" s="36" t="s">
        <v>1697</v>
      </c>
      <c r="B415" s="36" t="s">
        <v>4110</v>
      </c>
      <c r="C415" s="37" t="s">
        <v>1413</v>
      </c>
      <c r="D415" s="38" t="s">
        <v>2822</v>
      </c>
    </row>
    <row r="416" spans="1:4" ht="31.5" customHeight="1" x14ac:dyDescent="0.25">
      <c r="A416" s="36" t="s">
        <v>1701</v>
      </c>
      <c r="B416" s="36" t="s">
        <v>4111</v>
      </c>
      <c r="C416" s="37" t="s">
        <v>4068</v>
      </c>
      <c r="D416" s="38" t="s">
        <v>2823</v>
      </c>
    </row>
    <row r="417" spans="1:4" ht="47.25" customHeight="1" x14ac:dyDescent="0.25">
      <c r="A417" s="36" t="s">
        <v>1705</v>
      </c>
      <c r="B417" s="36" t="s">
        <v>4112</v>
      </c>
      <c r="C417" s="37" t="s">
        <v>1571</v>
      </c>
      <c r="D417" s="38" t="s">
        <v>2824</v>
      </c>
    </row>
    <row r="418" spans="1:4" ht="63" customHeight="1" x14ac:dyDescent="0.25">
      <c r="A418" s="36" t="s">
        <v>1709</v>
      </c>
      <c r="B418" s="36" t="s">
        <v>4113</v>
      </c>
      <c r="C418" s="37" t="s">
        <v>4088</v>
      </c>
      <c r="D418" s="38" t="s">
        <v>2825</v>
      </c>
    </row>
    <row r="419" spans="1:4" ht="47.25" customHeight="1" x14ac:dyDescent="0.25">
      <c r="A419" s="36" t="s">
        <v>1713</v>
      </c>
      <c r="B419" s="36" t="s">
        <v>4114</v>
      </c>
      <c r="C419" s="37" t="s">
        <v>4115</v>
      </c>
      <c r="D419" s="38" t="s">
        <v>2826</v>
      </c>
    </row>
    <row r="420" spans="1:4" ht="63" customHeight="1" x14ac:dyDescent="0.25">
      <c r="A420" s="36" t="s">
        <v>1717</v>
      </c>
      <c r="B420" s="36" t="s">
        <v>4116</v>
      </c>
      <c r="C420" s="37" t="s">
        <v>2025</v>
      </c>
      <c r="D420" s="38" t="s">
        <v>2827</v>
      </c>
    </row>
    <row r="421" spans="1:4" ht="47.25" customHeight="1" x14ac:dyDescent="0.25">
      <c r="A421" s="36" t="s">
        <v>1722</v>
      </c>
      <c r="B421" s="36" t="s">
        <v>4117</v>
      </c>
      <c r="C421" s="37" t="s">
        <v>3935</v>
      </c>
      <c r="D421" s="38" t="s">
        <v>2828</v>
      </c>
    </row>
    <row r="422" spans="1:4" ht="47.25" customHeight="1" x14ac:dyDescent="0.25">
      <c r="A422" s="36" t="s">
        <v>1726</v>
      </c>
      <c r="B422" s="36" t="s">
        <v>4118</v>
      </c>
      <c r="C422" s="37" t="s">
        <v>361</v>
      </c>
      <c r="D422" s="38" t="s">
        <v>2829</v>
      </c>
    </row>
    <row r="423" spans="1:4" ht="31.5" customHeight="1" x14ac:dyDescent="0.25">
      <c r="A423" s="36" t="s">
        <v>1730</v>
      </c>
      <c r="B423" s="36" t="s">
        <v>4119</v>
      </c>
      <c r="C423" s="37" t="s">
        <v>496</v>
      </c>
      <c r="D423" s="38" t="s">
        <v>2830</v>
      </c>
    </row>
    <row r="424" spans="1:4" ht="63" customHeight="1" x14ac:dyDescent="0.25">
      <c r="A424" s="36" t="s">
        <v>1734</v>
      </c>
      <c r="B424" s="36" t="s">
        <v>4120</v>
      </c>
      <c r="C424" s="37" t="s">
        <v>4121</v>
      </c>
      <c r="D424" s="38" t="s">
        <v>2831</v>
      </c>
    </row>
    <row r="425" spans="1:4" ht="31.5" customHeight="1" x14ac:dyDescent="0.25">
      <c r="A425" s="36" t="s">
        <v>1737</v>
      </c>
      <c r="B425" s="36" t="s">
        <v>4122</v>
      </c>
      <c r="C425" s="37" t="s">
        <v>496</v>
      </c>
      <c r="D425" s="38" t="s">
        <v>2832</v>
      </c>
    </row>
    <row r="426" spans="1:4" ht="63" customHeight="1" x14ac:dyDescent="0.25">
      <c r="A426" s="36" t="s">
        <v>1741</v>
      </c>
      <c r="B426" s="36" t="s">
        <v>4123</v>
      </c>
      <c r="C426" s="37" t="s">
        <v>4124</v>
      </c>
      <c r="D426" s="38" t="s">
        <v>2833</v>
      </c>
    </row>
    <row r="427" spans="1:4" ht="47.25" customHeight="1" x14ac:dyDescent="0.25">
      <c r="A427" s="36" t="s">
        <v>1746</v>
      </c>
      <c r="B427" s="36" t="s">
        <v>4125</v>
      </c>
      <c r="C427" s="37" t="s">
        <v>3963</v>
      </c>
      <c r="D427" s="38" t="s">
        <v>2834</v>
      </c>
    </row>
    <row r="428" spans="1:4" ht="47.25" customHeight="1" x14ac:dyDescent="0.25">
      <c r="A428" s="36" t="s">
        <v>1751</v>
      </c>
      <c r="B428" s="36" t="s">
        <v>4126</v>
      </c>
      <c r="C428" s="37" t="s">
        <v>3697</v>
      </c>
      <c r="D428" s="38" t="s">
        <v>2835</v>
      </c>
    </row>
    <row r="429" spans="1:4" ht="47.25" customHeight="1" x14ac:dyDescent="0.25">
      <c r="A429" s="36" t="s">
        <v>1755</v>
      </c>
      <c r="B429" s="36" t="s">
        <v>4127</v>
      </c>
      <c r="C429" s="37" t="s">
        <v>476</v>
      </c>
      <c r="D429" s="38" t="s">
        <v>2836</v>
      </c>
    </row>
    <row r="430" spans="1:4" ht="47.25" customHeight="1" x14ac:dyDescent="0.25">
      <c r="A430" s="36" t="s">
        <v>1759</v>
      </c>
      <c r="B430" s="36" t="s">
        <v>4128</v>
      </c>
      <c r="C430" s="37" t="s">
        <v>476</v>
      </c>
      <c r="D430" s="38" t="s">
        <v>2837</v>
      </c>
    </row>
    <row r="431" spans="1:4" ht="47.25" customHeight="1" x14ac:dyDescent="0.25">
      <c r="A431" s="36" t="s">
        <v>1763</v>
      </c>
      <c r="B431" s="36" t="s">
        <v>4129</v>
      </c>
      <c r="C431" s="37" t="s">
        <v>3704</v>
      </c>
      <c r="D431" s="38" t="s">
        <v>2838</v>
      </c>
    </row>
    <row r="432" spans="1:4" ht="47.25" customHeight="1" x14ac:dyDescent="0.25">
      <c r="A432" s="36" t="s">
        <v>1767</v>
      </c>
      <c r="B432" s="36" t="s">
        <v>4130</v>
      </c>
      <c r="C432" s="37" t="s">
        <v>1524</v>
      </c>
      <c r="D432" s="38" t="s">
        <v>2839</v>
      </c>
    </row>
    <row r="433" spans="1:4" ht="47.25" customHeight="1" x14ac:dyDescent="0.25">
      <c r="A433" s="36" t="s">
        <v>1771</v>
      </c>
      <c r="B433" s="36" t="s">
        <v>4131</v>
      </c>
      <c r="C433" s="37" t="s">
        <v>3823</v>
      </c>
      <c r="D433" s="38" t="s">
        <v>2840</v>
      </c>
    </row>
    <row r="434" spans="1:4" ht="31.5" customHeight="1" x14ac:dyDescent="0.25">
      <c r="A434" s="36" t="s">
        <v>1775</v>
      </c>
      <c r="B434" s="36" t="s">
        <v>4132</v>
      </c>
      <c r="C434" s="37" t="s">
        <v>3938</v>
      </c>
      <c r="D434" s="38" t="s">
        <v>2841</v>
      </c>
    </row>
    <row r="435" spans="1:4" ht="63" customHeight="1" x14ac:dyDescent="0.25">
      <c r="A435" s="36" t="s">
        <v>1780</v>
      </c>
      <c r="B435" s="36" t="s">
        <v>4133</v>
      </c>
      <c r="C435" s="37" t="s">
        <v>366</v>
      </c>
      <c r="D435" s="38" t="s">
        <v>2842</v>
      </c>
    </row>
    <row r="436" spans="1:4" ht="63" customHeight="1" x14ac:dyDescent="0.25">
      <c r="A436" s="36" t="s">
        <v>1785</v>
      </c>
      <c r="B436" s="36" t="s">
        <v>4134</v>
      </c>
      <c r="C436" s="37" t="s">
        <v>3858</v>
      </c>
      <c r="D436" s="38" t="s">
        <v>2843</v>
      </c>
    </row>
    <row r="437" spans="1:4" ht="63" customHeight="1" x14ac:dyDescent="0.25">
      <c r="A437" s="36" t="s">
        <v>1788</v>
      </c>
      <c r="B437" s="36" t="s">
        <v>4135</v>
      </c>
      <c r="C437" s="37" t="s">
        <v>4136</v>
      </c>
      <c r="D437" s="38" t="s">
        <v>2844</v>
      </c>
    </row>
    <row r="438" spans="1:4" ht="47.25" customHeight="1" x14ac:dyDescent="0.25">
      <c r="A438" s="36" t="s">
        <v>1792</v>
      </c>
      <c r="B438" s="36" t="s">
        <v>4137</v>
      </c>
      <c r="C438" s="37" t="s">
        <v>4138</v>
      </c>
      <c r="D438" s="38" t="s">
        <v>2845</v>
      </c>
    </row>
    <row r="439" spans="1:4" ht="31.5" customHeight="1" x14ac:dyDescent="0.25">
      <c r="A439" s="36" t="s">
        <v>1797</v>
      </c>
      <c r="B439" s="36" t="s">
        <v>4139</v>
      </c>
      <c r="C439" s="37" t="s">
        <v>1102</v>
      </c>
      <c r="D439" s="38" t="s">
        <v>2846</v>
      </c>
    </row>
    <row r="440" spans="1:4" ht="47.25" customHeight="1" x14ac:dyDescent="0.25">
      <c r="A440" s="36" t="s">
        <v>1801</v>
      </c>
      <c r="B440" s="36" t="s">
        <v>4140</v>
      </c>
      <c r="C440" s="37" t="s">
        <v>1102</v>
      </c>
      <c r="D440" s="38" t="s">
        <v>2847</v>
      </c>
    </row>
    <row r="441" spans="1:4" ht="47.25" customHeight="1" x14ac:dyDescent="0.25">
      <c r="A441" s="36" t="s">
        <v>1805</v>
      </c>
      <c r="B441" s="36" t="s">
        <v>4141</v>
      </c>
      <c r="C441" s="37" t="s">
        <v>3858</v>
      </c>
      <c r="D441" s="38" t="s">
        <v>2848</v>
      </c>
    </row>
    <row r="442" spans="1:4" ht="31.5" customHeight="1" x14ac:dyDescent="0.25">
      <c r="A442" s="36" t="s">
        <v>1811</v>
      </c>
      <c r="B442" s="36" t="s">
        <v>4142</v>
      </c>
      <c r="C442" s="37" t="s">
        <v>4143</v>
      </c>
      <c r="D442" s="38" t="s">
        <v>2849</v>
      </c>
    </row>
    <row r="443" spans="1:4" ht="94.5" customHeight="1" x14ac:dyDescent="0.25">
      <c r="A443" s="36" t="s">
        <v>1815</v>
      </c>
      <c r="B443" s="36" t="s">
        <v>4144</v>
      </c>
      <c r="C443" s="37" t="s">
        <v>4145</v>
      </c>
      <c r="D443" s="38" t="s">
        <v>2850</v>
      </c>
    </row>
    <row r="444" spans="1:4" ht="31.5" customHeight="1" x14ac:dyDescent="0.25">
      <c r="A444" s="36" t="s">
        <v>1819</v>
      </c>
      <c r="B444" s="36" t="s">
        <v>4146</v>
      </c>
      <c r="C444" s="37" t="s">
        <v>2233</v>
      </c>
      <c r="D444" s="38" t="s">
        <v>2851</v>
      </c>
    </row>
    <row r="445" spans="1:4" ht="31.5" customHeight="1" x14ac:dyDescent="0.25">
      <c r="A445" s="36" t="s">
        <v>1824</v>
      </c>
      <c r="B445" s="36" t="s">
        <v>4147</v>
      </c>
      <c r="C445" s="37" t="s">
        <v>1694</v>
      </c>
      <c r="D445" s="38" t="s">
        <v>2852</v>
      </c>
    </row>
    <row r="446" spans="1:4" x14ac:dyDescent="0.25">
      <c r="A446" s="36" t="s">
        <v>1828</v>
      </c>
      <c r="B446" s="36" t="s">
        <v>4148</v>
      </c>
      <c r="C446" s="37" t="s">
        <v>768</v>
      </c>
      <c r="D446" s="38" t="s">
        <v>2853</v>
      </c>
    </row>
    <row r="447" spans="1:4" ht="47.25" customHeight="1" x14ac:dyDescent="0.25">
      <c r="A447" s="36" t="s">
        <v>1833</v>
      </c>
      <c r="B447" s="36" t="s">
        <v>4149</v>
      </c>
      <c r="C447" s="37" t="s">
        <v>110</v>
      </c>
      <c r="D447" s="38" t="s">
        <v>2854</v>
      </c>
    </row>
    <row r="448" spans="1:4" ht="31.5" customHeight="1" x14ac:dyDescent="0.25">
      <c r="A448" s="36" t="s">
        <v>1837</v>
      </c>
      <c r="B448" s="36" t="s">
        <v>4150</v>
      </c>
      <c r="C448" s="37" t="s">
        <v>3617</v>
      </c>
      <c r="D448" s="38" t="s">
        <v>2855</v>
      </c>
    </row>
    <row r="449" spans="1:4" ht="47.25" customHeight="1" x14ac:dyDescent="0.25">
      <c r="A449" s="36" t="s">
        <v>1841</v>
      </c>
      <c r="B449" s="36" t="s">
        <v>4151</v>
      </c>
      <c r="C449" s="37" t="s">
        <v>4022</v>
      </c>
      <c r="D449" s="38" t="s">
        <v>2856</v>
      </c>
    </row>
    <row r="450" spans="1:4" ht="47.25" customHeight="1" x14ac:dyDescent="0.25">
      <c r="A450" s="36" t="s">
        <v>1845</v>
      </c>
      <c r="B450" s="36" t="s">
        <v>4152</v>
      </c>
      <c r="C450" s="37" t="s">
        <v>1102</v>
      </c>
      <c r="D450" s="38" t="s">
        <v>2857</v>
      </c>
    </row>
    <row r="451" spans="1:4" ht="47.25" customHeight="1" x14ac:dyDescent="0.25">
      <c r="A451" s="36" t="s">
        <v>1849</v>
      </c>
      <c r="B451" s="36" t="s">
        <v>4153</v>
      </c>
      <c r="C451" s="37" t="s">
        <v>63</v>
      </c>
      <c r="D451" s="38" t="s">
        <v>2858</v>
      </c>
    </row>
    <row r="452" spans="1:4" ht="47.25" customHeight="1" x14ac:dyDescent="0.25">
      <c r="A452" s="36" t="s">
        <v>1854</v>
      </c>
      <c r="B452" s="36" t="s">
        <v>4154</v>
      </c>
      <c r="C452" s="37" t="s">
        <v>74</v>
      </c>
      <c r="D452" s="38" t="s">
        <v>2859</v>
      </c>
    </row>
    <row r="453" spans="1:4" ht="47.25" customHeight="1" x14ac:dyDescent="0.25">
      <c r="A453" s="36" t="s">
        <v>1858</v>
      </c>
      <c r="B453" s="36" t="s">
        <v>4155</v>
      </c>
      <c r="C453" s="37" t="s">
        <v>3851</v>
      </c>
      <c r="D453" s="38" t="s">
        <v>2860</v>
      </c>
    </row>
    <row r="454" spans="1:4" ht="47.25" customHeight="1" x14ac:dyDescent="0.25">
      <c r="A454" s="36" t="s">
        <v>1863</v>
      </c>
      <c r="B454" s="36" t="s">
        <v>4156</v>
      </c>
      <c r="C454" s="37" t="s">
        <v>3680</v>
      </c>
      <c r="D454" s="38" t="s">
        <v>2861</v>
      </c>
    </row>
    <row r="455" spans="1:4" ht="63" customHeight="1" x14ac:dyDescent="0.25">
      <c r="A455" s="36" t="s">
        <v>1867</v>
      </c>
      <c r="B455" s="36" t="s">
        <v>4157</v>
      </c>
      <c r="C455" s="37" t="s">
        <v>4158</v>
      </c>
      <c r="D455" s="38" t="s">
        <v>2862</v>
      </c>
    </row>
    <row r="456" spans="1:4" ht="47.25" customHeight="1" x14ac:dyDescent="0.25">
      <c r="A456" s="36" t="s">
        <v>1871</v>
      </c>
      <c r="B456" s="36" t="s">
        <v>4159</v>
      </c>
      <c r="C456" s="37" t="s">
        <v>4138</v>
      </c>
      <c r="D456" s="38" t="s">
        <v>2863</v>
      </c>
    </row>
    <row r="457" spans="1:4" ht="47.25" customHeight="1" x14ac:dyDescent="0.25">
      <c r="A457" s="36" t="s">
        <v>1875</v>
      </c>
      <c r="B457" s="36" t="s">
        <v>4160</v>
      </c>
      <c r="C457" s="37" t="s">
        <v>2250</v>
      </c>
      <c r="D457" s="38" t="s">
        <v>2864</v>
      </c>
    </row>
    <row r="458" spans="1:4" ht="31.5" customHeight="1" x14ac:dyDescent="0.25">
      <c r="A458" s="36" t="s">
        <v>1879</v>
      </c>
      <c r="B458" s="36" t="s">
        <v>4161</v>
      </c>
      <c r="C458" s="37" t="s">
        <v>782</v>
      </c>
      <c r="D458" s="38" t="s">
        <v>2865</v>
      </c>
    </row>
    <row r="459" spans="1:4" ht="63" customHeight="1" x14ac:dyDescent="0.25">
      <c r="A459" s="36" t="s">
        <v>1885</v>
      </c>
      <c r="B459" s="36" t="s">
        <v>4162</v>
      </c>
      <c r="C459" s="37" t="s">
        <v>4163</v>
      </c>
      <c r="D459" s="38" t="s">
        <v>2866</v>
      </c>
    </row>
    <row r="460" spans="1:4" ht="47.25" customHeight="1" x14ac:dyDescent="0.25">
      <c r="A460" s="36" t="s">
        <v>1889</v>
      </c>
      <c r="B460" s="36" t="s">
        <v>4164</v>
      </c>
      <c r="C460" s="37" t="s">
        <v>4158</v>
      </c>
      <c r="D460" s="38" t="s">
        <v>2867</v>
      </c>
    </row>
    <row r="461" spans="1:4" ht="47.25" customHeight="1" x14ac:dyDescent="0.25">
      <c r="A461" s="36" t="s">
        <v>1893</v>
      </c>
      <c r="B461" s="36" t="s">
        <v>4165</v>
      </c>
      <c r="C461" s="37" t="s">
        <v>3742</v>
      </c>
      <c r="D461" s="38" t="s">
        <v>2868</v>
      </c>
    </row>
    <row r="462" spans="1:4" ht="47.25" customHeight="1" x14ac:dyDescent="0.25">
      <c r="A462" s="36" t="s">
        <v>1897</v>
      </c>
      <c r="B462" s="36" t="s">
        <v>4166</v>
      </c>
      <c r="C462" s="37" t="s">
        <v>1093</v>
      </c>
      <c r="D462" s="38" t="s">
        <v>2869</v>
      </c>
    </row>
    <row r="463" spans="1:4" ht="31.5" customHeight="1" x14ac:dyDescent="0.25">
      <c r="A463" s="36" t="s">
        <v>1901</v>
      </c>
      <c r="B463" s="36" t="s">
        <v>4167</v>
      </c>
      <c r="C463" s="37" t="s">
        <v>4158</v>
      </c>
      <c r="D463" s="38" t="s">
        <v>2870</v>
      </c>
    </row>
    <row r="464" spans="1:4" ht="47.25" customHeight="1" x14ac:dyDescent="0.25">
      <c r="A464" s="36" t="s">
        <v>1905</v>
      </c>
      <c r="B464" s="36" t="s">
        <v>4168</v>
      </c>
      <c r="C464" s="37" t="s">
        <v>361</v>
      </c>
      <c r="D464" s="38" t="s">
        <v>2871</v>
      </c>
    </row>
    <row r="465" spans="1:4" ht="31.5" customHeight="1" x14ac:dyDescent="0.25">
      <c r="A465" s="36" t="s">
        <v>1910</v>
      </c>
      <c r="B465" s="36" t="s">
        <v>4169</v>
      </c>
      <c r="C465" s="37" t="s">
        <v>99</v>
      </c>
      <c r="D465" s="38" t="s">
        <v>2872</v>
      </c>
    </row>
    <row r="466" spans="1:4" ht="31.5" customHeight="1" x14ac:dyDescent="0.25">
      <c r="A466" s="36" t="s">
        <v>1915</v>
      </c>
      <c r="B466" s="36" t="s">
        <v>4170</v>
      </c>
      <c r="C466" s="37" t="s">
        <v>99</v>
      </c>
      <c r="D466" s="38" t="s">
        <v>2873</v>
      </c>
    </row>
    <row r="467" spans="1:4" ht="31.5" customHeight="1" x14ac:dyDescent="0.25">
      <c r="A467" s="36" t="s">
        <v>1919</v>
      </c>
      <c r="B467" s="36" t="s">
        <v>4171</v>
      </c>
      <c r="C467" s="37" t="s">
        <v>63</v>
      </c>
      <c r="D467" s="38" t="s">
        <v>2874</v>
      </c>
    </row>
    <row r="468" spans="1:4" ht="31.5" customHeight="1" x14ac:dyDescent="0.25">
      <c r="A468" s="36" t="s">
        <v>1922</v>
      </c>
      <c r="B468" s="36" t="s">
        <v>4172</v>
      </c>
      <c r="C468" s="37" t="s">
        <v>506</v>
      </c>
      <c r="D468" s="38" t="s">
        <v>2875</v>
      </c>
    </row>
    <row r="469" spans="1:4" ht="47.25" customHeight="1" x14ac:dyDescent="0.25">
      <c r="A469" s="36" t="s">
        <v>1927</v>
      </c>
      <c r="B469" s="36" t="s">
        <v>4173</v>
      </c>
      <c r="C469" s="37" t="s">
        <v>4174</v>
      </c>
      <c r="D469" s="38" t="s">
        <v>2876</v>
      </c>
    </row>
    <row r="470" spans="1:4" ht="47.25" customHeight="1" x14ac:dyDescent="0.25">
      <c r="A470" s="36" t="s">
        <v>1933</v>
      </c>
      <c r="B470" s="36" t="s">
        <v>4175</v>
      </c>
      <c r="C470" s="37" t="s">
        <v>4174</v>
      </c>
      <c r="D470" s="38" t="s">
        <v>2877</v>
      </c>
    </row>
    <row r="471" spans="1:4" ht="63" customHeight="1" x14ac:dyDescent="0.25">
      <c r="A471" s="36" t="s">
        <v>1938</v>
      </c>
      <c r="B471" s="36" t="s">
        <v>4176</v>
      </c>
      <c r="C471" s="37" t="s">
        <v>644</v>
      </c>
      <c r="D471" s="38" t="s">
        <v>2878</v>
      </c>
    </row>
    <row r="472" spans="1:4" ht="63" customHeight="1" x14ac:dyDescent="0.25">
      <c r="A472" s="36" t="s">
        <v>1942</v>
      </c>
      <c r="B472" s="36" t="s">
        <v>4177</v>
      </c>
      <c r="C472" s="37" t="s">
        <v>3808</v>
      </c>
      <c r="D472" s="38" t="s">
        <v>2879</v>
      </c>
    </row>
    <row r="473" spans="1:4" ht="31.5" customHeight="1" x14ac:dyDescent="0.25">
      <c r="A473" s="36" t="s">
        <v>1946</v>
      </c>
      <c r="B473" s="36" t="s">
        <v>4178</v>
      </c>
      <c r="C473" s="37" t="s">
        <v>4179</v>
      </c>
      <c r="D473" s="38" t="s">
        <v>2880</v>
      </c>
    </row>
    <row r="474" spans="1:4" ht="31.5" customHeight="1" x14ac:dyDescent="0.25">
      <c r="A474" s="36" t="s">
        <v>1949</v>
      </c>
      <c r="B474" s="36" t="s">
        <v>4180</v>
      </c>
      <c r="C474" s="37" t="s">
        <v>3641</v>
      </c>
      <c r="D474" s="38" t="s">
        <v>2881</v>
      </c>
    </row>
    <row r="475" spans="1:4" ht="31.5" customHeight="1" x14ac:dyDescent="0.25">
      <c r="A475" s="36" t="s">
        <v>1954</v>
      </c>
      <c r="B475" s="36" t="s">
        <v>4181</v>
      </c>
      <c r="C475" s="37" t="s">
        <v>4138</v>
      </c>
      <c r="D475" s="38" t="s">
        <v>2882</v>
      </c>
    </row>
    <row r="476" spans="1:4" ht="31.5" customHeight="1" x14ac:dyDescent="0.25">
      <c r="A476" s="36" t="s">
        <v>1959</v>
      </c>
      <c r="B476" s="36" t="s">
        <v>4182</v>
      </c>
      <c r="C476" s="37" t="s">
        <v>1645</v>
      </c>
      <c r="D476" s="38" t="s">
        <v>2883</v>
      </c>
    </row>
    <row r="477" spans="1:4" ht="63" customHeight="1" x14ac:dyDescent="0.25">
      <c r="A477" s="36" t="s">
        <v>1964</v>
      </c>
      <c r="B477" s="36" t="s">
        <v>4183</v>
      </c>
      <c r="C477" s="37" t="s">
        <v>1129</v>
      </c>
      <c r="D477" s="38" t="s">
        <v>2884</v>
      </c>
    </row>
    <row r="478" spans="1:4" ht="31.5" customHeight="1" x14ac:dyDescent="0.25">
      <c r="A478" s="36" t="s">
        <v>1968</v>
      </c>
      <c r="B478" s="36" t="s">
        <v>4184</v>
      </c>
      <c r="C478" s="37" t="s">
        <v>782</v>
      </c>
      <c r="D478" s="38" t="s">
        <v>2885</v>
      </c>
    </row>
    <row r="479" spans="1:4" ht="31.5" customHeight="1" x14ac:dyDescent="0.25">
      <c r="A479" s="36" t="s">
        <v>1972</v>
      </c>
      <c r="B479" s="36" t="s">
        <v>4185</v>
      </c>
      <c r="C479" s="37" t="s">
        <v>1689</v>
      </c>
      <c r="D479" s="38" t="s">
        <v>2886</v>
      </c>
    </row>
    <row r="480" spans="1:4" ht="47.25" customHeight="1" x14ac:dyDescent="0.25">
      <c r="A480" s="36" t="s">
        <v>1976</v>
      </c>
      <c r="B480" s="36" t="s">
        <v>4186</v>
      </c>
      <c r="C480" s="37" t="s">
        <v>3647</v>
      </c>
      <c r="D480" s="38" t="s">
        <v>2887</v>
      </c>
    </row>
    <row r="481" spans="1:4" ht="47.25" customHeight="1" x14ac:dyDescent="0.25">
      <c r="A481" s="36" t="s">
        <v>1980</v>
      </c>
      <c r="B481" s="36" t="s">
        <v>4187</v>
      </c>
      <c r="C481" s="37" t="s">
        <v>4188</v>
      </c>
      <c r="D481" s="38" t="s">
        <v>2888</v>
      </c>
    </row>
    <row r="482" spans="1:4" ht="47.25" customHeight="1" x14ac:dyDescent="0.25">
      <c r="A482" s="36" t="s">
        <v>1984</v>
      </c>
      <c r="B482" s="36" t="s">
        <v>4189</v>
      </c>
      <c r="C482" s="37" t="s">
        <v>4190</v>
      </c>
      <c r="D482" s="38" t="s">
        <v>2889</v>
      </c>
    </row>
    <row r="483" spans="1:4" ht="31.5" customHeight="1" x14ac:dyDescent="0.25">
      <c r="A483" s="36" t="s">
        <v>1989</v>
      </c>
      <c r="B483" s="36" t="s">
        <v>4191</v>
      </c>
      <c r="C483" s="37" t="s">
        <v>371</v>
      </c>
      <c r="D483" s="38" t="s">
        <v>2890</v>
      </c>
    </row>
    <row r="484" spans="1:4" ht="63" customHeight="1" x14ac:dyDescent="0.25">
      <c r="A484" s="36" t="s">
        <v>1993</v>
      </c>
      <c r="B484" s="36" t="s">
        <v>4192</v>
      </c>
      <c r="C484" s="37" t="s">
        <v>4193</v>
      </c>
      <c r="D484" s="38" t="s">
        <v>2891</v>
      </c>
    </row>
    <row r="485" spans="1:4" ht="31.5" customHeight="1" x14ac:dyDescent="0.25">
      <c r="A485" s="36" t="s">
        <v>1997</v>
      </c>
      <c r="B485" s="36" t="s">
        <v>4194</v>
      </c>
      <c r="C485" s="37" t="s">
        <v>371</v>
      </c>
      <c r="D485" s="38" t="s">
        <v>2892</v>
      </c>
    </row>
    <row r="486" spans="1:4" ht="63" customHeight="1" x14ac:dyDescent="0.25">
      <c r="A486" s="36" t="s">
        <v>2002</v>
      </c>
      <c r="B486" s="36" t="s">
        <v>4195</v>
      </c>
      <c r="C486" s="37" t="s">
        <v>2025</v>
      </c>
      <c r="D486" s="38" t="s">
        <v>2893</v>
      </c>
    </row>
    <row r="487" spans="1:4" ht="47.25" customHeight="1" x14ac:dyDescent="0.25">
      <c r="A487" s="36" t="s">
        <v>2007</v>
      </c>
      <c r="B487" s="36" t="s">
        <v>4196</v>
      </c>
      <c r="C487" s="37" t="s">
        <v>4038</v>
      </c>
      <c r="D487" s="38" t="s">
        <v>2894</v>
      </c>
    </row>
    <row r="488" spans="1:4" ht="63" customHeight="1" x14ac:dyDescent="0.25">
      <c r="A488" s="36" t="s">
        <v>2011</v>
      </c>
      <c r="B488" s="36" t="s">
        <v>4197</v>
      </c>
      <c r="C488" s="37" t="s">
        <v>377</v>
      </c>
      <c r="D488" s="38" t="s">
        <v>2895</v>
      </c>
    </row>
    <row r="489" spans="1:4" ht="31.5" customHeight="1" x14ac:dyDescent="0.25">
      <c r="A489" s="36" t="s">
        <v>2015</v>
      </c>
      <c r="B489" s="36" t="s">
        <v>4198</v>
      </c>
      <c r="C489" s="37" t="s">
        <v>3963</v>
      </c>
      <c r="D489" s="38" t="s">
        <v>2896</v>
      </c>
    </row>
    <row r="490" spans="1:4" ht="47.25" customHeight="1" x14ac:dyDescent="0.25">
      <c r="A490" s="36" t="s">
        <v>2019</v>
      </c>
      <c r="B490" s="36" t="s">
        <v>4199</v>
      </c>
      <c r="C490" s="37" t="s">
        <v>3963</v>
      </c>
      <c r="D490" s="38" t="s">
        <v>2897</v>
      </c>
    </row>
    <row r="491" spans="1:4" ht="47.25" customHeight="1" x14ac:dyDescent="0.25">
      <c r="A491" s="36" t="s">
        <v>2023</v>
      </c>
      <c r="B491" s="36" t="s">
        <v>4200</v>
      </c>
      <c r="C491" s="37" t="s">
        <v>1339</v>
      </c>
      <c r="D491" s="38" t="s">
        <v>2898</v>
      </c>
    </row>
    <row r="492" spans="1:4" ht="47.25" customHeight="1" x14ac:dyDescent="0.25">
      <c r="A492" s="36" t="s">
        <v>2028</v>
      </c>
      <c r="B492" s="36" t="s">
        <v>4201</v>
      </c>
      <c r="C492" s="37" t="s">
        <v>4202</v>
      </c>
      <c r="D492" s="38" t="s">
        <v>2899</v>
      </c>
    </row>
    <row r="493" spans="1:4" ht="31.5" customHeight="1" x14ac:dyDescent="0.25">
      <c r="A493" s="36" t="s">
        <v>2032</v>
      </c>
      <c r="B493" s="36" t="s">
        <v>4203</v>
      </c>
      <c r="C493" s="37" t="s">
        <v>99</v>
      </c>
      <c r="D493" s="38" t="s">
        <v>2900</v>
      </c>
    </row>
    <row r="494" spans="1:4" ht="31.5" customHeight="1" x14ac:dyDescent="0.25">
      <c r="A494" s="36" t="s">
        <v>2036</v>
      </c>
      <c r="B494" s="36" t="s">
        <v>4204</v>
      </c>
      <c r="C494" s="37" t="s">
        <v>1576</v>
      </c>
      <c r="D494" s="38" t="s">
        <v>2901</v>
      </c>
    </row>
    <row r="495" spans="1:4" ht="47.25" customHeight="1" x14ac:dyDescent="0.25">
      <c r="A495" s="36" t="s">
        <v>2041</v>
      </c>
      <c r="B495" s="36" t="s">
        <v>4205</v>
      </c>
      <c r="C495" s="37" t="s">
        <v>4206</v>
      </c>
      <c r="D495" s="38" t="s">
        <v>2902</v>
      </c>
    </row>
    <row r="496" spans="1:4" ht="47.25" customHeight="1" x14ac:dyDescent="0.25">
      <c r="A496" s="36" t="s">
        <v>2045</v>
      </c>
      <c r="B496" s="36" t="s">
        <v>4207</v>
      </c>
      <c r="C496" s="37" t="s">
        <v>4208</v>
      </c>
      <c r="D496" s="38" t="s">
        <v>2903</v>
      </c>
    </row>
    <row r="497" spans="1:4" ht="47.25" customHeight="1" x14ac:dyDescent="0.25">
      <c r="A497" s="36" t="s">
        <v>2050</v>
      </c>
      <c r="B497" s="36" t="s">
        <v>4209</v>
      </c>
      <c r="C497" s="37" t="s">
        <v>4210</v>
      </c>
      <c r="D497" s="38" t="s">
        <v>2904</v>
      </c>
    </row>
    <row r="498" spans="1:4" ht="47.25" customHeight="1" x14ac:dyDescent="0.25">
      <c r="A498" s="36" t="s">
        <v>2054</v>
      </c>
      <c r="B498" s="36" t="s">
        <v>4211</v>
      </c>
      <c r="C498" s="37" t="s">
        <v>864</v>
      </c>
      <c r="D498" s="38" t="s">
        <v>2905</v>
      </c>
    </row>
    <row r="499" spans="1:4" ht="31.5" customHeight="1" x14ac:dyDescent="0.25">
      <c r="A499" s="36" t="s">
        <v>2058</v>
      </c>
      <c r="B499" s="36" t="s">
        <v>4212</v>
      </c>
      <c r="C499" s="37" t="s">
        <v>3704</v>
      </c>
      <c r="D499" s="38" t="s">
        <v>2906</v>
      </c>
    </row>
    <row r="500" spans="1:4" ht="63" customHeight="1" x14ac:dyDescent="0.25">
      <c r="A500" s="36" t="s">
        <v>2063</v>
      </c>
      <c r="B500" s="36" t="s">
        <v>4213</v>
      </c>
      <c r="C500" s="37" t="s">
        <v>4214</v>
      </c>
      <c r="D500" s="38" t="s">
        <v>2907</v>
      </c>
    </row>
    <row r="501" spans="1:4" ht="31.5" customHeight="1" x14ac:dyDescent="0.25">
      <c r="A501" s="36" t="s">
        <v>2068</v>
      </c>
      <c r="B501" s="36" t="s">
        <v>4215</v>
      </c>
      <c r="C501" s="37" t="s">
        <v>3748</v>
      </c>
      <c r="D501" s="38" t="s">
        <v>2908</v>
      </c>
    </row>
    <row r="502" spans="1:4" ht="63" customHeight="1" x14ac:dyDescent="0.25">
      <c r="A502" s="36" t="s">
        <v>2071</v>
      </c>
      <c r="B502" s="36" t="s">
        <v>4216</v>
      </c>
      <c r="C502" s="37" t="s">
        <v>3745</v>
      </c>
      <c r="D502" s="38" t="s">
        <v>2909</v>
      </c>
    </row>
    <row r="503" spans="1:4" ht="31.5" customHeight="1" x14ac:dyDescent="0.25">
      <c r="A503" s="36" t="s">
        <v>2076</v>
      </c>
      <c r="B503" s="36" t="s">
        <v>4217</v>
      </c>
      <c r="C503" s="37" t="s">
        <v>2065</v>
      </c>
      <c r="D503" s="38" t="s">
        <v>2910</v>
      </c>
    </row>
    <row r="504" spans="1:4" ht="47.25" customHeight="1" x14ac:dyDescent="0.25">
      <c r="A504" s="36" t="s">
        <v>2080</v>
      </c>
      <c r="B504" s="36" t="s">
        <v>4218</v>
      </c>
      <c r="C504" s="37" t="s">
        <v>4219</v>
      </c>
      <c r="D504" s="38" t="s">
        <v>2911</v>
      </c>
    </row>
    <row r="505" spans="1:4" ht="31.5" customHeight="1" x14ac:dyDescent="0.25">
      <c r="A505" s="36" t="s">
        <v>2085</v>
      </c>
      <c r="B505" s="36" t="s">
        <v>4220</v>
      </c>
      <c r="C505" s="37" t="s">
        <v>4221</v>
      </c>
      <c r="D505" s="38" t="s">
        <v>2912</v>
      </c>
    </row>
    <row r="506" spans="1:4" ht="63" customHeight="1" x14ac:dyDescent="0.25">
      <c r="A506" s="36" t="s">
        <v>2090</v>
      </c>
      <c r="B506" s="36" t="s">
        <v>4222</v>
      </c>
      <c r="C506" s="37" t="s">
        <v>356</v>
      </c>
      <c r="D506" s="38" t="s">
        <v>2913</v>
      </c>
    </row>
    <row r="507" spans="1:4" ht="31.5" customHeight="1" x14ac:dyDescent="0.25">
      <c r="A507" s="36" t="s">
        <v>2095</v>
      </c>
      <c r="B507" s="36" t="s">
        <v>4223</v>
      </c>
      <c r="C507" s="37" t="s">
        <v>3858</v>
      </c>
      <c r="D507" s="38" t="s">
        <v>2914</v>
      </c>
    </row>
    <row r="508" spans="1:4" ht="47.25" customHeight="1" x14ac:dyDescent="0.25">
      <c r="A508" s="36" t="s">
        <v>2099</v>
      </c>
      <c r="B508" s="36" t="s">
        <v>4224</v>
      </c>
      <c r="C508" s="37" t="s">
        <v>3858</v>
      </c>
      <c r="D508" s="38" t="s">
        <v>2915</v>
      </c>
    </row>
    <row r="509" spans="1:4" ht="63" customHeight="1" x14ac:dyDescent="0.25">
      <c r="A509" s="36" t="s">
        <v>2103</v>
      </c>
      <c r="B509" s="36" t="s">
        <v>4225</v>
      </c>
      <c r="C509" s="37" t="s">
        <v>4226</v>
      </c>
      <c r="D509" s="38" t="s">
        <v>2916</v>
      </c>
    </row>
    <row r="510" spans="1:4" ht="47.25" customHeight="1" x14ac:dyDescent="0.25">
      <c r="A510" s="36" t="s">
        <v>2107</v>
      </c>
      <c r="B510" s="36" t="s">
        <v>4227</v>
      </c>
      <c r="C510" s="37" t="s">
        <v>155</v>
      </c>
      <c r="D510" s="38" t="s">
        <v>2917</v>
      </c>
    </row>
    <row r="511" spans="1:4" ht="78.75" customHeight="1" x14ac:dyDescent="0.25">
      <c r="A511" s="36" t="s">
        <v>2111</v>
      </c>
      <c r="B511" s="36" t="s">
        <v>4228</v>
      </c>
      <c r="C511" s="37" t="s">
        <v>1427</v>
      </c>
      <c r="D511" s="38" t="s">
        <v>2918</v>
      </c>
    </row>
    <row r="512" spans="1:4" ht="63" customHeight="1" x14ac:dyDescent="0.25">
      <c r="A512" s="36" t="s">
        <v>2117</v>
      </c>
      <c r="B512" s="36" t="s">
        <v>4229</v>
      </c>
      <c r="C512" s="37" t="s">
        <v>4230</v>
      </c>
      <c r="D512" s="38" t="s">
        <v>2919</v>
      </c>
    </row>
    <row r="513" spans="1:4" ht="63" customHeight="1" x14ac:dyDescent="0.25">
      <c r="A513" s="36" t="s">
        <v>2122</v>
      </c>
      <c r="B513" s="36" t="s">
        <v>4231</v>
      </c>
      <c r="C513" s="37" t="s">
        <v>1286</v>
      </c>
      <c r="D513" s="38" t="s">
        <v>2920</v>
      </c>
    </row>
    <row r="514" spans="1:4" ht="31.5" customHeight="1" x14ac:dyDescent="0.25">
      <c r="A514" s="36" t="s">
        <v>2125</v>
      </c>
      <c r="B514" s="36" t="s">
        <v>4232</v>
      </c>
      <c r="C514" s="37" t="s">
        <v>1719</v>
      </c>
      <c r="D514" s="38" t="s">
        <v>2921</v>
      </c>
    </row>
    <row r="515" spans="1:4" ht="31.5" customHeight="1" x14ac:dyDescent="0.25">
      <c r="A515" s="36" t="s">
        <v>2129</v>
      </c>
      <c r="B515" s="36" t="s">
        <v>4233</v>
      </c>
      <c r="C515" s="37" t="s">
        <v>87</v>
      </c>
      <c r="D515" s="38" t="s">
        <v>2922</v>
      </c>
    </row>
    <row r="516" spans="1:4" ht="31.5" customHeight="1" x14ac:dyDescent="0.25">
      <c r="A516" s="36" t="s">
        <v>2134</v>
      </c>
      <c r="B516" s="36" t="s">
        <v>4234</v>
      </c>
      <c r="C516" s="37" t="s">
        <v>3641</v>
      </c>
      <c r="D516" s="38" t="s">
        <v>2923</v>
      </c>
    </row>
    <row r="517" spans="1:4" ht="31.5" customHeight="1" x14ac:dyDescent="0.25">
      <c r="A517" s="36" t="s">
        <v>2138</v>
      </c>
      <c r="B517" s="36" t="s">
        <v>4235</v>
      </c>
      <c r="C517" s="37" t="s">
        <v>547</v>
      </c>
      <c r="D517" s="38" t="s">
        <v>2924</v>
      </c>
    </row>
    <row r="518" spans="1:4" ht="47.25" customHeight="1" x14ac:dyDescent="0.25">
      <c r="A518" s="36" t="s">
        <v>2142</v>
      </c>
      <c r="B518" s="36" t="s">
        <v>4236</v>
      </c>
      <c r="C518" s="37" t="s">
        <v>1660</v>
      </c>
      <c r="D518" s="38" t="s">
        <v>2925</v>
      </c>
    </row>
    <row r="519" spans="1:4" ht="31.5" customHeight="1" x14ac:dyDescent="0.25">
      <c r="A519" s="36" t="s">
        <v>2146</v>
      </c>
      <c r="B519" s="36" t="s">
        <v>4237</v>
      </c>
      <c r="C519" s="37" t="s">
        <v>2208</v>
      </c>
      <c r="D519" s="38" t="s">
        <v>2926</v>
      </c>
    </row>
    <row r="520" spans="1:4" ht="47.25" customHeight="1" x14ac:dyDescent="0.25">
      <c r="A520" s="36" t="s">
        <v>2151</v>
      </c>
      <c r="B520" s="36" t="s">
        <v>4238</v>
      </c>
      <c r="C520" s="37" t="s">
        <v>605</v>
      </c>
      <c r="D520" s="38" t="s">
        <v>2927</v>
      </c>
    </row>
    <row r="521" spans="1:4" ht="31.5" customHeight="1" x14ac:dyDescent="0.25">
      <c r="A521" s="36" t="s">
        <v>2155</v>
      </c>
      <c r="B521" s="36" t="s">
        <v>4239</v>
      </c>
      <c r="C521" s="37" t="s">
        <v>1881</v>
      </c>
      <c r="D521" s="38" t="s">
        <v>2928</v>
      </c>
    </row>
    <row r="522" spans="1:4" ht="47.25" customHeight="1" x14ac:dyDescent="0.25">
      <c r="A522" s="36" t="s">
        <v>2159</v>
      </c>
      <c r="B522" s="36" t="s">
        <v>4240</v>
      </c>
      <c r="C522" s="37" t="s">
        <v>1093</v>
      </c>
      <c r="D522" s="38" t="s">
        <v>2929</v>
      </c>
    </row>
    <row r="523" spans="1:4" ht="31.5" customHeight="1" x14ac:dyDescent="0.25">
      <c r="A523" s="36" t="s">
        <v>2164</v>
      </c>
      <c r="B523" s="36" t="s">
        <v>4241</v>
      </c>
      <c r="C523" s="37" t="s">
        <v>4242</v>
      </c>
      <c r="D523" s="38" t="s">
        <v>2930</v>
      </c>
    </row>
    <row r="524" spans="1:4" ht="31.5" customHeight="1" x14ac:dyDescent="0.25">
      <c r="A524" s="36" t="s">
        <v>2169</v>
      </c>
      <c r="B524" s="36" t="s">
        <v>4243</v>
      </c>
      <c r="C524" s="37" t="s">
        <v>366</v>
      </c>
      <c r="D524" s="38" t="s">
        <v>2931</v>
      </c>
    </row>
    <row r="525" spans="1:4" ht="31.5" customHeight="1" x14ac:dyDescent="0.25">
      <c r="A525" s="36" t="s">
        <v>2172</v>
      </c>
      <c r="B525" s="36" t="s">
        <v>4244</v>
      </c>
      <c r="C525" s="37" t="s">
        <v>455</v>
      </c>
      <c r="D525" s="38" t="s">
        <v>2932</v>
      </c>
    </row>
    <row r="526" spans="1:4" ht="47.25" customHeight="1" x14ac:dyDescent="0.25">
      <c r="A526" s="36" t="s">
        <v>2175</v>
      </c>
      <c r="B526" s="36" t="s">
        <v>4245</v>
      </c>
      <c r="C526" s="37" t="s">
        <v>4246</v>
      </c>
      <c r="D526" s="38" t="s">
        <v>2933</v>
      </c>
    </row>
    <row r="527" spans="1:4" ht="47.25" customHeight="1" x14ac:dyDescent="0.25">
      <c r="A527" s="36" t="s">
        <v>2180</v>
      </c>
      <c r="B527" s="36" t="s">
        <v>4247</v>
      </c>
      <c r="C527" s="37" t="s">
        <v>4248</v>
      </c>
      <c r="D527" s="38" t="s">
        <v>2934</v>
      </c>
    </row>
    <row r="528" spans="1:4" ht="47.25" customHeight="1" x14ac:dyDescent="0.25">
      <c r="A528" s="36" t="s">
        <v>2184</v>
      </c>
      <c r="B528" s="36" t="s">
        <v>4249</v>
      </c>
      <c r="C528" s="37" t="s">
        <v>3952</v>
      </c>
      <c r="D528" s="38" t="s">
        <v>2935</v>
      </c>
    </row>
    <row r="529" spans="1:4" ht="47.25" customHeight="1" x14ac:dyDescent="0.25">
      <c r="A529" s="36" t="s">
        <v>2187</v>
      </c>
      <c r="B529" s="36" t="s">
        <v>4250</v>
      </c>
      <c r="C529" s="37" t="s">
        <v>3952</v>
      </c>
      <c r="D529" s="38" t="s">
        <v>2936</v>
      </c>
    </row>
    <row r="530" spans="1:4" ht="47.25" customHeight="1" x14ac:dyDescent="0.25">
      <c r="A530" s="36" t="s">
        <v>2192</v>
      </c>
      <c r="B530" s="36" t="s">
        <v>4251</v>
      </c>
      <c r="C530" s="37" t="s">
        <v>3952</v>
      </c>
      <c r="D530" s="38" t="s">
        <v>2937</v>
      </c>
    </row>
    <row r="531" spans="1:4" ht="63" customHeight="1" x14ac:dyDescent="0.25">
      <c r="A531" s="36" t="s">
        <v>2196</v>
      </c>
      <c r="B531" s="36" t="s">
        <v>4252</v>
      </c>
      <c r="C531" s="37" t="s">
        <v>4253</v>
      </c>
      <c r="D531" s="38" t="s">
        <v>2938</v>
      </c>
    </row>
    <row r="532" spans="1:4" ht="47.25" customHeight="1" x14ac:dyDescent="0.25">
      <c r="A532" s="36" t="s">
        <v>2200</v>
      </c>
      <c r="B532" s="36" t="s">
        <v>4254</v>
      </c>
      <c r="C532" s="37" t="s">
        <v>731</v>
      </c>
      <c r="D532" s="38" t="s">
        <v>2939</v>
      </c>
    </row>
    <row r="533" spans="1:4" ht="47.25" customHeight="1" x14ac:dyDescent="0.25">
      <c r="A533" s="36" t="s">
        <v>2206</v>
      </c>
      <c r="B533" s="36" t="s">
        <v>4255</v>
      </c>
      <c r="C533" s="37" t="s">
        <v>2025</v>
      </c>
      <c r="D533" s="38" t="s">
        <v>2940</v>
      </c>
    </row>
    <row r="534" spans="1:4" ht="31.5" customHeight="1" x14ac:dyDescent="0.25">
      <c r="A534" s="36" t="s">
        <v>2211</v>
      </c>
      <c r="B534" s="36" t="s">
        <v>4256</v>
      </c>
      <c r="C534" s="37" t="s">
        <v>4257</v>
      </c>
      <c r="D534" s="38" t="s">
        <v>2941</v>
      </c>
    </row>
    <row r="535" spans="1:4" ht="31.5" customHeight="1" x14ac:dyDescent="0.25">
      <c r="A535" s="36" t="s">
        <v>2216</v>
      </c>
      <c r="B535" s="36" t="s">
        <v>4258</v>
      </c>
      <c r="C535" s="37" t="s">
        <v>4138</v>
      </c>
      <c r="D535" s="38" t="s">
        <v>2942</v>
      </c>
    </row>
    <row r="536" spans="1:4" ht="31.5" customHeight="1" x14ac:dyDescent="0.25">
      <c r="A536" s="36" t="s">
        <v>2221</v>
      </c>
      <c r="B536" s="36" t="s">
        <v>4259</v>
      </c>
      <c r="C536" s="37" t="s">
        <v>366</v>
      </c>
      <c r="D536" s="38" t="s">
        <v>2943</v>
      </c>
    </row>
    <row r="537" spans="1:4" ht="47.25" customHeight="1" x14ac:dyDescent="0.25">
      <c r="A537" s="36" t="s">
        <v>2227</v>
      </c>
      <c r="B537" s="36" t="s">
        <v>4260</v>
      </c>
      <c r="C537" s="37" t="s">
        <v>4261</v>
      </c>
      <c r="D537" s="38" t="s">
        <v>2944</v>
      </c>
    </row>
    <row r="538" spans="1:4" ht="47.25" customHeight="1" x14ac:dyDescent="0.25">
      <c r="A538" s="36" t="s">
        <v>2231</v>
      </c>
      <c r="B538" s="36" t="s">
        <v>4262</v>
      </c>
      <c r="C538" s="37" t="s">
        <v>1189</v>
      </c>
      <c r="D538" s="38" t="s">
        <v>2945</v>
      </c>
    </row>
    <row r="539" spans="1:4" ht="47.25" customHeight="1" x14ac:dyDescent="0.25">
      <c r="A539" s="36" t="s">
        <v>2236</v>
      </c>
      <c r="B539" s="36" t="s">
        <v>4263</v>
      </c>
      <c r="C539" s="37" t="s">
        <v>591</v>
      </c>
      <c r="D539" s="38" t="s">
        <v>2946</v>
      </c>
    </row>
    <row r="540" spans="1:4" ht="63" customHeight="1" x14ac:dyDescent="0.25">
      <c r="A540" s="36" t="s">
        <v>2239</v>
      </c>
      <c r="B540" s="36" t="s">
        <v>4264</v>
      </c>
      <c r="C540" s="37" t="s">
        <v>4265</v>
      </c>
      <c r="D540" s="38" t="s">
        <v>2947</v>
      </c>
    </row>
    <row r="541" spans="1:4" ht="47.25" customHeight="1" x14ac:dyDescent="0.25">
      <c r="A541" s="36" t="s">
        <v>2243</v>
      </c>
      <c r="B541" s="36" t="s">
        <v>4266</v>
      </c>
      <c r="C541" s="37" t="s">
        <v>4267</v>
      </c>
      <c r="D541" s="38" t="s">
        <v>2948</v>
      </c>
    </row>
    <row r="542" spans="1:4" ht="31.5" customHeight="1" x14ac:dyDescent="0.25">
      <c r="A542" s="36" t="s">
        <v>2248</v>
      </c>
      <c r="B542" s="36" t="s">
        <v>4268</v>
      </c>
      <c r="C542" s="37" t="s">
        <v>620</v>
      </c>
      <c r="D542" s="38" t="s">
        <v>2949</v>
      </c>
    </row>
    <row r="543" spans="1:4" ht="63" customHeight="1" x14ac:dyDescent="0.25">
      <c r="A543" s="36" t="s">
        <v>2253</v>
      </c>
      <c r="B543" s="36" t="s">
        <v>4269</v>
      </c>
      <c r="C543" s="37" t="s">
        <v>311</v>
      </c>
      <c r="D543" s="38" t="s">
        <v>2950</v>
      </c>
    </row>
    <row r="544" spans="1:4" ht="31.5" customHeight="1" x14ac:dyDescent="0.25">
      <c r="A544" s="36" t="s">
        <v>2259</v>
      </c>
      <c r="B544" s="36" t="s">
        <v>4270</v>
      </c>
      <c r="C544" s="37" t="s">
        <v>289</v>
      </c>
      <c r="D544" s="38" t="s">
        <v>2951</v>
      </c>
    </row>
    <row r="545" spans="1:4" ht="47.25" customHeight="1" x14ac:dyDescent="0.25">
      <c r="A545" s="36" t="s">
        <v>2264</v>
      </c>
      <c r="B545" s="36" t="s">
        <v>4271</v>
      </c>
      <c r="C545" s="37" t="s">
        <v>773</v>
      </c>
      <c r="D545" s="38" t="s">
        <v>2952</v>
      </c>
    </row>
    <row r="546" spans="1:4" ht="47.25" customHeight="1" x14ac:dyDescent="0.25">
      <c r="A546" s="36" t="s">
        <v>2269</v>
      </c>
      <c r="B546" s="36" t="s">
        <v>4272</v>
      </c>
      <c r="C546" s="37" t="s">
        <v>1489</v>
      </c>
      <c r="D546" s="38" t="s">
        <v>2953</v>
      </c>
    </row>
    <row r="547" spans="1:4" ht="47.25" customHeight="1" x14ac:dyDescent="0.25">
      <c r="A547" s="36" t="s">
        <v>2274</v>
      </c>
      <c r="B547" s="36" t="s">
        <v>4273</v>
      </c>
      <c r="C547" s="37" t="s">
        <v>2047</v>
      </c>
      <c r="D547" s="38" t="s">
        <v>2954</v>
      </c>
    </row>
    <row r="548" spans="1:4" ht="47.25" customHeight="1" x14ac:dyDescent="0.25">
      <c r="A548" s="36" t="s">
        <v>2277</v>
      </c>
      <c r="B548" s="36" t="s">
        <v>4274</v>
      </c>
      <c r="C548" s="37" t="s">
        <v>3938</v>
      </c>
      <c r="D548" s="38" t="s">
        <v>2955</v>
      </c>
    </row>
    <row r="549" spans="1:4" ht="47.25" customHeight="1" x14ac:dyDescent="0.25">
      <c r="A549" s="36" t="s">
        <v>2281</v>
      </c>
      <c r="B549" s="36" t="s">
        <v>4275</v>
      </c>
      <c r="C549" s="37" t="s">
        <v>4276</v>
      </c>
      <c r="D549" s="38" t="s">
        <v>2956</v>
      </c>
    </row>
    <row r="550" spans="1:4" ht="63" customHeight="1" x14ac:dyDescent="0.25">
      <c r="A550" s="36" t="s">
        <v>2286</v>
      </c>
      <c r="B550" s="36" t="s">
        <v>4277</v>
      </c>
      <c r="C550" s="37" t="s">
        <v>476</v>
      </c>
      <c r="D550" s="38" t="s">
        <v>2957</v>
      </c>
    </row>
    <row r="551" spans="1:4" ht="78.75" customHeight="1" x14ac:dyDescent="0.25">
      <c r="A551" s="36" t="s">
        <v>2290</v>
      </c>
      <c r="B551" s="36" t="s">
        <v>4278</v>
      </c>
      <c r="C551" s="37" t="s">
        <v>2025</v>
      </c>
      <c r="D551" s="38" t="s">
        <v>2958</v>
      </c>
    </row>
    <row r="552" spans="1:4" ht="63" customHeight="1" x14ac:dyDescent="0.25">
      <c r="A552" s="36" t="s">
        <v>2294</v>
      </c>
      <c r="B552" s="36" t="s">
        <v>4279</v>
      </c>
      <c r="C552" s="37" t="s">
        <v>4276</v>
      </c>
      <c r="D552" s="38" t="s">
        <v>2959</v>
      </c>
    </row>
    <row r="553" spans="1:4" ht="47.25" customHeight="1" x14ac:dyDescent="0.25">
      <c r="A553" s="36" t="s">
        <v>2299</v>
      </c>
      <c r="B553" s="36" t="s">
        <v>4280</v>
      </c>
      <c r="C553" s="37" t="s">
        <v>4022</v>
      </c>
      <c r="D553" s="38" t="s">
        <v>2856</v>
      </c>
    </row>
    <row r="554" spans="1:4" ht="47.25" customHeight="1" x14ac:dyDescent="0.25">
      <c r="A554" s="36" t="s">
        <v>2304</v>
      </c>
      <c r="B554" s="36" t="s">
        <v>4281</v>
      </c>
      <c r="C554" s="37" t="s">
        <v>345</v>
      </c>
      <c r="D554" s="38" t="s">
        <v>2960</v>
      </c>
    </row>
    <row r="555" spans="1:4" ht="63" customHeight="1" x14ac:dyDescent="0.25">
      <c r="A555" s="36" t="s">
        <v>2309</v>
      </c>
      <c r="B555" s="36" t="s">
        <v>4282</v>
      </c>
      <c r="C555" s="37" t="s">
        <v>4283</v>
      </c>
      <c r="D555" s="38" t="s">
        <v>2961</v>
      </c>
    </row>
    <row r="556" spans="1:4" ht="63" customHeight="1" x14ac:dyDescent="0.25">
      <c r="A556" s="36" t="s">
        <v>2313</v>
      </c>
      <c r="B556" s="36" t="s">
        <v>4284</v>
      </c>
      <c r="C556" s="37" t="s">
        <v>4265</v>
      </c>
      <c r="D556" s="38" t="s">
        <v>2962</v>
      </c>
    </row>
    <row r="557" spans="1:4" ht="63" customHeight="1" x14ac:dyDescent="0.25">
      <c r="A557" s="36" t="s">
        <v>2316</v>
      </c>
      <c r="B557" s="36" t="s">
        <v>4285</v>
      </c>
      <c r="C557" s="37" t="s">
        <v>1645</v>
      </c>
      <c r="D557" s="38" t="s">
        <v>2963</v>
      </c>
    </row>
    <row r="558" spans="1:4" ht="78.75" customHeight="1" x14ac:dyDescent="0.25">
      <c r="A558" s="36" t="s">
        <v>2321</v>
      </c>
      <c r="B558" s="36" t="s">
        <v>4286</v>
      </c>
      <c r="C558" s="37" t="s">
        <v>796</v>
      </c>
      <c r="D558" s="38" t="s">
        <v>2964</v>
      </c>
    </row>
    <row r="559" spans="1:4" ht="31.5" customHeight="1" x14ac:dyDescent="0.25">
      <c r="A559" s="36" t="s">
        <v>2324</v>
      </c>
      <c r="B559" s="36" t="s">
        <v>4287</v>
      </c>
      <c r="C559" s="37" t="s">
        <v>4288</v>
      </c>
      <c r="D559" s="38" t="s">
        <v>2965</v>
      </c>
    </row>
    <row r="560" spans="1:4" ht="47.25" customHeight="1" x14ac:dyDescent="0.25">
      <c r="A560" s="36" t="s">
        <v>2328</v>
      </c>
      <c r="B560" s="36" t="s">
        <v>4289</v>
      </c>
      <c r="C560" s="37" t="s">
        <v>345</v>
      </c>
      <c r="D560" s="38" t="s">
        <v>2966</v>
      </c>
    </row>
    <row r="561" spans="1:4" ht="31.5" customHeight="1" x14ac:dyDescent="0.25">
      <c r="A561" s="36" t="s">
        <v>2333</v>
      </c>
      <c r="B561" s="36" t="s">
        <v>4290</v>
      </c>
      <c r="C561" s="37" t="s">
        <v>1307</v>
      </c>
      <c r="D561" s="38" t="s">
        <v>2967</v>
      </c>
    </row>
    <row r="562" spans="1:4" ht="47.25" customHeight="1" x14ac:dyDescent="0.25">
      <c r="A562" s="36" t="s">
        <v>2338</v>
      </c>
      <c r="B562" s="36" t="s">
        <v>4291</v>
      </c>
      <c r="C562" s="37" t="s">
        <v>350</v>
      </c>
      <c r="D562" s="38" t="s">
        <v>2968</v>
      </c>
    </row>
    <row r="563" spans="1:4" ht="31.5" customHeight="1" x14ac:dyDescent="0.25">
      <c r="A563" s="36" t="s">
        <v>2342</v>
      </c>
      <c r="B563" s="36" t="s">
        <v>4292</v>
      </c>
      <c r="C563" s="37" t="s">
        <v>4293</v>
      </c>
      <c r="D563" s="38" t="s">
        <v>2969</v>
      </c>
    </row>
    <row r="564" spans="1:4" ht="31.5" customHeight="1" x14ac:dyDescent="0.25">
      <c r="A564" s="36" t="s">
        <v>2346</v>
      </c>
      <c r="B564" s="36" t="s">
        <v>4294</v>
      </c>
      <c r="C564" s="37" t="s">
        <v>1645</v>
      </c>
      <c r="D564" s="38" t="s">
        <v>2970</v>
      </c>
    </row>
    <row r="565" spans="1:4" ht="31.5" customHeight="1" x14ac:dyDescent="0.25">
      <c r="A565" s="36" t="s">
        <v>2348</v>
      </c>
      <c r="B565" s="36" t="s">
        <v>4295</v>
      </c>
      <c r="C565" s="37" t="s">
        <v>356</v>
      </c>
      <c r="D565" s="38" t="s">
        <v>2971</v>
      </c>
    </row>
    <row r="566" spans="1:4" ht="31.5" customHeight="1" x14ac:dyDescent="0.25">
      <c r="A566" s="36" t="s">
        <v>2350</v>
      </c>
      <c r="B566" s="36" t="s">
        <v>4296</v>
      </c>
      <c r="C566" s="37" t="s">
        <v>4297</v>
      </c>
      <c r="D566" s="38" t="s">
        <v>2972</v>
      </c>
    </row>
    <row r="567" spans="1:4" ht="47.25" customHeight="1" x14ac:dyDescent="0.25">
      <c r="A567" s="36" t="s">
        <v>2352</v>
      </c>
      <c r="B567" s="36" t="s">
        <v>4298</v>
      </c>
      <c r="C567" s="37" t="s">
        <v>547</v>
      </c>
      <c r="D567" s="38" t="s">
        <v>2973</v>
      </c>
    </row>
    <row r="568" spans="1:4" ht="31.5" customHeight="1" x14ac:dyDescent="0.25">
      <c r="A568" s="36" t="s">
        <v>2354</v>
      </c>
      <c r="B568" s="36" t="s">
        <v>4299</v>
      </c>
      <c r="C568" s="37" t="s">
        <v>1307</v>
      </c>
      <c r="D568" s="38" t="s">
        <v>2974</v>
      </c>
    </row>
    <row r="569" spans="1:4" ht="31.5" customHeight="1" x14ac:dyDescent="0.25">
      <c r="A569" s="36" t="s">
        <v>2356</v>
      </c>
      <c r="B569" s="36" t="s">
        <v>4300</v>
      </c>
      <c r="C569" s="37" t="s">
        <v>4301</v>
      </c>
      <c r="D569" s="38" t="s">
        <v>2975</v>
      </c>
    </row>
    <row r="570" spans="1:4" ht="47.25" customHeight="1" x14ac:dyDescent="0.25">
      <c r="A570" s="36" t="s">
        <v>2358</v>
      </c>
      <c r="B570" s="36" t="s">
        <v>4302</v>
      </c>
      <c r="C570" s="37" t="s">
        <v>4208</v>
      </c>
      <c r="D570" s="38" t="s">
        <v>2976</v>
      </c>
    </row>
    <row r="571" spans="1:4" ht="47.25" customHeight="1" x14ac:dyDescent="0.25">
      <c r="A571" s="36" t="s">
        <v>2360</v>
      </c>
      <c r="B571" s="36" t="s">
        <v>4303</v>
      </c>
      <c r="C571" s="37" t="s">
        <v>1315</v>
      </c>
      <c r="D571" s="38" t="s">
        <v>2977</v>
      </c>
    </row>
    <row r="572" spans="1:4" ht="31.5" customHeight="1" x14ac:dyDescent="0.25">
      <c r="A572" s="36" t="s">
        <v>2362</v>
      </c>
      <c r="B572" s="36" t="s">
        <v>4304</v>
      </c>
      <c r="C572" s="37" t="s">
        <v>4297</v>
      </c>
      <c r="D572" s="38" t="s">
        <v>2978</v>
      </c>
    </row>
    <row r="573" spans="1:4" ht="63" customHeight="1" x14ac:dyDescent="0.25">
      <c r="A573" s="36" t="s">
        <v>2364</v>
      </c>
      <c r="B573" s="36" t="s">
        <v>4305</v>
      </c>
      <c r="C573" s="37" t="s">
        <v>4261</v>
      </c>
      <c r="D573" s="38" t="s">
        <v>2979</v>
      </c>
    </row>
    <row r="574" spans="1:4" ht="47.25" customHeight="1" x14ac:dyDescent="0.25">
      <c r="A574" s="36" t="s">
        <v>2366</v>
      </c>
      <c r="B574" s="36" t="s">
        <v>4306</v>
      </c>
      <c r="C574" s="37" t="s">
        <v>366</v>
      </c>
      <c r="D574" s="38" t="s">
        <v>2980</v>
      </c>
    </row>
    <row r="575" spans="1:4" ht="47.25" customHeight="1" x14ac:dyDescent="0.25">
      <c r="A575" s="36" t="s">
        <v>2368</v>
      </c>
      <c r="B575" s="36" t="s">
        <v>4307</v>
      </c>
      <c r="C575" s="37" t="s">
        <v>3750</v>
      </c>
      <c r="D575" s="38" t="s">
        <v>2981</v>
      </c>
    </row>
    <row r="576" spans="1:4" ht="63" customHeight="1" x14ac:dyDescent="0.25">
      <c r="A576" s="36" t="s">
        <v>2370</v>
      </c>
      <c r="B576" s="36" t="s">
        <v>4308</v>
      </c>
      <c r="C576" s="37" t="s">
        <v>731</v>
      </c>
      <c r="D576" s="38" t="s">
        <v>2982</v>
      </c>
    </row>
    <row r="577" spans="1:4" ht="94.5" customHeight="1" x14ac:dyDescent="0.25">
      <c r="A577" s="36" t="s">
        <v>2372</v>
      </c>
      <c r="B577" s="36" t="s">
        <v>4309</v>
      </c>
      <c r="C577" s="37" t="s">
        <v>311</v>
      </c>
      <c r="D577" s="38" t="s">
        <v>2983</v>
      </c>
    </row>
    <row r="578" spans="1:4" ht="110.25" customHeight="1" x14ac:dyDescent="0.25">
      <c r="A578" s="36" t="s">
        <v>2374</v>
      </c>
      <c r="B578" s="36" t="s">
        <v>4310</v>
      </c>
      <c r="C578" s="37" t="s">
        <v>782</v>
      </c>
      <c r="D578" s="38" t="s">
        <v>2984</v>
      </c>
    </row>
    <row r="579" spans="1:4" ht="47.25" customHeight="1" x14ac:dyDescent="0.25">
      <c r="A579" s="36" t="s">
        <v>2376</v>
      </c>
      <c r="B579" s="36" t="s">
        <v>4311</v>
      </c>
      <c r="C579" s="37" t="s">
        <v>3610</v>
      </c>
      <c r="D579" s="38" t="s">
        <v>2985</v>
      </c>
    </row>
    <row r="580" spans="1:4" ht="63" customHeight="1" x14ac:dyDescent="0.25">
      <c r="A580" s="36" t="s">
        <v>2378</v>
      </c>
      <c r="B580" s="36" t="s">
        <v>4312</v>
      </c>
      <c r="C580" s="37" t="s">
        <v>4313</v>
      </c>
      <c r="D580" s="38" t="s">
        <v>2986</v>
      </c>
    </row>
    <row r="581" spans="1:4" ht="31.5" customHeight="1" x14ac:dyDescent="0.25">
      <c r="A581" s="36" t="s">
        <v>2380</v>
      </c>
      <c r="B581" s="36" t="s">
        <v>4314</v>
      </c>
      <c r="C581" s="37" t="s">
        <v>1315</v>
      </c>
      <c r="D581" s="38" t="s">
        <v>2987</v>
      </c>
    </row>
    <row r="582" spans="1:4" ht="47.25" customHeight="1" x14ac:dyDescent="0.25">
      <c r="A582" s="36" t="s">
        <v>2382</v>
      </c>
      <c r="B582" s="36" t="s">
        <v>4315</v>
      </c>
      <c r="C582" s="37" t="s">
        <v>811</v>
      </c>
      <c r="D582" s="38" t="s">
        <v>2988</v>
      </c>
    </row>
    <row r="583" spans="1:4" ht="47.25" customHeight="1" x14ac:dyDescent="0.25">
      <c r="A583" s="36" t="s">
        <v>2384</v>
      </c>
      <c r="B583" s="36" t="s">
        <v>4316</v>
      </c>
      <c r="C583" s="37" t="s">
        <v>3615</v>
      </c>
      <c r="D583" s="38" t="s">
        <v>2989</v>
      </c>
    </row>
    <row r="584" spans="1:4" ht="47.25" customHeight="1" x14ac:dyDescent="0.25">
      <c r="A584" s="36" t="s">
        <v>2386</v>
      </c>
      <c r="B584" s="36" t="s">
        <v>4317</v>
      </c>
      <c r="C584" s="37" t="s">
        <v>4242</v>
      </c>
      <c r="D584" s="38" t="s">
        <v>2990</v>
      </c>
    </row>
    <row r="585" spans="1:4" ht="47.25" customHeight="1" x14ac:dyDescent="0.25">
      <c r="A585" s="36" t="s">
        <v>2388</v>
      </c>
      <c r="B585" s="36" t="s">
        <v>4318</v>
      </c>
      <c r="C585" s="37" t="s">
        <v>4319</v>
      </c>
      <c r="D585" s="38" t="s">
        <v>2991</v>
      </c>
    </row>
    <row r="586" spans="1:4" ht="63" customHeight="1" x14ac:dyDescent="0.25">
      <c r="A586" s="36" t="s">
        <v>2390</v>
      </c>
      <c r="B586" s="36" t="s">
        <v>4320</v>
      </c>
      <c r="C586" s="37" t="s">
        <v>1074</v>
      </c>
      <c r="D586" s="38" t="s">
        <v>2992</v>
      </c>
    </row>
    <row r="587" spans="1:4" ht="31.5" customHeight="1" x14ac:dyDescent="0.25">
      <c r="A587" s="36" t="s">
        <v>2392</v>
      </c>
      <c r="B587" s="36" t="s">
        <v>4321</v>
      </c>
      <c r="C587" s="37" t="s">
        <v>4322</v>
      </c>
      <c r="D587" s="38" t="s">
        <v>2993</v>
      </c>
    </row>
    <row r="588" spans="1:4" ht="63" customHeight="1" x14ac:dyDescent="0.25">
      <c r="A588" s="36" t="s">
        <v>2394</v>
      </c>
      <c r="B588" s="36" t="s">
        <v>4323</v>
      </c>
      <c r="C588" s="37" t="s">
        <v>3872</v>
      </c>
      <c r="D588" s="38" t="s">
        <v>2994</v>
      </c>
    </row>
    <row r="589" spans="1:4" ht="47.25" customHeight="1" x14ac:dyDescent="0.25">
      <c r="A589" s="36" t="s">
        <v>2396</v>
      </c>
      <c r="B589" s="36" t="s">
        <v>4324</v>
      </c>
      <c r="C589" s="37" t="s">
        <v>4325</v>
      </c>
      <c r="D589" s="38" t="s">
        <v>2995</v>
      </c>
    </row>
    <row r="590" spans="1:4" ht="31.5" customHeight="1" x14ac:dyDescent="0.25">
      <c r="A590" s="36" t="s">
        <v>2398</v>
      </c>
      <c r="B590" s="36" t="s">
        <v>4326</v>
      </c>
      <c r="C590" s="37" t="s">
        <v>565</v>
      </c>
      <c r="D590" s="38" t="s">
        <v>2996</v>
      </c>
    </row>
    <row r="591" spans="1:4" ht="47.25" customHeight="1" x14ac:dyDescent="0.25">
      <c r="A591" s="36" t="s">
        <v>2400</v>
      </c>
      <c r="B591" s="36" t="s">
        <v>4327</v>
      </c>
      <c r="C591" s="37" t="s">
        <v>4328</v>
      </c>
      <c r="D591" s="38" t="s">
        <v>2997</v>
      </c>
    </row>
    <row r="592" spans="1:4" ht="47.25" customHeight="1" x14ac:dyDescent="0.25">
      <c r="A592" s="36" t="s">
        <v>2402</v>
      </c>
      <c r="B592" s="36" t="s">
        <v>4329</v>
      </c>
      <c r="C592" s="37" t="s">
        <v>3858</v>
      </c>
      <c r="D592" s="38" t="s">
        <v>2998</v>
      </c>
    </row>
    <row r="593" spans="1:4" ht="47.25" customHeight="1" x14ac:dyDescent="0.25">
      <c r="A593" s="36" t="s">
        <v>2404</v>
      </c>
      <c r="B593" s="36" t="s">
        <v>4330</v>
      </c>
      <c r="C593" s="37" t="s">
        <v>4138</v>
      </c>
      <c r="D593" s="38" t="s">
        <v>2999</v>
      </c>
    </row>
    <row r="594" spans="1:4" ht="47.25" customHeight="1" x14ac:dyDescent="0.25">
      <c r="A594" s="36" t="s">
        <v>2406</v>
      </c>
      <c r="B594" s="36" t="s">
        <v>4331</v>
      </c>
      <c r="C594" s="37" t="s">
        <v>739</v>
      </c>
      <c r="D594" s="38" t="s">
        <v>3000</v>
      </c>
    </row>
    <row r="595" spans="1:4" ht="31.5" customHeight="1" x14ac:dyDescent="0.25">
      <c r="A595" s="36" t="s">
        <v>4332</v>
      </c>
      <c r="B595" s="36" t="s">
        <v>4333</v>
      </c>
      <c r="C595" s="37" t="s">
        <v>4334</v>
      </c>
      <c r="D595" s="38" t="s">
        <v>3001</v>
      </c>
    </row>
    <row r="596" spans="1:4" ht="63" customHeight="1" x14ac:dyDescent="0.25">
      <c r="A596" s="36" t="s">
        <v>4335</v>
      </c>
      <c r="B596" s="36" t="s">
        <v>4336</v>
      </c>
      <c r="C596" s="37" t="s">
        <v>911</v>
      </c>
      <c r="D596" s="38" t="s">
        <v>3002</v>
      </c>
    </row>
    <row r="597" spans="1:4" ht="31.5" customHeight="1" x14ac:dyDescent="0.25">
      <c r="A597" s="36" t="s">
        <v>4337</v>
      </c>
      <c r="B597" s="36" t="s">
        <v>4338</v>
      </c>
      <c r="C597" s="37" t="s">
        <v>4339</v>
      </c>
      <c r="D597" s="38" t="s">
        <v>3003</v>
      </c>
    </row>
    <row r="598" spans="1:4" ht="63" customHeight="1" x14ac:dyDescent="0.25">
      <c r="A598" s="36" t="s">
        <v>4340</v>
      </c>
      <c r="B598" s="36" t="s">
        <v>4341</v>
      </c>
      <c r="C598" s="37" t="s">
        <v>4339</v>
      </c>
      <c r="D598" s="38" t="s">
        <v>3004</v>
      </c>
    </row>
    <row r="599" spans="1:4" ht="31.5" customHeight="1" x14ac:dyDescent="0.25">
      <c r="A599" s="36" t="s">
        <v>4342</v>
      </c>
      <c r="B599" s="36" t="s">
        <v>4343</v>
      </c>
      <c r="C599" s="37" t="s">
        <v>506</v>
      </c>
      <c r="D599" s="38" t="s">
        <v>3005</v>
      </c>
    </row>
    <row r="600" spans="1:4" ht="31.5" customHeight="1" x14ac:dyDescent="0.25">
      <c r="A600" s="36" t="s">
        <v>4344</v>
      </c>
      <c r="B600" s="36" t="s">
        <v>4345</v>
      </c>
      <c r="C600" s="37" t="s">
        <v>506</v>
      </c>
      <c r="D600" s="38" t="s">
        <v>3006</v>
      </c>
    </row>
    <row r="601" spans="1:4" ht="47.25" customHeight="1" x14ac:dyDescent="0.25">
      <c r="A601" s="36" t="s">
        <v>4346</v>
      </c>
      <c r="B601" s="36" t="s">
        <v>4347</v>
      </c>
      <c r="C601" s="37" t="s">
        <v>1581</v>
      </c>
      <c r="D601" s="38" t="s">
        <v>3007</v>
      </c>
    </row>
    <row r="602" spans="1:4" ht="31.5" customHeight="1" x14ac:dyDescent="0.25">
      <c r="A602" s="36" t="s">
        <v>4348</v>
      </c>
      <c r="B602" s="36" t="s">
        <v>4349</v>
      </c>
      <c r="C602" s="37" t="s">
        <v>796</v>
      </c>
      <c r="D602" s="38" t="s">
        <v>3008</v>
      </c>
    </row>
    <row r="603" spans="1:4" ht="31.5" customHeight="1" x14ac:dyDescent="0.25">
      <c r="A603" s="36" t="s">
        <v>4350</v>
      </c>
      <c r="B603" s="36" t="s">
        <v>4351</v>
      </c>
      <c r="C603" s="37" t="s">
        <v>782</v>
      </c>
      <c r="D603" s="38" t="s">
        <v>3009</v>
      </c>
    </row>
    <row r="604" spans="1:4" ht="31.5" customHeight="1" x14ac:dyDescent="0.25">
      <c r="A604" s="36" t="s">
        <v>4352</v>
      </c>
      <c r="B604" s="36" t="s">
        <v>4353</v>
      </c>
      <c r="C604" s="37" t="s">
        <v>266</v>
      </c>
      <c r="D604" s="38" t="s">
        <v>3010</v>
      </c>
    </row>
    <row r="605" spans="1:4" ht="31.5" customHeight="1" x14ac:dyDescent="0.25">
      <c r="A605" s="36" t="s">
        <v>4354</v>
      </c>
      <c r="B605" s="36" t="s">
        <v>4355</v>
      </c>
      <c r="C605" s="37" t="s">
        <v>565</v>
      </c>
      <c r="D605" s="38" t="s">
        <v>3011</v>
      </c>
    </row>
    <row r="606" spans="1:4" ht="31.5" customHeight="1" x14ac:dyDescent="0.25">
      <c r="A606" s="36" t="s">
        <v>4356</v>
      </c>
      <c r="B606" s="36" t="s">
        <v>4357</v>
      </c>
      <c r="C606" s="37" t="s">
        <v>565</v>
      </c>
      <c r="D606" s="38" t="s">
        <v>3012</v>
      </c>
    </row>
    <row r="607" spans="1:4" ht="47.25" customHeight="1" x14ac:dyDescent="0.25">
      <c r="A607" s="36" t="s">
        <v>4358</v>
      </c>
      <c r="B607" s="36" t="s">
        <v>4359</v>
      </c>
      <c r="C607" s="37" t="s">
        <v>4360</v>
      </c>
      <c r="D607" s="38" t="s">
        <v>3013</v>
      </c>
    </row>
    <row r="608" spans="1:4" ht="31.5" customHeight="1" x14ac:dyDescent="0.25">
      <c r="A608" s="36" t="s">
        <v>4361</v>
      </c>
      <c r="B608" s="36" t="s">
        <v>4362</v>
      </c>
      <c r="C608" s="37" t="s">
        <v>256</v>
      </c>
      <c r="D608" s="38" t="s">
        <v>3014</v>
      </c>
    </row>
    <row r="609" spans="1:4" ht="47.25" customHeight="1" x14ac:dyDescent="0.25">
      <c r="A609" s="36" t="s">
        <v>4363</v>
      </c>
      <c r="B609" s="36" t="s">
        <v>4364</v>
      </c>
      <c r="C609" s="37" t="s">
        <v>4242</v>
      </c>
      <c r="D609" s="38" t="s">
        <v>3015</v>
      </c>
    </row>
    <row r="610" spans="1:4" ht="31.5" customHeight="1" x14ac:dyDescent="0.25">
      <c r="A610" s="36" t="s">
        <v>4365</v>
      </c>
      <c r="B610" s="36" t="s">
        <v>4366</v>
      </c>
      <c r="C610" s="37" t="s">
        <v>3722</v>
      </c>
      <c r="D610" s="38" t="s">
        <v>3016</v>
      </c>
    </row>
    <row r="611" spans="1:4" ht="47.25" customHeight="1" x14ac:dyDescent="0.25">
      <c r="A611" s="36" t="s">
        <v>4367</v>
      </c>
      <c r="B611" s="36" t="s">
        <v>4368</v>
      </c>
      <c r="C611" s="37" t="s">
        <v>1050</v>
      </c>
      <c r="D611" s="38" t="s">
        <v>3017</v>
      </c>
    </row>
    <row r="612" spans="1:4" ht="47.25" customHeight="1" x14ac:dyDescent="0.25">
      <c r="A612" s="36" t="s">
        <v>4369</v>
      </c>
      <c r="B612" s="36" t="s">
        <v>4370</v>
      </c>
      <c r="C612" s="37" t="s">
        <v>4371</v>
      </c>
      <c r="D612" s="38" t="s">
        <v>3018</v>
      </c>
    </row>
    <row r="613" spans="1:4" ht="47.25" customHeight="1" x14ac:dyDescent="0.25">
      <c r="A613" s="36" t="s">
        <v>4372</v>
      </c>
      <c r="B613" s="36" t="s">
        <v>4373</v>
      </c>
      <c r="C613" s="37" t="s">
        <v>247</v>
      </c>
      <c r="D613" s="38" t="s">
        <v>3019</v>
      </c>
    </row>
    <row r="614" spans="1:4" ht="31.5" customHeight="1" x14ac:dyDescent="0.25">
      <c r="A614" s="36" t="s">
        <v>4374</v>
      </c>
      <c r="B614" s="36" t="s">
        <v>4375</v>
      </c>
      <c r="C614" s="37" t="s">
        <v>4376</v>
      </c>
      <c r="D614" s="38" t="s">
        <v>3020</v>
      </c>
    </row>
    <row r="615" spans="1:4" ht="31.5" customHeight="1" x14ac:dyDescent="0.25">
      <c r="A615" s="36" t="s">
        <v>4377</v>
      </c>
      <c r="B615" s="36" t="s">
        <v>4378</v>
      </c>
      <c r="C615" s="37" t="s">
        <v>4379</v>
      </c>
      <c r="D615" s="38" t="s">
        <v>3021</v>
      </c>
    </row>
    <row r="616" spans="1:4" ht="47.25" customHeight="1" x14ac:dyDescent="0.25">
      <c r="A616" s="36" t="s">
        <v>4380</v>
      </c>
      <c r="B616" s="36" t="s">
        <v>4381</v>
      </c>
      <c r="C616" s="37" t="s">
        <v>796</v>
      </c>
      <c r="D616" s="38" t="s">
        <v>3022</v>
      </c>
    </row>
    <row r="617" spans="1:4" ht="31.5" customHeight="1" x14ac:dyDescent="0.25">
      <c r="A617" s="36" t="s">
        <v>4382</v>
      </c>
      <c r="B617" s="36" t="s">
        <v>4383</v>
      </c>
      <c r="C617" s="37" t="s">
        <v>4384</v>
      </c>
      <c r="D617" s="38" t="s">
        <v>3023</v>
      </c>
    </row>
    <row r="618" spans="1:4" ht="31.5" customHeight="1" x14ac:dyDescent="0.25">
      <c r="A618" s="36" t="s">
        <v>4385</v>
      </c>
      <c r="B618" s="36" t="s">
        <v>4386</v>
      </c>
      <c r="C618" s="37" t="s">
        <v>1215</v>
      </c>
      <c r="D618" s="38" t="s">
        <v>3024</v>
      </c>
    </row>
    <row r="619" spans="1:4" ht="78.75" customHeight="1" x14ac:dyDescent="0.25">
      <c r="A619" s="36" t="s">
        <v>4387</v>
      </c>
      <c r="B619" s="36" t="s">
        <v>4388</v>
      </c>
      <c r="C619" s="37" t="s">
        <v>668</v>
      </c>
      <c r="D619" s="38" t="s">
        <v>3025</v>
      </c>
    </row>
    <row r="620" spans="1:4" ht="47.25" customHeight="1" x14ac:dyDescent="0.25">
      <c r="A620" s="36" t="s">
        <v>4389</v>
      </c>
      <c r="B620" s="36" t="s">
        <v>4390</v>
      </c>
      <c r="C620" s="37" t="s">
        <v>3963</v>
      </c>
      <c r="D620" s="38" t="s">
        <v>3026</v>
      </c>
    </row>
    <row r="621" spans="1:4" ht="47.25" customHeight="1" x14ac:dyDescent="0.25">
      <c r="A621" s="36" t="s">
        <v>4391</v>
      </c>
      <c r="B621" s="36" t="s">
        <v>4392</v>
      </c>
      <c r="C621" s="37" t="s">
        <v>547</v>
      </c>
      <c r="D621" s="38" t="s">
        <v>3027</v>
      </c>
    </row>
    <row r="622" spans="1:4" ht="31.5" customHeight="1" x14ac:dyDescent="0.25">
      <c r="A622" s="36" t="s">
        <v>4393</v>
      </c>
      <c r="B622" s="36" t="s">
        <v>4394</v>
      </c>
      <c r="C622" s="37" t="s">
        <v>208</v>
      </c>
      <c r="D622" s="38" t="s">
        <v>3028</v>
      </c>
    </row>
    <row r="623" spans="1:4" ht="63" customHeight="1" x14ac:dyDescent="0.25">
      <c r="A623" s="36" t="s">
        <v>4395</v>
      </c>
      <c r="B623" s="36" t="s">
        <v>4396</v>
      </c>
      <c r="C623" s="46" t="s">
        <v>4397</v>
      </c>
      <c r="D623" s="38" t="s">
        <v>3029</v>
      </c>
    </row>
    <row r="624" spans="1:4" ht="47.25" customHeight="1" x14ac:dyDescent="0.25">
      <c r="A624" s="36" t="s">
        <v>4398</v>
      </c>
      <c r="B624" s="36" t="s">
        <v>4399</v>
      </c>
      <c r="C624" s="37" t="s">
        <v>3585</v>
      </c>
      <c r="D624" s="38" t="s">
        <v>3030</v>
      </c>
    </row>
    <row r="625" spans="1:4" ht="47.25" customHeight="1" x14ac:dyDescent="0.25">
      <c r="A625" s="36" t="s">
        <v>4400</v>
      </c>
      <c r="B625" s="36" t="s">
        <v>4401</v>
      </c>
      <c r="C625" s="37" t="s">
        <v>1324</v>
      </c>
      <c r="D625" s="38" t="s">
        <v>3031</v>
      </c>
    </row>
    <row r="626" spans="1:4" ht="47.25" customHeight="1" x14ac:dyDescent="0.25">
      <c r="A626" s="36" t="s">
        <v>4402</v>
      </c>
      <c r="B626" s="36" t="s">
        <v>4403</v>
      </c>
      <c r="C626" s="37" t="s">
        <v>4404</v>
      </c>
      <c r="D626" s="38" t="s">
        <v>3032</v>
      </c>
    </row>
    <row r="627" spans="1:4" ht="31.5" customHeight="1" x14ac:dyDescent="0.25">
      <c r="A627" s="36" t="s">
        <v>4405</v>
      </c>
      <c r="B627" s="36" t="s">
        <v>4406</v>
      </c>
      <c r="C627" s="37" t="s">
        <v>356</v>
      </c>
      <c r="D627" s="38" t="s">
        <v>3033</v>
      </c>
    </row>
    <row r="628" spans="1:4" ht="31.5" customHeight="1" x14ac:dyDescent="0.25">
      <c r="A628" s="36" t="s">
        <v>4407</v>
      </c>
      <c r="B628" s="36" t="s">
        <v>4408</v>
      </c>
      <c r="C628" s="37" t="s">
        <v>3858</v>
      </c>
      <c r="D628" s="38" t="s">
        <v>3034</v>
      </c>
    </row>
    <row r="629" spans="1:4" ht="47.25" customHeight="1" x14ac:dyDescent="0.25">
      <c r="A629" s="36" t="s">
        <v>4409</v>
      </c>
      <c r="B629" s="36" t="s">
        <v>4410</v>
      </c>
      <c r="C629" s="37" t="s">
        <v>3868</v>
      </c>
      <c r="D629" s="38" t="s">
        <v>3035</v>
      </c>
    </row>
    <row r="630" spans="1:4" ht="47.25" customHeight="1" x14ac:dyDescent="0.25">
      <c r="A630" s="36" t="s">
        <v>4411</v>
      </c>
      <c r="B630" s="36" t="s">
        <v>4412</v>
      </c>
      <c r="C630" s="37" t="s">
        <v>4413</v>
      </c>
      <c r="D630" s="38" t="s">
        <v>3036</v>
      </c>
    </row>
    <row r="631" spans="1:4" ht="63" customHeight="1" x14ac:dyDescent="0.25">
      <c r="A631" s="36" t="s">
        <v>4414</v>
      </c>
      <c r="B631" s="36" t="s">
        <v>4415</v>
      </c>
      <c r="C631" s="37" t="s">
        <v>4214</v>
      </c>
      <c r="D631" s="38" t="s">
        <v>3037</v>
      </c>
    </row>
    <row r="632" spans="1:4" ht="47.25" customHeight="1" x14ac:dyDescent="0.25">
      <c r="A632" s="36" t="s">
        <v>4416</v>
      </c>
      <c r="B632" s="36" t="s">
        <v>4417</v>
      </c>
      <c r="C632" s="37" t="s">
        <v>283</v>
      </c>
      <c r="D632" s="38" t="s">
        <v>3038</v>
      </c>
    </row>
    <row r="633" spans="1:4" ht="47.25" customHeight="1" x14ac:dyDescent="0.25">
      <c r="A633" s="36" t="s">
        <v>4418</v>
      </c>
      <c r="B633" s="36" t="s">
        <v>4419</v>
      </c>
      <c r="C633" s="37" t="s">
        <v>4158</v>
      </c>
      <c r="D633" s="38" t="s">
        <v>3039</v>
      </c>
    </row>
    <row r="634" spans="1:4" ht="31.5" customHeight="1" x14ac:dyDescent="0.25">
      <c r="A634" s="36" t="s">
        <v>4420</v>
      </c>
      <c r="B634" s="36" t="s">
        <v>4421</v>
      </c>
      <c r="C634" s="37" t="s">
        <v>4339</v>
      </c>
      <c r="D634" s="38" t="s">
        <v>3040</v>
      </c>
    </row>
    <row r="635" spans="1:4" ht="31.5" customHeight="1" x14ac:dyDescent="0.25">
      <c r="A635" s="36" t="s">
        <v>4422</v>
      </c>
      <c r="B635" s="36" t="s">
        <v>4423</v>
      </c>
      <c r="C635" s="37" t="s">
        <v>3738</v>
      </c>
      <c r="D635" s="38" t="s">
        <v>3041</v>
      </c>
    </row>
    <row r="636" spans="1:4" ht="31.5" customHeight="1" x14ac:dyDescent="0.25">
      <c r="A636" s="36" t="s">
        <v>4424</v>
      </c>
      <c r="B636" s="36" t="s">
        <v>4425</v>
      </c>
      <c r="C636" s="37" t="s">
        <v>3738</v>
      </c>
      <c r="D636" s="38" t="s">
        <v>3042</v>
      </c>
    </row>
    <row r="637" spans="1:4" ht="63" customHeight="1" x14ac:dyDescent="0.25">
      <c r="A637" s="36" t="s">
        <v>4426</v>
      </c>
      <c r="B637" s="36" t="s">
        <v>4427</v>
      </c>
      <c r="C637" s="37" t="s">
        <v>1519</v>
      </c>
      <c r="D637" s="38" t="s">
        <v>3043</v>
      </c>
    </row>
    <row r="638" spans="1:4" ht="31.5" customHeight="1" x14ac:dyDescent="0.25">
      <c r="A638" s="36" t="s">
        <v>4428</v>
      </c>
      <c r="B638" s="36" t="s">
        <v>4429</v>
      </c>
      <c r="C638" s="37" t="s">
        <v>256</v>
      </c>
      <c r="D638" s="38" t="s">
        <v>3044</v>
      </c>
    </row>
    <row r="639" spans="1:4" ht="47.25" customHeight="1" x14ac:dyDescent="0.25">
      <c r="A639" s="36" t="s">
        <v>4430</v>
      </c>
      <c r="B639" s="36" t="s">
        <v>4431</v>
      </c>
      <c r="C639" s="37" t="s">
        <v>4432</v>
      </c>
      <c r="D639" s="38" t="s">
        <v>3045</v>
      </c>
    </row>
    <row r="640" spans="1:4" ht="47.25" customHeight="1" x14ac:dyDescent="0.25">
      <c r="A640" s="36" t="s">
        <v>4433</v>
      </c>
      <c r="B640" s="36" t="s">
        <v>4434</v>
      </c>
      <c r="C640" s="37" t="s">
        <v>3955</v>
      </c>
      <c r="D640" s="38" t="s">
        <v>3046</v>
      </c>
    </row>
    <row r="641" spans="1:4" ht="47.25" customHeight="1" x14ac:dyDescent="0.25">
      <c r="A641" s="36" t="s">
        <v>4435</v>
      </c>
      <c r="B641" s="36" t="s">
        <v>4436</v>
      </c>
      <c r="C641" s="37" t="s">
        <v>4437</v>
      </c>
      <c r="D641" s="38" t="s">
        <v>3047</v>
      </c>
    </row>
    <row r="642" spans="1:4" ht="47.25" customHeight="1" x14ac:dyDescent="0.25">
      <c r="A642" s="36" t="s">
        <v>4438</v>
      </c>
      <c r="B642" s="36" t="s">
        <v>4439</v>
      </c>
      <c r="C642" s="37" t="s">
        <v>591</v>
      </c>
      <c r="D642" s="38" t="s">
        <v>3048</v>
      </c>
    </row>
    <row r="643" spans="1:4" ht="47.25" customHeight="1" x14ac:dyDescent="0.25">
      <c r="A643" s="36" t="s">
        <v>4440</v>
      </c>
      <c r="B643" s="36" t="s">
        <v>4441</v>
      </c>
      <c r="C643" s="37" t="s">
        <v>1184</v>
      </c>
      <c r="D643" s="38" t="s">
        <v>3049</v>
      </c>
    </row>
    <row r="644" spans="1:4" ht="63" customHeight="1" x14ac:dyDescent="0.25">
      <c r="A644" s="36" t="s">
        <v>4442</v>
      </c>
      <c r="B644" s="36" t="s">
        <v>4443</v>
      </c>
      <c r="C644" s="37" t="s">
        <v>4444</v>
      </c>
      <c r="D644" s="38" t="s">
        <v>3050</v>
      </c>
    </row>
    <row r="645" spans="1:4" ht="94.5" customHeight="1" x14ac:dyDescent="0.25">
      <c r="A645" s="36" t="s">
        <v>4445</v>
      </c>
      <c r="B645" s="36" t="s">
        <v>4446</v>
      </c>
      <c r="C645" s="37" t="s">
        <v>934</v>
      </c>
      <c r="D645" s="38" t="s">
        <v>3051</v>
      </c>
    </row>
    <row r="646" spans="1:4" ht="47.25" customHeight="1" x14ac:dyDescent="0.25">
      <c r="A646" s="36" t="s">
        <v>4447</v>
      </c>
      <c r="B646" s="36" t="s">
        <v>4448</v>
      </c>
      <c r="C646" s="37" t="s">
        <v>4449</v>
      </c>
      <c r="D646" s="38" t="s">
        <v>3052</v>
      </c>
    </row>
    <row r="647" spans="1:4" ht="63" customHeight="1" x14ac:dyDescent="0.25">
      <c r="A647" s="36" t="s">
        <v>4450</v>
      </c>
      <c r="B647" s="36" t="s">
        <v>4451</v>
      </c>
      <c r="C647" s="37" t="s">
        <v>4449</v>
      </c>
      <c r="D647" s="38" t="s">
        <v>3053</v>
      </c>
    </row>
    <row r="648" spans="1:4" x14ac:dyDescent="0.25">
      <c r="A648" s="36" t="s">
        <v>4452</v>
      </c>
      <c r="B648" s="36" t="s">
        <v>4453</v>
      </c>
      <c r="C648" s="37" t="s">
        <v>620</v>
      </c>
      <c r="D648" s="38" t="s">
        <v>3054</v>
      </c>
    </row>
    <row r="649" spans="1:4" ht="47.25" customHeight="1" x14ac:dyDescent="0.25">
      <c r="A649" s="36" t="s">
        <v>4454</v>
      </c>
      <c r="B649" s="36" t="s">
        <v>4455</v>
      </c>
      <c r="C649" s="37" t="s">
        <v>4339</v>
      </c>
      <c r="D649" s="38" t="s">
        <v>3055</v>
      </c>
    </row>
    <row r="650" spans="1:4" ht="47.25" customHeight="1" x14ac:dyDescent="0.25">
      <c r="A650" s="36" t="s">
        <v>4456</v>
      </c>
      <c r="B650" s="36" t="s">
        <v>4457</v>
      </c>
      <c r="C650" s="37" t="s">
        <v>3661</v>
      </c>
      <c r="D650" s="38" t="s">
        <v>3056</v>
      </c>
    </row>
    <row r="651" spans="1:4" ht="47.25" customHeight="1" x14ac:dyDescent="0.25">
      <c r="A651" s="36" t="s">
        <v>4458</v>
      </c>
      <c r="B651" s="36" t="s">
        <v>4459</v>
      </c>
      <c r="C651" s="37" t="s">
        <v>535</v>
      </c>
      <c r="D651" s="38" t="s">
        <v>3057</v>
      </c>
    </row>
    <row r="652" spans="1:4" ht="63" customHeight="1" x14ac:dyDescent="0.25">
      <c r="A652" s="36" t="s">
        <v>4460</v>
      </c>
      <c r="B652" s="36" t="s">
        <v>4461</v>
      </c>
      <c r="C652" s="37" t="s">
        <v>1184</v>
      </c>
      <c r="D652" s="38" t="s">
        <v>3058</v>
      </c>
    </row>
    <row r="653" spans="1:4" ht="63" customHeight="1" x14ac:dyDescent="0.25">
      <c r="A653" s="36" t="s">
        <v>4462</v>
      </c>
      <c r="B653" s="36" t="s">
        <v>4463</v>
      </c>
      <c r="C653" s="37" t="s">
        <v>1184</v>
      </c>
      <c r="D653" s="38" t="s">
        <v>3059</v>
      </c>
    </row>
    <row r="654" spans="1:4" ht="47.25" customHeight="1" x14ac:dyDescent="0.25">
      <c r="A654" s="36" t="s">
        <v>4464</v>
      </c>
      <c r="B654" s="36" t="s">
        <v>4465</v>
      </c>
      <c r="C654" s="37" t="s">
        <v>2025</v>
      </c>
      <c r="D654" s="38" t="s">
        <v>3060</v>
      </c>
    </row>
    <row r="655" spans="1:4" ht="47.25" customHeight="1" x14ac:dyDescent="0.25">
      <c r="A655" s="36" t="s">
        <v>4466</v>
      </c>
      <c r="B655" s="36" t="s">
        <v>4467</v>
      </c>
      <c r="C655" s="37" t="s">
        <v>2025</v>
      </c>
      <c r="D655" s="38" t="s">
        <v>3061</v>
      </c>
    </row>
    <row r="656" spans="1:4" ht="31.5" customHeight="1" x14ac:dyDescent="0.25">
      <c r="A656" s="36" t="s">
        <v>4468</v>
      </c>
      <c r="B656" s="36" t="s">
        <v>4469</v>
      </c>
      <c r="C656" s="37" t="s">
        <v>4470</v>
      </c>
      <c r="D656" s="38" t="s">
        <v>3062</v>
      </c>
    </row>
    <row r="657" spans="1:4" ht="47.25" customHeight="1" x14ac:dyDescent="0.25">
      <c r="A657" s="36" t="s">
        <v>4471</v>
      </c>
      <c r="B657" s="36" t="s">
        <v>4472</v>
      </c>
      <c r="C657" s="37" t="s">
        <v>591</v>
      </c>
      <c r="D657" s="38" t="s">
        <v>3063</v>
      </c>
    </row>
    <row r="658" spans="1:4" ht="63" customHeight="1" x14ac:dyDescent="0.25">
      <c r="A658" s="36" t="s">
        <v>4473</v>
      </c>
      <c r="B658" s="36" t="s">
        <v>4474</v>
      </c>
      <c r="C658" s="37" t="s">
        <v>4475</v>
      </c>
      <c r="D658" s="38" t="s">
        <v>3064</v>
      </c>
    </row>
    <row r="659" spans="1:4" ht="47.25" customHeight="1" x14ac:dyDescent="0.25">
      <c r="A659" s="36" t="s">
        <v>4476</v>
      </c>
      <c r="B659" s="36" t="s">
        <v>4477</v>
      </c>
      <c r="C659" s="37" t="s">
        <v>506</v>
      </c>
      <c r="D659" s="38" t="s">
        <v>3065</v>
      </c>
    </row>
    <row r="660" spans="1:4" ht="31.5" customHeight="1" x14ac:dyDescent="0.25">
      <c r="A660" s="36" t="s">
        <v>4478</v>
      </c>
      <c r="B660" s="36" t="s">
        <v>4479</v>
      </c>
      <c r="C660" s="37" t="s">
        <v>4480</v>
      </c>
      <c r="D660" s="38" t="s">
        <v>3066</v>
      </c>
    </row>
    <row r="661" spans="1:4" ht="47.25" customHeight="1" x14ac:dyDescent="0.25">
      <c r="A661" s="36" t="s">
        <v>4481</v>
      </c>
      <c r="B661" s="36" t="s">
        <v>4482</v>
      </c>
      <c r="C661" s="37" t="s">
        <v>4145</v>
      </c>
      <c r="D661" s="38" t="s">
        <v>3067</v>
      </c>
    </row>
    <row r="662" spans="1:4" ht="31.5" customHeight="1" x14ac:dyDescent="0.25">
      <c r="A662" s="36" t="s">
        <v>4483</v>
      </c>
      <c r="B662" s="36" t="s">
        <v>4484</v>
      </c>
      <c r="C662" s="37" t="s">
        <v>3910</v>
      </c>
      <c r="D662" s="38" t="s">
        <v>3068</v>
      </c>
    </row>
    <row r="663" spans="1:4" ht="31.5" customHeight="1" x14ac:dyDescent="0.25">
      <c r="A663" s="36" t="s">
        <v>4485</v>
      </c>
      <c r="B663" s="36" t="s">
        <v>4486</v>
      </c>
      <c r="C663" s="37" t="s">
        <v>782</v>
      </c>
      <c r="D663" s="38" t="s">
        <v>3069</v>
      </c>
    </row>
    <row r="664" spans="1:4" ht="47.25" customHeight="1" x14ac:dyDescent="0.25">
      <c r="A664" s="36" t="s">
        <v>4487</v>
      </c>
      <c r="B664" s="36" t="s">
        <v>4488</v>
      </c>
      <c r="C664" s="37" t="s">
        <v>1093</v>
      </c>
      <c r="D664" s="38" t="s">
        <v>3070</v>
      </c>
    </row>
    <row r="665" spans="1:4" ht="31.5" customHeight="1" x14ac:dyDescent="0.25">
      <c r="A665" s="36" t="s">
        <v>4489</v>
      </c>
      <c r="B665" s="36" t="s">
        <v>4490</v>
      </c>
      <c r="C665" s="37" t="s">
        <v>383</v>
      </c>
      <c r="D665" s="38" t="s">
        <v>3071</v>
      </c>
    </row>
    <row r="666" spans="1:4" ht="47.25" customHeight="1" x14ac:dyDescent="0.25">
      <c r="A666" s="36" t="s">
        <v>4491</v>
      </c>
      <c r="B666" s="36" t="s">
        <v>4492</v>
      </c>
      <c r="C666" s="37" t="s">
        <v>4493</v>
      </c>
      <c r="D666" s="38" t="s">
        <v>3072</v>
      </c>
    </row>
    <row r="667" spans="1:4" ht="47.25" customHeight="1" x14ac:dyDescent="0.25">
      <c r="A667" s="36" t="s">
        <v>4494</v>
      </c>
      <c r="B667" s="36" t="s">
        <v>4495</v>
      </c>
      <c r="C667" s="37" t="s">
        <v>4496</v>
      </c>
      <c r="D667" s="38" t="s">
        <v>3073</v>
      </c>
    </row>
    <row r="668" spans="1:4" ht="63" customHeight="1" x14ac:dyDescent="0.25">
      <c r="A668" s="36" t="s">
        <v>4497</v>
      </c>
      <c r="B668" s="36" t="s">
        <v>4498</v>
      </c>
      <c r="C668" s="37" t="s">
        <v>3619</v>
      </c>
      <c r="D668" s="38" t="s">
        <v>3074</v>
      </c>
    </row>
    <row r="669" spans="1:4" ht="31.5" customHeight="1" x14ac:dyDescent="0.25">
      <c r="A669" s="36" t="s">
        <v>4499</v>
      </c>
      <c r="B669" s="36" t="s">
        <v>4500</v>
      </c>
      <c r="C669" s="37" t="s">
        <v>3619</v>
      </c>
      <c r="D669" s="38" t="s">
        <v>3075</v>
      </c>
    </row>
    <row r="670" spans="1:4" ht="31.5" customHeight="1" x14ac:dyDescent="0.25">
      <c r="A670" s="36" t="s">
        <v>4501</v>
      </c>
      <c r="B670" s="36" t="s">
        <v>4502</v>
      </c>
      <c r="C670" s="37" t="s">
        <v>4503</v>
      </c>
      <c r="D670" s="38" t="s">
        <v>3076</v>
      </c>
    </row>
    <row r="671" spans="1:4" ht="31.5" customHeight="1" x14ac:dyDescent="0.25">
      <c r="A671" s="36" t="s">
        <v>4504</v>
      </c>
      <c r="B671" s="36" t="s">
        <v>4505</v>
      </c>
      <c r="C671" s="37" t="s">
        <v>1365</v>
      </c>
      <c r="D671" s="38" t="s">
        <v>3077</v>
      </c>
    </row>
    <row r="672" spans="1:4" ht="63" customHeight="1" x14ac:dyDescent="0.25">
      <c r="A672" s="36" t="s">
        <v>4506</v>
      </c>
      <c r="B672" s="36" t="s">
        <v>4507</v>
      </c>
      <c r="C672" s="37" t="s">
        <v>744</v>
      </c>
      <c r="D672" s="38" t="s">
        <v>3078</v>
      </c>
    </row>
    <row r="673" spans="1:4" ht="47.25" customHeight="1" x14ac:dyDescent="0.25">
      <c r="A673" s="36" t="s">
        <v>4508</v>
      </c>
      <c r="B673" s="36" t="s">
        <v>4509</v>
      </c>
      <c r="C673" s="37" t="s">
        <v>4480</v>
      </c>
      <c r="D673" s="38" t="s">
        <v>3079</v>
      </c>
    </row>
    <row r="674" spans="1:4" ht="63" customHeight="1" x14ac:dyDescent="0.25">
      <c r="A674" s="36" t="s">
        <v>4510</v>
      </c>
      <c r="B674" s="36" t="s">
        <v>4511</v>
      </c>
      <c r="C674" s="37" t="s">
        <v>411</v>
      </c>
      <c r="D674" s="38" t="s">
        <v>3080</v>
      </c>
    </row>
    <row r="675" spans="1:4" ht="63" customHeight="1" x14ac:dyDescent="0.25">
      <c r="A675" s="36" t="s">
        <v>4512</v>
      </c>
      <c r="B675" s="36" t="s">
        <v>4513</v>
      </c>
      <c r="C675" s="37" t="s">
        <v>411</v>
      </c>
      <c r="D675" s="38" t="s">
        <v>3081</v>
      </c>
    </row>
    <row r="676" spans="1:4" ht="47.25" customHeight="1" x14ac:dyDescent="0.25">
      <c r="A676" s="36" t="s">
        <v>4514</v>
      </c>
      <c r="B676" s="36" t="s">
        <v>4515</v>
      </c>
      <c r="C676" s="37" t="s">
        <v>1315</v>
      </c>
      <c r="D676" s="38" t="s">
        <v>3082</v>
      </c>
    </row>
    <row r="677" spans="1:4" ht="31.5" customHeight="1" x14ac:dyDescent="0.25">
      <c r="A677" s="36" t="s">
        <v>4516</v>
      </c>
      <c r="B677" s="36" t="s">
        <v>4517</v>
      </c>
      <c r="C677" s="37" t="s">
        <v>3938</v>
      </c>
      <c r="D677" s="38" t="s">
        <v>3083</v>
      </c>
    </row>
    <row r="678" spans="1:4" ht="31.5" customHeight="1" x14ac:dyDescent="0.25">
      <c r="A678" s="36" t="s">
        <v>4518</v>
      </c>
      <c r="B678" s="36" t="s">
        <v>4519</v>
      </c>
      <c r="C678" s="37" t="s">
        <v>3619</v>
      </c>
      <c r="D678" s="38" t="s">
        <v>3084</v>
      </c>
    </row>
    <row r="679" spans="1:4" ht="47.25" customHeight="1" x14ac:dyDescent="0.25">
      <c r="A679" s="36" t="s">
        <v>4520</v>
      </c>
      <c r="B679" s="36" t="s">
        <v>4521</v>
      </c>
      <c r="C679" s="37" t="s">
        <v>4522</v>
      </c>
      <c r="D679" s="38" t="s">
        <v>3085</v>
      </c>
    </row>
    <row r="680" spans="1:4" ht="31.5" customHeight="1" x14ac:dyDescent="0.25">
      <c r="A680" s="36" t="s">
        <v>4523</v>
      </c>
      <c r="B680" s="36" t="s">
        <v>4524</v>
      </c>
      <c r="C680" s="37" t="s">
        <v>2318</v>
      </c>
      <c r="D680" s="38" t="s">
        <v>3086</v>
      </c>
    </row>
    <row r="681" spans="1:4" ht="47.25" customHeight="1" x14ac:dyDescent="0.25">
      <c r="A681" s="36" t="s">
        <v>4525</v>
      </c>
      <c r="B681" s="36" t="s">
        <v>4526</v>
      </c>
      <c r="C681" s="37" t="s">
        <v>4297</v>
      </c>
      <c r="D681" s="38" t="s">
        <v>3087</v>
      </c>
    </row>
    <row r="682" spans="1:4" ht="31.5" customHeight="1" x14ac:dyDescent="0.25">
      <c r="A682" s="36" t="s">
        <v>4527</v>
      </c>
      <c r="B682" s="36" t="s">
        <v>4528</v>
      </c>
      <c r="C682" s="37" t="s">
        <v>1215</v>
      </c>
      <c r="D682" s="38" t="s">
        <v>3088</v>
      </c>
    </row>
    <row r="683" spans="1:4" ht="31.5" customHeight="1" x14ac:dyDescent="0.25">
      <c r="A683" s="36" t="s">
        <v>4529</v>
      </c>
      <c r="B683" s="36" t="s">
        <v>4530</v>
      </c>
      <c r="C683" s="37" t="s">
        <v>3615</v>
      </c>
      <c r="D683" s="38" t="s">
        <v>3089</v>
      </c>
    </row>
    <row r="684" spans="1:4" ht="31.5" customHeight="1" x14ac:dyDescent="0.25">
      <c r="A684" s="36" t="s">
        <v>4531</v>
      </c>
      <c r="B684" s="36" t="s">
        <v>4532</v>
      </c>
      <c r="C684" s="37" t="s">
        <v>289</v>
      </c>
      <c r="D684" s="38" t="s">
        <v>3090</v>
      </c>
    </row>
    <row r="685" spans="1:4" ht="31.5" customHeight="1" x14ac:dyDescent="0.25">
      <c r="A685" s="36" t="s">
        <v>4533</v>
      </c>
      <c r="B685" s="36" t="s">
        <v>4534</v>
      </c>
      <c r="C685" s="37" t="s">
        <v>3585</v>
      </c>
      <c r="D685" s="38" t="s">
        <v>3091</v>
      </c>
    </row>
    <row r="686" spans="1:4" ht="31.5" customHeight="1" x14ac:dyDescent="0.25">
      <c r="A686" s="36" t="s">
        <v>4535</v>
      </c>
      <c r="B686" s="36" t="s">
        <v>4536</v>
      </c>
      <c r="C686" s="37" t="s">
        <v>283</v>
      </c>
      <c r="D686" s="38" t="s">
        <v>3092</v>
      </c>
    </row>
    <row r="687" spans="1:4" ht="47.25" customHeight="1" x14ac:dyDescent="0.25">
      <c r="A687" s="36" t="s">
        <v>4537</v>
      </c>
      <c r="B687" s="36" t="s">
        <v>4538</v>
      </c>
      <c r="C687" s="37" t="s">
        <v>149</v>
      </c>
      <c r="D687" s="38" t="s">
        <v>3093</v>
      </c>
    </row>
    <row r="688" spans="1:4" ht="47.25" customHeight="1" x14ac:dyDescent="0.25">
      <c r="A688" s="36" t="s">
        <v>4539</v>
      </c>
      <c r="B688" s="36" t="s">
        <v>4540</v>
      </c>
      <c r="C688" s="37" t="s">
        <v>366</v>
      </c>
      <c r="D688" s="38" t="s">
        <v>3094</v>
      </c>
    </row>
    <row r="689" spans="1:4" ht="47.25" customHeight="1" x14ac:dyDescent="0.25">
      <c r="A689" s="36" t="s">
        <v>4541</v>
      </c>
      <c r="B689" s="36" t="s">
        <v>4542</v>
      </c>
      <c r="C689" s="37" t="s">
        <v>4543</v>
      </c>
      <c r="D689" s="38" t="s">
        <v>3095</v>
      </c>
    </row>
    <row r="690" spans="1:4" ht="63" customHeight="1" x14ac:dyDescent="0.25">
      <c r="A690" s="36" t="s">
        <v>4544</v>
      </c>
      <c r="B690" s="36" t="s">
        <v>4545</v>
      </c>
      <c r="C690" s="37" t="s">
        <v>1079</v>
      </c>
      <c r="D690" s="38" t="s">
        <v>3096</v>
      </c>
    </row>
    <row r="691" spans="1:4" ht="47.25" customHeight="1" x14ac:dyDescent="0.25">
      <c r="A691" s="36" t="s">
        <v>4546</v>
      </c>
      <c r="B691" s="36" t="s">
        <v>4547</v>
      </c>
      <c r="C691" s="37" t="s">
        <v>3750</v>
      </c>
      <c r="D691" s="38" t="s">
        <v>3097</v>
      </c>
    </row>
    <row r="692" spans="1:4" ht="47.25" customHeight="1" x14ac:dyDescent="0.25">
      <c r="A692" s="36" t="s">
        <v>4548</v>
      </c>
      <c r="B692" s="36" t="s">
        <v>4549</v>
      </c>
      <c r="C692" s="37" t="s">
        <v>366</v>
      </c>
      <c r="D692" s="38" t="s">
        <v>3098</v>
      </c>
    </row>
    <row r="693" spans="1:4" ht="63" customHeight="1" x14ac:dyDescent="0.25">
      <c r="A693" s="36" t="s">
        <v>4550</v>
      </c>
      <c r="B693" s="36" t="s">
        <v>4551</v>
      </c>
      <c r="C693" s="37" t="s">
        <v>266</v>
      </c>
      <c r="D693" s="38" t="s">
        <v>3099</v>
      </c>
    </row>
    <row r="694" spans="1:4" ht="47.25" customHeight="1" x14ac:dyDescent="0.25">
      <c r="A694" s="36" t="s">
        <v>4552</v>
      </c>
      <c r="B694" s="36" t="s">
        <v>4553</v>
      </c>
      <c r="C694" s="37" t="s">
        <v>4554</v>
      </c>
      <c r="D694" s="38" t="s">
        <v>3100</v>
      </c>
    </row>
    <row r="695" spans="1:4" ht="47.25" customHeight="1" x14ac:dyDescent="0.25">
      <c r="A695" s="36" t="s">
        <v>4555</v>
      </c>
      <c r="B695" s="36" t="s">
        <v>4556</v>
      </c>
      <c r="C695" s="37" t="s">
        <v>1093</v>
      </c>
      <c r="D695" s="38" t="s">
        <v>3101</v>
      </c>
    </row>
    <row r="696" spans="1:4" ht="63" customHeight="1" x14ac:dyDescent="0.25">
      <c r="A696" s="36" t="s">
        <v>4557</v>
      </c>
      <c r="B696" s="36" t="s">
        <v>4558</v>
      </c>
      <c r="C696" s="37" t="s">
        <v>1050</v>
      </c>
      <c r="D696" s="38" t="s">
        <v>3102</v>
      </c>
    </row>
    <row r="697" spans="1:4" ht="63" customHeight="1" x14ac:dyDescent="0.25">
      <c r="A697" s="36" t="s">
        <v>4559</v>
      </c>
      <c r="B697" s="36" t="s">
        <v>4560</v>
      </c>
      <c r="C697" s="37" t="s">
        <v>496</v>
      </c>
      <c r="D697" s="38" t="s">
        <v>3103</v>
      </c>
    </row>
    <row r="698" spans="1:4" ht="47.25" customHeight="1" x14ac:dyDescent="0.25">
      <c r="A698" s="36" t="s">
        <v>4561</v>
      </c>
      <c r="B698" s="36" t="s">
        <v>4562</v>
      </c>
      <c r="C698" s="37" t="s">
        <v>496</v>
      </c>
      <c r="D698" s="38" t="s">
        <v>3104</v>
      </c>
    </row>
    <row r="699" spans="1:4" ht="47.25" customHeight="1" x14ac:dyDescent="0.25">
      <c r="A699" s="36" t="s">
        <v>4563</v>
      </c>
      <c r="B699" s="36" t="s">
        <v>4564</v>
      </c>
      <c r="C699" s="37" t="s">
        <v>4565</v>
      </c>
      <c r="D699" s="38" t="s">
        <v>3105</v>
      </c>
    </row>
    <row r="700" spans="1:4" ht="31.5" customHeight="1" x14ac:dyDescent="0.25">
      <c r="A700" s="36" t="s">
        <v>4566</v>
      </c>
      <c r="B700" s="36" t="s">
        <v>4567</v>
      </c>
      <c r="C700" s="37" t="s">
        <v>1215</v>
      </c>
      <c r="D700" s="38" t="s">
        <v>3106</v>
      </c>
    </row>
    <row r="701" spans="1:4" ht="47.25" customHeight="1" x14ac:dyDescent="0.25">
      <c r="A701" s="36" t="s">
        <v>4568</v>
      </c>
      <c r="B701" s="36" t="s">
        <v>4569</v>
      </c>
      <c r="C701" s="37" t="s">
        <v>1116</v>
      </c>
      <c r="D701" s="38" t="s">
        <v>3107</v>
      </c>
    </row>
    <row r="702" spans="1:4" ht="63" customHeight="1" x14ac:dyDescent="0.25">
      <c r="A702" s="36" t="s">
        <v>4570</v>
      </c>
      <c r="B702" s="36" t="s">
        <v>4571</v>
      </c>
      <c r="C702" s="37" t="s">
        <v>63</v>
      </c>
      <c r="D702" s="38" t="s">
        <v>3108</v>
      </c>
    </row>
    <row r="703" spans="1:4" ht="31.5" customHeight="1" x14ac:dyDescent="0.25">
      <c r="A703" s="36" t="s">
        <v>4572</v>
      </c>
      <c r="B703" s="36" t="s">
        <v>4573</v>
      </c>
      <c r="C703" s="37" t="s">
        <v>4574</v>
      </c>
      <c r="D703" s="38" t="s">
        <v>3109</v>
      </c>
    </row>
    <row r="704" spans="1:4" ht="31.5" customHeight="1" x14ac:dyDescent="0.25">
      <c r="A704" s="36" t="s">
        <v>4575</v>
      </c>
      <c r="B704" s="36" t="s">
        <v>4576</v>
      </c>
      <c r="C704" s="37" t="s">
        <v>2245</v>
      </c>
      <c r="D704" s="38" t="s">
        <v>3110</v>
      </c>
    </row>
    <row r="705" spans="1:4" ht="63" customHeight="1" x14ac:dyDescent="0.25">
      <c r="A705" s="36" t="s">
        <v>4577</v>
      </c>
      <c r="B705" s="36" t="s">
        <v>4578</v>
      </c>
      <c r="C705" s="37" t="s">
        <v>3750</v>
      </c>
      <c r="D705" s="38" t="s">
        <v>3111</v>
      </c>
    </row>
    <row r="706" spans="1:4" ht="31.5" customHeight="1" x14ac:dyDescent="0.25">
      <c r="A706" s="36" t="s">
        <v>4579</v>
      </c>
      <c r="B706" s="36" t="s">
        <v>4580</v>
      </c>
      <c r="C706" s="37" t="s">
        <v>4371</v>
      </c>
      <c r="D706" s="38" t="s">
        <v>3112</v>
      </c>
    </row>
    <row r="707" spans="1:4" ht="63" customHeight="1" x14ac:dyDescent="0.25">
      <c r="A707" s="36" t="s">
        <v>4581</v>
      </c>
      <c r="B707" s="36" t="s">
        <v>4582</v>
      </c>
      <c r="C707" s="37" t="s">
        <v>4583</v>
      </c>
      <c r="D707" s="38" t="s">
        <v>3113</v>
      </c>
    </row>
    <row r="708" spans="1:4" ht="47.25" customHeight="1" x14ac:dyDescent="0.25">
      <c r="A708" s="36" t="s">
        <v>4584</v>
      </c>
      <c r="B708" s="36" t="s">
        <v>4585</v>
      </c>
      <c r="C708" s="37" t="s">
        <v>644</v>
      </c>
      <c r="D708" s="38" t="s">
        <v>3114</v>
      </c>
    </row>
    <row r="709" spans="1:4" ht="31.5" customHeight="1" x14ac:dyDescent="0.25">
      <c r="A709" s="36" t="s">
        <v>4586</v>
      </c>
      <c r="B709" s="36" t="s">
        <v>4587</v>
      </c>
      <c r="C709" s="37" t="s">
        <v>4588</v>
      </c>
      <c r="D709" s="38" t="s">
        <v>3115</v>
      </c>
    </row>
    <row r="710" spans="1:4" ht="63" customHeight="1" x14ac:dyDescent="0.25">
      <c r="A710" s="36" t="s">
        <v>4589</v>
      </c>
      <c r="B710" s="36" t="s">
        <v>4590</v>
      </c>
      <c r="C710" s="37" t="s">
        <v>4092</v>
      </c>
      <c r="D710" s="38" t="s">
        <v>3116</v>
      </c>
    </row>
    <row r="711" spans="1:4" ht="47.25" customHeight="1" x14ac:dyDescent="0.25">
      <c r="A711" s="36" t="s">
        <v>4591</v>
      </c>
      <c r="B711" s="36" t="s">
        <v>4592</v>
      </c>
      <c r="C711" s="37" t="s">
        <v>1143</v>
      </c>
      <c r="D711" s="38" t="s">
        <v>3117</v>
      </c>
    </row>
    <row r="712" spans="1:4" ht="31.5" customHeight="1" x14ac:dyDescent="0.25">
      <c r="A712" s="36" t="s">
        <v>4593</v>
      </c>
      <c r="B712" s="36" t="s">
        <v>4594</v>
      </c>
      <c r="C712" s="37" t="s">
        <v>845</v>
      </c>
      <c r="D712" s="38" t="s">
        <v>3118</v>
      </c>
    </row>
    <row r="713" spans="1:4" ht="47.25" customHeight="1" x14ac:dyDescent="0.25">
      <c r="A713" s="36" t="s">
        <v>4595</v>
      </c>
      <c r="B713" s="36" t="s">
        <v>4596</v>
      </c>
      <c r="C713" s="37" t="s">
        <v>924</v>
      </c>
      <c r="D713" s="38" t="s">
        <v>3119</v>
      </c>
    </row>
    <row r="714" spans="1:4" ht="31.5" customHeight="1" x14ac:dyDescent="0.25">
      <c r="A714" s="36" t="s">
        <v>4597</v>
      </c>
      <c r="B714" s="36" t="s">
        <v>4598</v>
      </c>
      <c r="C714" s="37" t="s">
        <v>3877</v>
      </c>
      <c r="D714" s="38" t="s">
        <v>3120</v>
      </c>
    </row>
    <row r="715" spans="1:4" ht="78.75" customHeight="1" x14ac:dyDescent="0.25">
      <c r="A715" s="36" t="s">
        <v>4599</v>
      </c>
      <c r="B715" s="36" t="s">
        <v>4600</v>
      </c>
      <c r="C715" s="37" t="s">
        <v>4601</v>
      </c>
      <c r="D715" s="38" t="s">
        <v>3121</v>
      </c>
    </row>
    <row r="716" spans="1:4" ht="31.5" customHeight="1" x14ac:dyDescent="0.25">
      <c r="A716" s="36" t="s">
        <v>4602</v>
      </c>
      <c r="B716" s="36" t="s">
        <v>4603</v>
      </c>
      <c r="C716" s="37" t="s">
        <v>1576</v>
      </c>
      <c r="D716" s="38" t="s">
        <v>3122</v>
      </c>
    </row>
    <row r="717" spans="1:4" ht="31.5" customHeight="1" x14ac:dyDescent="0.25">
      <c r="A717" s="36" t="s">
        <v>4604</v>
      </c>
      <c r="B717" s="36" t="s">
        <v>4605</v>
      </c>
      <c r="C717" s="37" t="s">
        <v>547</v>
      </c>
      <c r="D717" s="38" t="s">
        <v>3123</v>
      </c>
    </row>
    <row r="718" spans="1:4" ht="31.5" customHeight="1" x14ac:dyDescent="0.25">
      <c r="A718" s="36" t="s">
        <v>4606</v>
      </c>
      <c r="B718" s="36" t="s">
        <v>4607</v>
      </c>
      <c r="C718" s="37" t="s">
        <v>266</v>
      </c>
      <c r="D718" s="38" t="s">
        <v>3124</v>
      </c>
    </row>
    <row r="719" spans="1:4" ht="31.5" customHeight="1" x14ac:dyDescent="0.25">
      <c r="A719" s="36" t="s">
        <v>4608</v>
      </c>
      <c r="B719" s="36" t="s">
        <v>4609</v>
      </c>
      <c r="C719" s="37" t="s">
        <v>4610</v>
      </c>
      <c r="D719" s="38" t="s">
        <v>3125</v>
      </c>
    </row>
    <row r="720" spans="1:4" ht="63" customHeight="1" x14ac:dyDescent="0.25">
      <c r="A720" s="36" t="s">
        <v>4611</v>
      </c>
      <c r="B720" s="36" t="s">
        <v>4612</v>
      </c>
      <c r="C720" s="37" t="s">
        <v>620</v>
      </c>
      <c r="D720" s="38" t="s">
        <v>3126</v>
      </c>
    </row>
    <row r="721" spans="1:4" ht="47.25" customHeight="1" x14ac:dyDescent="0.25">
      <c r="A721" s="36" t="s">
        <v>4613</v>
      </c>
      <c r="B721" s="36" t="s">
        <v>4614</v>
      </c>
      <c r="C721" s="37" t="s">
        <v>731</v>
      </c>
      <c r="D721" s="38" t="s">
        <v>3127</v>
      </c>
    </row>
    <row r="722" spans="1:4" ht="47.25" customHeight="1" x14ac:dyDescent="0.25">
      <c r="A722" s="36" t="s">
        <v>4615</v>
      </c>
      <c r="B722" s="36" t="s">
        <v>4616</v>
      </c>
      <c r="C722" s="37" t="s">
        <v>1315</v>
      </c>
      <c r="D722" s="38" t="s">
        <v>3128</v>
      </c>
    </row>
    <row r="723" spans="1:4" ht="47.25" customHeight="1" x14ac:dyDescent="0.25">
      <c r="A723" s="36" t="s">
        <v>4617</v>
      </c>
      <c r="B723" s="36" t="s">
        <v>4618</v>
      </c>
      <c r="C723" s="37" t="s">
        <v>2306</v>
      </c>
      <c r="D723" s="38" t="s">
        <v>3129</v>
      </c>
    </row>
    <row r="724" spans="1:4" ht="47.25" customHeight="1" x14ac:dyDescent="0.25">
      <c r="A724" s="36" t="s">
        <v>4619</v>
      </c>
      <c r="B724" s="36" t="s">
        <v>4620</v>
      </c>
      <c r="C724" s="37" t="s">
        <v>4092</v>
      </c>
      <c r="D724" s="38" t="s">
        <v>3130</v>
      </c>
    </row>
    <row r="725" spans="1:4" ht="47.25" customHeight="1" x14ac:dyDescent="0.25">
      <c r="A725" s="36" t="s">
        <v>4621</v>
      </c>
      <c r="B725" s="36" t="s">
        <v>4622</v>
      </c>
      <c r="C725" s="37" t="s">
        <v>4623</v>
      </c>
      <c r="D725" s="38" t="s">
        <v>3131</v>
      </c>
    </row>
    <row r="726" spans="1:4" ht="63" customHeight="1" x14ac:dyDescent="0.25">
      <c r="A726" s="36" t="s">
        <v>4624</v>
      </c>
      <c r="B726" s="36" t="s">
        <v>4625</v>
      </c>
      <c r="C726" s="37" t="s">
        <v>952</v>
      </c>
      <c r="D726" s="38" t="s">
        <v>3132</v>
      </c>
    </row>
    <row r="727" spans="1:4" ht="31.5" customHeight="1" x14ac:dyDescent="0.25">
      <c r="A727" s="36" t="s">
        <v>4626</v>
      </c>
      <c r="B727" s="36" t="s">
        <v>4627</v>
      </c>
      <c r="C727" s="37" t="s">
        <v>1329</v>
      </c>
      <c r="D727" s="38" t="s">
        <v>3133</v>
      </c>
    </row>
    <row r="728" spans="1:4" ht="31.5" customHeight="1" x14ac:dyDescent="0.25">
      <c r="A728" s="36" t="s">
        <v>4628</v>
      </c>
      <c r="B728" s="36" t="s">
        <v>4629</v>
      </c>
      <c r="C728" s="37" t="s">
        <v>1329</v>
      </c>
      <c r="D728" s="38" t="s">
        <v>3134</v>
      </c>
    </row>
    <row r="729" spans="1:4" ht="31.5" customHeight="1" x14ac:dyDescent="0.25">
      <c r="A729" s="36" t="s">
        <v>4630</v>
      </c>
      <c r="B729" s="36" t="s">
        <v>4631</v>
      </c>
      <c r="C729" s="37" t="s">
        <v>1645</v>
      </c>
      <c r="D729" s="38" t="s">
        <v>3135</v>
      </c>
    </row>
    <row r="730" spans="1:4" ht="47.25" customHeight="1" x14ac:dyDescent="0.25">
      <c r="A730" s="36" t="s">
        <v>4632</v>
      </c>
      <c r="B730" s="36" t="s">
        <v>4633</v>
      </c>
      <c r="C730" s="37" t="s">
        <v>4634</v>
      </c>
      <c r="D730" s="38" t="s">
        <v>3136</v>
      </c>
    </row>
    <row r="731" spans="1:4" ht="31.5" customHeight="1" x14ac:dyDescent="0.25">
      <c r="A731" s="36" t="s">
        <v>4635</v>
      </c>
      <c r="B731" s="36" t="s">
        <v>4636</v>
      </c>
      <c r="C731" s="37" t="s">
        <v>3753</v>
      </c>
      <c r="D731" s="38" t="s">
        <v>3137</v>
      </c>
    </row>
    <row r="732" spans="1:4" ht="31.5" customHeight="1" x14ac:dyDescent="0.25">
      <c r="A732" s="36" t="s">
        <v>4637</v>
      </c>
      <c r="B732" s="36" t="s">
        <v>4638</v>
      </c>
      <c r="C732" s="37" t="s">
        <v>3753</v>
      </c>
      <c r="D732" s="38" t="s">
        <v>3138</v>
      </c>
    </row>
    <row r="733" spans="1:4" ht="47.25" customHeight="1" x14ac:dyDescent="0.25">
      <c r="A733" s="36" t="s">
        <v>4639</v>
      </c>
      <c r="B733" s="36" t="s">
        <v>4640</v>
      </c>
      <c r="C733" s="37" t="s">
        <v>1395</v>
      </c>
      <c r="D733" s="38" t="s">
        <v>3139</v>
      </c>
    </row>
    <row r="734" spans="1:4" ht="31.5" customHeight="1" x14ac:dyDescent="0.25">
      <c r="A734" s="36" t="s">
        <v>4641</v>
      </c>
      <c r="B734" s="36" t="s">
        <v>4642</v>
      </c>
      <c r="C734" s="37" t="s">
        <v>3773</v>
      </c>
      <c r="D734" s="38" t="s">
        <v>3140</v>
      </c>
    </row>
    <row r="735" spans="1:4" ht="31.5" customHeight="1" x14ac:dyDescent="0.25">
      <c r="A735" s="36" t="s">
        <v>4643</v>
      </c>
      <c r="B735" s="36" t="s">
        <v>4644</v>
      </c>
      <c r="C735" s="37" t="s">
        <v>679</v>
      </c>
      <c r="D735" s="38" t="s">
        <v>3141</v>
      </c>
    </row>
    <row r="736" spans="1:4" ht="31.5" customHeight="1" x14ac:dyDescent="0.25">
      <c r="A736" s="36" t="s">
        <v>4645</v>
      </c>
      <c r="B736" s="36" t="s">
        <v>4646</v>
      </c>
      <c r="C736" s="37" t="s">
        <v>4647</v>
      </c>
      <c r="D736" s="38" t="s">
        <v>3142</v>
      </c>
    </row>
    <row r="737" spans="1:4" ht="31.5" customHeight="1" x14ac:dyDescent="0.25">
      <c r="A737" s="36" t="s">
        <v>4648</v>
      </c>
      <c r="B737" s="36" t="s">
        <v>4649</v>
      </c>
      <c r="C737" s="37" t="s">
        <v>4650</v>
      </c>
      <c r="D737" s="38" t="s">
        <v>3143</v>
      </c>
    </row>
    <row r="738" spans="1:4" ht="47.25" customHeight="1" x14ac:dyDescent="0.25">
      <c r="A738" s="36" t="s">
        <v>4651</v>
      </c>
      <c r="B738" s="36" t="s">
        <v>4652</v>
      </c>
      <c r="C738" s="37" t="s">
        <v>4653</v>
      </c>
      <c r="D738" s="38" t="s">
        <v>3144</v>
      </c>
    </row>
    <row r="739" spans="1:4" ht="31.5" customHeight="1" x14ac:dyDescent="0.25">
      <c r="A739" s="36" t="s">
        <v>4654</v>
      </c>
      <c r="B739" s="36" t="s">
        <v>4655</v>
      </c>
      <c r="C739" s="37" t="s">
        <v>3694</v>
      </c>
      <c r="D739" s="38" t="s">
        <v>3145</v>
      </c>
    </row>
    <row r="740" spans="1:4" ht="31.5" customHeight="1" x14ac:dyDescent="0.25">
      <c r="A740" s="36" t="s">
        <v>4656</v>
      </c>
      <c r="B740" s="36" t="s">
        <v>4657</v>
      </c>
      <c r="C740" s="37" t="s">
        <v>3694</v>
      </c>
      <c r="D740" s="38" t="s">
        <v>3146</v>
      </c>
    </row>
    <row r="741" spans="1:4" ht="31.5" customHeight="1" x14ac:dyDescent="0.25">
      <c r="A741" s="36" t="s">
        <v>4658</v>
      </c>
      <c r="B741" s="36" t="s">
        <v>4659</v>
      </c>
      <c r="C741" s="37" t="s">
        <v>501</v>
      </c>
      <c r="D741" s="38" t="s">
        <v>3147</v>
      </c>
    </row>
    <row r="742" spans="1:4" ht="47.25" customHeight="1" x14ac:dyDescent="0.25">
      <c r="A742" s="36" t="s">
        <v>4660</v>
      </c>
      <c r="B742" s="36" t="s">
        <v>4661</v>
      </c>
      <c r="C742" s="37" t="s">
        <v>4662</v>
      </c>
      <c r="D742" s="38" t="s">
        <v>3148</v>
      </c>
    </row>
    <row r="743" spans="1:4" ht="31.5" customHeight="1" x14ac:dyDescent="0.25">
      <c r="A743" s="36" t="s">
        <v>4663</v>
      </c>
      <c r="B743" s="36" t="s">
        <v>4664</v>
      </c>
      <c r="C743" s="37" t="s">
        <v>3884</v>
      </c>
      <c r="D743" s="38" t="s">
        <v>3149</v>
      </c>
    </row>
    <row r="744" spans="1:4" ht="63" customHeight="1" x14ac:dyDescent="0.25">
      <c r="A744" s="36" t="s">
        <v>4665</v>
      </c>
      <c r="B744" s="36" t="s">
        <v>4666</v>
      </c>
      <c r="C744" s="37" t="s">
        <v>615</v>
      </c>
      <c r="D744" s="38" t="s">
        <v>3150</v>
      </c>
    </row>
    <row r="745" spans="1:4" ht="31.5" customHeight="1" x14ac:dyDescent="0.25">
      <c r="A745" s="36" t="s">
        <v>4667</v>
      </c>
      <c r="B745" s="36" t="s">
        <v>4668</v>
      </c>
      <c r="C745" s="37" t="s">
        <v>1102</v>
      </c>
      <c r="D745" s="38" t="s">
        <v>3151</v>
      </c>
    </row>
    <row r="746" spans="1:4" ht="63" customHeight="1" x14ac:dyDescent="0.25">
      <c r="A746" s="36" t="s">
        <v>4669</v>
      </c>
      <c r="B746" s="36" t="s">
        <v>4670</v>
      </c>
      <c r="C746" s="37" t="s">
        <v>3792</v>
      </c>
      <c r="D746" s="38" t="s">
        <v>3152</v>
      </c>
    </row>
    <row r="747" spans="1:4" ht="31.5" customHeight="1" x14ac:dyDescent="0.25">
      <c r="A747" s="36" t="s">
        <v>4671</v>
      </c>
      <c r="B747" s="36" t="s">
        <v>4672</v>
      </c>
      <c r="C747" s="37" t="s">
        <v>1514</v>
      </c>
      <c r="D747" s="38" t="s">
        <v>3153</v>
      </c>
    </row>
    <row r="748" spans="1:4" ht="31.5" customHeight="1" x14ac:dyDescent="0.25">
      <c r="A748" s="36" t="s">
        <v>4673</v>
      </c>
      <c r="B748" s="36" t="s">
        <v>4674</v>
      </c>
      <c r="C748" s="37" t="s">
        <v>1315</v>
      </c>
      <c r="D748" s="38" t="s">
        <v>3154</v>
      </c>
    </row>
    <row r="749" spans="1:4" ht="47.25" customHeight="1" x14ac:dyDescent="0.25">
      <c r="A749" s="36" t="s">
        <v>4675</v>
      </c>
      <c r="B749" s="36" t="s">
        <v>4676</v>
      </c>
      <c r="C749" s="37" t="s">
        <v>3661</v>
      </c>
      <c r="D749" s="38" t="s">
        <v>3155</v>
      </c>
    </row>
    <row r="750" spans="1:4" ht="47.25" customHeight="1" x14ac:dyDescent="0.25">
      <c r="A750" s="36" t="s">
        <v>4677</v>
      </c>
      <c r="B750" s="36" t="s">
        <v>4678</v>
      </c>
      <c r="C750" s="37" t="s">
        <v>99</v>
      </c>
      <c r="D750" s="38" t="s">
        <v>3156</v>
      </c>
    </row>
    <row r="751" spans="1:4" ht="47.25" customHeight="1" x14ac:dyDescent="0.25">
      <c r="A751" s="36" t="s">
        <v>4679</v>
      </c>
      <c r="B751" s="36" t="s">
        <v>4680</v>
      </c>
      <c r="C751" s="37" t="s">
        <v>934</v>
      </c>
      <c r="D751" s="38" t="s">
        <v>3157</v>
      </c>
    </row>
    <row r="752" spans="1:4" ht="31.5" customHeight="1" x14ac:dyDescent="0.25">
      <c r="A752" s="36" t="s">
        <v>4681</v>
      </c>
      <c r="B752" s="36" t="s">
        <v>4682</v>
      </c>
      <c r="C752" s="37" t="s">
        <v>4683</v>
      </c>
      <c r="D752" s="38" t="s">
        <v>3158</v>
      </c>
    </row>
    <row r="753" spans="1:4" ht="47.25" customHeight="1" x14ac:dyDescent="0.25">
      <c r="A753" s="36" t="s">
        <v>4684</v>
      </c>
      <c r="B753" s="36" t="s">
        <v>4685</v>
      </c>
      <c r="C753" s="37" t="s">
        <v>1463</v>
      </c>
      <c r="D753" s="38" t="s">
        <v>3159</v>
      </c>
    </row>
    <row r="754" spans="1:4" ht="31.5" customHeight="1" x14ac:dyDescent="0.25">
      <c r="A754" s="36" t="s">
        <v>4686</v>
      </c>
      <c r="B754" s="36" t="s">
        <v>4687</v>
      </c>
      <c r="C754" s="37" t="s">
        <v>3730</v>
      </c>
      <c r="D754" s="38" t="s">
        <v>3160</v>
      </c>
    </row>
    <row r="755" spans="1:4" ht="31.5" customHeight="1" x14ac:dyDescent="0.25">
      <c r="A755" s="36" t="s">
        <v>4688</v>
      </c>
      <c r="B755" s="36" t="s">
        <v>4689</v>
      </c>
      <c r="C755" s="37" t="s">
        <v>4690</v>
      </c>
      <c r="D755" s="38" t="s">
        <v>3161</v>
      </c>
    </row>
    <row r="756" spans="1:4" ht="47.25" customHeight="1" x14ac:dyDescent="0.25">
      <c r="A756" s="36" t="s">
        <v>4691</v>
      </c>
      <c r="B756" s="36" t="s">
        <v>4692</v>
      </c>
      <c r="C756" s="37" t="s">
        <v>4693</v>
      </c>
      <c r="D756" s="38" t="s">
        <v>3162</v>
      </c>
    </row>
    <row r="757" spans="1:4" ht="31.5" customHeight="1" x14ac:dyDescent="0.25">
      <c r="A757" s="36" t="s">
        <v>4694</v>
      </c>
      <c r="B757" s="36" t="s">
        <v>4695</v>
      </c>
      <c r="C757" s="37" t="s">
        <v>1001</v>
      </c>
      <c r="D757" s="38" t="s">
        <v>3163</v>
      </c>
    </row>
    <row r="758" spans="1:4" ht="63" customHeight="1" x14ac:dyDescent="0.25">
      <c r="A758" s="36" t="s">
        <v>4696</v>
      </c>
      <c r="B758" s="36" t="s">
        <v>4697</v>
      </c>
      <c r="C758" s="37" t="s">
        <v>1307</v>
      </c>
      <c r="D758" s="38" t="s">
        <v>3164</v>
      </c>
    </row>
    <row r="759" spans="1:4" ht="47.25" customHeight="1" x14ac:dyDescent="0.25">
      <c r="A759" s="36" t="s">
        <v>4698</v>
      </c>
      <c r="B759" s="36" t="s">
        <v>4699</v>
      </c>
      <c r="C759" s="37" t="s">
        <v>4700</v>
      </c>
      <c r="D759" s="38" t="s">
        <v>3165</v>
      </c>
    </row>
    <row r="760" spans="1:4" ht="47.25" customHeight="1" x14ac:dyDescent="0.25">
      <c r="A760" s="36" t="s">
        <v>4701</v>
      </c>
      <c r="B760" s="36" t="s">
        <v>4702</v>
      </c>
      <c r="C760" s="37" t="s">
        <v>4143</v>
      </c>
      <c r="D760" s="38" t="s">
        <v>3166</v>
      </c>
    </row>
    <row r="761" spans="1:4" ht="47.25" customHeight="1" x14ac:dyDescent="0.25">
      <c r="A761" s="36" t="s">
        <v>4703</v>
      </c>
      <c r="B761" s="36" t="s">
        <v>4704</v>
      </c>
      <c r="C761" s="37" t="s">
        <v>2261</v>
      </c>
      <c r="D761" s="38" t="s">
        <v>3167</v>
      </c>
    </row>
    <row r="762" spans="1:4" ht="31.5" customHeight="1" x14ac:dyDescent="0.25">
      <c r="A762" s="36" t="s">
        <v>4705</v>
      </c>
      <c r="B762" s="36" t="s">
        <v>4706</v>
      </c>
      <c r="C762" s="37" t="s">
        <v>1365</v>
      </c>
      <c r="D762" s="38" t="s">
        <v>3168</v>
      </c>
    </row>
    <row r="763" spans="1:4" ht="47.25" customHeight="1" x14ac:dyDescent="0.25">
      <c r="A763" s="36" t="s">
        <v>4707</v>
      </c>
      <c r="B763" s="36" t="s">
        <v>4708</v>
      </c>
      <c r="C763" s="37" t="s">
        <v>1684</v>
      </c>
      <c r="D763" s="38" t="s">
        <v>3169</v>
      </c>
    </row>
    <row r="764" spans="1:4" ht="31.5" customHeight="1" x14ac:dyDescent="0.25">
      <c r="A764" s="36" t="s">
        <v>4709</v>
      </c>
      <c r="B764" s="36" t="s">
        <v>4710</v>
      </c>
      <c r="C764" s="37" t="s">
        <v>4711</v>
      </c>
      <c r="D764" s="38" t="s">
        <v>3170</v>
      </c>
    </row>
    <row r="765" spans="1:4" ht="31.5" customHeight="1" x14ac:dyDescent="0.25">
      <c r="A765" s="36" t="s">
        <v>4712</v>
      </c>
      <c r="B765" s="36" t="s">
        <v>4713</v>
      </c>
      <c r="C765" s="37" t="s">
        <v>366</v>
      </c>
      <c r="D765" s="38" t="s">
        <v>3171</v>
      </c>
    </row>
    <row r="766" spans="1:4" ht="47.25" customHeight="1" x14ac:dyDescent="0.25">
      <c r="A766" s="36" t="s">
        <v>4714</v>
      </c>
      <c r="B766" s="36" t="s">
        <v>4715</v>
      </c>
      <c r="C766" s="37" t="s">
        <v>1514</v>
      </c>
      <c r="D766" s="38" t="s">
        <v>3172</v>
      </c>
    </row>
    <row r="767" spans="1:4" ht="31.5" customHeight="1" x14ac:dyDescent="0.25">
      <c r="A767" s="36" t="s">
        <v>4716</v>
      </c>
      <c r="B767" s="36" t="s">
        <v>4717</v>
      </c>
      <c r="C767" s="37" t="s">
        <v>189</v>
      </c>
      <c r="D767" s="38" t="s">
        <v>3173</v>
      </c>
    </row>
    <row r="768" spans="1:4" ht="47.25" customHeight="1" x14ac:dyDescent="0.25">
      <c r="A768" s="36" t="s">
        <v>4718</v>
      </c>
      <c r="B768" s="36" t="s">
        <v>4719</v>
      </c>
      <c r="C768" s="37" t="s">
        <v>4720</v>
      </c>
      <c r="D768" s="38" t="s">
        <v>3174</v>
      </c>
    </row>
    <row r="769" spans="1:4" ht="47.25" customHeight="1" x14ac:dyDescent="0.25">
      <c r="A769" s="36" t="s">
        <v>4721</v>
      </c>
      <c r="B769" s="36" t="s">
        <v>4722</v>
      </c>
      <c r="C769" s="37" t="s">
        <v>3838</v>
      </c>
      <c r="D769" s="38" t="s">
        <v>3175</v>
      </c>
    </row>
    <row r="770" spans="1:4" ht="31.5" customHeight="1" x14ac:dyDescent="0.25">
      <c r="A770" s="36" t="s">
        <v>4723</v>
      </c>
      <c r="B770" s="36" t="s">
        <v>4724</v>
      </c>
      <c r="C770" s="37" t="s">
        <v>4725</v>
      </c>
      <c r="D770" s="38" t="s">
        <v>3176</v>
      </c>
    </row>
    <row r="771" spans="1:4" ht="63" customHeight="1" x14ac:dyDescent="0.25">
      <c r="A771" s="36" t="s">
        <v>4726</v>
      </c>
      <c r="B771" s="36" t="s">
        <v>4727</v>
      </c>
      <c r="C771" s="37" t="s">
        <v>2335</v>
      </c>
      <c r="D771" s="38" t="s">
        <v>3177</v>
      </c>
    </row>
    <row r="772" spans="1:4" ht="47.25" customHeight="1" x14ac:dyDescent="0.25">
      <c r="A772" s="36" t="s">
        <v>4728</v>
      </c>
      <c r="B772" s="36" t="s">
        <v>4729</v>
      </c>
      <c r="C772" s="37" t="s">
        <v>1315</v>
      </c>
      <c r="D772" s="38" t="s">
        <v>3178</v>
      </c>
    </row>
    <row r="773" spans="1:4" ht="31.5" customHeight="1" x14ac:dyDescent="0.25">
      <c r="A773" s="36" t="s">
        <v>4730</v>
      </c>
      <c r="B773" s="36" t="s">
        <v>4731</v>
      </c>
      <c r="C773" s="37" t="s">
        <v>4732</v>
      </c>
      <c r="D773" s="38" t="s">
        <v>3179</v>
      </c>
    </row>
    <row r="774" spans="1:4" ht="47.25" customHeight="1" x14ac:dyDescent="0.25">
      <c r="A774" s="36" t="s">
        <v>4733</v>
      </c>
      <c r="B774" s="36" t="s">
        <v>4734</v>
      </c>
      <c r="C774" s="37" t="s">
        <v>1463</v>
      </c>
      <c r="D774" s="38" t="s">
        <v>3180</v>
      </c>
    </row>
    <row r="775" spans="1:4" ht="47.25" customHeight="1" x14ac:dyDescent="0.25">
      <c r="A775" s="36" t="s">
        <v>4735</v>
      </c>
      <c r="B775" s="36" t="s">
        <v>4736</v>
      </c>
      <c r="C775" s="37" t="s">
        <v>3865</v>
      </c>
      <c r="D775" s="38" t="s">
        <v>3181</v>
      </c>
    </row>
    <row r="776" spans="1:4" ht="47.25" customHeight="1" x14ac:dyDescent="0.25">
      <c r="A776" s="36" t="s">
        <v>4737</v>
      </c>
      <c r="B776" s="36" t="s">
        <v>4738</v>
      </c>
      <c r="C776" s="37" t="s">
        <v>1463</v>
      </c>
      <c r="D776" s="38" t="s">
        <v>3182</v>
      </c>
    </row>
    <row r="777" spans="1:4" ht="63" customHeight="1" x14ac:dyDescent="0.25">
      <c r="A777" s="36" t="s">
        <v>4739</v>
      </c>
      <c r="B777" s="36" t="s">
        <v>4740</v>
      </c>
      <c r="C777" s="37" t="s">
        <v>4741</v>
      </c>
      <c r="D777" s="38" t="s">
        <v>3183</v>
      </c>
    </row>
    <row r="778" spans="1:4" ht="63" customHeight="1" x14ac:dyDescent="0.25">
      <c r="A778" s="36" t="s">
        <v>4742</v>
      </c>
      <c r="B778" s="36" t="s">
        <v>4743</v>
      </c>
      <c r="C778" s="37" t="s">
        <v>4744</v>
      </c>
      <c r="D778" s="38" t="s">
        <v>3184</v>
      </c>
    </row>
    <row r="779" spans="1:4" ht="31.5" customHeight="1" x14ac:dyDescent="0.25">
      <c r="A779" s="36" t="s">
        <v>4745</v>
      </c>
      <c r="B779" s="36" t="s">
        <v>4746</v>
      </c>
      <c r="C779" s="37" t="s">
        <v>605</v>
      </c>
      <c r="D779" s="38" t="s">
        <v>3185</v>
      </c>
    </row>
    <row r="780" spans="1:4" ht="31.5" customHeight="1" x14ac:dyDescent="0.25">
      <c r="A780" s="36" t="s">
        <v>4747</v>
      </c>
      <c r="B780" s="36" t="s">
        <v>4748</v>
      </c>
      <c r="C780" s="37" t="s">
        <v>366</v>
      </c>
      <c r="D780" s="38" t="s">
        <v>3186</v>
      </c>
    </row>
    <row r="781" spans="1:4" ht="47.25" customHeight="1" x14ac:dyDescent="0.25">
      <c r="A781" s="36" t="s">
        <v>4749</v>
      </c>
      <c r="B781" s="36" t="s">
        <v>4750</v>
      </c>
      <c r="C781" s="37" t="s">
        <v>2306</v>
      </c>
      <c r="D781" s="38" t="s">
        <v>3187</v>
      </c>
    </row>
    <row r="782" spans="1:4" ht="47.25" customHeight="1" x14ac:dyDescent="0.25">
      <c r="A782" s="36" t="s">
        <v>4751</v>
      </c>
      <c r="B782" s="36" t="s">
        <v>4752</v>
      </c>
      <c r="C782" s="37" t="s">
        <v>4753</v>
      </c>
      <c r="D782" s="38" t="s">
        <v>3188</v>
      </c>
    </row>
    <row r="783" spans="1:4" ht="31.5" customHeight="1" x14ac:dyDescent="0.25">
      <c r="A783" s="36" t="s">
        <v>4754</v>
      </c>
      <c r="B783" s="36" t="s">
        <v>4755</v>
      </c>
      <c r="C783" s="37" t="s">
        <v>3697</v>
      </c>
      <c r="D783" s="38" t="s">
        <v>3189</v>
      </c>
    </row>
    <row r="784" spans="1:4" ht="47.25" customHeight="1" x14ac:dyDescent="0.25">
      <c r="A784" s="36" t="s">
        <v>4756</v>
      </c>
      <c r="B784" s="36" t="s">
        <v>4757</v>
      </c>
      <c r="C784" s="37" t="s">
        <v>4758</v>
      </c>
      <c r="D784" s="38" t="s">
        <v>3190</v>
      </c>
    </row>
    <row r="785" spans="1:4" ht="31.5" customHeight="1" x14ac:dyDescent="0.25">
      <c r="A785" s="36" t="s">
        <v>4759</v>
      </c>
      <c r="B785" s="36" t="s">
        <v>4760</v>
      </c>
      <c r="C785" s="37" t="s">
        <v>1365</v>
      </c>
      <c r="D785" s="38" t="s">
        <v>3191</v>
      </c>
    </row>
    <row r="786" spans="1:4" ht="47.25" customHeight="1" x14ac:dyDescent="0.25">
      <c r="A786" s="36" t="s">
        <v>4761</v>
      </c>
      <c r="B786" s="36" t="s">
        <v>4762</v>
      </c>
      <c r="C786" s="37" t="s">
        <v>383</v>
      </c>
      <c r="D786" s="38" t="s">
        <v>3192</v>
      </c>
    </row>
    <row r="787" spans="1:4" ht="47.25" customHeight="1" x14ac:dyDescent="0.25">
      <c r="A787" s="36" t="s">
        <v>4763</v>
      </c>
      <c r="B787" s="36" t="s">
        <v>4764</v>
      </c>
      <c r="C787" s="37" t="s">
        <v>3952</v>
      </c>
      <c r="D787" s="38" t="s">
        <v>3193</v>
      </c>
    </row>
    <row r="788" spans="1:4" ht="47.25" customHeight="1" x14ac:dyDescent="0.25">
      <c r="A788" s="36" t="s">
        <v>4765</v>
      </c>
      <c r="B788" s="36" t="s">
        <v>4766</v>
      </c>
      <c r="C788" s="37" t="s">
        <v>811</v>
      </c>
      <c r="D788" s="38" t="s">
        <v>3194</v>
      </c>
    </row>
    <row r="789" spans="1:4" ht="31.5" customHeight="1" x14ac:dyDescent="0.25">
      <c r="A789" s="36" t="s">
        <v>4767</v>
      </c>
      <c r="B789" s="36" t="s">
        <v>4768</v>
      </c>
      <c r="C789" s="37" t="s">
        <v>4769</v>
      </c>
      <c r="D789" s="38" t="s">
        <v>3195</v>
      </c>
    </row>
    <row r="790" spans="1:4" ht="47.25" customHeight="1" x14ac:dyDescent="0.25">
      <c r="A790" s="36" t="s">
        <v>4770</v>
      </c>
      <c r="B790" s="36" t="s">
        <v>4771</v>
      </c>
      <c r="C790" s="37" t="s">
        <v>416</v>
      </c>
      <c r="D790" s="38" t="s">
        <v>3196</v>
      </c>
    </row>
    <row r="791" spans="1:4" ht="31.5" customHeight="1" x14ac:dyDescent="0.25">
      <c r="A791" s="36" t="s">
        <v>4772</v>
      </c>
      <c r="B791" s="36" t="s">
        <v>4773</v>
      </c>
      <c r="C791" s="37" t="s">
        <v>3935</v>
      </c>
      <c r="D791" s="38" t="s">
        <v>3197</v>
      </c>
    </row>
    <row r="792" spans="1:4" ht="47.25" customHeight="1" x14ac:dyDescent="0.25">
      <c r="A792" s="36" t="s">
        <v>4774</v>
      </c>
      <c r="B792" s="36" t="s">
        <v>4775</v>
      </c>
      <c r="C792" s="37" t="s">
        <v>944</v>
      </c>
      <c r="D792" s="38" t="s">
        <v>3198</v>
      </c>
    </row>
    <row r="793" spans="1:4" ht="47.25" customHeight="1" x14ac:dyDescent="0.25">
      <c r="A793" s="36" t="s">
        <v>4776</v>
      </c>
      <c r="B793" s="36" t="s">
        <v>4777</v>
      </c>
      <c r="C793" s="37" t="s">
        <v>3631</v>
      </c>
      <c r="D793" s="38" t="s">
        <v>3199</v>
      </c>
    </row>
    <row r="794" spans="1:4" ht="63" customHeight="1" x14ac:dyDescent="0.25">
      <c r="A794" s="36" t="s">
        <v>4778</v>
      </c>
      <c r="B794" s="36" t="s">
        <v>4779</v>
      </c>
      <c r="C794" s="37" t="s">
        <v>1093</v>
      </c>
      <c r="D794" s="38" t="s">
        <v>3200</v>
      </c>
    </row>
    <row r="795" spans="1:4" ht="63" customHeight="1" x14ac:dyDescent="0.25">
      <c r="A795" s="36" t="s">
        <v>4780</v>
      </c>
      <c r="B795" s="36" t="s">
        <v>4781</v>
      </c>
      <c r="C795" s="37" t="s">
        <v>565</v>
      </c>
      <c r="D795" s="38" t="s">
        <v>3201</v>
      </c>
    </row>
    <row r="796" spans="1:4" ht="47.25" customHeight="1" x14ac:dyDescent="0.25">
      <c r="A796" s="36" t="s">
        <v>4782</v>
      </c>
      <c r="B796" s="36" t="s">
        <v>4783</v>
      </c>
      <c r="C796" s="37" t="s">
        <v>644</v>
      </c>
      <c r="D796" s="38" t="s">
        <v>3202</v>
      </c>
    </row>
    <row r="797" spans="1:4" ht="78.75" customHeight="1" x14ac:dyDescent="0.25">
      <c r="A797" s="36" t="s">
        <v>4784</v>
      </c>
      <c r="B797" s="36" t="s">
        <v>4785</v>
      </c>
      <c r="C797" s="37" t="s">
        <v>3938</v>
      </c>
      <c r="D797" s="38" t="s">
        <v>3203</v>
      </c>
    </row>
    <row r="798" spans="1:4" ht="63" customHeight="1" x14ac:dyDescent="0.25">
      <c r="A798" s="36" t="s">
        <v>4786</v>
      </c>
      <c r="B798" s="36" t="s">
        <v>4787</v>
      </c>
      <c r="C798" s="37" t="s">
        <v>345</v>
      </c>
      <c r="D798" s="38" t="s">
        <v>3204</v>
      </c>
    </row>
    <row r="799" spans="1:4" ht="31.5" customHeight="1" x14ac:dyDescent="0.25">
      <c r="A799" s="36" t="s">
        <v>4788</v>
      </c>
      <c r="B799" s="36" t="s">
        <v>4789</v>
      </c>
      <c r="C799" s="37" t="s">
        <v>496</v>
      </c>
      <c r="D799" s="38" t="s">
        <v>3205</v>
      </c>
    </row>
    <row r="800" spans="1:4" ht="31.5" customHeight="1" x14ac:dyDescent="0.25">
      <c r="A800" s="36" t="s">
        <v>4790</v>
      </c>
      <c r="B800" s="36" t="s">
        <v>4791</v>
      </c>
      <c r="C800" s="37" t="s">
        <v>1684</v>
      </c>
      <c r="D800" s="38" t="s">
        <v>3206</v>
      </c>
    </row>
    <row r="801" spans="1:4" ht="47.25" customHeight="1" x14ac:dyDescent="0.25">
      <c r="A801" s="36" t="s">
        <v>4792</v>
      </c>
      <c r="B801" s="36" t="s">
        <v>4793</v>
      </c>
      <c r="C801" s="37" t="s">
        <v>620</v>
      </c>
      <c r="D801" s="38" t="s">
        <v>3207</v>
      </c>
    </row>
    <row r="802" spans="1:4" ht="31.5" customHeight="1" x14ac:dyDescent="0.25">
      <c r="A802" s="36" t="s">
        <v>4794</v>
      </c>
      <c r="B802" s="36" t="s">
        <v>4795</v>
      </c>
      <c r="C802" s="37" t="s">
        <v>911</v>
      </c>
      <c r="D802" s="38" t="s">
        <v>3208</v>
      </c>
    </row>
    <row r="803" spans="1:4" ht="47.25" customHeight="1" x14ac:dyDescent="0.25">
      <c r="A803" s="36" t="s">
        <v>4796</v>
      </c>
      <c r="B803" s="36" t="s">
        <v>4797</v>
      </c>
      <c r="C803" s="37" t="s">
        <v>1093</v>
      </c>
      <c r="D803" s="38" t="s">
        <v>3209</v>
      </c>
    </row>
    <row r="804" spans="1:4" ht="47.25" customHeight="1" x14ac:dyDescent="0.25">
      <c r="A804" s="36" t="s">
        <v>4798</v>
      </c>
      <c r="B804" s="36" t="s">
        <v>4799</v>
      </c>
      <c r="C804" s="37" t="s">
        <v>3782</v>
      </c>
      <c r="D804" s="38" t="s">
        <v>3210</v>
      </c>
    </row>
    <row r="805" spans="1:4" ht="47.25" customHeight="1" x14ac:dyDescent="0.25">
      <c r="A805" s="36" t="s">
        <v>4800</v>
      </c>
      <c r="B805" s="36" t="s">
        <v>4801</v>
      </c>
      <c r="C805" s="37" t="s">
        <v>3773</v>
      </c>
      <c r="D805" s="38" t="s">
        <v>3211</v>
      </c>
    </row>
    <row r="806" spans="1:4" ht="47.25" customHeight="1" x14ac:dyDescent="0.25">
      <c r="A806" s="36" t="s">
        <v>4802</v>
      </c>
      <c r="B806" s="36" t="s">
        <v>4803</v>
      </c>
      <c r="C806" s="37" t="s">
        <v>311</v>
      </c>
      <c r="D806" s="38" t="s">
        <v>3212</v>
      </c>
    </row>
    <row r="807" spans="1:4" ht="63" customHeight="1" x14ac:dyDescent="0.25">
      <c r="A807" s="36" t="s">
        <v>4804</v>
      </c>
      <c r="B807" s="36" t="s">
        <v>4805</v>
      </c>
      <c r="C807" s="37" t="s">
        <v>3938</v>
      </c>
      <c r="D807" s="38" t="s">
        <v>3213</v>
      </c>
    </row>
    <row r="808" spans="1:4" ht="47.25" customHeight="1" x14ac:dyDescent="0.25">
      <c r="A808" s="36" t="s">
        <v>4806</v>
      </c>
      <c r="B808" s="36" t="s">
        <v>4807</v>
      </c>
      <c r="C808" s="37" t="s">
        <v>4808</v>
      </c>
      <c r="D808" s="38" t="s">
        <v>3214</v>
      </c>
    </row>
    <row r="809" spans="1:4" ht="47.25" customHeight="1" x14ac:dyDescent="0.25">
      <c r="A809" s="36" t="s">
        <v>4809</v>
      </c>
      <c r="B809" s="36" t="s">
        <v>4810</v>
      </c>
      <c r="C809" s="37" t="s">
        <v>4811</v>
      </c>
      <c r="D809" s="38" t="s">
        <v>3215</v>
      </c>
    </row>
    <row r="810" spans="1:4" ht="47.25" customHeight="1" x14ac:dyDescent="0.25">
      <c r="A810" s="36" t="s">
        <v>4812</v>
      </c>
      <c r="B810" s="36" t="s">
        <v>4813</v>
      </c>
      <c r="C810" s="37" t="s">
        <v>3773</v>
      </c>
      <c r="D810" s="38" t="s">
        <v>3216</v>
      </c>
    </row>
    <row r="811" spans="1:4" ht="47.25" customHeight="1" x14ac:dyDescent="0.25">
      <c r="A811" s="36" t="s">
        <v>4814</v>
      </c>
      <c r="B811" s="36" t="s">
        <v>4815</v>
      </c>
      <c r="C811" s="37" t="s">
        <v>99</v>
      </c>
      <c r="D811" s="38" t="s">
        <v>3217</v>
      </c>
    </row>
    <row r="812" spans="1:4" ht="47.25" customHeight="1" x14ac:dyDescent="0.25">
      <c r="A812" s="36" t="s">
        <v>4816</v>
      </c>
      <c r="B812" s="36" t="s">
        <v>4817</v>
      </c>
      <c r="C812" s="37" t="s">
        <v>4818</v>
      </c>
      <c r="D812" s="38" t="s">
        <v>3218</v>
      </c>
    </row>
    <row r="813" spans="1:4" ht="63" customHeight="1" x14ac:dyDescent="0.25">
      <c r="A813" s="36" t="s">
        <v>4819</v>
      </c>
      <c r="B813" s="36" t="s">
        <v>4820</v>
      </c>
      <c r="C813" s="37" t="s">
        <v>773</v>
      </c>
      <c r="D813" s="38" t="s">
        <v>3219</v>
      </c>
    </row>
    <row r="814" spans="1:4" ht="31.5" customHeight="1" x14ac:dyDescent="0.25">
      <c r="A814" s="36" t="s">
        <v>4821</v>
      </c>
      <c r="B814" s="36" t="s">
        <v>4822</v>
      </c>
      <c r="C814" s="37" t="s">
        <v>1315</v>
      </c>
      <c r="D814" s="38" t="s">
        <v>3220</v>
      </c>
    </row>
    <row r="815" spans="1:4" ht="78.75" customHeight="1" x14ac:dyDescent="0.25">
      <c r="A815" s="36" t="s">
        <v>4823</v>
      </c>
      <c r="B815" s="36" t="s">
        <v>4824</v>
      </c>
      <c r="C815" s="37" t="s">
        <v>4825</v>
      </c>
      <c r="D815" s="38" t="s">
        <v>3221</v>
      </c>
    </row>
    <row r="816" spans="1:4" ht="63" customHeight="1" x14ac:dyDescent="0.25">
      <c r="A816" s="36" t="s">
        <v>4826</v>
      </c>
      <c r="B816" s="36" t="s">
        <v>4827</v>
      </c>
      <c r="C816" s="37" t="s">
        <v>350</v>
      </c>
      <c r="D816" s="38" t="s">
        <v>3222</v>
      </c>
    </row>
    <row r="817" spans="1:4" ht="78.75" customHeight="1" x14ac:dyDescent="0.25">
      <c r="A817" s="36" t="s">
        <v>4828</v>
      </c>
      <c r="B817" s="36" t="s">
        <v>4829</v>
      </c>
      <c r="C817" s="37" t="s">
        <v>214</v>
      </c>
      <c r="D817" s="38" t="s">
        <v>3223</v>
      </c>
    </row>
    <row r="818" spans="1:4" ht="31.5" customHeight="1" x14ac:dyDescent="0.25">
      <c r="A818" s="36" t="s">
        <v>4830</v>
      </c>
      <c r="B818" s="36" t="s">
        <v>4831</v>
      </c>
      <c r="C818" s="37" t="s">
        <v>4832</v>
      </c>
      <c r="D818" s="38" t="s">
        <v>3224</v>
      </c>
    </row>
    <row r="819" spans="1:4" ht="31.5" customHeight="1" x14ac:dyDescent="0.25">
      <c r="A819" s="36" t="s">
        <v>4833</v>
      </c>
      <c r="B819" s="36" t="s">
        <v>4834</v>
      </c>
      <c r="C819" s="37" t="s">
        <v>1315</v>
      </c>
      <c r="D819" s="38" t="s">
        <v>3225</v>
      </c>
    </row>
    <row r="820" spans="1:4" ht="47.25" customHeight="1" x14ac:dyDescent="0.25">
      <c r="A820" s="36" t="s">
        <v>4835</v>
      </c>
      <c r="B820" s="36" t="s">
        <v>4836</v>
      </c>
      <c r="C820" s="37" t="s">
        <v>1514</v>
      </c>
      <c r="D820" s="38" t="s">
        <v>3226</v>
      </c>
    </row>
    <row r="821" spans="1:4" ht="63" customHeight="1" x14ac:dyDescent="0.25">
      <c r="A821" s="36" t="s">
        <v>4837</v>
      </c>
      <c r="B821" s="36" t="s">
        <v>4838</v>
      </c>
      <c r="C821" s="37" t="s">
        <v>4839</v>
      </c>
      <c r="D821" s="38" t="s">
        <v>3227</v>
      </c>
    </row>
    <row r="822" spans="1:4" ht="31.5" customHeight="1" x14ac:dyDescent="0.25">
      <c r="A822" s="36" t="s">
        <v>4840</v>
      </c>
      <c r="B822" s="36" t="s">
        <v>4841</v>
      </c>
      <c r="C822" s="37" t="s">
        <v>4208</v>
      </c>
      <c r="D822" s="38" t="s">
        <v>3228</v>
      </c>
    </row>
    <row r="823" spans="1:4" ht="31.5" customHeight="1" x14ac:dyDescent="0.25">
      <c r="A823" s="36" t="s">
        <v>4842</v>
      </c>
      <c r="B823" s="36" t="s">
        <v>4843</v>
      </c>
      <c r="C823" s="37" t="s">
        <v>1315</v>
      </c>
      <c r="D823" s="38" t="s">
        <v>3229</v>
      </c>
    </row>
    <row r="824" spans="1:4" x14ac:dyDescent="0.25">
      <c r="A824" s="36" t="s">
        <v>4844</v>
      </c>
      <c r="B824" s="36" t="s">
        <v>4845</v>
      </c>
      <c r="C824" s="37" t="s">
        <v>2038</v>
      </c>
      <c r="D824" s="38" t="s">
        <v>3230</v>
      </c>
    </row>
    <row r="825" spans="1:4" ht="31.5" customHeight="1" x14ac:dyDescent="0.25">
      <c r="A825" s="36" t="s">
        <v>4846</v>
      </c>
      <c r="B825" s="36" t="s">
        <v>4847</v>
      </c>
      <c r="C825" s="37" t="s">
        <v>4208</v>
      </c>
      <c r="D825" s="38" t="s">
        <v>3231</v>
      </c>
    </row>
    <row r="826" spans="1:4" ht="63" customHeight="1" x14ac:dyDescent="0.25">
      <c r="A826" s="36" t="s">
        <v>4848</v>
      </c>
      <c r="B826" s="36" t="s">
        <v>4849</v>
      </c>
      <c r="C826" s="37" t="s">
        <v>87</v>
      </c>
      <c r="D826" s="38" t="s">
        <v>3232</v>
      </c>
    </row>
    <row r="827" spans="1:4" ht="78.75" customHeight="1" x14ac:dyDescent="0.25">
      <c r="A827" s="36" t="s">
        <v>4850</v>
      </c>
      <c r="B827" s="36" t="s">
        <v>4851</v>
      </c>
      <c r="C827" s="37" t="s">
        <v>4808</v>
      </c>
      <c r="D827" s="38" t="s">
        <v>3233</v>
      </c>
    </row>
    <row r="828" spans="1:4" ht="47.25" customHeight="1" x14ac:dyDescent="0.25">
      <c r="A828" s="36" t="s">
        <v>4852</v>
      </c>
      <c r="B828" s="36" t="s">
        <v>4853</v>
      </c>
      <c r="C828" s="37" t="s">
        <v>4854</v>
      </c>
      <c r="D828" s="38" t="s">
        <v>3234</v>
      </c>
    </row>
    <row r="829" spans="1:4" ht="31.5" customHeight="1" x14ac:dyDescent="0.25">
      <c r="A829" s="36" t="s">
        <v>4855</v>
      </c>
      <c r="B829" s="36" t="s">
        <v>4856</v>
      </c>
      <c r="C829" s="37" t="s">
        <v>4248</v>
      </c>
      <c r="D829" s="38" t="s">
        <v>3235</v>
      </c>
    </row>
    <row r="830" spans="1:4" ht="63" customHeight="1" x14ac:dyDescent="0.25">
      <c r="A830" s="36" t="s">
        <v>4857</v>
      </c>
      <c r="B830" s="36" t="s">
        <v>4858</v>
      </c>
      <c r="C830" s="37" t="s">
        <v>1468</v>
      </c>
      <c r="D830" s="38" t="s">
        <v>3236</v>
      </c>
    </row>
    <row r="831" spans="1:4" ht="47.25" customHeight="1" x14ac:dyDescent="0.25">
      <c r="A831" s="36" t="s">
        <v>4859</v>
      </c>
      <c r="B831" s="36" t="s">
        <v>4860</v>
      </c>
      <c r="C831" s="37" t="s">
        <v>4248</v>
      </c>
      <c r="D831" s="38" t="s">
        <v>3237</v>
      </c>
    </row>
    <row r="832" spans="1:4" ht="63" customHeight="1" x14ac:dyDescent="0.25">
      <c r="A832" s="36" t="s">
        <v>4861</v>
      </c>
      <c r="B832" s="36" t="s">
        <v>4862</v>
      </c>
      <c r="C832" s="37" t="s">
        <v>620</v>
      </c>
      <c r="D832" s="38" t="s">
        <v>3238</v>
      </c>
    </row>
    <row r="833" spans="1:5" ht="31.5" customHeight="1" x14ac:dyDescent="0.25">
      <c r="A833" s="36" t="s">
        <v>4863</v>
      </c>
      <c r="B833" s="36" t="s">
        <v>4864</v>
      </c>
      <c r="C833" s="37" t="s">
        <v>1286</v>
      </c>
      <c r="D833" s="38" t="s">
        <v>3239</v>
      </c>
    </row>
    <row r="834" spans="1:5" ht="31.5" customHeight="1" x14ac:dyDescent="0.25">
      <c r="A834" s="36" t="s">
        <v>4865</v>
      </c>
      <c r="B834" s="36" t="s">
        <v>4866</v>
      </c>
      <c r="C834" s="37" t="s">
        <v>4867</v>
      </c>
      <c r="D834" s="38" t="s">
        <v>3240</v>
      </c>
    </row>
    <row r="835" spans="1:5" ht="47.25" customHeight="1" x14ac:dyDescent="0.25">
      <c r="A835" s="36" t="s">
        <v>4868</v>
      </c>
      <c r="B835" s="36" t="s">
        <v>4869</v>
      </c>
      <c r="C835" s="37" t="s">
        <v>143</v>
      </c>
      <c r="D835" s="38" t="s">
        <v>3241</v>
      </c>
    </row>
    <row r="836" spans="1:5" ht="47.25" customHeight="1" x14ac:dyDescent="0.25">
      <c r="A836" s="36" t="s">
        <v>4870</v>
      </c>
      <c r="B836" s="36" t="s">
        <v>4871</v>
      </c>
      <c r="C836" s="37" t="s">
        <v>4248</v>
      </c>
      <c r="D836" s="38" t="s">
        <v>3242</v>
      </c>
    </row>
    <row r="837" spans="1:5" ht="63" customHeight="1" x14ac:dyDescent="0.25">
      <c r="A837" s="36" t="s">
        <v>4872</v>
      </c>
      <c r="B837" s="36" t="s">
        <v>4873</v>
      </c>
      <c r="C837" s="37" t="s">
        <v>4874</v>
      </c>
      <c r="D837" s="38" t="s">
        <v>3243</v>
      </c>
    </row>
    <row r="838" spans="1:5" ht="31.5" customHeight="1" x14ac:dyDescent="0.25">
      <c r="A838" s="36" t="s">
        <v>4875</v>
      </c>
      <c r="B838" s="36" t="s">
        <v>4876</v>
      </c>
      <c r="C838" s="37" t="s">
        <v>4758</v>
      </c>
      <c r="D838" s="38" t="s">
        <v>3244</v>
      </c>
    </row>
    <row r="839" spans="1:5" ht="47.25" customHeight="1" x14ac:dyDescent="0.25">
      <c r="A839" s="36" t="s">
        <v>4877</v>
      </c>
      <c r="B839" s="36" t="s">
        <v>4878</v>
      </c>
      <c r="C839" s="37" t="s">
        <v>4879</v>
      </c>
      <c r="D839" s="38" t="s">
        <v>3245</v>
      </c>
    </row>
    <row r="840" spans="1:5" ht="31.5" customHeight="1" x14ac:dyDescent="0.25">
      <c r="A840" s="36" t="s">
        <v>4880</v>
      </c>
      <c r="B840" s="36" t="s">
        <v>4881</v>
      </c>
      <c r="C840" s="37" t="s">
        <v>4882</v>
      </c>
      <c r="D840" s="38" t="s">
        <v>3246</v>
      </c>
    </row>
    <row r="841" spans="1:5" ht="63" customHeight="1" x14ac:dyDescent="0.25">
      <c r="A841" s="36" t="s">
        <v>4883</v>
      </c>
      <c r="B841" s="36" t="s">
        <v>4884</v>
      </c>
      <c r="C841" s="37" t="s">
        <v>2177</v>
      </c>
      <c r="D841" s="38" t="s">
        <v>3247</v>
      </c>
    </row>
    <row r="842" spans="1:5" ht="47.25" customHeight="1" x14ac:dyDescent="0.25">
      <c r="A842" s="36" t="s">
        <v>4885</v>
      </c>
      <c r="B842" s="36" t="s">
        <v>4886</v>
      </c>
      <c r="C842" s="37" t="s">
        <v>2177</v>
      </c>
      <c r="D842" s="38" t="s">
        <v>3248</v>
      </c>
    </row>
    <row r="843" spans="1:5" ht="47.25" customHeight="1" x14ac:dyDescent="0.25">
      <c r="A843" s="36" t="s">
        <v>4887</v>
      </c>
      <c r="B843" s="36" t="s">
        <v>4888</v>
      </c>
      <c r="C843" s="37" t="s">
        <v>4889</v>
      </c>
      <c r="D843" s="38" t="s">
        <v>3249</v>
      </c>
    </row>
    <row r="844" spans="1:5" ht="31.5" customHeight="1" x14ac:dyDescent="0.25">
      <c r="A844" s="36" t="s">
        <v>4890</v>
      </c>
      <c r="B844" s="36" t="s">
        <v>4891</v>
      </c>
      <c r="C844" s="37" t="s">
        <v>1184</v>
      </c>
      <c r="D844" s="38" t="s">
        <v>3250</v>
      </c>
    </row>
    <row r="845" spans="1:5" s="28" customFormat="1" ht="31.5" customHeight="1" x14ac:dyDescent="0.25">
      <c r="A845" s="36" t="s">
        <v>4892</v>
      </c>
      <c r="B845" s="36" t="s">
        <v>4893</v>
      </c>
      <c r="C845" s="37" t="s">
        <v>4894</v>
      </c>
      <c r="D845" s="38" t="s">
        <v>3251</v>
      </c>
      <c r="E845" s="27"/>
    </row>
    <row r="846" spans="1:5" s="28" customFormat="1" ht="63" customHeight="1" x14ac:dyDescent="0.25">
      <c r="A846" s="36" t="s">
        <v>4895</v>
      </c>
      <c r="B846" s="36" t="s">
        <v>4896</v>
      </c>
      <c r="C846" s="37" t="s">
        <v>1519</v>
      </c>
      <c r="D846" s="38" t="s">
        <v>3252</v>
      </c>
      <c r="E846" s="27"/>
    </row>
    <row r="847" spans="1:5" s="28" customFormat="1" ht="31.5" customHeight="1" x14ac:dyDescent="0.25">
      <c r="A847" s="36" t="s">
        <v>4897</v>
      </c>
      <c r="B847" s="36" t="s">
        <v>4898</v>
      </c>
      <c r="C847" s="37" t="s">
        <v>782</v>
      </c>
      <c r="D847" s="38" t="s">
        <v>3253</v>
      </c>
      <c r="E847" s="27"/>
    </row>
    <row r="848" spans="1:5" s="28" customFormat="1" ht="47.25" customHeight="1" x14ac:dyDescent="0.25">
      <c r="A848" s="36" t="s">
        <v>4899</v>
      </c>
      <c r="B848" s="36" t="s">
        <v>4900</v>
      </c>
      <c r="C848" s="37" t="s">
        <v>3952</v>
      </c>
      <c r="D848" s="38" t="s">
        <v>3254</v>
      </c>
      <c r="E848" s="27"/>
    </row>
    <row r="849" spans="1:5" s="28" customFormat="1" ht="31.5" customHeight="1" x14ac:dyDescent="0.25">
      <c r="A849" s="36" t="s">
        <v>4901</v>
      </c>
      <c r="B849" s="36" t="s">
        <v>4902</v>
      </c>
      <c r="C849" s="37" t="s">
        <v>4894</v>
      </c>
      <c r="D849" s="38" t="s">
        <v>3255</v>
      </c>
      <c r="E849" s="27"/>
    </row>
    <row r="850" spans="1:5" s="28" customFormat="1" ht="31.5" customHeight="1" x14ac:dyDescent="0.25">
      <c r="A850" s="36" t="s">
        <v>4903</v>
      </c>
      <c r="B850" s="36" t="s">
        <v>4904</v>
      </c>
      <c r="C850" s="37" t="s">
        <v>3942</v>
      </c>
      <c r="D850" s="38" t="s">
        <v>3256</v>
      </c>
      <c r="E850" s="27"/>
    </row>
    <row r="851" spans="1:5" s="28" customFormat="1" ht="47.25" customHeight="1" x14ac:dyDescent="0.25">
      <c r="A851" s="36" t="s">
        <v>4905</v>
      </c>
      <c r="B851" s="36" t="s">
        <v>4906</v>
      </c>
      <c r="C851" s="37" t="s">
        <v>1463</v>
      </c>
      <c r="D851" s="38" t="s">
        <v>3257</v>
      </c>
      <c r="E851" s="27"/>
    </row>
    <row r="852" spans="1:5" s="28" customFormat="1" ht="31.5" customHeight="1" x14ac:dyDescent="0.25">
      <c r="A852" s="36" t="s">
        <v>4907</v>
      </c>
      <c r="B852" s="36" t="s">
        <v>4908</v>
      </c>
      <c r="C852" s="37" t="s">
        <v>4384</v>
      </c>
      <c r="D852" s="38" t="s">
        <v>3258</v>
      </c>
      <c r="E852" s="27"/>
    </row>
    <row r="853" spans="1:5" s="28" customFormat="1" ht="63" customHeight="1" x14ac:dyDescent="0.25">
      <c r="A853" s="36" t="s">
        <v>4909</v>
      </c>
      <c r="B853" s="36" t="s">
        <v>4910</v>
      </c>
      <c r="C853" s="37" t="s">
        <v>173</v>
      </c>
      <c r="D853" s="38" t="s">
        <v>3259</v>
      </c>
      <c r="E853" s="27"/>
    </row>
    <row r="854" spans="1:5" s="28" customFormat="1" ht="31.5" customHeight="1" x14ac:dyDescent="0.25">
      <c r="A854" s="36" t="s">
        <v>4911</v>
      </c>
      <c r="B854" s="36" t="s">
        <v>4912</v>
      </c>
      <c r="C854" s="37" t="s">
        <v>1360</v>
      </c>
      <c r="D854" s="38" t="s">
        <v>3260</v>
      </c>
      <c r="E854" s="27"/>
    </row>
    <row r="855" spans="1:5" s="28" customFormat="1" ht="31.5" customHeight="1" x14ac:dyDescent="0.25">
      <c r="A855" s="36" t="s">
        <v>4913</v>
      </c>
      <c r="B855" s="36" t="s">
        <v>4914</v>
      </c>
      <c r="C855" s="37" t="s">
        <v>406</v>
      </c>
      <c r="D855" s="38" t="s">
        <v>3261</v>
      </c>
      <c r="E855" s="27"/>
    </row>
    <row r="856" spans="1:5" s="28" customFormat="1" ht="47.25" customHeight="1" x14ac:dyDescent="0.25">
      <c r="A856" s="36" t="s">
        <v>4915</v>
      </c>
      <c r="B856" s="36" t="s">
        <v>4916</v>
      </c>
      <c r="C856" s="37" t="s">
        <v>4248</v>
      </c>
      <c r="D856" s="38" t="s">
        <v>3262</v>
      </c>
      <c r="E856" s="27"/>
    </row>
    <row r="857" spans="1:5" s="28" customFormat="1" ht="63" customHeight="1" x14ac:dyDescent="0.25">
      <c r="A857" s="36" t="s">
        <v>4917</v>
      </c>
      <c r="B857" s="36" t="s">
        <v>4918</v>
      </c>
      <c r="C857" s="37" t="s">
        <v>4145</v>
      </c>
      <c r="D857" s="38" t="s">
        <v>3263</v>
      </c>
      <c r="E857" s="27"/>
    </row>
    <row r="858" spans="1:5" s="28" customFormat="1" ht="31.5" customHeight="1" x14ac:dyDescent="0.25">
      <c r="A858" s="36" t="s">
        <v>4919</v>
      </c>
      <c r="B858" s="36" t="s">
        <v>4920</v>
      </c>
      <c r="C858" s="37" t="s">
        <v>383</v>
      </c>
      <c r="D858" s="38" t="s">
        <v>3264</v>
      </c>
      <c r="E858" s="27"/>
    </row>
    <row r="859" spans="1:5" ht="47.25" customHeight="1" x14ac:dyDescent="0.25">
      <c r="A859" s="36" t="s">
        <v>4921</v>
      </c>
      <c r="B859" s="36" t="s">
        <v>4922</v>
      </c>
      <c r="C859" s="37" t="s">
        <v>1418</v>
      </c>
      <c r="D859" s="38" t="s">
        <v>3265</v>
      </c>
    </row>
    <row r="860" spans="1:5" ht="47.25" customHeight="1" x14ac:dyDescent="0.25">
      <c r="A860" s="36" t="s">
        <v>4923</v>
      </c>
      <c r="B860" s="36" t="s">
        <v>4924</v>
      </c>
      <c r="C860" s="37" t="s">
        <v>173</v>
      </c>
      <c r="D860" s="38" t="s">
        <v>3266</v>
      </c>
    </row>
    <row r="861" spans="1:5" ht="31.5" customHeight="1" x14ac:dyDescent="0.25">
      <c r="A861" s="36" t="s">
        <v>4925</v>
      </c>
      <c r="B861" s="36" t="s">
        <v>4926</v>
      </c>
      <c r="C861" s="37" t="s">
        <v>4927</v>
      </c>
      <c r="D861" s="38" t="s">
        <v>3267</v>
      </c>
    </row>
    <row r="862" spans="1:5" ht="47.25" customHeight="1" x14ac:dyDescent="0.25">
      <c r="A862" s="36" t="s">
        <v>4928</v>
      </c>
      <c r="B862" s="36" t="s">
        <v>4929</v>
      </c>
      <c r="C862" s="37" t="s">
        <v>4930</v>
      </c>
      <c r="D862" s="38" t="s">
        <v>3268</v>
      </c>
    </row>
    <row r="863" spans="1:5" ht="47.25" customHeight="1" x14ac:dyDescent="0.25">
      <c r="A863" s="36" t="s">
        <v>4931</v>
      </c>
      <c r="B863" s="36" t="s">
        <v>4932</v>
      </c>
      <c r="C863" s="37" t="s">
        <v>2025</v>
      </c>
      <c r="D863" s="38" t="s">
        <v>3269</v>
      </c>
    </row>
    <row r="864" spans="1:5" ht="31.5" customHeight="1" x14ac:dyDescent="0.25">
      <c r="A864" s="36" t="s">
        <v>4933</v>
      </c>
      <c r="B864" s="36" t="s">
        <v>4934</v>
      </c>
      <c r="C864" s="37" t="s">
        <v>4208</v>
      </c>
      <c r="D864" s="38" t="s">
        <v>3270</v>
      </c>
    </row>
    <row r="865" spans="1:4" ht="31.5" customHeight="1" x14ac:dyDescent="0.25">
      <c r="A865" s="36" t="s">
        <v>4935</v>
      </c>
      <c r="B865" s="36" t="s">
        <v>4936</v>
      </c>
      <c r="C865" s="37" t="s">
        <v>565</v>
      </c>
      <c r="D865" s="38" t="s">
        <v>3271</v>
      </c>
    </row>
    <row r="866" spans="1:4" ht="47.25" customHeight="1" x14ac:dyDescent="0.25">
      <c r="A866" s="36" t="s">
        <v>4937</v>
      </c>
      <c r="B866" s="36" t="s">
        <v>4938</v>
      </c>
      <c r="C866" s="37" t="s">
        <v>2025</v>
      </c>
      <c r="D866" s="38" t="s">
        <v>3272</v>
      </c>
    </row>
    <row r="867" spans="1:4" ht="47.25" customHeight="1" x14ac:dyDescent="0.25">
      <c r="A867" s="36" t="s">
        <v>4939</v>
      </c>
      <c r="B867" s="36" t="s">
        <v>4940</v>
      </c>
      <c r="C867" s="37" t="s">
        <v>179</v>
      </c>
      <c r="D867" s="38" t="s">
        <v>3273</v>
      </c>
    </row>
    <row r="868" spans="1:4" ht="63" customHeight="1" x14ac:dyDescent="0.25">
      <c r="A868" s="36" t="s">
        <v>4941</v>
      </c>
      <c r="B868" s="36" t="s">
        <v>4942</v>
      </c>
      <c r="C868" s="37" t="s">
        <v>4943</v>
      </c>
      <c r="D868" s="38" t="s">
        <v>3274</v>
      </c>
    </row>
    <row r="869" spans="1:4" ht="47.25" customHeight="1" x14ac:dyDescent="0.25">
      <c r="A869" s="36" t="s">
        <v>4944</v>
      </c>
      <c r="B869" s="36" t="s">
        <v>4945</v>
      </c>
      <c r="C869" s="37" t="s">
        <v>2177</v>
      </c>
      <c r="D869" s="38" t="s">
        <v>3275</v>
      </c>
    </row>
    <row r="870" spans="1:4" ht="31.5" customHeight="1" x14ac:dyDescent="0.25">
      <c r="A870" s="36" t="s">
        <v>4946</v>
      </c>
      <c r="B870" s="36" t="s">
        <v>4947</v>
      </c>
      <c r="C870" s="37" t="s">
        <v>2177</v>
      </c>
      <c r="D870" s="38" t="s">
        <v>3276</v>
      </c>
    </row>
    <row r="871" spans="1:4" ht="31.5" customHeight="1" x14ac:dyDescent="0.25">
      <c r="A871" s="36" t="s">
        <v>4948</v>
      </c>
      <c r="B871" s="36" t="s">
        <v>4949</v>
      </c>
      <c r="C871" s="37" t="s">
        <v>2177</v>
      </c>
      <c r="D871" s="38" t="s">
        <v>3277</v>
      </c>
    </row>
    <row r="872" spans="1:4" ht="31.5" customHeight="1" x14ac:dyDescent="0.25">
      <c r="A872" s="36" t="s">
        <v>4950</v>
      </c>
      <c r="B872" s="36" t="s">
        <v>4951</v>
      </c>
      <c r="C872" s="37" t="s">
        <v>2177</v>
      </c>
      <c r="D872" s="38" t="s">
        <v>3278</v>
      </c>
    </row>
    <row r="873" spans="1:4" ht="31.5" customHeight="1" x14ac:dyDescent="0.25">
      <c r="A873" s="36" t="s">
        <v>4952</v>
      </c>
      <c r="B873" s="36" t="s">
        <v>4953</v>
      </c>
      <c r="C873" s="37" t="s">
        <v>99</v>
      </c>
      <c r="D873" s="38" t="s">
        <v>3279</v>
      </c>
    </row>
    <row r="874" spans="1:4" ht="47.25" customHeight="1" x14ac:dyDescent="0.25">
      <c r="A874" s="36" t="s">
        <v>4954</v>
      </c>
      <c r="B874" s="36" t="s">
        <v>4955</v>
      </c>
      <c r="C874" s="37" t="s">
        <v>99</v>
      </c>
      <c r="D874" s="38" t="s">
        <v>3280</v>
      </c>
    </row>
    <row r="875" spans="1:4" ht="31.5" customHeight="1" x14ac:dyDescent="0.25">
      <c r="A875" s="36" t="s">
        <v>4956</v>
      </c>
      <c r="B875" s="36" t="s">
        <v>4957</v>
      </c>
      <c r="C875" s="37" t="s">
        <v>350</v>
      </c>
      <c r="D875" s="38" t="s">
        <v>3281</v>
      </c>
    </row>
    <row r="876" spans="1:4" ht="47.25" customHeight="1" x14ac:dyDescent="0.25">
      <c r="A876" s="36" t="s">
        <v>4958</v>
      </c>
      <c r="B876" s="36" t="s">
        <v>4959</v>
      </c>
      <c r="C876" s="37" t="s">
        <v>1194</v>
      </c>
      <c r="D876" s="38" t="s">
        <v>3282</v>
      </c>
    </row>
    <row r="877" spans="1:4" ht="31.5" customHeight="1" x14ac:dyDescent="0.25">
      <c r="A877" s="36" t="s">
        <v>4960</v>
      </c>
      <c r="B877" s="36" t="s">
        <v>4961</v>
      </c>
      <c r="C877" s="37" t="s">
        <v>2025</v>
      </c>
      <c r="D877" s="38" t="s">
        <v>3283</v>
      </c>
    </row>
    <row r="878" spans="1:4" ht="47.25" customHeight="1" x14ac:dyDescent="0.25">
      <c r="A878" s="36" t="s">
        <v>4962</v>
      </c>
      <c r="B878" s="36" t="s">
        <v>4963</v>
      </c>
      <c r="C878" s="37" t="s">
        <v>924</v>
      </c>
      <c r="D878" s="38" t="s">
        <v>3284</v>
      </c>
    </row>
    <row r="879" spans="1:4" ht="63" customHeight="1" x14ac:dyDescent="0.25">
      <c r="A879" s="36" t="s">
        <v>4964</v>
      </c>
      <c r="B879" s="36" t="s">
        <v>4965</v>
      </c>
      <c r="C879" s="37" t="s">
        <v>345</v>
      </c>
      <c r="D879" s="38" t="s">
        <v>3285</v>
      </c>
    </row>
    <row r="880" spans="1:4" ht="63" customHeight="1" x14ac:dyDescent="0.25">
      <c r="A880" s="36" t="s">
        <v>4966</v>
      </c>
      <c r="B880" s="36" t="s">
        <v>4967</v>
      </c>
      <c r="C880" s="37" t="s">
        <v>179</v>
      </c>
      <c r="D880" s="38" t="s">
        <v>3286</v>
      </c>
    </row>
    <row r="881" spans="1:4" ht="63" customHeight="1" x14ac:dyDescent="0.25">
      <c r="A881" s="36" t="s">
        <v>4968</v>
      </c>
      <c r="B881" s="36" t="s">
        <v>4969</v>
      </c>
      <c r="C881" s="37" t="s">
        <v>3778</v>
      </c>
      <c r="D881" s="38" t="s">
        <v>3287</v>
      </c>
    </row>
    <row r="882" spans="1:4" ht="63" customHeight="1" x14ac:dyDescent="0.25">
      <c r="A882" s="36" t="s">
        <v>4970</v>
      </c>
      <c r="B882" s="36" t="s">
        <v>4971</v>
      </c>
      <c r="C882" s="37" t="s">
        <v>366</v>
      </c>
      <c r="D882" s="38" t="s">
        <v>3288</v>
      </c>
    </row>
    <row r="883" spans="1:4" ht="63" customHeight="1" x14ac:dyDescent="0.25">
      <c r="A883" s="36" t="s">
        <v>4972</v>
      </c>
      <c r="B883" s="36" t="s">
        <v>4973</v>
      </c>
      <c r="C883" s="37" t="s">
        <v>4974</v>
      </c>
      <c r="D883" s="38" t="s">
        <v>3289</v>
      </c>
    </row>
    <row r="884" spans="1:4" ht="47.25" customHeight="1" x14ac:dyDescent="0.25">
      <c r="A884" s="36" t="s">
        <v>4975</v>
      </c>
      <c r="B884" s="36" t="s">
        <v>4976</v>
      </c>
      <c r="C884" s="37" t="s">
        <v>1116</v>
      </c>
      <c r="D884" s="38" t="s">
        <v>3290</v>
      </c>
    </row>
    <row r="885" spans="1:4" ht="47.25" customHeight="1" x14ac:dyDescent="0.25">
      <c r="A885" s="36" t="s">
        <v>4977</v>
      </c>
      <c r="B885" s="36" t="s">
        <v>4978</v>
      </c>
      <c r="C885" s="37" t="s">
        <v>455</v>
      </c>
      <c r="D885" s="38" t="s">
        <v>3291</v>
      </c>
    </row>
    <row r="886" spans="1:4" ht="47.25" customHeight="1" x14ac:dyDescent="0.25">
      <c r="A886" s="36" t="s">
        <v>4979</v>
      </c>
      <c r="B886" s="36" t="s">
        <v>4980</v>
      </c>
      <c r="C886" s="37" t="s">
        <v>455</v>
      </c>
      <c r="D886" s="38" t="s">
        <v>3292</v>
      </c>
    </row>
    <row r="887" spans="1:4" ht="31.5" customHeight="1" x14ac:dyDescent="0.25">
      <c r="A887" s="36" t="s">
        <v>4981</v>
      </c>
      <c r="B887" s="36" t="s">
        <v>4982</v>
      </c>
      <c r="C887" s="37" t="s">
        <v>4983</v>
      </c>
      <c r="D887" s="38" t="s">
        <v>3293</v>
      </c>
    </row>
    <row r="888" spans="1:4" ht="31.5" customHeight="1" x14ac:dyDescent="0.25">
      <c r="A888" s="36" t="s">
        <v>4984</v>
      </c>
      <c r="B888" s="36" t="s">
        <v>4985</v>
      </c>
      <c r="C888" s="37" t="s">
        <v>3753</v>
      </c>
      <c r="D888" s="38" t="s">
        <v>3294</v>
      </c>
    </row>
    <row r="889" spans="1:4" ht="31.5" customHeight="1" x14ac:dyDescent="0.25">
      <c r="A889" s="36" t="s">
        <v>4986</v>
      </c>
      <c r="B889" s="36" t="s">
        <v>4987</v>
      </c>
      <c r="C889" s="37" t="s">
        <v>3753</v>
      </c>
      <c r="D889" s="38" t="s">
        <v>3295</v>
      </c>
    </row>
    <row r="890" spans="1:4" ht="31.5" customHeight="1" x14ac:dyDescent="0.25">
      <c r="A890" s="36" t="s">
        <v>4988</v>
      </c>
      <c r="B890" s="36" t="s">
        <v>4989</v>
      </c>
      <c r="C890" s="37" t="s">
        <v>3753</v>
      </c>
      <c r="D890" s="38" t="s">
        <v>3296</v>
      </c>
    </row>
    <row r="891" spans="1:4" ht="31.5" customHeight="1" x14ac:dyDescent="0.25">
      <c r="A891" s="36" t="s">
        <v>4990</v>
      </c>
      <c r="B891" s="36" t="s">
        <v>4991</v>
      </c>
      <c r="C891" s="37" t="s">
        <v>4690</v>
      </c>
      <c r="D891" s="38" t="s">
        <v>3297</v>
      </c>
    </row>
    <row r="892" spans="1:4" ht="47.25" customHeight="1" x14ac:dyDescent="0.25">
      <c r="A892" s="36" t="s">
        <v>4992</v>
      </c>
      <c r="B892" s="36" t="s">
        <v>4993</v>
      </c>
      <c r="C892" s="37" t="s">
        <v>2177</v>
      </c>
      <c r="D892" s="38" t="s">
        <v>3298</v>
      </c>
    </row>
    <row r="893" spans="1:4" ht="47.25" customHeight="1" x14ac:dyDescent="0.25">
      <c r="A893" s="36" t="s">
        <v>4994</v>
      </c>
      <c r="B893" s="36" t="s">
        <v>4995</v>
      </c>
      <c r="C893" s="37" t="s">
        <v>1286</v>
      </c>
      <c r="D893" s="38" t="s">
        <v>3299</v>
      </c>
    </row>
    <row r="894" spans="1:4" ht="31.5" customHeight="1" x14ac:dyDescent="0.25">
      <c r="A894" s="36" t="s">
        <v>4996</v>
      </c>
      <c r="B894" s="36" t="s">
        <v>4997</v>
      </c>
      <c r="C894" s="46" t="s">
        <v>4998</v>
      </c>
      <c r="D894" s="38" t="s">
        <v>3300</v>
      </c>
    </row>
    <row r="895" spans="1:4" ht="63" customHeight="1" x14ac:dyDescent="0.25">
      <c r="A895" s="36" t="s">
        <v>4999</v>
      </c>
      <c r="B895" s="36" t="s">
        <v>5000</v>
      </c>
      <c r="C895" s="37" t="s">
        <v>2271</v>
      </c>
      <c r="D895" s="38" t="s">
        <v>3301</v>
      </c>
    </row>
    <row r="896" spans="1:4" ht="47.25" customHeight="1" x14ac:dyDescent="0.25">
      <c r="A896" s="36" t="s">
        <v>5001</v>
      </c>
      <c r="B896" s="36" t="s">
        <v>5002</v>
      </c>
      <c r="C896" s="37" t="s">
        <v>1413</v>
      </c>
      <c r="D896" s="38" t="s">
        <v>3302</v>
      </c>
    </row>
    <row r="897" spans="1:4" ht="47.25" customHeight="1" x14ac:dyDescent="0.25">
      <c r="A897" s="36" t="s">
        <v>5003</v>
      </c>
      <c r="B897" s="36" t="s">
        <v>5004</v>
      </c>
      <c r="C897" s="37" t="s">
        <v>2208</v>
      </c>
      <c r="D897" s="38" t="s">
        <v>3303</v>
      </c>
    </row>
    <row r="898" spans="1:4" ht="63" customHeight="1" x14ac:dyDescent="0.25">
      <c r="A898" s="36" t="s">
        <v>5005</v>
      </c>
      <c r="B898" s="36" t="s">
        <v>5006</v>
      </c>
      <c r="C898" s="37" t="s">
        <v>1111</v>
      </c>
      <c r="D898" s="38" t="s">
        <v>3304</v>
      </c>
    </row>
    <row r="899" spans="1:4" ht="47.25" customHeight="1" x14ac:dyDescent="0.25">
      <c r="A899" s="36" t="s">
        <v>5007</v>
      </c>
      <c r="B899" s="36" t="s">
        <v>5008</v>
      </c>
      <c r="C899" s="37" t="s">
        <v>4193</v>
      </c>
      <c r="D899" s="38" t="s">
        <v>3305</v>
      </c>
    </row>
    <row r="900" spans="1:4" ht="47.25" customHeight="1" x14ac:dyDescent="0.25">
      <c r="A900" s="36" t="s">
        <v>5009</v>
      </c>
      <c r="B900" s="36" t="s">
        <v>5010</v>
      </c>
      <c r="C900" s="37" t="s">
        <v>1307</v>
      </c>
      <c r="D900" s="38" t="s">
        <v>3306</v>
      </c>
    </row>
    <row r="901" spans="1:4" ht="31.5" customHeight="1" x14ac:dyDescent="0.25">
      <c r="A901" s="36" t="s">
        <v>5011</v>
      </c>
      <c r="B901" s="36" t="s">
        <v>5012</v>
      </c>
      <c r="C901" s="37" t="s">
        <v>1851</v>
      </c>
      <c r="D901" s="38" t="s">
        <v>3307</v>
      </c>
    </row>
    <row r="902" spans="1:4" ht="63" customHeight="1" x14ac:dyDescent="0.25">
      <c r="A902" s="36" t="s">
        <v>5013</v>
      </c>
      <c r="B902" s="36" t="s">
        <v>5014</v>
      </c>
      <c r="C902" s="37" t="s">
        <v>911</v>
      </c>
      <c r="D902" s="38" t="s">
        <v>3308</v>
      </c>
    </row>
    <row r="903" spans="1:4" ht="47.25" customHeight="1" x14ac:dyDescent="0.25">
      <c r="A903" s="36" t="s">
        <v>5015</v>
      </c>
      <c r="B903" s="36" t="s">
        <v>5016</v>
      </c>
      <c r="C903" s="37" t="s">
        <v>591</v>
      </c>
      <c r="D903" s="38" t="s">
        <v>3309</v>
      </c>
    </row>
    <row r="904" spans="1:4" ht="47.25" customHeight="1" x14ac:dyDescent="0.25">
      <c r="A904" s="36" t="s">
        <v>5017</v>
      </c>
      <c r="B904" s="36" t="s">
        <v>5018</v>
      </c>
      <c r="C904" s="37" t="s">
        <v>4248</v>
      </c>
      <c r="D904" s="38" t="s">
        <v>3310</v>
      </c>
    </row>
    <row r="905" spans="1:4" ht="47.25" customHeight="1" x14ac:dyDescent="0.25">
      <c r="A905" s="36" t="s">
        <v>5019</v>
      </c>
      <c r="B905" s="36" t="s">
        <v>5020</v>
      </c>
      <c r="C905" s="37" t="s">
        <v>1178</v>
      </c>
      <c r="D905" s="38" t="s">
        <v>3311</v>
      </c>
    </row>
    <row r="906" spans="1:4" ht="31.5" customHeight="1" x14ac:dyDescent="0.25">
      <c r="A906" s="36" t="s">
        <v>5021</v>
      </c>
      <c r="B906" s="36" t="s">
        <v>5022</v>
      </c>
      <c r="C906" s="37" t="s">
        <v>1365</v>
      </c>
      <c r="D906" s="38" t="s">
        <v>3312</v>
      </c>
    </row>
    <row r="907" spans="1:4" ht="31.5" customHeight="1" x14ac:dyDescent="0.25">
      <c r="A907" s="36" t="s">
        <v>5023</v>
      </c>
      <c r="B907" s="36" t="s">
        <v>5024</v>
      </c>
      <c r="C907" s="37" t="s">
        <v>1339</v>
      </c>
      <c r="D907" s="38" t="s">
        <v>3313</v>
      </c>
    </row>
    <row r="908" spans="1:4" ht="47.25" customHeight="1" x14ac:dyDescent="0.25">
      <c r="A908" s="36" t="s">
        <v>5025</v>
      </c>
      <c r="B908" s="36" t="s">
        <v>5026</v>
      </c>
      <c r="C908" s="37" t="s">
        <v>1093</v>
      </c>
      <c r="D908" s="38" t="s">
        <v>3314</v>
      </c>
    </row>
    <row r="909" spans="1:4" ht="78.75" customHeight="1" x14ac:dyDescent="0.25">
      <c r="A909" s="36" t="s">
        <v>5027</v>
      </c>
      <c r="B909" s="36" t="s">
        <v>5028</v>
      </c>
      <c r="C909" s="37" t="s">
        <v>3602</v>
      </c>
      <c r="D909" s="38" t="s">
        <v>3315</v>
      </c>
    </row>
    <row r="910" spans="1:4" ht="31.5" customHeight="1" x14ac:dyDescent="0.25">
      <c r="A910" s="36" t="s">
        <v>5029</v>
      </c>
      <c r="B910" s="36" t="s">
        <v>5030</v>
      </c>
      <c r="C910" s="37" t="s">
        <v>2177</v>
      </c>
      <c r="D910" s="38" t="s">
        <v>3316</v>
      </c>
    </row>
    <row r="911" spans="1:4" ht="47.25" customHeight="1" x14ac:dyDescent="0.25">
      <c r="A911" s="36" t="s">
        <v>5031</v>
      </c>
      <c r="B911" s="36" t="s">
        <v>5032</v>
      </c>
      <c r="C911" s="37" t="s">
        <v>3585</v>
      </c>
      <c r="D911" s="38" t="s">
        <v>3317</v>
      </c>
    </row>
    <row r="912" spans="1:4" ht="31.5" customHeight="1" x14ac:dyDescent="0.25">
      <c r="A912" s="36" t="s">
        <v>5033</v>
      </c>
      <c r="B912" s="36" t="s">
        <v>5034</v>
      </c>
      <c r="C912" s="37" t="s">
        <v>3585</v>
      </c>
      <c r="D912" s="38" t="s">
        <v>3318</v>
      </c>
    </row>
    <row r="913" spans="1:4" ht="31.5" customHeight="1" x14ac:dyDescent="0.25">
      <c r="A913" s="36" t="s">
        <v>5035</v>
      </c>
      <c r="B913" s="36" t="s">
        <v>5036</v>
      </c>
      <c r="C913" s="37" t="s">
        <v>3585</v>
      </c>
      <c r="D913" s="38" t="s">
        <v>3319</v>
      </c>
    </row>
    <row r="914" spans="1:4" ht="31.5" customHeight="1" x14ac:dyDescent="0.25">
      <c r="A914" s="36" t="s">
        <v>5037</v>
      </c>
      <c r="B914" s="36" t="s">
        <v>5038</v>
      </c>
      <c r="C914" s="37" t="s">
        <v>3585</v>
      </c>
      <c r="D914" s="38" t="s">
        <v>3320</v>
      </c>
    </row>
    <row r="915" spans="1:4" ht="47.25" customHeight="1" x14ac:dyDescent="0.25">
      <c r="A915" s="36" t="s">
        <v>5039</v>
      </c>
      <c r="B915" s="36" t="s">
        <v>5040</v>
      </c>
      <c r="C915" s="37" t="s">
        <v>3585</v>
      </c>
      <c r="D915" s="38" t="s">
        <v>3321</v>
      </c>
    </row>
    <row r="916" spans="1:4" ht="31.5" customHeight="1" x14ac:dyDescent="0.25">
      <c r="A916" s="36" t="s">
        <v>5041</v>
      </c>
      <c r="B916" s="36" t="s">
        <v>5042</v>
      </c>
      <c r="C916" s="37" t="s">
        <v>1571</v>
      </c>
      <c r="D916" s="38" t="s">
        <v>3322</v>
      </c>
    </row>
    <row r="917" spans="1:4" ht="31.5" customHeight="1" x14ac:dyDescent="0.25">
      <c r="A917" s="36" t="s">
        <v>5043</v>
      </c>
      <c r="B917" s="36" t="s">
        <v>5044</v>
      </c>
      <c r="C917" s="37" t="s">
        <v>247</v>
      </c>
      <c r="D917" s="38" t="s">
        <v>3323</v>
      </c>
    </row>
    <row r="918" spans="1:4" ht="47.25" customHeight="1" x14ac:dyDescent="0.25">
      <c r="A918" s="36" t="s">
        <v>5045</v>
      </c>
      <c r="B918" s="36" t="s">
        <v>5046</v>
      </c>
      <c r="C918" s="37" t="s">
        <v>501</v>
      </c>
      <c r="D918" s="38" t="s">
        <v>3324</v>
      </c>
    </row>
    <row r="919" spans="1:4" ht="31.5" customHeight="1" x14ac:dyDescent="0.25">
      <c r="A919" s="36" t="s">
        <v>5047</v>
      </c>
      <c r="B919" s="36" t="s">
        <v>5048</v>
      </c>
      <c r="C919" s="37" t="s">
        <v>5049</v>
      </c>
      <c r="D919" s="38" t="s">
        <v>3325</v>
      </c>
    </row>
    <row r="920" spans="1:4" ht="31.5" customHeight="1" x14ac:dyDescent="0.25">
      <c r="A920" s="36" t="s">
        <v>5050</v>
      </c>
      <c r="B920" s="36" t="s">
        <v>5051</v>
      </c>
      <c r="C920" s="37" t="s">
        <v>5052</v>
      </c>
      <c r="D920" s="38" t="s">
        <v>3326</v>
      </c>
    </row>
    <row r="921" spans="1:4" ht="31.5" customHeight="1" x14ac:dyDescent="0.25">
      <c r="A921" s="36" t="s">
        <v>5053</v>
      </c>
      <c r="B921" s="36" t="s">
        <v>5054</v>
      </c>
      <c r="C921" s="37" t="s">
        <v>768</v>
      </c>
      <c r="D921" s="38" t="s">
        <v>3327</v>
      </c>
    </row>
    <row r="922" spans="1:4" ht="63" customHeight="1" x14ac:dyDescent="0.25">
      <c r="A922" s="36" t="s">
        <v>5055</v>
      </c>
      <c r="B922" s="36" t="s">
        <v>5056</v>
      </c>
      <c r="C922" s="37" t="s">
        <v>1039</v>
      </c>
      <c r="D922" s="38" t="s">
        <v>3328</v>
      </c>
    </row>
    <row r="923" spans="1:4" ht="63" customHeight="1" x14ac:dyDescent="0.25">
      <c r="A923" s="36" t="s">
        <v>5057</v>
      </c>
      <c r="B923" s="36" t="s">
        <v>5058</v>
      </c>
      <c r="C923" s="37" t="s">
        <v>1961</v>
      </c>
      <c r="D923" s="38" t="s">
        <v>3329</v>
      </c>
    </row>
    <row r="924" spans="1:4" ht="47.25" customHeight="1" x14ac:dyDescent="0.25">
      <c r="A924" s="36" t="s">
        <v>5059</v>
      </c>
      <c r="B924" s="36" t="s">
        <v>5060</v>
      </c>
      <c r="C924" s="37" t="s">
        <v>82</v>
      </c>
      <c r="D924" s="38" t="s">
        <v>3330</v>
      </c>
    </row>
    <row r="925" spans="1:4" ht="47.25" customHeight="1" x14ac:dyDescent="0.25">
      <c r="A925" s="36" t="s">
        <v>5061</v>
      </c>
      <c r="B925" s="36" t="s">
        <v>5062</v>
      </c>
      <c r="C925" s="37" t="s">
        <v>496</v>
      </c>
      <c r="D925" s="38" t="s">
        <v>3331</v>
      </c>
    </row>
    <row r="926" spans="1:4" ht="47.25" customHeight="1" x14ac:dyDescent="0.25">
      <c r="A926" s="36" t="s">
        <v>5063</v>
      </c>
      <c r="B926" s="36" t="s">
        <v>5064</v>
      </c>
      <c r="C926" s="37" t="s">
        <v>196</v>
      </c>
      <c r="D926" s="38" t="s">
        <v>3332</v>
      </c>
    </row>
    <row r="927" spans="1:4" ht="47.25" customHeight="1" x14ac:dyDescent="0.25">
      <c r="A927" s="36" t="s">
        <v>5065</v>
      </c>
      <c r="B927" s="36" t="s">
        <v>5066</v>
      </c>
      <c r="C927" s="37" t="s">
        <v>2271</v>
      </c>
      <c r="D927" s="38" t="s">
        <v>3333</v>
      </c>
    </row>
    <row r="928" spans="1:4" ht="31.5" customHeight="1" x14ac:dyDescent="0.25">
      <c r="A928" s="36" t="s">
        <v>5067</v>
      </c>
      <c r="B928" s="36" t="s">
        <v>5068</v>
      </c>
      <c r="C928" s="37" t="s">
        <v>2271</v>
      </c>
      <c r="D928" s="38" t="s">
        <v>3334</v>
      </c>
    </row>
    <row r="929" spans="1:4" ht="63" customHeight="1" x14ac:dyDescent="0.25">
      <c r="A929" s="36" t="s">
        <v>5069</v>
      </c>
      <c r="B929" s="36" t="s">
        <v>5070</v>
      </c>
      <c r="C929" s="37" t="s">
        <v>1189</v>
      </c>
      <c r="D929" s="38" t="s">
        <v>3335</v>
      </c>
    </row>
    <row r="930" spans="1:4" ht="47.25" customHeight="1" x14ac:dyDescent="0.25">
      <c r="A930" s="36" t="s">
        <v>5071</v>
      </c>
      <c r="B930" s="36" t="s">
        <v>5072</v>
      </c>
      <c r="C930" s="37" t="s">
        <v>565</v>
      </c>
      <c r="D930" s="38" t="s">
        <v>3336</v>
      </c>
    </row>
    <row r="931" spans="1:4" ht="31.5" customHeight="1" x14ac:dyDescent="0.25">
      <c r="A931" s="36" t="s">
        <v>5073</v>
      </c>
      <c r="B931" s="36" t="s">
        <v>5074</v>
      </c>
      <c r="C931" s="37" t="s">
        <v>773</v>
      </c>
      <c r="D931" s="38" t="s">
        <v>3337</v>
      </c>
    </row>
    <row r="932" spans="1:4" ht="31.5" customHeight="1" x14ac:dyDescent="0.25">
      <c r="A932" s="36" t="s">
        <v>5075</v>
      </c>
      <c r="B932" s="36" t="s">
        <v>5076</v>
      </c>
      <c r="C932" s="37" t="s">
        <v>3645</v>
      </c>
      <c r="D932" s="38" t="s">
        <v>3338</v>
      </c>
    </row>
    <row r="933" spans="1:4" ht="31.5" customHeight="1" x14ac:dyDescent="0.25">
      <c r="A933" s="36" t="s">
        <v>5077</v>
      </c>
      <c r="B933" s="36" t="s">
        <v>5078</v>
      </c>
      <c r="C933" s="37" t="s">
        <v>496</v>
      </c>
      <c r="D933" s="38" t="s">
        <v>3339</v>
      </c>
    </row>
    <row r="934" spans="1:4" ht="47.25" customHeight="1" x14ac:dyDescent="0.25">
      <c r="A934" s="36" t="s">
        <v>5079</v>
      </c>
      <c r="B934" s="36" t="s">
        <v>5080</v>
      </c>
      <c r="C934" s="37" t="s">
        <v>5081</v>
      </c>
      <c r="D934" s="38" t="s">
        <v>3340</v>
      </c>
    </row>
    <row r="935" spans="1:4" ht="47.25" customHeight="1" x14ac:dyDescent="0.25">
      <c r="A935" s="36" t="s">
        <v>5082</v>
      </c>
      <c r="B935" s="36" t="s">
        <v>5083</v>
      </c>
      <c r="C935" s="37" t="s">
        <v>511</v>
      </c>
      <c r="D935" s="38" t="s">
        <v>3341</v>
      </c>
    </row>
    <row r="936" spans="1:4" ht="31.5" customHeight="1" x14ac:dyDescent="0.25">
      <c r="A936" s="36" t="s">
        <v>5084</v>
      </c>
      <c r="B936" s="36" t="s">
        <v>5085</v>
      </c>
      <c r="C936" s="37" t="s">
        <v>1339</v>
      </c>
      <c r="D936" s="38" t="s">
        <v>3342</v>
      </c>
    </row>
    <row r="937" spans="1:4" ht="47.25" customHeight="1" x14ac:dyDescent="0.25">
      <c r="A937" s="36" t="s">
        <v>5086</v>
      </c>
      <c r="B937" s="36" t="s">
        <v>5087</v>
      </c>
      <c r="C937" s="37" t="s">
        <v>3730</v>
      </c>
      <c r="D937" s="38" t="s">
        <v>3343</v>
      </c>
    </row>
    <row r="938" spans="1:4" ht="47.25" customHeight="1" x14ac:dyDescent="0.25">
      <c r="A938" s="36" t="s">
        <v>5088</v>
      </c>
      <c r="B938" s="36" t="s">
        <v>5089</v>
      </c>
      <c r="C938" s="37" t="s">
        <v>944</v>
      </c>
      <c r="D938" s="38" t="s">
        <v>3344</v>
      </c>
    </row>
    <row r="939" spans="1:4" ht="31.5" customHeight="1" x14ac:dyDescent="0.25">
      <c r="A939" s="36" t="s">
        <v>5090</v>
      </c>
      <c r="B939" s="36" t="s">
        <v>5091</v>
      </c>
      <c r="C939" s="37" t="s">
        <v>455</v>
      </c>
      <c r="D939" s="38" t="s">
        <v>3345</v>
      </c>
    </row>
    <row r="940" spans="1:4" ht="31.5" customHeight="1" x14ac:dyDescent="0.25">
      <c r="A940" s="36" t="s">
        <v>5092</v>
      </c>
      <c r="B940" s="36" t="s">
        <v>5093</v>
      </c>
      <c r="C940" s="37" t="s">
        <v>455</v>
      </c>
      <c r="D940" s="38" t="s">
        <v>3346</v>
      </c>
    </row>
    <row r="941" spans="1:4" ht="63" customHeight="1" x14ac:dyDescent="0.25">
      <c r="A941" s="36" t="s">
        <v>5094</v>
      </c>
      <c r="B941" s="36" t="s">
        <v>5095</v>
      </c>
      <c r="C941" s="37" t="s">
        <v>5096</v>
      </c>
      <c r="D941" s="38" t="s">
        <v>3347</v>
      </c>
    </row>
    <row r="942" spans="1:4" ht="47.25" customHeight="1" x14ac:dyDescent="0.25">
      <c r="A942" s="36" t="s">
        <v>5097</v>
      </c>
      <c r="B942" s="36" t="s">
        <v>5098</v>
      </c>
      <c r="C942" s="37" t="s">
        <v>1571</v>
      </c>
      <c r="D942" s="38" t="s">
        <v>3348</v>
      </c>
    </row>
    <row r="943" spans="1:4" ht="31.5" customHeight="1" x14ac:dyDescent="0.25">
      <c r="A943" s="36" t="s">
        <v>5099</v>
      </c>
      <c r="B943" s="36" t="s">
        <v>5100</v>
      </c>
      <c r="C943" s="37" t="s">
        <v>1463</v>
      </c>
      <c r="D943" s="38" t="s">
        <v>3349</v>
      </c>
    </row>
    <row r="944" spans="1:4" ht="47.25" customHeight="1" x14ac:dyDescent="0.25">
      <c r="A944" s="36" t="s">
        <v>5101</v>
      </c>
      <c r="B944" s="36" t="s">
        <v>5102</v>
      </c>
      <c r="C944" s="37" t="s">
        <v>87</v>
      </c>
      <c r="D944" s="38" t="s">
        <v>3350</v>
      </c>
    </row>
    <row r="945" spans="1:4" ht="47.25" customHeight="1" x14ac:dyDescent="0.25">
      <c r="A945" s="36" t="s">
        <v>5103</v>
      </c>
      <c r="B945" s="36" t="s">
        <v>5104</v>
      </c>
      <c r="C945" s="37" t="s">
        <v>5105</v>
      </c>
      <c r="D945" s="38" t="s">
        <v>3351</v>
      </c>
    </row>
    <row r="946" spans="1:4" ht="63" customHeight="1" x14ac:dyDescent="0.25">
      <c r="A946" s="36" t="s">
        <v>5106</v>
      </c>
      <c r="B946" s="36" t="s">
        <v>5107</v>
      </c>
      <c r="C946" s="37" t="s">
        <v>327</v>
      </c>
      <c r="D946" s="38" t="s">
        <v>3352</v>
      </c>
    </row>
    <row r="947" spans="1:4" ht="31.5" customHeight="1" x14ac:dyDescent="0.25">
      <c r="A947" s="36" t="s">
        <v>5108</v>
      </c>
      <c r="B947" s="36" t="s">
        <v>5109</v>
      </c>
      <c r="C947" s="37" t="s">
        <v>179</v>
      </c>
      <c r="D947" s="38" t="s">
        <v>3353</v>
      </c>
    </row>
    <row r="948" spans="1:4" ht="31.5" customHeight="1" x14ac:dyDescent="0.25">
      <c r="A948" s="36" t="s">
        <v>5110</v>
      </c>
      <c r="B948" s="36" t="s">
        <v>5111</v>
      </c>
      <c r="C948" s="37" t="s">
        <v>1571</v>
      </c>
      <c r="D948" s="38" t="s">
        <v>3354</v>
      </c>
    </row>
    <row r="949" spans="1:4" ht="47.25" customHeight="1" x14ac:dyDescent="0.25">
      <c r="A949" s="36" t="s">
        <v>5112</v>
      </c>
      <c r="B949" s="36" t="s">
        <v>5113</v>
      </c>
      <c r="C949" s="37" t="s">
        <v>5114</v>
      </c>
      <c r="D949" s="38" t="s">
        <v>3355</v>
      </c>
    </row>
    <row r="950" spans="1:4" ht="31.5" customHeight="1" x14ac:dyDescent="0.25">
      <c r="A950" s="36" t="s">
        <v>5115</v>
      </c>
      <c r="B950" s="36" t="s">
        <v>5116</v>
      </c>
      <c r="C950" s="37" t="s">
        <v>131</v>
      </c>
      <c r="D950" s="38" t="s">
        <v>3356</v>
      </c>
    </row>
    <row r="951" spans="1:4" ht="47.25" customHeight="1" x14ac:dyDescent="0.25">
      <c r="A951" s="36" t="s">
        <v>5117</v>
      </c>
      <c r="B951" s="36" t="s">
        <v>5118</v>
      </c>
      <c r="C951" s="37" t="s">
        <v>4930</v>
      </c>
      <c r="D951" s="38" t="s">
        <v>3357</v>
      </c>
    </row>
    <row r="952" spans="1:4" ht="47.25" customHeight="1" x14ac:dyDescent="0.25">
      <c r="A952" s="36" t="s">
        <v>5119</v>
      </c>
      <c r="B952" s="36" t="s">
        <v>5120</v>
      </c>
      <c r="C952" s="37" t="s">
        <v>547</v>
      </c>
      <c r="D952" s="38" t="s">
        <v>3358</v>
      </c>
    </row>
    <row r="953" spans="1:4" ht="78.75" customHeight="1" x14ac:dyDescent="0.25">
      <c r="A953" s="36" t="s">
        <v>5121</v>
      </c>
      <c r="B953" s="36" t="s">
        <v>5122</v>
      </c>
      <c r="C953" s="37" t="s">
        <v>1286</v>
      </c>
      <c r="D953" s="38" t="s">
        <v>3359</v>
      </c>
    </row>
    <row r="954" spans="1:4" ht="31.5" customHeight="1" x14ac:dyDescent="0.25">
      <c r="A954" s="36" t="s">
        <v>5123</v>
      </c>
      <c r="B954" s="36" t="s">
        <v>5124</v>
      </c>
      <c r="C954" s="37" t="s">
        <v>1576</v>
      </c>
      <c r="D954" s="38" t="s">
        <v>3360</v>
      </c>
    </row>
    <row r="955" spans="1:4" ht="31.5" customHeight="1" x14ac:dyDescent="0.25">
      <c r="A955" s="36" t="s">
        <v>5125</v>
      </c>
      <c r="B955" s="36" t="s">
        <v>5126</v>
      </c>
      <c r="C955" s="37" t="s">
        <v>4758</v>
      </c>
      <c r="D955" s="38" t="s">
        <v>3361</v>
      </c>
    </row>
    <row r="956" spans="1:4" ht="63" customHeight="1" x14ac:dyDescent="0.25">
      <c r="A956" s="36" t="s">
        <v>5127</v>
      </c>
      <c r="B956" s="36" t="s">
        <v>5128</v>
      </c>
      <c r="C956" s="37" t="s">
        <v>5129</v>
      </c>
      <c r="D956" s="38" t="s">
        <v>3362</v>
      </c>
    </row>
    <row r="957" spans="1:4" ht="31.5" customHeight="1" x14ac:dyDescent="0.25">
      <c r="A957" s="36" t="s">
        <v>5130</v>
      </c>
      <c r="B957" s="36" t="s">
        <v>5131</v>
      </c>
      <c r="C957" s="37" t="s">
        <v>4732</v>
      </c>
      <c r="D957" s="38" t="s">
        <v>3363</v>
      </c>
    </row>
    <row r="958" spans="1:4" ht="31.5" customHeight="1" x14ac:dyDescent="0.25">
      <c r="A958" s="36" t="s">
        <v>5132</v>
      </c>
      <c r="B958" s="36" t="s">
        <v>5133</v>
      </c>
      <c r="C958" s="37" t="s">
        <v>411</v>
      </c>
      <c r="D958" s="38" t="s">
        <v>3364</v>
      </c>
    </row>
    <row r="959" spans="1:4" ht="31.5" customHeight="1" x14ac:dyDescent="0.25">
      <c r="A959" s="36" t="s">
        <v>5134</v>
      </c>
      <c r="B959" s="36" t="s">
        <v>5135</v>
      </c>
      <c r="C959" s="37" t="s">
        <v>4339</v>
      </c>
      <c r="D959" s="38" t="s">
        <v>3365</v>
      </c>
    </row>
    <row r="960" spans="1:4" ht="47.25" customHeight="1" x14ac:dyDescent="0.25">
      <c r="A960" s="36" t="s">
        <v>5136</v>
      </c>
      <c r="B960" s="36" t="s">
        <v>5137</v>
      </c>
      <c r="C960" s="37" t="s">
        <v>470</v>
      </c>
      <c r="D960" s="38" t="s">
        <v>3366</v>
      </c>
    </row>
    <row r="961" spans="1:4" ht="47.25" customHeight="1" x14ac:dyDescent="0.25">
      <c r="A961" s="36" t="s">
        <v>5138</v>
      </c>
      <c r="B961" s="36" t="s">
        <v>5139</v>
      </c>
      <c r="C961" s="37" t="s">
        <v>5140</v>
      </c>
      <c r="D961" s="38" t="s">
        <v>3367</v>
      </c>
    </row>
    <row r="962" spans="1:4" ht="31.5" customHeight="1" x14ac:dyDescent="0.25">
      <c r="A962" s="36" t="s">
        <v>5141</v>
      </c>
      <c r="B962" s="36" t="s">
        <v>5142</v>
      </c>
      <c r="C962" s="37" t="s">
        <v>82</v>
      </c>
      <c r="D962" s="38" t="s">
        <v>3368</v>
      </c>
    </row>
    <row r="963" spans="1:4" ht="63" customHeight="1" x14ac:dyDescent="0.25">
      <c r="A963" s="36" t="s">
        <v>5143</v>
      </c>
      <c r="B963" s="36" t="s">
        <v>5144</v>
      </c>
      <c r="C963" s="37" t="s">
        <v>361</v>
      </c>
      <c r="D963" s="38" t="s">
        <v>3369</v>
      </c>
    </row>
    <row r="964" spans="1:4" ht="47.25" customHeight="1" x14ac:dyDescent="0.25">
      <c r="A964" s="36" t="s">
        <v>5145</v>
      </c>
      <c r="B964" s="36" t="s">
        <v>5146</v>
      </c>
      <c r="C964" s="37" t="s">
        <v>149</v>
      </c>
      <c r="D964" s="38" t="s">
        <v>3370</v>
      </c>
    </row>
    <row r="965" spans="1:4" ht="47.25" customHeight="1" x14ac:dyDescent="0.25">
      <c r="A965" s="36" t="s">
        <v>5147</v>
      </c>
      <c r="B965" s="36" t="s">
        <v>5148</v>
      </c>
      <c r="C965" s="37" t="s">
        <v>952</v>
      </c>
      <c r="D965" s="38" t="s">
        <v>3371</v>
      </c>
    </row>
    <row r="966" spans="1:4" ht="63" customHeight="1" x14ac:dyDescent="0.25">
      <c r="A966" s="36" t="s">
        <v>5149</v>
      </c>
      <c r="B966" s="36" t="s">
        <v>5150</v>
      </c>
      <c r="C966" s="37" t="s">
        <v>383</v>
      </c>
      <c r="D966" s="38" t="s">
        <v>3372</v>
      </c>
    </row>
    <row r="967" spans="1:4" ht="47.25" customHeight="1" x14ac:dyDescent="0.25">
      <c r="A967" s="36" t="s">
        <v>5151</v>
      </c>
      <c r="B967" s="36" t="s">
        <v>5152</v>
      </c>
      <c r="C967" s="37" t="s">
        <v>1571</v>
      </c>
      <c r="D967" s="38" t="s">
        <v>3373</v>
      </c>
    </row>
    <row r="968" spans="1:4" ht="31.5" customHeight="1" x14ac:dyDescent="0.25">
      <c r="A968" s="36" t="s">
        <v>5153</v>
      </c>
      <c r="B968" s="36" t="s">
        <v>5154</v>
      </c>
      <c r="C968" s="37" t="s">
        <v>5155</v>
      </c>
      <c r="D968" s="38" t="s">
        <v>3374</v>
      </c>
    </row>
    <row r="969" spans="1:4" ht="63" customHeight="1" x14ac:dyDescent="0.25">
      <c r="A969" s="36" t="s">
        <v>5156</v>
      </c>
      <c r="B969" s="36" t="s">
        <v>5157</v>
      </c>
      <c r="C969" s="37" t="s">
        <v>1286</v>
      </c>
      <c r="D969" s="38" t="s">
        <v>3375</v>
      </c>
    </row>
    <row r="970" spans="1:4" ht="47.25" customHeight="1" x14ac:dyDescent="0.25">
      <c r="A970" s="36" t="s">
        <v>5158</v>
      </c>
      <c r="B970" s="36" t="s">
        <v>5159</v>
      </c>
      <c r="C970" s="37" t="s">
        <v>1286</v>
      </c>
      <c r="D970" s="38" t="s">
        <v>3376</v>
      </c>
    </row>
    <row r="971" spans="1:4" ht="63" customHeight="1" x14ac:dyDescent="0.25">
      <c r="A971" s="36" t="s">
        <v>5160</v>
      </c>
      <c r="B971" s="36" t="s">
        <v>5161</v>
      </c>
      <c r="C971" s="37" t="s">
        <v>5162</v>
      </c>
      <c r="D971" s="38" t="s">
        <v>3377</v>
      </c>
    </row>
    <row r="972" spans="1:4" ht="47.25" customHeight="1" x14ac:dyDescent="0.25">
      <c r="A972" s="36" t="s">
        <v>5163</v>
      </c>
      <c r="B972" s="36" t="s">
        <v>5164</v>
      </c>
      <c r="C972" s="37" t="s">
        <v>1184</v>
      </c>
      <c r="D972" s="38" t="s">
        <v>3378</v>
      </c>
    </row>
    <row r="973" spans="1:4" ht="31.5" customHeight="1" x14ac:dyDescent="0.25">
      <c r="A973" s="36" t="s">
        <v>5165</v>
      </c>
      <c r="B973" s="36" t="s">
        <v>5166</v>
      </c>
      <c r="C973" s="37" t="s">
        <v>1413</v>
      </c>
      <c r="D973" s="38" t="s">
        <v>3379</v>
      </c>
    </row>
    <row r="974" spans="1:4" ht="47.25" customHeight="1" x14ac:dyDescent="0.25">
      <c r="A974" s="36" t="s">
        <v>5167</v>
      </c>
      <c r="B974" s="36" t="s">
        <v>5168</v>
      </c>
      <c r="C974" s="37" t="s">
        <v>731</v>
      </c>
      <c r="D974" s="38" t="s">
        <v>3380</v>
      </c>
    </row>
    <row r="975" spans="1:4" ht="31.5" customHeight="1" x14ac:dyDescent="0.25">
      <c r="A975" s="36" t="s">
        <v>5169</v>
      </c>
      <c r="B975" s="36" t="s">
        <v>5170</v>
      </c>
      <c r="C975" s="37" t="s">
        <v>5171</v>
      </c>
      <c r="D975" s="38" t="s">
        <v>3381</v>
      </c>
    </row>
    <row r="976" spans="1:4" ht="63" customHeight="1" x14ac:dyDescent="0.25">
      <c r="A976" s="36" t="s">
        <v>5172</v>
      </c>
      <c r="B976" s="36" t="s">
        <v>5173</v>
      </c>
      <c r="C976" s="37" t="s">
        <v>5171</v>
      </c>
      <c r="D976" s="38" t="s">
        <v>3382</v>
      </c>
    </row>
    <row r="977" spans="1:4" ht="47.25" customHeight="1" x14ac:dyDescent="0.25">
      <c r="A977" s="36" t="s">
        <v>5174</v>
      </c>
      <c r="B977" s="36" t="s">
        <v>5175</v>
      </c>
      <c r="C977" s="37" t="s">
        <v>5176</v>
      </c>
      <c r="D977" s="38" t="s">
        <v>3383</v>
      </c>
    </row>
    <row r="978" spans="1:4" ht="31.5" customHeight="1" x14ac:dyDescent="0.25">
      <c r="A978" s="36" t="s">
        <v>5177</v>
      </c>
      <c r="B978" s="36" t="s">
        <v>5178</v>
      </c>
      <c r="C978" s="37" t="s">
        <v>5179</v>
      </c>
      <c r="D978" s="38" t="s">
        <v>3384</v>
      </c>
    </row>
    <row r="979" spans="1:4" ht="47.25" customHeight="1" x14ac:dyDescent="0.25">
      <c r="A979" s="36" t="s">
        <v>5180</v>
      </c>
      <c r="B979" s="36" t="s">
        <v>5181</v>
      </c>
      <c r="C979" s="37" t="s">
        <v>3955</v>
      </c>
      <c r="D979" s="38" t="s">
        <v>3385</v>
      </c>
    </row>
    <row r="980" spans="1:4" ht="31.5" customHeight="1" x14ac:dyDescent="0.25">
      <c r="A980" s="36" t="s">
        <v>5182</v>
      </c>
      <c r="B980" s="36" t="s">
        <v>5183</v>
      </c>
      <c r="C980" s="37" t="s">
        <v>5184</v>
      </c>
      <c r="D980" s="38" t="s">
        <v>3386</v>
      </c>
    </row>
    <row r="981" spans="1:4" ht="47.25" customHeight="1" x14ac:dyDescent="0.25">
      <c r="A981" s="36" t="s">
        <v>5185</v>
      </c>
      <c r="B981" s="36" t="s">
        <v>5186</v>
      </c>
      <c r="C981" s="37" t="s">
        <v>266</v>
      </c>
      <c r="D981" s="38" t="s">
        <v>3387</v>
      </c>
    </row>
    <row r="982" spans="1:4" ht="47.25" customHeight="1" x14ac:dyDescent="0.25">
      <c r="A982" s="36" t="s">
        <v>5187</v>
      </c>
      <c r="B982" s="36" t="s">
        <v>5188</v>
      </c>
      <c r="C982" s="37" t="s">
        <v>639</v>
      </c>
      <c r="D982" s="38" t="s">
        <v>3388</v>
      </c>
    </row>
    <row r="983" spans="1:4" ht="63" customHeight="1" x14ac:dyDescent="0.25">
      <c r="A983" s="36" t="s">
        <v>5189</v>
      </c>
      <c r="B983" s="36" t="s">
        <v>5190</v>
      </c>
      <c r="C983" s="37" t="s">
        <v>1830</v>
      </c>
      <c r="D983" s="38" t="s">
        <v>3389</v>
      </c>
    </row>
    <row r="984" spans="1:4" ht="47.25" customHeight="1" x14ac:dyDescent="0.25">
      <c r="A984" s="36" t="s">
        <v>5191</v>
      </c>
      <c r="B984" s="36" t="s">
        <v>5192</v>
      </c>
      <c r="C984" s="37" t="s">
        <v>345</v>
      </c>
      <c r="D984" s="38" t="s">
        <v>3390</v>
      </c>
    </row>
    <row r="985" spans="1:4" ht="78.75" customHeight="1" x14ac:dyDescent="0.25">
      <c r="A985" s="36" t="s">
        <v>5193</v>
      </c>
      <c r="B985" s="36" t="s">
        <v>5194</v>
      </c>
      <c r="C985" s="37" t="s">
        <v>3938</v>
      </c>
      <c r="D985" s="38" t="s">
        <v>3391</v>
      </c>
    </row>
    <row r="986" spans="1:4" ht="31.5" customHeight="1" x14ac:dyDescent="0.25">
      <c r="A986" s="36" t="s">
        <v>5195</v>
      </c>
      <c r="B986" s="36" t="s">
        <v>5196</v>
      </c>
      <c r="C986" s="37" t="s">
        <v>1339</v>
      </c>
      <c r="D986" s="38" t="s">
        <v>3392</v>
      </c>
    </row>
    <row r="987" spans="1:4" ht="47.25" customHeight="1" x14ac:dyDescent="0.25">
      <c r="A987" s="36" t="s">
        <v>5197</v>
      </c>
      <c r="B987" s="36" t="s">
        <v>5198</v>
      </c>
      <c r="C987" s="37" t="s">
        <v>5199</v>
      </c>
      <c r="D987" s="38" t="s">
        <v>3393</v>
      </c>
    </row>
    <row r="988" spans="1:4" ht="47.25" customHeight="1" x14ac:dyDescent="0.25">
      <c r="A988" s="36" t="s">
        <v>5200</v>
      </c>
      <c r="B988" s="36" t="s">
        <v>5201</v>
      </c>
      <c r="C988" s="37" t="s">
        <v>924</v>
      </c>
      <c r="D988" s="38" t="s">
        <v>3394</v>
      </c>
    </row>
    <row r="989" spans="1:4" ht="31.5" customHeight="1" x14ac:dyDescent="0.25">
      <c r="A989" s="36" t="s">
        <v>5202</v>
      </c>
      <c r="B989" s="36" t="s">
        <v>5203</v>
      </c>
      <c r="C989" s="37" t="s">
        <v>3647</v>
      </c>
      <c r="D989" s="38" t="s">
        <v>3395</v>
      </c>
    </row>
    <row r="990" spans="1:4" ht="47.25" customHeight="1" x14ac:dyDescent="0.25">
      <c r="A990" s="36" t="s">
        <v>5204</v>
      </c>
      <c r="B990" s="36" t="s">
        <v>5205</v>
      </c>
      <c r="C990" s="37" t="s">
        <v>5206</v>
      </c>
      <c r="D990" s="38" t="s">
        <v>3396</v>
      </c>
    </row>
    <row r="991" spans="1:4" ht="47.25" customHeight="1" x14ac:dyDescent="0.25">
      <c r="A991" s="36" t="s">
        <v>5207</v>
      </c>
      <c r="B991" s="36" t="s">
        <v>5208</v>
      </c>
      <c r="C991" s="37" t="s">
        <v>5155</v>
      </c>
      <c r="D991" s="38" t="s">
        <v>3397</v>
      </c>
    </row>
    <row r="992" spans="1:4" ht="47.25" customHeight="1" x14ac:dyDescent="0.25">
      <c r="A992" s="36" t="s">
        <v>5209</v>
      </c>
      <c r="B992" s="36" t="s">
        <v>5210</v>
      </c>
      <c r="C992" s="46" t="s">
        <v>5211</v>
      </c>
      <c r="D992" s="38" t="s">
        <v>3398</v>
      </c>
    </row>
    <row r="993" spans="1:4" ht="63" customHeight="1" x14ac:dyDescent="0.25">
      <c r="A993" s="36" t="s">
        <v>5212</v>
      </c>
      <c r="B993" s="36" t="s">
        <v>5213</v>
      </c>
      <c r="C993" s="37" t="s">
        <v>214</v>
      </c>
      <c r="D993" s="38" t="s">
        <v>3399</v>
      </c>
    </row>
    <row r="994" spans="1:4" ht="63" customHeight="1" x14ac:dyDescent="0.25">
      <c r="A994" s="36" t="s">
        <v>5214</v>
      </c>
      <c r="B994" s="36" t="s">
        <v>5215</v>
      </c>
      <c r="C994" s="37" t="s">
        <v>214</v>
      </c>
      <c r="D994" s="38" t="s">
        <v>3400</v>
      </c>
    </row>
    <row r="995" spans="1:4" ht="47.25" customHeight="1" x14ac:dyDescent="0.25">
      <c r="A995" s="36" t="s">
        <v>5216</v>
      </c>
      <c r="B995" s="36" t="s">
        <v>5217</v>
      </c>
      <c r="C995" s="37" t="s">
        <v>5199</v>
      </c>
      <c r="D995" s="38" t="s">
        <v>3401</v>
      </c>
    </row>
    <row r="996" spans="1:4" ht="47.25" customHeight="1" x14ac:dyDescent="0.25">
      <c r="A996" s="36" t="s">
        <v>5218</v>
      </c>
      <c r="B996" s="36" t="s">
        <v>5219</v>
      </c>
      <c r="C996" s="37" t="s">
        <v>5199</v>
      </c>
      <c r="D996" s="38" t="s">
        <v>3402</v>
      </c>
    </row>
    <row r="997" spans="1:4" ht="47.25" customHeight="1" x14ac:dyDescent="0.25">
      <c r="A997" s="36" t="s">
        <v>5220</v>
      </c>
      <c r="B997" s="36" t="s">
        <v>5221</v>
      </c>
      <c r="C997" s="37" t="s">
        <v>4879</v>
      </c>
      <c r="D997" s="38" t="s">
        <v>3403</v>
      </c>
    </row>
    <row r="998" spans="1:4" ht="31.5" customHeight="1" x14ac:dyDescent="0.25">
      <c r="A998" s="36" t="s">
        <v>5222</v>
      </c>
      <c r="B998" s="36" t="s">
        <v>5223</v>
      </c>
      <c r="C998" s="37" t="s">
        <v>4214</v>
      </c>
      <c r="D998" s="38" t="s">
        <v>3404</v>
      </c>
    </row>
    <row r="999" spans="1:4" ht="31.5" customHeight="1" x14ac:dyDescent="0.25">
      <c r="A999" s="36" t="s">
        <v>5224</v>
      </c>
      <c r="B999" s="36" t="s">
        <v>5225</v>
      </c>
      <c r="C999" s="37" t="s">
        <v>5226</v>
      </c>
      <c r="D999" s="38" t="s">
        <v>3405</v>
      </c>
    </row>
    <row r="1000" spans="1:4" ht="31.5" customHeight="1" x14ac:dyDescent="0.25">
      <c r="A1000" s="36" t="s">
        <v>5227</v>
      </c>
      <c r="B1000" s="36" t="s">
        <v>5228</v>
      </c>
      <c r="C1000" s="37" t="s">
        <v>327</v>
      </c>
      <c r="D1000" s="38" t="s">
        <v>3406</v>
      </c>
    </row>
    <row r="1001" spans="1:4" ht="47.25" customHeight="1" x14ac:dyDescent="0.25">
      <c r="A1001" s="36" t="s">
        <v>5229</v>
      </c>
      <c r="B1001" s="36" t="s">
        <v>5230</v>
      </c>
      <c r="C1001" s="37" t="s">
        <v>3773</v>
      </c>
      <c r="D1001" s="38" t="s">
        <v>3407</v>
      </c>
    </row>
    <row r="1002" spans="1:4" ht="31.5" customHeight="1" x14ac:dyDescent="0.25">
      <c r="A1002" s="36" t="s">
        <v>5231</v>
      </c>
      <c r="B1002" s="36" t="s">
        <v>5232</v>
      </c>
      <c r="C1002" s="37" t="s">
        <v>5233</v>
      </c>
      <c r="D1002" s="38" t="s">
        <v>3408</v>
      </c>
    </row>
    <row r="1003" spans="1:4" ht="31.5" customHeight="1" x14ac:dyDescent="0.25">
      <c r="A1003" s="36" t="s">
        <v>5234</v>
      </c>
      <c r="B1003" s="36" t="s">
        <v>5235</v>
      </c>
      <c r="C1003" s="37" t="s">
        <v>1339</v>
      </c>
      <c r="D1003" s="38" t="s">
        <v>3409</v>
      </c>
    </row>
    <row r="1004" spans="1:4" ht="63" customHeight="1" x14ac:dyDescent="0.25">
      <c r="A1004" s="36" t="s">
        <v>5236</v>
      </c>
      <c r="B1004" s="36" t="s">
        <v>5237</v>
      </c>
      <c r="C1004" s="37" t="s">
        <v>511</v>
      </c>
      <c r="D1004" s="38" t="s">
        <v>3410</v>
      </c>
    </row>
    <row r="1005" spans="1:4" ht="47.25" customHeight="1" x14ac:dyDescent="0.25">
      <c r="A1005" s="36" t="s">
        <v>5238</v>
      </c>
      <c r="B1005" s="36" t="s">
        <v>5239</v>
      </c>
      <c r="C1005" s="37" t="s">
        <v>5240</v>
      </c>
      <c r="D1005" s="38" t="s">
        <v>3411</v>
      </c>
    </row>
    <row r="1006" spans="1:4" ht="31.5" customHeight="1" x14ac:dyDescent="0.25">
      <c r="A1006" s="36" t="s">
        <v>5241</v>
      </c>
      <c r="B1006" s="36" t="s">
        <v>5242</v>
      </c>
      <c r="C1006" s="37" t="s">
        <v>3782</v>
      </c>
      <c r="D1006" s="38" t="s">
        <v>3412</v>
      </c>
    </row>
    <row r="1007" spans="1:4" ht="31.5" customHeight="1" x14ac:dyDescent="0.25">
      <c r="A1007" s="36" t="s">
        <v>5243</v>
      </c>
      <c r="B1007" s="36" t="s">
        <v>5244</v>
      </c>
      <c r="C1007" s="37" t="s">
        <v>1215</v>
      </c>
      <c r="D1007" s="38" t="s">
        <v>3413</v>
      </c>
    </row>
    <row r="1008" spans="1:4" ht="31.5" customHeight="1" x14ac:dyDescent="0.25">
      <c r="A1008" s="36" t="s">
        <v>5245</v>
      </c>
      <c r="B1008" s="36" t="s">
        <v>5246</v>
      </c>
      <c r="C1008" s="37" t="s">
        <v>1215</v>
      </c>
      <c r="D1008" s="38" t="s">
        <v>3414</v>
      </c>
    </row>
    <row r="1009" spans="1:4" ht="31.5" customHeight="1" x14ac:dyDescent="0.25">
      <c r="A1009" s="36" t="s">
        <v>5247</v>
      </c>
      <c r="B1009" s="36" t="s">
        <v>5248</v>
      </c>
      <c r="C1009" s="37" t="s">
        <v>3722</v>
      </c>
      <c r="D1009" s="38" t="s">
        <v>3415</v>
      </c>
    </row>
    <row r="1010" spans="1:4" ht="31.5" customHeight="1" x14ac:dyDescent="0.25">
      <c r="A1010" s="36" t="s">
        <v>5249</v>
      </c>
      <c r="B1010" s="36" t="s">
        <v>5250</v>
      </c>
      <c r="C1010" s="37" t="s">
        <v>3722</v>
      </c>
      <c r="D1010" s="38" t="s">
        <v>3416</v>
      </c>
    </row>
    <row r="1011" spans="1:4" ht="47.25" customHeight="1" x14ac:dyDescent="0.25">
      <c r="A1011" s="36" t="s">
        <v>5251</v>
      </c>
      <c r="B1011" s="36" t="s">
        <v>5252</v>
      </c>
      <c r="C1011" s="37" t="s">
        <v>390</v>
      </c>
      <c r="D1011" s="38" t="s">
        <v>3417</v>
      </c>
    </row>
    <row r="1012" spans="1:4" x14ac:dyDescent="0.25">
      <c r="A1012" s="36" t="s">
        <v>5253</v>
      </c>
      <c r="B1012" s="36" t="s">
        <v>5254</v>
      </c>
      <c r="C1012" s="37" t="s">
        <v>944</v>
      </c>
      <c r="D1012" s="38" t="s">
        <v>3418</v>
      </c>
    </row>
    <row r="1013" spans="1:4" ht="47.25" customHeight="1" x14ac:dyDescent="0.25">
      <c r="A1013" s="36" t="s">
        <v>5255</v>
      </c>
      <c r="B1013" s="36" t="s">
        <v>5256</v>
      </c>
      <c r="C1013" s="37" t="s">
        <v>1365</v>
      </c>
      <c r="D1013" s="38" t="s">
        <v>3419</v>
      </c>
    </row>
    <row r="1014" spans="1:4" ht="47.25" customHeight="1" x14ac:dyDescent="0.25">
      <c r="A1014" s="36" t="s">
        <v>5257</v>
      </c>
      <c r="B1014" s="36" t="s">
        <v>5258</v>
      </c>
      <c r="C1014" s="37" t="s">
        <v>5259</v>
      </c>
      <c r="D1014" s="38" t="s">
        <v>3420</v>
      </c>
    </row>
    <row r="1015" spans="1:4" ht="31.5" customHeight="1" x14ac:dyDescent="0.25">
      <c r="A1015" s="36" t="s">
        <v>5260</v>
      </c>
      <c r="B1015" s="36" t="s">
        <v>5261</v>
      </c>
      <c r="C1015" s="37" t="s">
        <v>2330</v>
      </c>
      <c r="D1015" s="38" t="s">
        <v>3421</v>
      </c>
    </row>
    <row r="1016" spans="1:4" ht="47.25" customHeight="1" x14ac:dyDescent="0.25">
      <c r="A1016" s="36" t="s">
        <v>5262</v>
      </c>
      <c r="B1016" s="36" t="s">
        <v>5263</v>
      </c>
      <c r="C1016" s="37" t="s">
        <v>4574</v>
      </c>
      <c r="D1016" s="38" t="s">
        <v>3422</v>
      </c>
    </row>
    <row r="1017" spans="1:4" ht="47.25" customHeight="1" x14ac:dyDescent="0.25">
      <c r="A1017" s="36" t="s">
        <v>5264</v>
      </c>
      <c r="B1017" s="36" t="s">
        <v>5265</v>
      </c>
      <c r="C1017" s="37" t="s">
        <v>5266</v>
      </c>
      <c r="D1017" s="38" t="s">
        <v>3423</v>
      </c>
    </row>
    <row r="1018" spans="1:4" ht="63" customHeight="1" x14ac:dyDescent="0.25">
      <c r="A1018" s="36" t="s">
        <v>5267</v>
      </c>
      <c r="B1018" s="36" t="s">
        <v>5268</v>
      </c>
      <c r="C1018" s="37" t="s">
        <v>5269</v>
      </c>
      <c r="D1018" s="38" t="s">
        <v>3424</v>
      </c>
    </row>
    <row r="1019" spans="1:4" ht="31.5" customHeight="1" x14ac:dyDescent="0.25">
      <c r="A1019" s="36" t="s">
        <v>5270</v>
      </c>
      <c r="B1019" s="36" t="s">
        <v>5271</v>
      </c>
      <c r="C1019" s="37" t="s">
        <v>5272</v>
      </c>
      <c r="D1019" s="38" t="s">
        <v>3425</v>
      </c>
    </row>
    <row r="1020" spans="1:4" ht="47.25" customHeight="1" x14ac:dyDescent="0.25">
      <c r="A1020" s="36" t="s">
        <v>5273</v>
      </c>
      <c r="B1020" s="36" t="s">
        <v>5274</v>
      </c>
      <c r="C1020" s="37" t="s">
        <v>744</v>
      </c>
      <c r="D1020" s="38" t="s">
        <v>3426</v>
      </c>
    </row>
    <row r="1021" spans="1:4" ht="31.5" customHeight="1" x14ac:dyDescent="0.25">
      <c r="A1021" s="36" t="s">
        <v>5275</v>
      </c>
      <c r="B1021" s="36" t="s">
        <v>5276</v>
      </c>
      <c r="C1021" s="37" t="s">
        <v>744</v>
      </c>
      <c r="D1021" s="38" t="s">
        <v>3427</v>
      </c>
    </row>
    <row r="1022" spans="1:4" ht="47.25" customHeight="1" x14ac:dyDescent="0.25">
      <c r="A1022" s="36" t="s">
        <v>5277</v>
      </c>
      <c r="B1022" s="36" t="s">
        <v>5278</v>
      </c>
      <c r="C1022" s="37" t="s">
        <v>2025</v>
      </c>
      <c r="D1022" s="38" t="s">
        <v>3428</v>
      </c>
    </row>
    <row r="1023" spans="1:4" ht="47.25" customHeight="1" x14ac:dyDescent="0.25">
      <c r="A1023" s="36" t="s">
        <v>5279</v>
      </c>
      <c r="B1023" s="36" t="s">
        <v>5280</v>
      </c>
      <c r="C1023" s="37" t="s">
        <v>4894</v>
      </c>
      <c r="D1023" s="38" t="s">
        <v>3429</v>
      </c>
    </row>
    <row r="1024" spans="1:4" ht="47.25" customHeight="1" x14ac:dyDescent="0.25">
      <c r="A1024" s="36" t="s">
        <v>5281</v>
      </c>
      <c r="B1024" s="36" t="s">
        <v>5282</v>
      </c>
      <c r="C1024" s="37" t="s">
        <v>5283</v>
      </c>
      <c r="D1024" s="38" t="s">
        <v>3430</v>
      </c>
    </row>
    <row r="1025" spans="1:4" ht="47.25" customHeight="1" x14ac:dyDescent="0.25">
      <c r="A1025" s="36" t="s">
        <v>5284</v>
      </c>
      <c r="B1025" s="36" t="s">
        <v>5285</v>
      </c>
      <c r="C1025" s="37" t="s">
        <v>5283</v>
      </c>
      <c r="D1025" s="38" t="s">
        <v>3431</v>
      </c>
    </row>
    <row r="1026" spans="1:4" ht="63" customHeight="1" x14ac:dyDescent="0.25">
      <c r="A1026" s="36" t="s">
        <v>5286</v>
      </c>
      <c r="B1026" s="36" t="s">
        <v>5287</v>
      </c>
      <c r="C1026" s="37" t="s">
        <v>1339</v>
      </c>
      <c r="D1026" s="38" t="s">
        <v>3432</v>
      </c>
    </row>
    <row r="1027" spans="1:4" ht="47.25" customHeight="1" x14ac:dyDescent="0.25">
      <c r="A1027" s="36" t="s">
        <v>5288</v>
      </c>
      <c r="B1027" s="36" t="s">
        <v>5289</v>
      </c>
      <c r="C1027" s="37" t="s">
        <v>1684</v>
      </c>
      <c r="D1027" s="38" t="s">
        <v>3433</v>
      </c>
    </row>
    <row r="1028" spans="1:4" ht="47.25" customHeight="1" x14ac:dyDescent="0.25">
      <c r="A1028" s="36" t="s">
        <v>5290</v>
      </c>
      <c r="B1028" s="36" t="s">
        <v>5291</v>
      </c>
      <c r="C1028" s="37" t="s">
        <v>99</v>
      </c>
      <c r="D1028" s="38" t="s">
        <v>3434</v>
      </c>
    </row>
    <row r="1029" spans="1:4" ht="47.25" customHeight="1" x14ac:dyDescent="0.25">
      <c r="A1029" s="36" t="s">
        <v>5292</v>
      </c>
      <c r="B1029" s="36" t="s">
        <v>5293</v>
      </c>
      <c r="C1029" s="37" t="s">
        <v>1484</v>
      </c>
      <c r="D1029" s="38" t="s">
        <v>3435</v>
      </c>
    </row>
    <row r="1030" spans="1:4" ht="63" customHeight="1" x14ac:dyDescent="0.25">
      <c r="A1030" s="36" t="s">
        <v>5294</v>
      </c>
      <c r="B1030" s="36" t="s">
        <v>5295</v>
      </c>
      <c r="C1030" s="37" t="s">
        <v>149</v>
      </c>
      <c r="D1030" s="38" t="s">
        <v>3436</v>
      </c>
    </row>
    <row r="1031" spans="1:4" ht="47.25" customHeight="1" x14ac:dyDescent="0.25">
      <c r="A1031" s="36" t="s">
        <v>5296</v>
      </c>
      <c r="B1031" s="36" t="s">
        <v>5297</v>
      </c>
      <c r="C1031" s="37" t="s">
        <v>5233</v>
      </c>
      <c r="D1031" s="38" t="s">
        <v>3437</v>
      </c>
    </row>
    <row r="1032" spans="1:4" ht="31.5" customHeight="1" x14ac:dyDescent="0.25">
      <c r="A1032" s="36" t="s">
        <v>5298</v>
      </c>
      <c r="B1032" s="36" t="s">
        <v>5299</v>
      </c>
      <c r="C1032" s="37" t="s">
        <v>361</v>
      </c>
      <c r="D1032" s="38" t="s">
        <v>3438</v>
      </c>
    </row>
    <row r="1033" spans="1:4" ht="31.5" customHeight="1" x14ac:dyDescent="0.25">
      <c r="A1033" s="36" t="s">
        <v>5300</v>
      </c>
      <c r="B1033" s="36" t="s">
        <v>5301</v>
      </c>
      <c r="C1033" s="37" t="s">
        <v>256</v>
      </c>
      <c r="D1033" s="38" t="s">
        <v>3439</v>
      </c>
    </row>
    <row r="1034" spans="1:4" ht="47.25" customHeight="1" x14ac:dyDescent="0.25">
      <c r="A1034" s="36" t="s">
        <v>5302</v>
      </c>
      <c r="B1034" s="36" t="s">
        <v>5303</v>
      </c>
      <c r="C1034" s="37" t="s">
        <v>5304</v>
      </c>
      <c r="D1034" s="38" t="s">
        <v>3440</v>
      </c>
    </row>
    <row r="1035" spans="1:4" ht="47.25" customHeight="1" x14ac:dyDescent="0.25">
      <c r="A1035" s="36" t="s">
        <v>5305</v>
      </c>
      <c r="B1035" s="36" t="s">
        <v>5306</v>
      </c>
      <c r="C1035" s="37" t="s">
        <v>214</v>
      </c>
      <c r="D1035" s="38" t="s">
        <v>3441</v>
      </c>
    </row>
    <row r="1036" spans="1:4" ht="63" customHeight="1" x14ac:dyDescent="0.25">
      <c r="A1036" s="36" t="s">
        <v>5307</v>
      </c>
      <c r="B1036" s="36" t="s">
        <v>5308</v>
      </c>
      <c r="C1036" s="37" t="s">
        <v>345</v>
      </c>
      <c r="D1036" s="38" t="s">
        <v>3442</v>
      </c>
    </row>
    <row r="1037" spans="1:4" ht="31.5" customHeight="1" x14ac:dyDescent="0.25">
      <c r="A1037" s="36" t="s">
        <v>5309</v>
      </c>
      <c r="B1037" s="36" t="s">
        <v>5310</v>
      </c>
      <c r="C1037" s="37" t="s">
        <v>345</v>
      </c>
      <c r="D1037" s="38" t="s">
        <v>3443</v>
      </c>
    </row>
    <row r="1038" spans="1:4" ht="47.25" customHeight="1" x14ac:dyDescent="0.25">
      <c r="A1038" s="36" t="s">
        <v>5311</v>
      </c>
      <c r="B1038" s="36" t="s">
        <v>5312</v>
      </c>
      <c r="C1038" s="37" t="s">
        <v>2208</v>
      </c>
      <c r="D1038" s="38" t="s">
        <v>3444</v>
      </c>
    </row>
    <row r="1039" spans="1:4" ht="47.25" customHeight="1" x14ac:dyDescent="0.25">
      <c r="A1039" s="36" t="s">
        <v>5313</v>
      </c>
      <c r="B1039" s="36" t="s">
        <v>5314</v>
      </c>
      <c r="C1039" s="37" t="s">
        <v>1489</v>
      </c>
      <c r="D1039" s="38" t="s">
        <v>3445</v>
      </c>
    </row>
    <row r="1040" spans="1:4" ht="47.25" customHeight="1" x14ac:dyDescent="0.25">
      <c r="A1040" s="36" t="s">
        <v>5315</v>
      </c>
      <c r="B1040" s="36" t="s">
        <v>5316</v>
      </c>
      <c r="C1040" s="37" t="s">
        <v>511</v>
      </c>
      <c r="D1040" s="38" t="s">
        <v>3446</v>
      </c>
    </row>
    <row r="1041" spans="1:4" ht="47.25" customHeight="1" x14ac:dyDescent="0.25">
      <c r="A1041" s="36" t="s">
        <v>5317</v>
      </c>
      <c r="B1041" s="36" t="s">
        <v>5318</v>
      </c>
      <c r="C1041" s="37" t="s">
        <v>3865</v>
      </c>
      <c r="D1041" s="38" t="s">
        <v>3447</v>
      </c>
    </row>
    <row r="1042" spans="1:4" ht="47.25" customHeight="1" x14ac:dyDescent="0.25">
      <c r="A1042" s="36" t="s">
        <v>5319</v>
      </c>
      <c r="B1042" s="36" t="s">
        <v>5320</v>
      </c>
      <c r="C1042" s="37" t="s">
        <v>5321</v>
      </c>
      <c r="D1042" s="38" t="s">
        <v>3448</v>
      </c>
    </row>
    <row r="1043" spans="1:4" ht="47.25" customHeight="1" x14ac:dyDescent="0.25">
      <c r="A1043" s="36" t="s">
        <v>5322</v>
      </c>
      <c r="B1043" s="36" t="s">
        <v>5323</v>
      </c>
      <c r="C1043" s="37" t="s">
        <v>5324</v>
      </c>
      <c r="D1043" s="38" t="s">
        <v>3449</v>
      </c>
    </row>
    <row r="1044" spans="1:4" ht="47.25" customHeight="1" x14ac:dyDescent="0.25">
      <c r="A1044" s="36" t="s">
        <v>5325</v>
      </c>
      <c r="B1044" s="36" t="s">
        <v>5326</v>
      </c>
      <c r="C1044" s="37" t="s">
        <v>644</v>
      </c>
      <c r="D1044" s="38" t="s">
        <v>3450</v>
      </c>
    </row>
    <row r="1045" spans="1:4" ht="47.25" customHeight="1" x14ac:dyDescent="0.25">
      <c r="A1045" s="36" t="s">
        <v>5327</v>
      </c>
      <c r="B1045" s="36" t="s">
        <v>5328</v>
      </c>
      <c r="C1045" s="37" t="s">
        <v>5329</v>
      </c>
      <c r="D1045" s="38" t="s">
        <v>3451</v>
      </c>
    </row>
    <row r="1046" spans="1:4" ht="47.25" customHeight="1" x14ac:dyDescent="0.25">
      <c r="A1046" s="36" t="s">
        <v>5330</v>
      </c>
      <c r="B1046" s="36" t="s">
        <v>5331</v>
      </c>
      <c r="C1046" s="37" t="s">
        <v>1413</v>
      </c>
      <c r="D1046" s="38" t="s">
        <v>3452</v>
      </c>
    </row>
    <row r="1047" spans="1:4" ht="47.25" customHeight="1" x14ac:dyDescent="0.25">
      <c r="A1047" s="36" t="s">
        <v>5332</v>
      </c>
      <c r="B1047" s="36" t="s">
        <v>5333</v>
      </c>
      <c r="C1047" s="37" t="s">
        <v>3641</v>
      </c>
      <c r="D1047" s="38" t="s">
        <v>3453</v>
      </c>
    </row>
    <row r="1048" spans="1:4" ht="47.25" customHeight="1" x14ac:dyDescent="0.25">
      <c r="A1048" s="36" t="s">
        <v>5334</v>
      </c>
      <c r="B1048" s="36" t="s">
        <v>5335</v>
      </c>
      <c r="C1048" s="37" t="s">
        <v>5336</v>
      </c>
      <c r="D1048" s="38" t="s">
        <v>3454</v>
      </c>
    </row>
    <row r="1049" spans="1:4" ht="31.5" customHeight="1" x14ac:dyDescent="0.25">
      <c r="A1049" s="36" t="s">
        <v>5337</v>
      </c>
      <c r="B1049" s="36" t="s">
        <v>5338</v>
      </c>
      <c r="C1049" s="37" t="s">
        <v>511</v>
      </c>
      <c r="D1049" s="38" t="s">
        <v>3455</v>
      </c>
    </row>
    <row r="1050" spans="1:4" ht="47.25" customHeight="1" x14ac:dyDescent="0.25">
      <c r="A1050" s="36" t="s">
        <v>5339</v>
      </c>
      <c r="B1050" s="36" t="s">
        <v>5340</v>
      </c>
      <c r="C1050" s="37" t="s">
        <v>5341</v>
      </c>
      <c r="D1050" s="38" t="s">
        <v>3456</v>
      </c>
    </row>
    <row r="1051" spans="1:4" ht="31.5" customHeight="1" x14ac:dyDescent="0.25">
      <c r="A1051" s="36" t="s">
        <v>5342</v>
      </c>
      <c r="B1051" s="36" t="s">
        <v>5343</v>
      </c>
      <c r="C1051" s="37" t="s">
        <v>189</v>
      </c>
      <c r="D1051" s="38" t="s">
        <v>3457</v>
      </c>
    </row>
    <row r="1052" spans="1:4" ht="47.25" customHeight="1" x14ac:dyDescent="0.25">
      <c r="A1052" s="36" t="s">
        <v>5344</v>
      </c>
      <c r="B1052" s="36" t="s">
        <v>5345</v>
      </c>
      <c r="C1052" s="37" t="s">
        <v>1093</v>
      </c>
      <c r="D1052" s="38" t="s">
        <v>3458</v>
      </c>
    </row>
    <row r="1053" spans="1:4" ht="47.25" customHeight="1" x14ac:dyDescent="0.25">
      <c r="A1053" s="36" t="s">
        <v>5346</v>
      </c>
      <c r="B1053" s="36" t="s">
        <v>5347</v>
      </c>
      <c r="C1053" s="37" t="s">
        <v>1576</v>
      </c>
      <c r="D1053" s="38" t="s">
        <v>3459</v>
      </c>
    </row>
    <row r="1054" spans="1:4" ht="31.5" customHeight="1" x14ac:dyDescent="0.25">
      <c r="A1054" s="36" t="s">
        <v>5348</v>
      </c>
      <c r="B1054" s="36" t="s">
        <v>5349</v>
      </c>
      <c r="C1054" s="37" t="s">
        <v>5350</v>
      </c>
      <c r="D1054" s="38" t="s">
        <v>3460</v>
      </c>
    </row>
    <row r="1055" spans="1:4" ht="47.25" customHeight="1" x14ac:dyDescent="0.25">
      <c r="A1055" s="36" t="s">
        <v>5351</v>
      </c>
      <c r="B1055" s="36" t="s">
        <v>5352</v>
      </c>
      <c r="C1055" s="37" t="s">
        <v>1576</v>
      </c>
      <c r="D1055" s="38" t="s">
        <v>3461</v>
      </c>
    </row>
    <row r="1056" spans="1:4" ht="47.25" customHeight="1" x14ac:dyDescent="0.25">
      <c r="A1056" s="36" t="s">
        <v>5353</v>
      </c>
      <c r="B1056" s="36" t="s">
        <v>5354</v>
      </c>
      <c r="C1056" s="37" t="s">
        <v>560</v>
      </c>
      <c r="D1056" s="38" t="s">
        <v>3462</v>
      </c>
    </row>
    <row r="1057" spans="1:4" ht="47.25" customHeight="1" x14ac:dyDescent="0.25">
      <c r="A1057" s="36" t="s">
        <v>5355</v>
      </c>
      <c r="B1057" s="36" t="s">
        <v>5356</v>
      </c>
      <c r="C1057" s="37" t="s">
        <v>4437</v>
      </c>
      <c r="D1057" s="38" t="s">
        <v>3463</v>
      </c>
    </row>
    <row r="1058" spans="1:4" ht="47.25" customHeight="1" x14ac:dyDescent="0.25">
      <c r="A1058" s="36" t="s">
        <v>5357</v>
      </c>
      <c r="B1058" s="36" t="s">
        <v>5358</v>
      </c>
      <c r="C1058" s="37" t="s">
        <v>1684</v>
      </c>
      <c r="D1058" s="38" t="s">
        <v>3464</v>
      </c>
    </row>
    <row r="1059" spans="1:4" ht="47.25" customHeight="1" x14ac:dyDescent="0.25">
      <c r="A1059" s="36" t="s">
        <v>5359</v>
      </c>
      <c r="B1059" s="36" t="s">
        <v>5360</v>
      </c>
      <c r="C1059" s="37" t="s">
        <v>924</v>
      </c>
      <c r="D1059" s="38" t="s">
        <v>3465</v>
      </c>
    </row>
    <row r="1060" spans="1:4" ht="31.5" customHeight="1" x14ac:dyDescent="0.25">
      <c r="A1060" s="36" t="s">
        <v>5361</v>
      </c>
      <c r="B1060" s="36" t="s">
        <v>5362</v>
      </c>
      <c r="C1060" s="37" t="s">
        <v>4078</v>
      </c>
      <c r="D1060" s="38" t="s">
        <v>3466</v>
      </c>
    </row>
    <row r="1061" spans="1:4" ht="47.25" customHeight="1" x14ac:dyDescent="0.25">
      <c r="A1061" s="36" t="s">
        <v>5363</v>
      </c>
      <c r="B1061" s="36" t="s">
        <v>5364</v>
      </c>
      <c r="C1061" s="37" t="s">
        <v>911</v>
      </c>
      <c r="D1061" s="38" t="s">
        <v>3467</v>
      </c>
    </row>
    <row r="1062" spans="1:4" ht="47.25" customHeight="1" x14ac:dyDescent="0.25">
      <c r="A1062" s="36" t="s">
        <v>5365</v>
      </c>
      <c r="B1062" s="36" t="s">
        <v>5366</v>
      </c>
      <c r="C1062" s="37" t="s">
        <v>5367</v>
      </c>
      <c r="D1062" s="38" t="s">
        <v>3468</v>
      </c>
    </row>
    <row r="1063" spans="1:4" ht="31.5" customHeight="1" x14ac:dyDescent="0.25">
      <c r="A1063" s="36" t="s">
        <v>5368</v>
      </c>
      <c r="B1063" s="36" t="s">
        <v>5369</v>
      </c>
      <c r="C1063" s="37" t="s">
        <v>620</v>
      </c>
      <c r="D1063" s="38" t="s">
        <v>3469</v>
      </c>
    </row>
    <row r="1064" spans="1:4" ht="47.25" customHeight="1" x14ac:dyDescent="0.25">
      <c r="A1064" s="36" t="s">
        <v>5370</v>
      </c>
      <c r="B1064" s="36" t="s">
        <v>5371</v>
      </c>
      <c r="C1064" s="37" t="s">
        <v>1468</v>
      </c>
      <c r="D1064" s="38" t="s">
        <v>3470</v>
      </c>
    </row>
    <row r="1065" spans="1:4" ht="78.75" customHeight="1" x14ac:dyDescent="0.25">
      <c r="A1065" s="36" t="s">
        <v>5372</v>
      </c>
      <c r="B1065" s="36" t="s">
        <v>5373</v>
      </c>
      <c r="C1065" s="37" t="s">
        <v>911</v>
      </c>
      <c r="D1065" s="38" t="s">
        <v>3471</v>
      </c>
    </row>
    <row r="1066" spans="1:4" ht="47.25" customHeight="1" x14ac:dyDescent="0.25">
      <c r="A1066" s="36" t="s">
        <v>5374</v>
      </c>
      <c r="B1066" s="36" t="s">
        <v>5375</v>
      </c>
      <c r="C1066" s="37" t="s">
        <v>4700</v>
      </c>
      <c r="D1066" s="38" t="s">
        <v>3472</v>
      </c>
    </row>
    <row r="1067" spans="1:4" ht="47.25" customHeight="1" x14ac:dyDescent="0.25">
      <c r="A1067" s="36" t="s">
        <v>5376</v>
      </c>
      <c r="B1067" s="36" t="s">
        <v>5377</v>
      </c>
      <c r="C1067" s="37" t="s">
        <v>5184</v>
      </c>
      <c r="D1067" s="38" t="s">
        <v>3473</v>
      </c>
    </row>
    <row r="1068" spans="1:4" ht="47.25" customHeight="1" x14ac:dyDescent="0.25">
      <c r="A1068" s="36" t="s">
        <v>5378</v>
      </c>
      <c r="B1068" s="36" t="s">
        <v>5379</v>
      </c>
      <c r="C1068" s="37" t="s">
        <v>366</v>
      </c>
      <c r="D1068" s="38" t="s">
        <v>3474</v>
      </c>
    </row>
    <row r="1069" spans="1:4" ht="31.5" customHeight="1" x14ac:dyDescent="0.25">
      <c r="A1069" s="36" t="s">
        <v>5380</v>
      </c>
      <c r="B1069" s="36" t="s">
        <v>5381</v>
      </c>
      <c r="C1069" s="37" t="s">
        <v>1001</v>
      </c>
      <c r="D1069" s="38" t="s">
        <v>3475</v>
      </c>
    </row>
    <row r="1070" spans="1:4" ht="63" customHeight="1" x14ac:dyDescent="0.25">
      <c r="A1070" s="36" t="s">
        <v>5382</v>
      </c>
      <c r="B1070" s="36" t="s">
        <v>5383</v>
      </c>
      <c r="C1070" s="37" t="s">
        <v>5384</v>
      </c>
      <c r="D1070" s="38" t="s">
        <v>3476</v>
      </c>
    </row>
    <row r="1071" spans="1:4" ht="31.5" customHeight="1" x14ac:dyDescent="0.25">
      <c r="A1071" s="36" t="s">
        <v>5385</v>
      </c>
      <c r="B1071" s="36" t="s">
        <v>5386</v>
      </c>
      <c r="C1071" s="37" t="s">
        <v>4690</v>
      </c>
      <c r="D1071" s="38" t="s">
        <v>3477</v>
      </c>
    </row>
    <row r="1072" spans="1:4" ht="63" customHeight="1" x14ac:dyDescent="0.25">
      <c r="A1072" s="36" t="s">
        <v>5387</v>
      </c>
      <c r="B1072" s="36" t="s">
        <v>5388</v>
      </c>
      <c r="C1072" s="37" t="s">
        <v>5389</v>
      </c>
      <c r="D1072" s="38" t="s">
        <v>3478</v>
      </c>
    </row>
    <row r="1073" spans="1:4" ht="63" customHeight="1" x14ac:dyDescent="0.25">
      <c r="A1073" s="36" t="s">
        <v>5390</v>
      </c>
      <c r="B1073" s="36" t="s">
        <v>5391</v>
      </c>
      <c r="C1073" s="37" t="s">
        <v>63</v>
      </c>
      <c r="D1073" s="38" t="s">
        <v>3479</v>
      </c>
    </row>
    <row r="1074" spans="1:4" ht="31.5" customHeight="1" x14ac:dyDescent="0.25">
      <c r="A1074" s="36" t="s">
        <v>5392</v>
      </c>
      <c r="B1074" s="36" t="s">
        <v>5393</v>
      </c>
      <c r="C1074" s="37" t="s">
        <v>4371</v>
      </c>
      <c r="D1074" s="38" t="s">
        <v>3480</v>
      </c>
    </row>
    <row r="1075" spans="1:4" ht="31.5" customHeight="1" x14ac:dyDescent="0.25">
      <c r="A1075" s="36" t="s">
        <v>5394</v>
      </c>
      <c r="B1075" s="36" t="s">
        <v>5395</v>
      </c>
      <c r="C1075" s="37" t="s">
        <v>63</v>
      </c>
      <c r="D1075" s="38" t="s">
        <v>3481</v>
      </c>
    </row>
    <row r="1076" spans="1:4" ht="31.5" customHeight="1" x14ac:dyDescent="0.25">
      <c r="A1076" s="36" t="s">
        <v>5396</v>
      </c>
      <c r="B1076" s="36" t="s">
        <v>5397</v>
      </c>
      <c r="C1076" s="37" t="s">
        <v>3667</v>
      </c>
      <c r="D1076" s="38" t="s">
        <v>3482</v>
      </c>
    </row>
    <row r="1077" spans="1:4" ht="47.25" customHeight="1" x14ac:dyDescent="0.25">
      <c r="A1077" s="36" t="s">
        <v>5398</v>
      </c>
      <c r="B1077" s="36" t="s">
        <v>5399</v>
      </c>
      <c r="C1077" s="37" t="s">
        <v>289</v>
      </c>
      <c r="D1077" s="38" t="s">
        <v>3483</v>
      </c>
    </row>
    <row r="1078" spans="1:4" ht="94.5" customHeight="1" x14ac:dyDescent="0.25">
      <c r="A1078" s="36" t="s">
        <v>5400</v>
      </c>
      <c r="B1078" s="36" t="s">
        <v>5401</v>
      </c>
      <c r="C1078" s="37" t="s">
        <v>345</v>
      </c>
      <c r="D1078" s="38" t="s">
        <v>3484</v>
      </c>
    </row>
    <row r="1079" spans="1:4" ht="31.5" customHeight="1" x14ac:dyDescent="0.25">
      <c r="A1079" s="36" t="s">
        <v>5402</v>
      </c>
      <c r="B1079" s="36" t="s">
        <v>5403</v>
      </c>
      <c r="C1079" s="37" t="s">
        <v>854</v>
      </c>
      <c r="D1079" s="38" t="s">
        <v>3485</v>
      </c>
    </row>
    <row r="1080" spans="1:4" ht="31.5" customHeight="1" x14ac:dyDescent="0.25">
      <c r="A1080" s="36" t="s">
        <v>5404</v>
      </c>
      <c r="B1080" s="36" t="s">
        <v>5405</v>
      </c>
      <c r="C1080" s="37" t="s">
        <v>1571</v>
      </c>
      <c r="D1080" s="38" t="s">
        <v>3486</v>
      </c>
    </row>
    <row r="1081" spans="1:4" ht="31.5" customHeight="1" x14ac:dyDescent="0.25">
      <c r="A1081" s="36" t="s">
        <v>5406</v>
      </c>
      <c r="B1081" s="36" t="s">
        <v>5407</v>
      </c>
      <c r="C1081" s="37" t="s">
        <v>4811</v>
      </c>
      <c r="D1081" s="38" t="s">
        <v>3487</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pageSetUpPr fitToPage="1"/>
  </sheetPr>
  <dimension ref="A2:I6"/>
  <sheetViews>
    <sheetView showZeros="0" zoomScaleNormal="100" workbookViewId="0">
      <selection activeCell="E30" sqref="E30"/>
    </sheetView>
  </sheetViews>
  <sheetFormatPr defaultColWidth="9.140625" defaultRowHeight="15.75" x14ac:dyDescent="0.25"/>
  <cols>
    <col min="1" max="1" width="19" style="27" customWidth="1"/>
    <col min="2" max="2" width="13.7109375" customWidth="1"/>
    <col min="3" max="3" width="14.5703125" customWidth="1"/>
    <col min="4" max="4" width="6.140625" customWidth="1"/>
    <col min="5" max="5" width="10" customWidth="1"/>
    <col min="6" max="6" width="6.85546875" customWidth="1"/>
    <col min="7" max="7" width="6.28515625" customWidth="1"/>
    <col min="8" max="8" width="5" customWidth="1"/>
    <col min="9" max="9" width="13.42578125" customWidth="1"/>
    <col min="10" max="10" width="12.7109375" style="27" customWidth="1"/>
    <col min="11" max="16384" width="9.140625" style="27"/>
  </cols>
  <sheetData>
    <row r="2" spans="1:1" x14ac:dyDescent="0.25">
      <c r="A2" s="26"/>
    </row>
    <row r="3" spans="1:1" x14ac:dyDescent="0.25">
      <c r="A3" s="26"/>
    </row>
    <row r="4" spans="1:1" x14ac:dyDescent="0.25">
      <c r="A4" s="26"/>
    </row>
    <row r="5" spans="1:1" x14ac:dyDescent="0.25">
      <c r="A5" s="26"/>
    </row>
    <row r="6" spans="1:1" x14ac:dyDescent="0.25">
      <c r="A6" s="157"/>
    </row>
  </sheetData>
  <printOptions horizontalCentered="1" verticalCentered="1"/>
  <pageMargins left="0.39374999999999999" right="0.39374999999999999" top="0.39374999999999999" bottom="0.39374999999999999"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B1:N83"/>
  <sheetViews>
    <sheetView showGridLines="0" showZeros="0" zoomScaleNormal="100" workbookViewId="0">
      <selection activeCell="C4" sqref="C4"/>
    </sheetView>
  </sheetViews>
  <sheetFormatPr defaultColWidth="8.7109375" defaultRowHeight="15" x14ac:dyDescent="0.25"/>
  <cols>
    <col min="1" max="1" width="2" customWidth="1"/>
    <col min="2" max="2" width="12.28515625" customWidth="1"/>
    <col min="3" max="3" width="9.28515625" customWidth="1"/>
    <col min="4" max="4" width="13.42578125" customWidth="1"/>
    <col min="5" max="5" width="24.7109375" customWidth="1"/>
    <col min="6" max="6" width="8" customWidth="1"/>
    <col min="7" max="7" width="3.28515625" customWidth="1"/>
    <col min="8" max="8" width="9.7109375" customWidth="1"/>
    <col min="9" max="9" width="9.28515625" customWidth="1"/>
    <col min="10" max="10" width="4.85546875" customWidth="1"/>
    <col min="11" max="11" width="7" customWidth="1"/>
    <col min="12" max="12" width="3.5703125" customWidth="1"/>
    <col min="13" max="13" width="4.140625" customWidth="1"/>
    <col min="14" max="17" width="12" customWidth="1"/>
  </cols>
  <sheetData>
    <row r="1" spans="2:14" ht="27.75" customHeight="1" x14ac:dyDescent="0.25">
      <c r="B1" s="260" t="s">
        <v>5408</v>
      </c>
      <c r="C1" s="260"/>
      <c r="D1" s="260"/>
      <c r="E1" s="260"/>
      <c r="F1" s="260"/>
      <c r="G1" s="260"/>
      <c r="H1" s="260"/>
      <c r="I1" s="260"/>
      <c r="J1" s="260"/>
      <c r="K1" s="260"/>
      <c r="L1" s="260"/>
      <c r="M1" s="260"/>
      <c r="N1" s="260"/>
    </row>
    <row r="2" spans="2:14" ht="19.5" customHeight="1" x14ac:dyDescent="0.25">
      <c r="B2" s="261" t="s">
        <v>5409</v>
      </c>
      <c r="C2" s="261"/>
      <c r="D2" s="261"/>
      <c r="E2" s="261"/>
      <c r="F2" s="261"/>
      <c r="G2" s="261"/>
      <c r="H2" s="261"/>
      <c r="I2" s="261"/>
      <c r="J2" s="261"/>
    </row>
    <row r="3" spans="2:14" ht="13.5" customHeight="1" x14ac:dyDescent="0.25">
      <c r="B3" s="262" t="s">
        <v>5410</v>
      </c>
      <c r="C3" s="262"/>
      <c r="D3" s="262"/>
      <c r="E3" s="262"/>
      <c r="F3" s="262"/>
      <c r="G3" s="262"/>
      <c r="H3" s="262"/>
      <c r="I3" s="262"/>
      <c r="J3" s="262"/>
    </row>
    <row r="4" spans="2:14" ht="21.75" customHeight="1" x14ac:dyDescent="0.25">
      <c r="B4" s="159" t="s">
        <v>5411</v>
      </c>
      <c r="C4" s="160" t="s">
        <v>64</v>
      </c>
      <c r="D4" s="161" t="s">
        <v>88</v>
      </c>
      <c r="E4" s="162" t="s">
        <v>193</v>
      </c>
      <c r="F4" s="163" t="s">
        <v>205</v>
      </c>
      <c r="G4" s="164" t="s">
        <v>159</v>
      </c>
      <c r="H4" s="165" t="s">
        <v>140</v>
      </c>
      <c r="I4" s="166" t="s">
        <v>387</v>
      </c>
      <c r="K4" s="167" t="s">
        <v>4</v>
      </c>
    </row>
    <row r="5" spans="2:14" ht="19.5" customHeight="1" x14ac:dyDescent="0.25">
      <c r="B5" s="168" t="s">
        <v>88</v>
      </c>
      <c r="C5" s="169">
        <v>48</v>
      </c>
      <c r="D5" s="170">
        <v>1</v>
      </c>
      <c r="E5" s="171">
        <v>7</v>
      </c>
      <c r="F5" s="172"/>
      <c r="G5" s="172"/>
      <c r="H5" s="172"/>
      <c r="I5" s="173">
        <v>3</v>
      </c>
      <c r="K5" s="174">
        <v>59</v>
      </c>
    </row>
    <row r="6" spans="2:14" ht="19.5" customHeight="1" x14ac:dyDescent="0.25">
      <c r="B6" s="175" t="s">
        <v>193</v>
      </c>
      <c r="C6" s="169">
        <v>3</v>
      </c>
      <c r="D6" s="170">
        <v>5</v>
      </c>
      <c r="E6" s="172"/>
      <c r="F6" s="172"/>
      <c r="G6" s="172"/>
      <c r="H6" s="172"/>
      <c r="I6" s="172"/>
      <c r="K6" s="174">
        <v>8</v>
      </c>
    </row>
    <row r="7" spans="2:14" ht="19.5" customHeight="1" x14ac:dyDescent="0.25">
      <c r="B7" s="176" t="s">
        <v>205</v>
      </c>
      <c r="C7" s="172"/>
      <c r="D7" s="172"/>
      <c r="E7" s="171">
        <v>1</v>
      </c>
      <c r="F7" s="172"/>
      <c r="G7" s="172"/>
      <c r="H7" s="172"/>
      <c r="I7" s="172"/>
      <c r="K7" s="174">
        <v>1</v>
      </c>
    </row>
    <row r="8" spans="2:14" ht="19.5" customHeight="1" x14ac:dyDescent="0.25">
      <c r="B8" s="177" t="s">
        <v>159</v>
      </c>
      <c r="C8" s="169">
        <v>1</v>
      </c>
      <c r="D8" s="172"/>
      <c r="E8" s="172"/>
      <c r="F8" s="172"/>
      <c r="G8" s="172"/>
      <c r="H8" s="172"/>
      <c r="I8" s="172"/>
      <c r="K8" s="174">
        <v>1</v>
      </c>
    </row>
    <row r="9" spans="2:14" ht="21.75" customHeight="1" x14ac:dyDescent="0.25">
      <c r="B9" s="178" t="s">
        <v>4</v>
      </c>
      <c r="C9" s="158">
        <v>52</v>
      </c>
      <c r="D9" s="158">
        <v>6</v>
      </c>
      <c r="E9" s="158">
        <v>8</v>
      </c>
      <c r="F9" s="158"/>
      <c r="G9" s="158"/>
      <c r="H9" s="158"/>
      <c r="I9" s="158">
        <v>3</v>
      </c>
      <c r="K9" s="179">
        <v>69</v>
      </c>
    </row>
    <row r="12" spans="2:14" ht="19.5" customHeight="1" x14ac:dyDescent="0.25">
      <c r="B12" s="261" t="s">
        <v>5412</v>
      </c>
      <c r="C12" s="261"/>
      <c r="D12" s="261"/>
      <c r="E12" s="261"/>
      <c r="F12" s="261"/>
      <c r="G12" s="261"/>
      <c r="H12" s="261"/>
      <c r="I12" s="261"/>
      <c r="J12" s="261"/>
      <c r="K12" s="261"/>
      <c r="L12" s="261"/>
      <c r="M12" s="261"/>
    </row>
    <row r="13" spans="2:14" ht="13.5" customHeight="1" x14ac:dyDescent="0.25">
      <c r="B13" s="262" t="s">
        <v>5413</v>
      </c>
      <c r="C13" s="262"/>
      <c r="D13" s="262"/>
      <c r="E13" s="262"/>
      <c r="F13" s="262"/>
      <c r="G13" s="262"/>
      <c r="H13" s="262"/>
      <c r="I13" s="262"/>
      <c r="J13" s="262"/>
      <c r="K13" s="262"/>
      <c r="L13" s="262"/>
      <c r="M13" s="262"/>
    </row>
    <row r="14" spans="2:14" ht="19.5" customHeight="1" x14ac:dyDescent="0.25">
      <c r="B14" s="180" t="s">
        <v>5414</v>
      </c>
      <c r="C14" s="180" t="s">
        <v>5415</v>
      </c>
      <c r="D14" s="180" t="s">
        <v>45</v>
      </c>
      <c r="E14" s="180" t="s">
        <v>41</v>
      </c>
      <c r="F14" s="180" t="s">
        <v>5416</v>
      </c>
      <c r="G14" s="180" t="s">
        <v>5417</v>
      </c>
      <c r="H14" s="180" t="s">
        <v>5418</v>
      </c>
      <c r="I14" s="180" t="s">
        <v>5417</v>
      </c>
      <c r="J14" s="180" t="s">
        <v>5419</v>
      </c>
      <c r="K14" s="180" t="s">
        <v>5417</v>
      </c>
      <c r="L14" s="180" t="s">
        <v>5420</v>
      </c>
      <c r="M14" s="180" t="s">
        <v>5421</v>
      </c>
    </row>
    <row r="15" spans="2:14" ht="15" customHeight="1" x14ac:dyDescent="0.25">
      <c r="B15" s="181">
        <v>1</v>
      </c>
      <c r="C15" s="182" t="s">
        <v>81</v>
      </c>
      <c r="D15" s="183" t="s">
        <v>37</v>
      </c>
      <c r="E15" s="184" t="s">
        <v>82</v>
      </c>
      <c r="F15" s="161" t="s">
        <v>88</v>
      </c>
      <c r="G15" s="185" t="s">
        <v>5417</v>
      </c>
      <c r="H15" s="160" t="s">
        <v>64</v>
      </c>
      <c r="I15" s="185"/>
      <c r="J15" s="186"/>
      <c r="K15" s="185"/>
      <c r="L15" s="186"/>
      <c r="M15" s="181" t="s">
        <v>5422</v>
      </c>
    </row>
    <row r="16" spans="2:14" ht="15" customHeight="1" x14ac:dyDescent="0.25">
      <c r="B16" s="187">
        <v>2</v>
      </c>
      <c r="C16" s="188" t="s">
        <v>90</v>
      </c>
      <c r="D16" s="189" t="s">
        <v>37</v>
      </c>
      <c r="E16" s="190" t="s">
        <v>91</v>
      </c>
      <c r="F16" s="161" t="s">
        <v>88</v>
      </c>
      <c r="G16" s="191" t="s">
        <v>5417</v>
      </c>
      <c r="H16" s="160" t="s">
        <v>64</v>
      </c>
      <c r="I16" s="191"/>
      <c r="J16" s="192"/>
      <c r="K16" s="191"/>
      <c r="L16" s="192"/>
      <c r="M16" s="187" t="s">
        <v>5422</v>
      </c>
    </row>
    <row r="17" spans="2:13" ht="15" customHeight="1" x14ac:dyDescent="0.25">
      <c r="B17" s="181">
        <v>3</v>
      </c>
      <c r="C17" s="182" t="s">
        <v>124</v>
      </c>
      <c r="D17" s="183" t="s">
        <v>37</v>
      </c>
      <c r="E17" s="184" t="s">
        <v>125</v>
      </c>
      <c r="F17" s="161" t="s">
        <v>88</v>
      </c>
      <c r="G17" s="185" t="s">
        <v>5417</v>
      </c>
      <c r="H17" s="160" t="s">
        <v>64</v>
      </c>
      <c r="I17" s="185"/>
      <c r="J17" s="186"/>
      <c r="K17" s="185"/>
      <c r="L17" s="186"/>
      <c r="M17" s="181" t="s">
        <v>5422</v>
      </c>
    </row>
    <row r="18" spans="2:13" ht="15" customHeight="1" x14ac:dyDescent="0.25">
      <c r="B18" s="187">
        <v>4</v>
      </c>
      <c r="C18" s="188" t="s">
        <v>142</v>
      </c>
      <c r="D18" s="189" t="s">
        <v>36</v>
      </c>
      <c r="E18" s="190" t="s">
        <v>143</v>
      </c>
      <c r="F18" s="161" t="s">
        <v>88</v>
      </c>
      <c r="G18" s="191" t="s">
        <v>5417</v>
      </c>
      <c r="H18" s="160" t="s">
        <v>64</v>
      </c>
      <c r="I18" s="191"/>
      <c r="J18" s="192"/>
      <c r="K18" s="191"/>
      <c r="L18" s="192"/>
      <c r="M18" s="187" t="s">
        <v>5422</v>
      </c>
    </row>
    <row r="19" spans="2:13" ht="15" customHeight="1" x14ac:dyDescent="0.25">
      <c r="B19" s="181">
        <v>5</v>
      </c>
      <c r="C19" s="182" t="s">
        <v>166</v>
      </c>
      <c r="D19" s="183" t="s">
        <v>35</v>
      </c>
      <c r="E19" s="184" t="s">
        <v>167</v>
      </c>
      <c r="F19" s="161" t="s">
        <v>88</v>
      </c>
      <c r="G19" s="185" t="s">
        <v>5417</v>
      </c>
      <c r="H19" s="160" t="s">
        <v>64</v>
      </c>
      <c r="I19" s="185"/>
      <c r="J19" s="186"/>
      <c r="K19" s="185"/>
      <c r="L19" s="186"/>
      <c r="M19" s="181" t="s">
        <v>5422</v>
      </c>
    </row>
    <row r="20" spans="2:13" ht="15" customHeight="1" x14ac:dyDescent="0.25">
      <c r="B20" s="187">
        <v>6</v>
      </c>
      <c r="C20" s="188" t="s">
        <v>188</v>
      </c>
      <c r="D20" s="189" t="s">
        <v>37</v>
      </c>
      <c r="E20" s="190" t="s">
        <v>189</v>
      </c>
      <c r="F20" s="161" t="s">
        <v>88</v>
      </c>
      <c r="G20" s="191" t="s">
        <v>5417</v>
      </c>
      <c r="H20" s="162" t="s">
        <v>193</v>
      </c>
      <c r="I20" s="191" t="s">
        <v>5417</v>
      </c>
      <c r="J20" s="160" t="s">
        <v>64</v>
      </c>
      <c r="K20" s="191"/>
      <c r="L20" s="192"/>
      <c r="M20" s="187" t="s">
        <v>5423</v>
      </c>
    </row>
    <row r="21" spans="2:13" ht="15" customHeight="1" x14ac:dyDescent="0.25">
      <c r="B21" s="181">
        <v>7</v>
      </c>
      <c r="C21" s="182" t="s">
        <v>195</v>
      </c>
      <c r="D21" s="183" t="s">
        <v>35</v>
      </c>
      <c r="E21" s="184" t="s">
        <v>196</v>
      </c>
      <c r="F21" s="161" t="s">
        <v>88</v>
      </c>
      <c r="G21" s="185" t="s">
        <v>5417</v>
      </c>
      <c r="H21" s="160" t="s">
        <v>64</v>
      </c>
      <c r="I21" s="185"/>
      <c r="J21" s="186"/>
      <c r="K21" s="185"/>
      <c r="L21" s="186"/>
      <c r="M21" s="181" t="s">
        <v>5422</v>
      </c>
    </row>
    <row r="22" spans="2:13" ht="15" customHeight="1" x14ac:dyDescent="0.25">
      <c r="B22" s="187">
        <v>8</v>
      </c>
      <c r="C22" s="188" t="s">
        <v>200</v>
      </c>
      <c r="D22" s="189" t="s">
        <v>34</v>
      </c>
      <c r="E22" s="190" t="s">
        <v>201</v>
      </c>
      <c r="F22" s="163" t="s">
        <v>205</v>
      </c>
      <c r="G22" s="191" t="s">
        <v>5417</v>
      </c>
      <c r="H22" s="162" t="s">
        <v>193</v>
      </c>
      <c r="I22" s="191"/>
      <c r="J22" s="192"/>
      <c r="K22" s="191"/>
      <c r="L22" s="192"/>
      <c r="M22" s="187" t="s">
        <v>5422</v>
      </c>
    </row>
    <row r="23" spans="2:13" ht="15" customHeight="1" x14ac:dyDescent="0.25">
      <c r="B23" s="181">
        <v>9</v>
      </c>
      <c r="C23" s="182" t="s">
        <v>207</v>
      </c>
      <c r="D23" s="183" t="s">
        <v>34</v>
      </c>
      <c r="E23" s="184" t="s">
        <v>208</v>
      </c>
      <c r="F23" s="161" t="s">
        <v>88</v>
      </c>
      <c r="G23" s="185" t="s">
        <v>5417</v>
      </c>
      <c r="H23" s="162" t="s">
        <v>193</v>
      </c>
      <c r="I23" s="185" t="s">
        <v>5417</v>
      </c>
      <c r="J23" s="160" t="s">
        <v>64</v>
      </c>
      <c r="K23" s="185"/>
      <c r="L23" s="186"/>
      <c r="M23" s="181" t="s">
        <v>5423</v>
      </c>
    </row>
    <row r="24" spans="2:13" ht="15" customHeight="1" x14ac:dyDescent="0.25">
      <c r="B24" s="187">
        <v>10</v>
      </c>
      <c r="C24" s="188" t="s">
        <v>239</v>
      </c>
      <c r="D24" s="189" t="s">
        <v>34</v>
      </c>
      <c r="E24" s="190" t="s">
        <v>155</v>
      </c>
      <c r="F24" s="161" t="s">
        <v>88</v>
      </c>
      <c r="G24" s="191" t="s">
        <v>5417</v>
      </c>
      <c r="H24" s="160" t="s">
        <v>64</v>
      </c>
      <c r="I24" s="191"/>
      <c r="J24" s="192"/>
      <c r="K24" s="191"/>
      <c r="L24" s="192"/>
      <c r="M24" s="187" t="s">
        <v>5422</v>
      </c>
    </row>
    <row r="25" spans="2:13" ht="15" customHeight="1" x14ac:dyDescent="0.25">
      <c r="B25" s="181">
        <v>11</v>
      </c>
      <c r="C25" s="182" t="s">
        <v>276</v>
      </c>
      <c r="D25" s="183" t="s">
        <v>34</v>
      </c>
      <c r="E25" s="184" t="s">
        <v>277</v>
      </c>
      <c r="F25" s="161" t="s">
        <v>88</v>
      </c>
      <c r="G25" s="185" t="s">
        <v>5417</v>
      </c>
      <c r="H25" s="162" t="s">
        <v>193</v>
      </c>
      <c r="I25" s="185" t="s">
        <v>5417</v>
      </c>
      <c r="J25" s="160" t="s">
        <v>64</v>
      </c>
      <c r="K25" s="185"/>
      <c r="L25" s="186"/>
      <c r="M25" s="181" t="s">
        <v>5423</v>
      </c>
    </row>
    <row r="26" spans="2:13" ht="15" customHeight="1" x14ac:dyDescent="0.25">
      <c r="B26" s="187">
        <v>12</v>
      </c>
      <c r="C26" s="188" t="s">
        <v>282</v>
      </c>
      <c r="D26" s="189" t="s">
        <v>34</v>
      </c>
      <c r="E26" s="190" t="s">
        <v>283</v>
      </c>
      <c r="F26" s="164" t="s">
        <v>159</v>
      </c>
      <c r="G26" s="191" t="s">
        <v>5417</v>
      </c>
      <c r="H26" s="160" t="s">
        <v>64</v>
      </c>
      <c r="I26" s="191"/>
      <c r="J26" s="192"/>
      <c r="K26" s="191"/>
      <c r="L26" s="192"/>
      <c r="M26" s="187" t="s">
        <v>5422</v>
      </c>
    </row>
    <row r="27" spans="2:13" ht="15" customHeight="1" x14ac:dyDescent="0.25">
      <c r="B27" s="181">
        <v>13</v>
      </c>
      <c r="C27" s="182" t="s">
        <v>298</v>
      </c>
      <c r="D27" s="183" t="s">
        <v>34</v>
      </c>
      <c r="E27" s="184" t="s">
        <v>294</v>
      </c>
      <c r="F27" s="161" t="s">
        <v>88</v>
      </c>
      <c r="G27" s="185" t="s">
        <v>5417</v>
      </c>
      <c r="H27" s="162" t="s">
        <v>193</v>
      </c>
      <c r="I27" s="185" t="s">
        <v>5417</v>
      </c>
      <c r="J27" s="160" t="s">
        <v>64</v>
      </c>
      <c r="K27" s="185"/>
      <c r="L27" s="186"/>
      <c r="M27" s="181" t="s">
        <v>5423</v>
      </c>
    </row>
    <row r="28" spans="2:13" ht="15" customHeight="1" x14ac:dyDescent="0.25">
      <c r="B28" s="187">
        <v>14</v>
      </c>
      <c r="C28" s="188" t="s">
        <v>321</v>
      </c>
      <c r="D28" s="189" t="s">
        <v>34</v>
      </c>
      <c r="E28" s="190" t="s">
        <v>322</v>
      </c>
      <c r="F28" s="161" t="s">
        <v>88</v>
      </c>
      <c r="G28" s="191" t="s">
        <v>5417</v>
      </c>
      <c r="H28" s="160" t="s">
        <v>64</v>
      </c>
      <c r="I28" s="191"/>
      <c r="J28" s="192"/>
      <c r="K28" s="191"/>
      <c r="L28" s="192"/>
      <c r="M28" s="187" t="s">
        <v>5422</v>
      </c>
    </row>
    <row r="29" spans="2:13" ht="15" customHeight="1" x14ac:dyDescent="0.25">
      <c r="B29" s="181">
        <v>15</v>
      </c>
      <c r="C29" s="182" t="s">
        <v>326</v>
      </c>
      <c r="D29" s="183" t="s">
        <v>34</v>
      </c>
      <c r="E29" s="184" t="s">
        <v>327</v>
      </c>
      <c r="F29" s="161" t="s">
        <v>88</v>
      </c>
      <c r="G29" s="185" t="s">
        <v>5417</v>
      </c>
      <c r="H29" s="162" t="s">
        <v>193</v>
      </c>
      <c r="I29" s="185" t="s">
        <v>5417</v>
      </c>
      <c r="J29" s="160" t="s">
        <v>64</v>
      </c>
      <c r="K29" s="185"/>
      <c r="L29" s="186"/>
      <c r="M29" s="181" t="s">
        <v>5423</v>
      </c>
    </row>
    <row r="30" spans="2:13" ht="15" customHeight="1" x14ac:dyDescent="0.25">
      <c r="B30" s="187">
        <v>16</v>
      </c>
      <c r="C30" s="188" t="s">
        <v>338</v>
      </c>
      <c r="D30" s="189" t="s">
        <v>34</v>
      </c>
      <c r="E30" s="190" t="s">
        <v>339</v>
      </c>
      <c r="F30" s="161" t="s">
        <v>88</v>
      </c>
      <c r="G30" s="191" t="s">
        <v>5417</v>
      </c>
      <c r="H30" s="160" t="s">
        <v>64</v>
      </c>
      <c r="I30" s="191"/>
      <c r="J30" s="192"/>
      <c r="K30" s="191"/>
      <c r="L30" s="192"/>
      <c r="M30" s="187" t="s">
        <v>5422</v>
      </c>
    </row>
    <row r="31" spans="2:13" ht="15" customHeight="1" x14ac:dyDescent="0.25">
      <c r="B31" s="181">
        <v>17</v>
      </c>
      <c r="C31" s="182" t="s">
        <v>344</v>
      </c>
      <c r="D31" s="183" t="s">
        <v>35</v>
      </c>
      <c r="E31" s="184" t="s">
        <v>345</v>
      </c>
      <c r="F31" s="161" t="s">
        <v>88</v>
      </c>
      <c r="G31" s="185" t="s">
        <v>5417</v>
      </c>
      <c r="H31" s="160" t="s">
        <v>64</v>
      </c>
      <c r="I31" s="185"/>
      <c r="J31" s="186"/>
      <c r="K31" s="185"/>
      <c r="L31" s="186"/>
      <c r="M31" s="181" t="s">
        <v>5422</v>
      </c>
    </row>
    <row r="32" spans="2:13" ht="15" customHeight="1" x14ac:dyDescent="0.25">
      <c r="B32" s="187">
        <v>18</v>
      </c>
      <c r="C32" s="188" t="s">
        <v>370</v>
      </c>
      <c r="D32" s="189" t="s">
        <v>34</v>
      </c>
      <c r="E32" s="190" t="s">
        <v>371</v>
      </c>
      <c r="F32" s="161" t="s">
        <v>88</v>
      </c>
      <c r="G32" s="191" t="s">
        <v>5417</v>
      </c>
      <c r="H32" s="160" t="s">
        <v>64</v>
      </c>
      <c r="I32" s="191"/>
      <c r="J32" s="192"/>
      <c r="K32" s="191"/>
      <c r="L32" s="192"/>
      <c r="M32" s="187" t="s">
        <v>5422</v>
      </c>
    </row>
    <row r="33" spans="2:13" ht="15" customHeight="1" x14ac:dyDescent="0.25">
      <c r="B33" s="181">
        <v>19</v>
      </c>
      <c r="C33" s="182" t="s">
        <v>376</v>
      </c>
      <c r="D33" s="183" t="s">
        <v>34</v>
      </c>
      <c r="E33" s="184" t="s">
        <v>377</v>
      </c>
      <c r="F33" s="161" t="s">
        <v>88</v>
      </c>
      <c r="G33" s="185" t="s">
        <v>5417</v>
      </c>
      <c r="H33" s="160" t="s">
        <v>64</v>
      </c>
      <c r="I33" s="185"/>
      <c r="J33" s="186"/>
      <c r="K33" s="185"/>
      <c r="L33" s="186"/>
      <c r="M33" s="181" t="s">
        <v>5422</v>
      </c>
    </row>
    <row r="34" spans="2:13" ht="15" customHeight="1" x14ac:dyDescent="0.25">
      <c r="B34" s="187">
        <v>20</v>
      </c>
      <c r="C34" s="188" t="s">
        <v>382</v>
      </c>
      <c r="D34" s="189" t="s">
        <v>37</v>
      </c>
      <c r="E34" s="190" t="s">
        <v>383</v>
      </c>
      <c r="F34" s="161" t="s">
        <v>88</v>
      </c>
      <c r="G34" s="191" t="s">
        <v>5417</v>
      </c>
      <c r="H34" s="166" t="s">
        <v>387</v>
      </c>
      <c r="I34" s="191"/>
      <c r="J34" s="192"/>
      <c r="K34" s="191"/>
      <c r="L34" s="192"/>
      <c r="M34" s="187" t="s">
        <v>5422</v>
      </c>
    </row>
    <row r="35" spans="2:13" ht="15" customHeight="1" x14ac:dyDescent="0.25">
      <c r="B35" s="181">
        <v>21</v>
      </c>
      <c r="C35" s="182" t="s">
        <v>389</v>
      </c>
      <c r="D35" s="183" t="s">
        <v>34</v>
      </c>
      <c r="E35" s="184" t="s">
        <v>390</v>
      </c>
      <c r="F35" s="161" t="s">
        <v>88</v>
      </c>
      <c r="G35" s="185" t="s">
        <v>5417</v>
      </c>
      <c r="H35" s="166" t="s">
        <v>387</v>
      </c>
      <c r="I35" s="185"/>
      <c r="J35" s="186"/>
      <c r="K35" s="185"/>
      <c r="L35" s="186"/>
      <c r="M35" s="181" t="s">
        <v>5422</v>
      </c>
    </row>
    <row r="36" spans="2:13" ht="15" customHeight="1" x14ac:dyDescent="0.25">
      <c r="B36" s="187">
        <v>22</v>
      </c>
      <c r="C36" s="188" t="s">
        <v>395</v>
      </c>
      <c r="D36" s="189" t="s">
        <v>36</v>
      </c>
      <c r="E36" s="190" t="s">
        <v>366</v>
      </c>
      <c r="F36" s="161" t="s">
        <v>88</v>
      </c>
      <c r="G36" s="191" t="s">
        <v>5417</v>
      </c>
      <c r="H36" s="160" t="s">
        <v>64</v>
      </c>
      <c r="I36" s="191"/>
      <c r="J36" s="192"/>
      <c r="K36" s="191"/>
      <c r="L36" s="192"/>
      <c r="M36" s="187" t="s">
        <v>5422</v>
      </c>
    </row>
    <row r="37" spans="2:13" ht="15" customHeight="1" x14ac:dyDescent="0.25">
      <c r="B37" s="181">
        <v>23</v>
      </c>
      <c r="C37" s="182" t="s">
        <v>399</v>
      </c>
      <c r="D37" s="183" t="s">
        <v>34</v>
      </c>
      <c r="E37" s="184" t="s">
        <v>400</v>
      </c>
      <c r="F37" s="161" t="s">
        <v>88</v>
      </c>
      <c r="G37" s="185" t="s">
        <v>5417</v>
      </c>
      <c r="H37" s="162" t="s">
        <v>193</v>
      </c>
      <c r="I37" s="185"/>
      <c r="J37" s="186"/>
      <c r="K37" s="185"/>
      <c r="L37" s="186"/>
      <c r="M37" s="181" t="s">
        <v>5422</v>
      </c>
    </row>
    <row r="38" spans="2:13" ht="15" customHeight="1" x14ac:dyDescent="0.25">
      <c r="B38" s="187">
        <v>24</v>
      </c>
      <c r="C38" s="188" t="s">
        <v>415</v>
      </c>
      <c r="D38" s="189" t="s">
        <v>35</v>
      </c>
      <c r="E38" s="190" t="s">
        <v>416</v>
      </c>
      <c r="F38" s="161" t="s">
        <v>88</v>
      </c>
      <c r="G38" s="191" t="s">
        <v>5417</v>
      </c>
      <c r="H38" s="161" t="s">
        <v>88</v>
      </c>
      <c r="I38" s="191"/>
      <c r="J38" s="192"/>
      <c r="K38" s="191"/>
      <c r="L38" s="192"/>
      <c r="M38" s="187" t="s">
        <v>5422</v>
      </c>
    </row>
    <row r="39" spans="2:13" ht="15" customHeight="1" x14ac:dyDescent="0.25">
      <c r="B39" s="181">
        <v>25</v>
      </c>
      <c r="C39" s="182" t="s">
        <v>421</v>
      </c>
      <c r="D39" s="183" t="s">
        <v>35</v>
      </c>
      <c r="E39" s="184" t="s">
        <v>416</v>
      </c>
      <c r="F39" s="161" t="s">
        <v>88</v>
      </c>
      <c r="G39" s="185" t="s">
        <v>5417</v>
      </c>
      <c r="H39" s="166" t="s">
        <v>387</v>
      </c>
      <c r="I39" s="185"/>
      <c r="J39" s="186"/>
      <c r="K39" s="185"/>
      <c r="L39" s="186"/>
      <c r="M39" s="181" t="s">
        <v>5422</v>
      </c>
    </row>
    <row r="40" spans="2:13" ht="15" customHeight="1" x14ac:dyDescent="0.25">
      <c r="B40" s="187">
        <v>26</v>
      </c>
      <c r="C40" s="188" t="s">
        <v>430</v>
      </c>
      <c r="D40" s="189" t="s">
        <v>34</v>
      </c>
      <c r="E40" s="190" t="s">
        <v>431</v>
      </c>
      <c r="F40" s="161" t="s">
        <v>88</v>
      </c>
      <c r="G40" s="191" t="s">
        <v>5417</v>
      </c>
      <c r="H40" s="160" t="s">
        <v>64</v>
      </c>
      <c r="I40" s="191"/>
      <c r="J40" s="192"/>
      <c r="K40" s="191"/>
      <c r="L40" s="192"/>
      <c r="M40" s="187" t="s">
        <v>5422</v>
      </c>
    </row>
    <row r="41" spans="2:13" ht="15" customHeight="1" x14ac:dyDescent="0.25">
      <c r="B41" s="181">
        <v>27</v>
      </c>
      <c r="C41" s="182" t="s">
        <v>459</v>
      </c>
      <c r="D41" s="183" t="s">
        <v>34</v>
      </c>
      <c r="E41" s="184" t="s">
        <v>383</v>
      </c>
      <c r="F41" s="161" t="s">
        <v>88</v>
      </c>
      <c r="G41" s="185" t="s">
        <v>5417</v>
      </c>
      <c r="H41" s="162" t="s">
        <v>193</v>
      </c>
      <c r="I41" s="185"/>
      <c r="J41" s="186"/>
      <c r="K41" s="185"/>
      <c r="L41" s="186"/>
      <c r="M41" s="181" t="s">
        <v>5422</v>
      </c>
    </row>
    <row r="42" spans="2:13" ht="15" customHeight="1" x14ac:dyDescent="0.25">
      <c r="B42" s="187">
        <v>28</v>
      </c>
      <c r="C42" s="188" t="s">
        <v>480</v>
      </c>
      <c r="D42" s="189" t="s">
        <v>34</v>
      </c>
      <c r="E42" s="190" t="s">
        <v>481</v>
      </c>
      <c r="F42" s="161" t="s">
        <v>88</v>
      </c>
      <c r="G42" s="191" t="s">
        <v>5417</v>
      </c>
      <c r="H42" s="160" t="s">
        <v>64</v>
      </c>
      <c r="I42" s="191"/>
      <c r="J42" s="192"/>
      <c r="K42" s="191"/>
      <c r="L42" s="192"/>
      <c r="M42" s="187" t="s">
        <v>5422</v>
      </c>
    </row>
    <row r="43" spans="2:13" ht="15" customHeight="1" x14ac:dyDescent="0.25">
      <c r="B43" s="181">
        <v>29</v>
      </c>
      <c r="C43" s="182" t="s">
        <v>489</v>
      </c>
      <c r="D43" s="183" t="s">
        <v>37</v>
      </c>
      <c r="E43" s="184" t="s">
        <v>490</v>
      </c>
      <c r="F43" s="161" t="s">
        <v>88</v>
      </c>
      <c r="G43" s="185" t="s">
        <v>5417</v>
      </c>
      <c r="H43" s="160" t="s">
        <v>64</v>
      </c>
      <c r="I43" s="185"/>
      <c r="J43" s="186"/>
      <c r="K43" s="185"/>
      <c r="L43" s="186"/>
      <c r="M43" s="181" t="s">
        <v>5422</v>
      </c>
    </row>
    <row r="44" spans="2:13" ht="15" customHeight="1" x14ac:dyDescent="0.25">
      <c r="B44" s="187">
        <v>30</v>
      </c>
      <c r="C44" s="188" t="s">
        <v>495</v>
      </c>
      <c r="D44" s="189" t="s">
        <v>35</v>
      </c>
      <c r="E44" s="190" t="s">
        <v>496</v>
      </c>
      <c r="F44" s="161" t="s">
        <v>88</v>
      </c>
      <c r="G44" s="191" t="s">
        <v>5417</v>
      </c>
      <c r="H44" s="160" t="s">
        <v>64</v>
      </c>
      <c r="I44" s="191"/>
      <c r="J44" s="192"/>
      <c r="K44" s="191"/>
      <c r="L44" s="192"/>
      <c r="M44" s="187" t="s">
        <v>5422</v>
      </c>
    </row>
    <row r="45" spans="2:13" ht="15" customHeight="1" x14ac:dyDescent="0.25">
      <c r="B45" s="181">
        <v>31</v>
      </c>
      <c r="C45" s="182" t="s">
        <v>505</v>
      </c>
      <c r="D45" s="183" t="s">
        <v>34</v>
      </c>
      <c r="E45" s="184" t="s">
        <v>506</v>
      </c>
      <c r="F45" s="161" t="s">
        <v>88</v>
      </c>
      <c r="G45" s="185" t="s">
        <v>5417</v>
      </c>
      <c r="H45" s="160" t="s">
        <v>64</v>
      </c>
      <c r="I45" s="185"/>
      <c r="J45" s="186"/>
      <c r="K45" s="185"/>
      <c r="L45" s="186"/>
      <c r="M45" s="181" t="s">
        <v>5422</v>
      </c>
    </row>
    <row r="46" spans="2:13" ht="15" customHeight="1" x14ac:dyDescent="0.25">
      <c r="B46" s="187">
        <v>32</v>
      </c>
      <c r="C46" s="188" t="s">
        <v>510</v>
      </c>
      <c r="D46" s="189" t="s">
        <v>34</v>
      </c>
      <c r="E46" s="190" t="s">
        <v>511</v>
      </c>
      <c r="F46" s="162" t="s">
        <v>193</v>
      </c>
      <c r="G46" s="191" t="s">
        <v>5417</v>
      </c>
      <c r="H46" s="160" t="s">
        <v>64</v>
      </c>
      <c r="I46" s="191"/>
      <c r="J46" s="192"/>
      <c r="K46" s="191"/>
      <c r="L46" s="192"/>
      <c r="M46" s="187" t="s">
        <v>5422</v>
      </c>
    </row>
    <row r="47" spans="2:13" ht="15" customHeight="1" x14ac:dyDescent="0.25">
      <c r="B47" s="181">
        <v>33</v>
      </c>
      <c r="C47" s="182" t="s">
        <v>515</v>
      </c>
      <c r="D47" s="183" t="s">
        <v>34</v>
      </c>
      <c r="E47" s="184" t="s">
        <v>99</v>
      </c>
      <c r="F47" s="162" t="s">
        <v>193</v>
      </c>
      <c r="G47" s="185" t="s">
        <v>5417</v>
      </c>
      <c r="H47" s="161" t="s">
        <v>88</v>
      </c>
      <c r="I47" s="185"/>
      <c r="J47" s="186"/>
      <c r="K47" s="185"/>
      <c r="L47" s="186"/>
      <c r="M47" s="181" t="s">
        <v>5422</v>
      </c>
    </row>
    <row r="48" spans="2:13" ht="15" customHeight="1" x14ac:dyDescent="0.25">
      <c r="B48" s="187">
        <v>34</v>
      </c>
      <c r="C48" s="188" t="s">
        <v>524</v>
      </c>
      <c r="D48" s="189" t="s">
        <v>35</v>
      </c>
      <c r="E48" s="190" t="s">
        <v>525</v>
      </c>
      <c r="F48" s="161" t="s">
        <v>88</v>
      </c>
      <c r="G48" s="191" t="s">
        <v>5417</v>
      </c>
      <c r="H48" s="160" t="s">
        <v>64</v>
      </c>
      <c r="I48" s="191"/>
      <c r="J48" s="192"/>
      <c r="K48" s="191"/>
      <c r="L48" s="192"/>
      <c r="M48" s="187" t="s">
        <v>5422</v>
      </c>
    </row>
    <row r="49" spans="2:13" ht="15" customHeight="1" x14ac:dyDescent="0.25">
      <c r="B49" s="181">
        <v>35</v>
      </c>
      <c r="C49" s="182" t="s">
        <v>542</v>
      </c>
      <c r="D49" s="183" t="s">
        <v>34</v>
      </c>
      <c r="E49" s="184" t="s">
        <v>366</v>
      </c>
      <c r="F49" s="161" t="s">
        <v>88</v>
      </c>
      <c r="G49" s="185" t="s">
        <v>5417</v>
      </c>
      <c r="H49" s="160" t="s">
        <v>64</v>
      </c>
      <c r="I49" s="185"/>
      <c r="J49" s="186"/>
      <c r="K49" s="185"/>
      <c r="L49" s="186"/>
      <c r="M49" s="181" t="s">
        <v>5422</v>
      </c>
    </row>
    <row r="50" spans="2:13" ht="15" customHeight="1" x14ac:dyDescent="0.25">
      <c r="B50" s="187">
        <v>36</v>
      </c>
      <c r="C50" s="188" t="s">
        <v>559</v>
      </c>
      <c r="D50" s="189" t="s">
        <v>35</v>
      </c>
      <c r="E50" s="190" t="s">
        <v>560</v>
      </c>
      <c r="F50" s="161" t="s">
        <v>88</v>
      </c>
      <c r="G50" s="191" t="s">
        <v>5417</v>
      </c>
      <c r="H50" s="160" t="s">
        <v>64</v>
      </c>
      <c r="I50" s="191"/>
      <c r="J50" s="192"/>
      <c r="K50" s="191"/>
      <c r="L50" s="192"/>
      <c r="M50" s="187" t="s">
        <v>5422</v>
      </c>
    </row>
    <row r="51" spans="2:13" ht="15" customHeight="1" x14ac:dyDescent="0.25">
      <c r="B51" s="181">
        <v>37</v>
      </c>
      <c r="C51" s="182" t="s">
        <v>619</v>
      </c>
      <c r="D51" s="183" t="s">
        <v>34</v>
      </c>
      <c r="E51" s="184" t="s">
        <v>620</v>
      </c>
      <c r="F51" s="161" t="s">
        <v>88</v>
      </c>
      <c r="G51" s="185" t="s">
        <v>5417</v>
      </c>
      <c r="H51" s="160" t="s">
        <v>64</v>
      </c>
      <c r="I51" s="185"/>
      <c r="J51" s="186"/>
      <c r="K51" s="185"/>
      <c r="L51" s="186"/>
      <c r="M51" s="181" t="s">
        <v>5422</v>
      </c>
    </row>
    <row r="52" spans="2:13" ht="15" customHeight="1" x14ac:dyDescent="0.25">
      <c r="B52" s="187">
        <v>38</v>
      </c>
      <c r="C52" s="188" t="s">
        <v>648</v>
      </c>
      <c r="D52" s="189" t="s">
        <v>37</v>
      </c>
      <c r="E52" s="190" t="s">
        <v>103</v>
      </c>
      <c r="F52" s="161" t="s">
        <v>88</v>
      </c>
      <c r="G52" s="191" t="s">
        <v>5417</v>
      </c>
      <c r="H52" s="160" t="s">
        <v>64</v>
      </c>
      <c r="I52" s="191"/>
      <c r="J52" s="192"/>
      <c r="K52" s="191"/>
      <c r="L52" s="192"/>
      <c r="M52" s="187" t="s">
        <v>5422</v>
      </c>
    </row>
    <row r="53" spans="2:13" ht="15" customHeight="1" x14ac:dyDescent="0.25">
      <c r="B53" s="181">
        <v>39</v>
      </c>
      <c r="C53" s="182" t="s">
        <v>672</v>
      </c>
      <c r="D53" s="183" t="s">
        <v>34</v>
      </c>
      <c r="E53" s="184" t="s">
        <v>673</v>
      </c>
      <c r="F53" s="161" t="s">
        <v>88</v>
      </c>
      <c r="G53" s="185" t="s">
        <v>5417</v>
      </c>
      <c r="H53" s="160" t="s">
        <v>64</v>
      </c>
      <c r="I53" s="185"/>
      <c r="J53" s="186"/>
      <c r="K53" s="185"/>
      <c r="L53" s="186"/>
      <c r="M53" s="181" t="s">
        <v>5422</v>
      </c>
    </row>
    <row r="54" spans="2:13" ht="15" customHeight="1" x14ac:dyDescent="0.25">
      <c r="B54" s="187">
        <v>40</v>
      </c>
      <c r="C54" s="188" t="s">
        <v>683</v>
      </c>
      <c r="D54" s="189" t="s">
        <v>34</v>
      </c>
      <c r="E54" s="190" t="s">
        <v>684</v>
      </c>
      <c r="F54" s="161" t="s">
        <v>88</v>
      </c>
      <c r="G54" s="191" t="s">
        <v>5417</v>
      </c>
      <c r="H54" s="160" t="s">
        <v>64</v>
      </c>
      <c r="I54" s="191"/>
      <c r="J54" s="192"/>
      <c r="K54" s="191"/>
      <c r="L54" s="192"/>
      <c r="M54" s="187" t="s">
        <v>5422</v>
      </c>
    </row>
    <row r="55" spans="2:13" ht="15" customHeight="1" x14ac:dyDescent="0.25">
      <c r="B55" s="181">
        <v>41</v>
      </c>
      <c r="C55" s="182" t="s">
        <v>689</v>
      </c>
      <c r="D55" s="183" t="s">
        <v>34</v>
      </c>
      <c r="E55" s="184" t="s">
        <v>103</v>
      </c>
      <c r="F55" s="161" t="s">
        <v>88</v>
      </c>
      <c r="G55" s="185" t="s">
        <v>5417</v>
      </c>
      <c r="H55" s="160" t="s">
        <v>64</v>
      </c>
      <c r="I55" s="185"/>
      <c r="J55" s="186"/>
      <c r="K55" s="185"/>
      <c r="L55" s="186"/>
      <c r="M55" s="181" t="s">
        <v>5422</v>
      </c>
    </row>
    <row r="56" spans="2:13" ht="15" customHeight="1" x14ac:dyDescent="0.25">
      <c r="B56" s="187">
        <v>42</v>
      </c>
      <c r="C56" s="188" t="s">
        <v>693</v>
      </c>
      <c r="D56" s="189" t="s">
        <v>34</v>
      </c>
      <c r="E56" s="190" t="s">
        <v>426</v>
      </c>
      <c r="F56" s="161" t="s">
        <v>88</v>
      </c>
      <c r="G56" s="191" t="s">
        <v>5417</v>
      </c>
      <c r="H56" s="160" t="s">
        <v>64</v>
      </c>
      <c r="I56" s="191"/>
      <c r="J56" s="192"/>
      <c r="K56" s="191"/>
      <c r="L56" s="192"/>
      <c r="M56" s="187" t="s">
        <v>5422</v>
      </c>
    </row>
    <row r="57" spans="2:13" ht="15" customHeight="1" x14ac:dyDescent="0.25">
      <c r="B57" s="181">
        <v>43</v>
      </c>
      <c r="C57" s="182" t="s">
        <v>710</v>
      </c>
      <c r="D57" s="183" t="s">
        <v>37</v>
      </c>
      <c r="E57" s="184" t="s">
        <v>711</v>
      </c>
      <c r="F57" s="161" t="s">
        <v>88</v>
      </c>
      <c r="G57" s="185" t="s">
        <v>5417</v>
      </c>
      <c r="H57" s="160" t="s">
        <v>64</v>
      </c>
      <c r="I57" s="185"/>
      <c r="J57" s="186"/>
      <c r="K57" s="185"/>
      <c r="L57" s="186"/>
      <c r="M57" s="181" t="s">
        <v>5422</v>
      </c>
    </row>
    <row r="58" spans="2:13" ht="15" customHeight="1" x14ac:dyDescent="0.25">
      <c r="B58" s="187">
        <v>44</v>
      </c>
      <c r="C58" s="188" t="s">
        <v>720</v>
      </c>
      <c r="D58" s="189" t="s">
        <v>35</v>
      </c>
      <c r="E58" s="190" t="s">
        <v>721</v>
      </c>
      <c r="F58" s="161" t="s">
        <v>88</v>
      </c>
      <c r="G58" s="191" t="s">
        <v>5417</v>
      </c>
      <c r="H58" s="160" t="s">
        <v>64</v>
      </c>
      <c r="I58" s="191"/>
      <c r="J58" s="192"/>
      <c r="K58" s="191"/>
      <c r="L58" s="192"/>
      <c r="M58" s="187" t="s">
        <v>5422</v>
      </c>
    </row>
    <row r="59" spans="2:13" ht="15" customHeight="1" x14ac:dyDescent="0.25">
      <c r="B59" s="181">
        <v>45</v>
      </c>
      <c r="C59" s="182" t="s">
        <v>743</v>
      </c>
      <c r="D59" s="183" t="s">
        <v>34</v>
      </c>
      <c r="E59" s="184" t="s">
        <v>744</v>
      </c>
      <c r="F59" s="161" t="s">
        <v>88</v>
      </c>
      <c r="G59" s="185" t="s">
        <v>5417</v>
      </c>
      <c r="H59" s="160" t="s">
        <v>64</v>
      </c>
      <c r="I59" s="185"/>
      <c r="J59" s="186"/>
      <c r="K59" s="185"/>
      <c r="L59" s="186"/>
      <c r="M59" s="181" t="s">
        <v>5422</v>
      </c>
    </row>
    <row r="60" spans="2:13" ht="15" customHeight="1" x14ac:dyDescent="0.25">
      <c r="B60" s="187">
        <v>46</v>
      </c>
      <c r="C60" s="188" t="s">
        <v>752</v>
      </c>
      <c r="D60" s="189" t="s">
        <v>34</v>
      </c>
      <c r="E60" s="190" t="s">
        <v>476</v>
      </c>
      <c r="F60" s="161" t="s">
        <v>88</v>
      </c>
      <c r="G60" s="191" t="s">
        <v>5417</v>
      </c>
      <c r="H60" s="160" t="s">
        <v>64</v>
      </c>
      <c r="I60" s="191"/>
      <c r="J60" s="192"/>
      <c r="K60" s="191"/>
      <c r="L60" s="192"/>
      <c r="M60" s="187" t="s">
        <v>5422</v>
      </c>
    </row>
    <row r="61" spans="2:13" ht="15" customHeight="1" x14ac:dyDescent="0.25">
      <c r="B61" s="181">
        <v>47</v>
      </c>
      <c r="C61" s="182" t="s">
        <v>791</v>
      </c>
      <c r="D61" s="183" t="s">
        <v>34</v>
      </c>
      <c r="E61" s="184" t="s">
        <v>371</v>
      </c>
      <c r="F61" s="161" t="s">
        <v>88</v>
      </c>
      <c r="G61" s="185" t="s">
        <v>5417</v>
      </c>
      <c r="H61" s="160" t="s">
        <v>64</v>
      </c>
      <c r="I61" s="185"/>
      <c r="J61" s="186"/>
      <c r="K61" s="185"/>
      <c r="L61" s="186"/>
      <c r="M61" s="181" t="s">
        <v>5422</v>
      </c>
    </row>
    <row r="62" spans="2:13" ht="15" customHeight="1" x14ac:dyDescent="0.25">
      <c r="B62" s="187">
        <v>48</v>
      </c>
      <c r="C62" s="188" t="s">
        <v>830</v>
      </c>
      <c r="D62" s="189" t="s">
        <v>37</v>
      </c>
      <c r="E62" s="190" t="s">
        <v>99</v>
      </c>
      <c r="F62" s="162" t="s">
        <v>193</v>
      </c>
      <c r="G62" s="191" t="s">
        <v>5417</v>
      </c>
      <c r="H62" s="161" t="s">
        <v>88</v>
      </c>
      <c r="I62" s="191"/>
      <c r="J62" s="192"/>
      <c r="K62" s="191"/>
      <c r="L62" s="192"/>
      <c r="M62" s="187" t="s">
        <v>5422</v>
      </c>
    </row>
    <row r="63" spans="2:13" ht="15" customHeight="1" x14ac:dyDescent="0.25">
      <c r="B63" s="181">
        <v>49</v>
      </c>
      <c r="C63" s="182" t="s">
        <v>834</v>
      </c>
      <c r="D63" s="183" t="s">
        <v>34</v>
      </c>
      <c r="E63" s="184" t="s">
        <v>835</v>
      </c>
      <c r="F63" s="161" t="s">
        <v>88</v>
      </c>
      <c r="G63" s="185" t="s">
        <v>5417</v>
      </c>
      <c r="H63" s="160" t="s">
        <v>64</v>
      </c>
      <c r="I63" s="185"/>
      <c r="J63" s="186"/>
      <c r="K63" s="185"/>
      <c r="L63" s="186"/>
      <c r="M63" s="181" t="s">
        <v>5422</v>
      </c>
    </row>
    <row r="64" spans="2:13" ht="15" customHeight="1" x14ac:dyDescent="0.25">
      <c r="B64" s="187">
        <v>50</v>
      </c>
      <c r="C64" s="188" t="s">
        <v>849</v>
      </c>
      <c r="D64" s="189" t="s">
        <v>34</v>
      </c>
      <c r="E64" s="190" t="s">
        <v>272</v>
      </c>
      <c r="F64" s="161" t="s">
        <v>88</v>
      </c>
      <c r="G64" s="191" t="s">
        <v>5417</v>
      </c>
      <c r="H64" s="160" t="s">
        <v>64</v>
      </c>
      <c r="I64" s="191"/>
      <c r="J64" s="192"/>
      <c r="K64" s="191"/>
      <c r="L64" s="192"/>
      <c r="M64" s="187" t="s">
        <v>5422</v>
      </c>
    </row>
    <row r="65" spans="2:13" ht="15" customHeight="1" x14ac:dyDescent="0.25">
      <c r="B65" s="181">
        <v>51</v>
      </c>
      <c r="C65" s="182" t="s">
        <v>858</v>
      </c>
      <c r="D65" s="183" t="s">
        <v>35</v>
      </c>
      <c r="E65" s="184" t="s">
        <v>859</v>
      </c>
      <c r="F65" s="161" t="s">
        <v>88</v>
      </c>
      <c r="G65" s="185" t="s">
        <v>5417</v>
      </c>
      <c r="H65" s="160" t="s">
        <v>64</v>
      </c>
      <c r="I65" s="185"/>
      <c r="J65" s="186"/>
      <c r="K65" s="185"/>
      <c r="L65" s="186"/>
      <c r="M65" s="181" t="s">
        <v>5422</v>
      </c>
    </row>
    <row r="66" spans="2:13" ht="15" customHeight="1" x14ac:dyDescent="0.25">
      <c r="B66" s="187">
        <v>52</v>
      </c>
      <c r="C66" s="188" t="s">
        <v>863</v>
      </c>
      <c r="D66" s="189" t="s">
        <v>35</v>
      </c>
      <c r="E66" s="190" t="s">
        <v>864</v>
      </c>
      <c r="F66" s="161" t="s">
        <v>88</v>
      </c>
      <c r="G66" s="191" t="s">
        <v>5417</v>
      </c>
      <c r="H66" s="160" t="s">
        <v>64</v>
      </c>
      <c r="I66" s="191"/>
      <c r="J66" s="192"/>
      <c r="K66" s="191"/>
      <c r="L66" s="192"/>
      <c r="M66" s="187" t="s">
        <v>5422</v>
      </c>
    </row>
    <row r="67" spans="2:13" ht="15" customHeight="1" x14ac:dyDescent="0.25">
      <c r="B67" s="181">
        <v>53</v>
      </c>
      <c r="C67" s="182" t="s">
        <v>877</v>
      </c>
      <c r="D67" s="183" t="s">
        <v>34</v>
      </c>
      <c r="E67" s="184" t="s">
        <v>878</v>
      </c>
      <c r="F67" s="161" t="s">
        <v>88</v>
      </c>
      <c r="G67" s="185" t="s">
        <v>5417</v>
      </c>
      <c r="H67" s="160" t="s">
        <v>64</v>
      </c>
      <c r="I67" s="185"/>
      <c r="J67" s="186"/>
      <c r="K67" s="185"/>
      <c r="L67" s="186"/>
      <c r="M67" s="181" t="s">
        <v>5422</v>
      </c>
    </row>
    <row r="68" spans="2:13" ht="15" customHeight="1" x14ac:dyDescent="0.25">
      <c r="B68" s="187">
        <v>54</v>
      </c>
      <c r="C68" s="188" t="s">
        <v>887</v>
      </c>
      <c r="D68" s="189" t="s">
        <v>34</v>
      </c>
      <c r="E68" s="190" t="s">
        <v>5424</v>
      </c>
      <c r="F68" s="161" t="s">
        <v>88</v>
      </c>
      <c r="G68" s="191" t="s">
        <v>5417</v>
      </c>
      <c r="H68" s="160" t="s">
        <v>64</v>
      </c>
      <c r="I68" s="191"/>
      <c r="J68" s="192"/>
      <c r="K68" s="191"/>
      <c r="L68" s="192"/>
      <c r="M68" s="187" t="s">
        <v>5422</v>
      </c>
    </row>
    <row r="69" spans="2:13" ht="15" customHeight="1" x14ac:dyDescent="0.25">
      <c r="B69" s="181">
        <v>55</v>
      </c>
      <c r="C69" s="182" t="s">
        <v>891</v>
      </c>
      <c r="D69" s="183" t="s">
        <v>34</v>
      </c>
      <c r="E69" s="184" t="s">
        <v>5424</v>
      </c>
      <c r="F69" s="161" t="s">
        <v>88</v>
      </c>
      <c r="G69" s="185" t="s">
        <v>5417</v>
      </c>
      <c r="H69" s="160" t="s">
        <v>64</v>
      </c>
      <c r="I69" s="185"/>
      <c r="J69" s="186"/>
      <c r="K69" s="185"/>
      <c r="L69" s="186"/>
      <c r="M69" s="181" t="s">
        <v>5422</v>
      </c>
    </row>
    <row r="70" spans="2:13" ht="15" customHeight="1" x14ac:dyDescent="0.25">
      <c r="B70" s="187">
        <v>56</v>
      </c>
      <c r="C70" s="188" t="s">
        <v>915</v>
      </c>
      <c r="D70" s="189" t="s">
        <v>34</v>
      </c>
      <c r="E70" s="190" t="s">
        <v>272</v>
      </c>
      <c r="F70" s="161" t="s">
        <v>88</v>
      </c>
      <c r="G70" s="191" t="s">
        <v>5417</v>
      </c>
      <c r="H70" s="160" t="s">
        <v>64</v>
      </c>
      <c r="I70" s="191"/>
      <c r="J70" s="192"/>
      <c r="K70" s="191"/>
      <c r="L70" s="192"/>
      <c r="M70" s="187" t="s">
        <v>5422</v>
      </c>
    </row>
    <row r="71" spans="2:13" ht="15" customHeight="1" x14ac:dyDescent="0.25">
      <c r="B71" s="181">
        <v>57</v>
      </c>
      <c r="C71" s="182" t="s">
        <v>919</v>
      </c>
      <c r="D71" s="183" t="s">
        <v>34</v>
      </c>
      <c r="E71" s="184" t="s">
        <v>511</v>
      </c>
      <c r="F71" s="161" t="s">
        <v>88</v>
      </c>
      <c r="G71" s="185" t="s">
        <v>5417</v>
      </c>
      <c r="H71" s="160" t="s">
        <v>64</v>
      </c>
      <c r="I71" s="185"/>
      <c r="J71" s="186"/>
      <c r="K71" s="185"/>
      <c r="L71" s="186"/>
      <c r="M71" s="181" t="s">
        <v>5422</v>
      </c>
    </row>
    <row r="72" spans="2:13" ht="15" customHeight="1" x14ac:dyDescent="0.25">
      <c r="B72" s="187">
        <v>58</v>
      </c>
      <c r="C72" s="188" t="s">
        <v>928</v>
      </c>
      <c r="D72" s="189" t="s">
        <v>36</v>
      </c>
      <c r="E72" s="190" t="s">
        <v>929</v>
      </c>
      <c r="F72" s="161" t="s">
        <v>88</v>
      </c>
      <c r="G72" s="191" t="s">
        <v>5417</v>
      </c>
      <c r="H72" s="160" t="s">
        <v>64</v>
      </c>
      <c r="I72" s="191"/>
      <c r="J72" s="192"/>
      <c r="K72" s="191"/>
      <c r="L72" s="192"/>
      <c r="M72" s="187" t="s">
        <v>5422</v>
      </c>
    </row>
    <row r="73" spans="2:13" ht="15" customHeight="1" x14ac:dyDescent="0.25">
      <c r="B73" s="181">
        <v>59</v>
      </c>
      <c r="C73" s="182" t="s">
        <v>933</v>
      </c>
      <c r="D73" s="183" t="s">
        <v>35</v>
      </c>
      <c r="E73" s="184" t="s">
        <v>934</v>
      </c>
      <c r="F73" s="161" t="s">
        <v>88</v>
      </c>
      <c r="G73" s="185" t="s">
        <v>5417</v>
      </c>
      <c r="H73" s="160" t="s">
        <v>64</v>
      </c>
      <c r="I73" s="185"/>
      <c r="J73" s="186"/>
      <c r="K73" s="185"/>
      <c r="L73" s="186"/>
      <c r="M73" s="181" t="s">
        <v>5422</v>
      </c>
    </row>
    <row r="74" spans="2:13" ht="15" customHeight="1" x14ac:dyDescent="0.25">
      <c r="B74" s="187">
        <v>60</v>
      </c>
      <c r="C74" s="188" t="s">
        <v>951</v>
      </c>
      <c r="D74" s="189" t="s">
        <v>34</v>
      </c>
      <c r="E74" s="190" t="s">
        <v>952</v>
      </c>
      <c r="F74" s="161" t="s">
        <v>88</v>
      </c>
      <c r="G74" s="191" t="s">
        <v>5417</v>
      </c>
      <c r="H74" s="160" t="s">
        <v>64</v>
      </c>
      <c r="I74" s="191"/>
      <c r="J74" s="192"/>
      <c r="K74" s="191"/>
      <c r="L74" s="192"/>
      <c r="M74" s="187" t="s">
        <v>5422</v>
      </c>
    </row>
    <row r="75" spans="2:13" ht="15" customHeight="1" x14ac:dyDescent="0.25">
      <c r="B75" s="181">
        <v>61</v>
      </c>
      <c r="C75" s="182" t="s">
        <v>957</v>
      </c>
      <c r="D75" s="183" t="s">
        <v>35</v>
      </c>
      <c r="E75" s="184" t="s">
        <v>230</v>
      </c>
      <c r="F75" s="161" t="s">
        <v>88</v>
      </c>
      <c r="G75" s="185" t="s">
        <v>5417</v>
      </c>
      <c r="H75" s="160" t="s">
        <v>64</v>
      </c>
      <c r="I75" s="185"/>
      <c r="J75" s="186"/>
      <c r="K75" s="185"/>
      <c r="L75" s="186"/>
      <c r="M75" s="181" t="s">
        <v>5422</v>
      </c>
    </row>
    <row r="76" spans="2:13" ht="15" customHeight="1" x14ac:dyDescent="0.25">
      <c r="B76" s="187">
        <v>62</v>
      </c>
      <c r="C76" s="188" t="s">
        <v>961</v>
      </c>
      <c r="D76" s="189" t="s">
        <v>36</v>
      </c>
      <c r="E76" s="190" t="s">
        <v>962</v>
      </c>
      <c r="F76" s="161" t="s">
        <v>88</v>
      </c>
      <c r="G76" s="191" t="s">
        <v>5417</v>
      </c>
      <c r="H76" s="160" t="s">
        <v>64</v>
      </c>
      <c r="I76" s="191"/>
      <c r="J76" s="192"/>
      <c r="K76" s="191"/>
      <c r="L76" s="192"/>
      <c r="M76" s="187" t="s">
        <v>5422</v>
      </c>
    </row>
    <row r="77" spans="2:13" ht="15" customHeight="1" x14ac:dyDescent="0.25">
      <c r="B77" s="181">
        <v>63</v>
      </c>
      <c r="C77" s="182" t="s">
        <v>971</v>
      </c>
      <c r="D77" s="183" t="s">
        <v>35</v>
      </c>
      <c r="E77" s="184" t="s">
        <v>972</v>
      </c>
      <c r="F77" s="162" t="s">
        <v>193</v>
      </c>
      <c r="G77" s="185" t="s">
        <v>5417</v>
      </c>
      <c r="H77" s="161" t="s">
        <v>88</v>
      </c>
      <c r="I77" s="185"/>
      <c r="J77" s="186"/>
      <c r="K77" s="185"/>
      <c r="L77" s="186"/>
      <c r="M77" s="181" t="s">
        <v>5422</v>
      </c>
    </row>
    <row r="78" spans="2:13" ht="15" customHeight="1" x14ac:dyDescent="0.25">
      <c r="B78" s="187">
        <v>64</v>
      </c>
      <c r="C78" s="188" t="s">
        <v>995</v>
      </c>
      <c r="D78" s="189" t="s">
        <v>35</v>
      </c>
      <c r="E78" s="190" t="s">
        <v>996</v>
      </c>
      <c r="F78" s="161" t="s">
        <v>88</v>
      </c>
      <c r="G78" s="191" t="s">
        <v>5417</v>
      </c>
      <c r="H78" s="160" t="s">
        <v>64</v>
      </c>
      <c r="I78" s="191"/>
      <c r="J78" s="192"/>
      <c r="K78" s="191"/>
      <c r="L78" s="192"/>
      <c r="M78" s="187" t="s">
        <v>5422</v>
      </c>
    </row>
    <row r="79" spans="2:13" ht="15" customHeight="1" x14ac:dyDescent="0.25">
      <c r="B79" s="181">
        <v>65</v>
      </c>
      <c r="C79" s="182" t="s">
        <v>1010</v>
      </c>
      <c r="D79" s="183" t="s">
        <v>34</v>
      </c>
      <c r="E79" s="184" t="s">
        <v>63</v>
      </c>
      <c r="F79" s="161" t="s">
        <v>88</v>
      </c>
      <c r="G79" s="185" t="s">
        <v>5417</v>
      </c>
      <c r="H79" s="160" t="s">
        <v>64</v>
      </c>
      <c r="I79" s="185"/>
      <c r="J79" s="186"/>
      <c r="K79" s="185"/>
      <c r="L79" s="186"/>
      <c r="M79" s="181" t="s">
        <v>5422</v>
      </c>
    </row>
    <row r="80" spans="2:13" ht="15" customHeight="1" x14ac:dyDescent="0.25">
      <c r="B80" s="187">
        <v>66</v>
      </c>
      <c r="C80" s="188" t="s">
        <v>1023</v>
      </c>
      <c r="D80" s="189" t="s">
        <v>34</v>
      </c>
      <c r="E80" s="190" t="s">
        <v>1024</v>
      </c>
      <c r="F80" s="162" t="s">
        <v>193</v>
      </c>
      <c r="G80" s="191" t="s">
        <v>5417</v>
      </c>
      <c r="H80" s="160" t="s">
        <v>64</v>
      </c>
      <c r="I80" s="191"/>
      <c r="J80" s="192"/>
      <c r="K80" s="191"/>
      <c r="L80" s="192"/>
      <c r="M80" s="187" t="s">
        <v>5422</v>
      </c>
    </row>
    <row r="81" spans="2:13" ht="15" customHeight="1" x14ac:dyDescent="0.25">
      <c r="B81" s="181">
        <v>67</v>
      </c>
      <c r="C81" s="182" t="s">
        <v>1054</v>
      </c>
      <c r="D81" s="183" t="s">
        <v>34</v>
      </c>
      <c r="E81" s="184" t="s">
        <v>99</v>
      </c>
      <c r="F81" s="162" t="s">
        <v>193</v>
      </c>
      <c r="G81" s="185" t="s">
        <v>5417</v>
      </c>
      <c r="H81" s="161" t="s">
        <v>88</v>
      </c>
      <c r="I81" s="185"/>
      <c r="J81" s="186"/>
      <c r="K81" s="185"/>
      <c r="L81" s="186"/>
      <c r="M81" s="181" t="s">
        <v>5422</v>
      </c>
    </row>
    <row r="82" spans="2:13" ht="15" customHeight="1" x14ac:dyDescent="0.25">
      <c r="B82" s="187">
        <v>68</v>
      </c>
      <c r="C82" s="188" t="s">
        <v>1078</v>
      </c>
      <c r="D82" s="189" t="s">
        <v>37</v>
      </c>
      <c r="E82" s="190" t="s">
        <v>1079</v>
      </c>
      <c r="F82" s="162" t="s">
        <v>193</v>
      </c>
      <c r="G82" s="191" t="s">
        <v>5417</v>
      </c>
      <c r="H82" s="160" t="s">
        <v>64</v>
      </c>
      <c r="I82" s="191"/>
      <c r="J82" s="192"/>
      <c r="K82" s="191"/>
      <c r="L82" s="192"/>
      <c r="M82" s="187" t="s">
        <v>5422</v>
      </c>
    </row>
    <row r="83" spans="2:13" ht="15" customHeight="1" x14ac:dyDescent="0.25">
      <c r="B83" s="181">
        <v>69</v>
      </c>
      <c r="C83" s="182" t="s">
        <v>1168</v>
      </c>
      <c r="D83" s="183" t="s">
        <v>34</v>
      </c>
      <c r="E83" s="184" t="s">
        <v>99</v>
      </c>
      <c r="F83" s="162" t="s">
        <v>193</v>
      </c>
      <c r="G83" s="185" t="s">
        <v>5417</v>
      </c>
      <c r="H83" s="161" t="s">
        <v>88</v>
      </c>
      <c r="I83" s="185"/>
      <c r="J83" s="186"/>
      <c r="K83" s="185"/>
      <c r="L83" s="186"/>
      <c r="M83" s="181" t="s">
        <v>5422</v>
      </c>
    </row>
  </sheetData>
  <mergeCells count="5">
    <mergeCell ref="B1:N1"/>
    <mergeCell ref="B2:J2"/>
    <mergeCell ref="B3:J3"/>
    <mergeCell ref="B12:M12"/>
    <mergeCell ref="B13:M13"/>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H45"/>
  <sheetViews>
    <sheetView showGridLines="0" showZeros="0" topLeftCell="A8" zoomScaleNormal="100" workbookViewId="0">
      <selection activeCell="C23" sqref="C23"/>
    </sheetView>
  </sheetViews>
  <sheetFormatPr defaultColWidth="8.7109375" defaultRowHeight="15" x14ac:dyDescent="0.25"/>
  <cols>
    <col min="1" max="1" width="2" customWidth="1"/>
    <col min="2" max="8" width="14" customWidth="1"/>
  </cols>
  <sheetData>
    <row r="1" spans="2:8" ht="25.5" customHeight="1" x14ac:dyDescent="0.25">
      <c r="B1" s="260" t="s">
        <v>5425</v>
      </c>
      <c r="C1" s="260"/>
      <c r="D1" s="260"/>
      <c r="E1" s="260"/>
      <c r="F1" s="260"/>
      <c r="G1" s="260"/>
      <c r="H1" s="260"/>
    </row>
    <row r="3" spans="2:8" ht="18" customHeight="1" x14ac:dyDescent="0.25">
      <c r="B3" s="261" t="s">
        <v>5426</v>
      </c>
      <c r="C3" s="261"/>
      <c r="D3" s="261"/>
    </row>
    <row r="4" spans="2:8" ht="15.75" customHeight="1" x14ac:dyDescent="0.25">
      <c r="B4" s="193" t="s">
        <v>3535</v>
      </c>
      <c r="C4" s="193" t="s">
        <v>5427</v>
      </c>
      <c r="D4" s="193" t="s">
        <v>5428</v>
      </c>
      <c r="E4" s="193" t="s">
        <v>5429</v>
      </c>
    </row>
    <row r="5" spans="2:8" ht="18" customHeight="1" x14ac:dyDescent="0.25">
      <c r="B5" s="194" t="s">
        <v>64</v>
      </c>
      <c r="C5" s="169">
        <v>145</v>
      </c>
      <c r="D5" s="195" t="s">
        <v>5430</v>
      </c>
      <c r="E5" s="196" t="s">
        <v>5431</v>
      </c>
    </row>
    <row r="6" spans="2:8" ht="18" customHeight="1" x14ac:dyDescent="0.25">
      <c r="B6" s="197" t="s">
        <v>88</v>
      </c>
      <c r="C6" s="170">
        <v>97</v>
      </c>
      <c r="D6" s="198" t="s">
        <v>5432</v>
      </c>
      <c r="E6" s="199" t="s">
        <v>5433</v>
      </c>
    </row>
    <row r="7" spans="2:8" ht="18" customHeight="1" x14ac:dyDescent="0.25">
      <c r="B7" s="200" t="s">
        <v>193</v>
      </c>
      <c r="C7" s="171">
        <v>8</v>
      </c>
      <c r="D7" s="201" t="s">
        <v>5434</v>
      </c>
      <c r="E7" s="202" t="s">
        <v>5435</v>
      </c>
    </row>
    <row r="8" spans="2:8" ht="18" customHeight="1" x14ac:dyDescent="0.25">
      <c r="B8" s="203" t="s">
        <v>205</v>
      </c>
      <c r="C8" s="204">
        <v>7</v>
      </c>
      <c r="D8" s="205" t="s">
        <v>5436</v>
      </c>
      <c r="E8" s="206"/>
    </row>
    <row r="9" spans="2:8" ht="18" customHeight="1" x14ac:dyDescent="0.25">
      <c r="B9" s="207" t="s">
        <v>159</v>
      </c>
      <c r="C9" s="208">
        <v>6</v>
      </c>
      <c r="D9" s="209" t="s">
        <v>5437</v>
      </c>
      <c r="E9" s="210"/>
    </row>
    <row r="10" spans="2:8" ht="18" customHeight="1" x14ac:dyDescent="0.25">
      <c r="B10" s="211" t="s">
        <v>140</v>
      </c>
      <c r="C10" s="212">
        <v>5</v>
      </c>
      <c r="D10" s="213" t="s">
        <v>5438</v>
      </c>
      <c r="E10" s="214"/>
    </row>
    <row r="11" spans="2:8" ht="18" customHeight="1" x14ac:dyDescent="0.25">
      <c r="B11" s="215" t="s">
        <v>4</v>
      </c>
      <c r="C11" s="178">
        <v>312</v>
      </c>
    </row>
    <row r="13" spans="2:8" ht="18" customHeight="1" x14ac:dyDescent="0.25">
      <c r="B13" s="261" t="s">
        <v>5439</v>
      </c>
      <c r="C13" s="261"/>
      <c r="D13" s="261"/>
    </row>
    <row r="14" spans="2:8" ht="15.75" customHeight="1" x14ac:dyDescent="0.25">
      <c r="B14" s="193" t="s">
        <v>3534</v>
      </c>
      <c r="C14" s="193" t="s">
        <v>5427</v>
      </c>
      <c r="D14" s="193" t="s">
        <v>5428</v>
      </c>
      <c r="E14" s="193" t="s">
        <v>5429</v>
      </c>
    </row>
    <row r="15" spans="2:8" ht="18" customHeight="1" x14ac:dyDescent="0.25">
      <c r="B15" s="200" t="s">
        <v>34</v>
      </c>
      <c r="C15" s="171">
        <v>222</v>
      </c>
      <c r="D15" s="201" t="s">
        <v>5440</v>
      </c>
      <c r="E15" s="202" t="s">
        <v>5441</v>
      </c>
    </row>
    <row r="16" spans="2:8" ht="18" customHeight="1" x14ac:dyDescent="0.25">
      <c r="B16" s="194" t="s">
        <v>35</v>
      </c>
      <c r="C16" s="169">
        <v>62</v>
      </c>
      <c r="D16" s="195" t="s">
        <v>5442</v>
      </c>
      <c r="E16" s="196" t="s">
        <v>5443</v>
      </c>
    </row>
    <row r="17" spans="2:6" ht="18" customHeight="1" x14ac:dyDescent="0.25">
      <c r="B17" s="197" t="s">
        <v>36</v>
      </c>
      <c r="C17" s="170">
        <v>7</v>
      </c>
      <c r="D17" s="198" t="s">
        <v>5436</v>
      </c>
      <c r="E17" s="199"/>
    </row>
    <row r="18" spans="2:6" ht="18" customHeight="1" x14ac:dyDescent="0.25">
      <c r="B18" s="203" t="s">
        <v>37</v>
      </c>
      <c r="C18" s="204">
        <v>21</v>
      </c>
      <c r="D18" s="205" t="s">
        <v>5444</v>
      </c>
      <c r="E18" s="206" t="s">
        <v>5435</v>
      </c>
    </row>
    <row r="19" spans="2:6" ht="18" customHeight="1" x14ac:dyDescent="0.25">
      <c r="B19" s="215" t="s">
        <v>4</v>
      </c>
      <c r="C19" s="178">
        <v>312</v>
      </c>
    </row>
    <row r="21" spans="2:6" ht="18" customHeight="1" x14ac:dyDescent="0.25">
      <c r="B21" s="261" t="s">
        <v>5445</v>
      </c>
      <c r="C21" s="261"/>
      <c r="D21" s="261"/>
      <c r="E21" s="261"/>
    </row>
    <row r="22" spans="2:6" ht="15.75" customHeight="1" x14ac:dyDescent="0.25">
      <c r="B22" s="193" t="s">
        <v>5446</v>
      </c>
      <c r="C22" s="193" t="s">
        <v>3545</v>
      </c>
      <c r="D22" s="193" t="s">
        <v>3536</v>
      </c>
      <c r="E22" s="193" t="s">
        <v>3537</v>
      </c>
      <c r="F22" s="193" t="s">
        <v>5447</v>
      </c>
    </row>
    <row r="23" spans="2:6" ht="15.75" customHeight="1" x14ac:dyDescent="0.25">
      <c r="B23" s="190" t="s">
        <v>5448</v>
      </c>
      <c r="C23" s="216">
        <v>46</v>
      </c>
      <c r="D23" s="195">
        <v>24</v>
      </c>
      <c r="E23" s="198">
        <v>21</v>
      </c>
      <c r="F23" s="217">
        <v>0</v>
      </c>
    </row>
    <row r="24" spans="2:6" ht="15.75" customHeight="1" x14ac:dyDescent="0.25">
      <c r="B24" s="184" t="s">
        <v>5449</v>
      </c>
      <c r="C24" s="218">
        <v>50</v>
      </c>
      <c r="D24" s="195">
        <v>27</v>
      </c>
      <c r="E24" s="198">
        <v>18</v>
      </c>
      <c r="F24" s="217">
        <v>1</v>
      </c>
    </row>
    <row r="25" spans="2:6" ht="15.75" customHeight="1" x14ac:dyDescent="0.25">
      <c r="B25" s="190" t="s">
        <v>5450</v>
      </c>
      <c r="C25" s="216">
        <v>34</v>
      </c>
      <c r="D25" s="195">
        <v>14</v>
      </c>
      <c r="E25" s="198">
        <v>17</v>
      </c>
      <c r="F25" s="217">
        <v>0</v>
      </c>
    </row>
    <row r="26" spans="2:6" ht="15.75" customHeight="1" x14ac:dyDescent="0.25">
      <c r="B26" s="184" t="s">
        <v>5451</v>
      </c>
      <c r="C26" s="218">
        <v>40</v>
      </c>
      <c r="D26" s="195">
        <v>22</v>
      </c>
      <c r="E26" s="198">
        <v>13</v>
      </c>
      <c r="F26" s="217">
        <v>1</v>
      </c>
    </row>
    <row r="27" spans="2:6" ht="15.75" customHeight="1" x14ac:dyDescent="0.25">
      <c r="B27" s="190" t="s">
        <v>5452</v>
      </c>
      <c r="C27" s="216">
        <v>41</v>
      </c>
      <c r="D27" s="195">
        <v>22</v>
      </c>
      <c r="E27" s="198">
        <v>13</v>
      </c>
      <c r="F27" s="217">
        <v>1</v>
      </c>
    </row>
    <row r="28" spans="2:6" ht="15.75" customHeight="1" x14ac:dyDescent="0.25">
      <c r="B28" s="184" t="s">
        <v>5453</v>
      </c>
      <c r="C28" s="218">
        <v>45</v>
      </c>
      <c r="D28" s="195">
        <v>28</v>
      </c>
      <c r="E28" s="198">
        <v>13</v>
      </c>
      <c r="F28" s="217">
        <v>0</v>
      </c>
    </row>
    <row r="29" spans="2:6" ht="15.75" customHeight="1" x14ac:dyDescent="0.25">
      <c r="B29" s="190" t="s">
        <v>5454</v>
      </c>
      <c r="C29" s="216">
        <v>52</v>
      </c>
      <c r="D29" s="195">
        <v>28</v>
      </c>
      <c r="E29" s="198">
        <v>17</v>
      </c>
      <c r="F29" s="217">
        <v>0</v>
      </c>
    </row>
    <row r="30" spans="2:6" ht="15.75" customHeight="1" x14ac:dyDescent="0.25">
      <c r="B30" s="184" t="s">
        <v>5455</v>
      </c>
      <c r="C30" s="218">
        <v>53</v>
      </c>
      <c r="D30" s="195">
        <v>26</v>
      </c>
      <c r="E30" s="198">
        <v>23</v>
      </c>
      <c r="F30" s="217">
        <v>0</v>
      </c>
    </row>
    <row r="31" spans="2:6" ht="15.75" customHeight="1" x14ac:dyDescent="0.25">
      <c r="B31" s="190" t="s">
        <v>5456</v>
      </c>
      <c r="C31" s="216">
        <v>41</v>
      </c>
      <c r="D31" s="195">
        <v>21</v>
      </c>
      <c r="E31" s="198">
        <v>13</v>
      </c>
      <c r="F31" s="217">
        <v>1</v>
      </c>
    </row>
    <row r="32" spans="2:6" ht="15.75" customHeight="1" x14ac:dyDescent="0.25">
      <c r="B32" s="184" t="s">
        <v>5457</v>
      </c>
      <c r="C32" s="218">
        <v>49</v>
      </c>
      <c r="D32" s="195">
        <v>31</v>
      </c>
      <c r="E32" s="198">
        <v>17</v>
      </c>
      <c r="F32" s="217">
        <v>1</v>
      </c>
    </row>
    <row r="33" spans="2:6" ht="15.75" customHeight="1" x14ac:dyDescent="0.25">
      <c r="B33" s="190" t="s">
        <v>5458</v>
      </c>
      <c r="C33" s="216">
        <v>40</v>
      </c>
      <c r="D33" s="195">
        <v>23</v>
      </c>
      <c r="E33" s="198">
        <v>12</v>
      </c>
      <c r="F33" s="217">
        <v>1</v>
      </c>
    </row>
    <row r="34" spans="2:6" ht="15.75" customHeight="1" x14ac:dyDescent="0.25">
      <c r="B34" s="184" t="s">
        <v>5459</v>
      </c>
      <c r="C34" s="218">
        <v>53</v>
      </c>
      <c r="D34" s="195">
        <v>24</v>
      </c>
      <c r="E34" s="198">
        <v>17</v>
      </c>
      <c r="F34" s="217">
        <v>2</v>
      </c>
    </row>
    <row r="36" spans="2:6" ht="18" customHeight="1" x14ac:dyDescent="0.25">
      <c r="B36" s="261" t="s">
        <v>5460</v>
      </c>
      <c r="C36" s="261"/>
      <c r="D36" s="261"/>
      <c r="E36" s="261"/>
    </row>
    <row r="37" spans="2:6" ht="15.75" customHeight="1" x14ac:dyDescent="0.25">
      <c r="B37" s="193" t="s">
        <v>5461</v>
      </c>
      <c r="C37" s="193" t="s">
        <v>3543</v>
      </c>
      <c r="D37" s="193" t="s">
        <v>3536</v>
      </c>
      <c r="E37" s="193" t="s">
        <v>3537</v>
      </c>
      <c r="F37" s="193" t="s">
        <v>3538</v>
      </c>
    </row>
    <row r="38" spans="2:6" ht="15.75" customHeight="1" x14ac:dyDescent="0.25">
      <c r="B38" s="219" t="s">
        <v>5462</v>
      </c>
      <c r="C38" s="216">
        <v>55</v>
      </c>
      <c r="D38" s="195">
        <v>34</v>
      </c>
      <c r="E38" s="198">
        <v>16</v>
      </c>
      <c r="F38" s="201">
        <v>0</v>
      </c>
    </row>
    <row r="39" spans="2:6" ht="15.75" customHeight="1" x14ac:dyDescent="0.25">
      <c r="B39" s="220" t="s">
        <v>5463</v>
      </c>
      <c r="C39" s="218">
        <v>45</v>
      </c>
      <c r="D39" s="195">
        <v>24</v>
      </c>
      <c r="E39" s="198">
        <v>19</v>
      </c>
      <c r="F39" s="201">
        <v>2</v>
      </c>
    </row>
    <row r="40" spans="2:6" ht="15.75" customHeight="1" x14ac:dyDescent="0.25">
      <c r="B40" s="219" t="s">
        <v>5464</v>
      </c>
      <c r="C40" s="216">
        <v>45</v>
      </c>
      <c r="D40" s="195">
        <v>25</v>
      </c>
      <c r="E40" s="198">
        <v>19</v>
      </c>
      <c r="F40" s="201">
        <v>0</v>
      </c>
    </row>
    <row r="41" spans="2:6" ht="15.75" customHeight="1" x14ac:dyDescent="0.25">
      <c r="B41" s="220" t="s">
        <v>5465</v>
      </c>
      <c r="C41" s="218">
        <v>45</v>
      </c>
      <c r="D41" s="195">
        <v>21</v>
      </c>
      <c r="E41" s="198">
        <v>18</v>
      </c>
      <c r="F41" s="201">
        <v>2</v>
      </c>
    </row>
    <row r="42" spans="2:6" ht="15.75" customHeight="1" x14ac:dyDescent="0.25">
      <c r="B42" s="219" t="s">
        <v>5466</v>
      </c>
      <c r="C42" s="216">
        <v>35</v>
      </c>
      <c r="D42" s="195">
        <v>19</v>
      </c>
      <c r="E42" s="198">
        <v>8</v>
      </c>
      <c r="F42" s="201">
        <v>4</v>
      </c>
    </row>
    <row r="43" spans="2:6" ht="15.75" customHeight="1" x14ac:dyDescent="0.25">
      <c r="B43" s="220" t="s">
        <v>5467</v>
      </c>
      <c r="C43" s="218">
        <v>47</v>
      </c>
      <c r="D43" s="195">
        <v>22</v>
      </c>
      <c r="E43" s="198">
        <v>17</v>
      </c>
      <c r="F43" s="201">
        <v>0</v>
      </c>
    </row>
    <row r="44" spans="2:6" ht="15.75" customHeight="1" x14ac:dyDescent="0.25">
      <c r="B44" s="219" t="s">
        <v>5468</v>
      </c>
      <c r="C44" s="216">
        <v>40</v>
      </c>
      <c r="D44" s="195">
        <v>0</v>
      </c>
      <c r="E44" s="198">
        <v>0</v>
      </c>
      <c r="F44" s="201">
        <v>0</v>
      </c>
    </row>
    <row r="45" spans="2:6" ht="18" customHeight="1" x14ac:dyDescent="0.25">
      <c r="B45" s="215" t="s">
        <v>4</v>
      </c>
      <c r="C45" s="178">
        <v>312</v>
      </c>
      <c r="D45" s="221">
        <v>145</v>
      </c>
      <c r="E45" s="222">
        <v>97</v>
      </c>
    </row>
  </sheetData>
  <mergeCells count="5">
    <mergeCell ref="B1:H1"/>
    <mergeCell ref="B3:D3"/>
    <mergeCell ref="B13:D13"/>
    <mergeCell ref="B21:E21"/>
    <mergeCell ref="B36:E3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12</vt:i4>
      </vt:variant>
      <vt:variant>
        <vt:lpstr>Adlandırılmış Aralıklar</vt:lpstr>
      </vt:variant>
      <vt:variant>
        <vt:i4>3</vt:i4>
      </vt:variant>
    </vt:vector>
  </HeadingPairs>
  <TitlesOfParts>
    <vt:vector size="15" baseType="lpstr">
      <vt:lpstr>Faaliyet</vt:lpstr>
      <vt:lpstr>Başvuru</vt:lpstr>
      <vt:lpstr>Üye_1</vt:lpstr>
      <vt:lpstr>Üye_2</vt:lpstr>
      <vt:lpstr>Toplantı</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2026-06-02T13:14:26Z</dcterms:modified>
  <dc:language>en-US</dc:language>
</cp:coreProperties>
</file>