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BuÇalışmaKitabı"/>
  <mc:AlternateContent xmlns:mc="http://schemas.openxmlformats.org/markup-compatibility/2006">
    <mc:Choice Requires="x15">
      <x15ac:absPath xmlns:x15ac="http://schemas.microsoft.com/office/spreadsheetml/2010/11/ac" url="D:\SBA_Proje\"/>
    </mc:Choice>
  </mc:AlternateContent>
  <xr:revisionPtr revIDLastSave="0" documentId="13_ncr:1_{5CF293EA-820B-44A6-AD28-3103490C7C6B}" xr6:coauthVersionLast="47" xr6:coauthVersionMax="47" xr10:uidLastSave="{00000000-0000-0000-0000-000000000000}"/>
  <bookViews>
    <workbookView xWindow="-120" yWindow="-120" windowWidth="29040" windowHeight="16440" tabRatio="944" activeTab="1" xr2:uid="{00000000-000D-0000-FFFF-FFFF00000000}"/>
  </bookViews>
  <sheets>
    <sheet name="Başvuru" sheetId="129" r:id="rId1"/>
    <sheet name="Üye_1" sheetId="157" r:id="rId2"/>
    <sheet name="Üye_2" sheetId="159" r:id="rId3"/>
    <sheet name="Üye_Yeni" sheetId="162" r:id="rId4"/>
    <sheet name="Birim_Yeni" sheetId="163" r:id="rId5"/>
    <sheet name="Kurul_Raporu" sheetId="164" r:id="rId6"/>
    <sheet name="İstatistik" sheetId="161" r:id="rId7"/>
    <sheet name="Özet" sheetId="165" r:id="rId8"/>
    <sheet name="Pivot" sheetId="166" r:id="rId9"/>
    <sheet name="Sayılar" sheetId="158" r:id="rId10"/>
    <sheet name="Word_Gündem" sheetId="94" r:id="rId11"/>
    <sheet name="2025" sheetId="160" r:id="rId12"/>
    <sheet name="Formül" sheetId="50" r:id="rId13"/>
    <sheet name="Deneme" sheetId="57" r:id="rId14"/>
  </sheets>
  <definedNames>
    <definedName name="_xlnm._FilterDatabase" localSheetId="11" hidden="1">'2025'!#REF!</definedName>
    <definedName name="_xlnm._FilterDatabase" localSheetId="0" hidden="1">Başvuru!#REF!</definedName>
    <definedName name="Eski">'2025'!$D$72:$D$1081</definedName>
    <definedName name="EskiListe">'2025'!$D:$D</definedName>
    <definedName name="F">'2025'!$D:$D</definedName>
    <definedName name="_xlnm.Criteria" localSheetId="11">'2025'!#REF!</definedName>
    <definedName name="_xlnm.Criteria" localSheetId="0">Başvuru!#REF!</definedName>
  </definedNames>
  <calcPr calcId="191029" iterate="1"/>
  <pivotCaches>
    <pivotCache cacheId="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 i="158" l="1"/>
  <c r="F9" i="158"/>
  <c r="F10" i="158"/>
  <c r="F11" i="158"/>
  <c r="F12" i="158"/>
  <c r="F13" i="158"/>
  <c r="F14" i="158"/>
  <c r="F15" i="158"/>
  <c r="F16" i="158"/>
  <c r="F17" i="158"/>
  <c r="F18" i="158"/>
  <c r="F19" i="158"/>
  <c r="F20" i="158"/>
  <c r="F21" i="158"/>
  <c r="F22" i="158"/>
  <c r="F23" i="158"/>
  <c r="F24" i="158"/>
  <c r="F25" i="158"/>
  <c r="F26" i="158"/>
  <c r="C11" i="94" a="1"/>
  <c r="C11" i="94" s="1"/>
  <c r="C12" i="94" a="1"/>
  <c r="C12" i="94" s="1"/>
  <c r="C13" i="94" a="1"/>
  <c r="C13" i="94" s="1"/>
  <c r="C14" i="94" a="1"/>
  <c r="C14" i="94" s="1"/>
  <c r="C15" i="94" a="1"/>
  <c r="C15" i="94" s="1"/>
  <c r="C16" i="94" a="1"/>
  <c r="C16" i="94" s="1"/>
  <c r="C17" i="94" a="1"/>
  <c r="C17" i="94" s="1"/>
  <c r="C18" i="94" a="1"/>
  <c r="C18" i="94" s="1"/>
  <c r="C19" i="94" a="1"/>
  <c r="C19" i="94" s="1"/>
  <c r="C20" i="94" a="1"/>
  <c r="C20" i="94" s="1"/>
  <c r="C21" i="94" a="1"/>
  <c r="C21" i="94" s="1"/>
  <c r="C22" i="94" a="1"/>
  <c r="C22" i="94" s="1"/>
  <c r="C23" i="94" a="1"/>
  <c r="C23" i="94" s="1"/>
  <c r="C24" i="94" a="1"/>
  <c r="C24" i="94" s="1"/>
  <c r="C25" i="94" a="1"/>
  <c r="C25" i="94" s="1"/>
  <c r="C26" i="94" a="1"/>
  <c r="C26" i="94" s="1"/>
  <c r="C27" i="94" a="1"/>
  <c r="C27" i="94" s="1"/>
  <c r="C28" i="94" a="1"/>
  <c r="C28" i="94" s="1"/>
  <c r="C29" i="94" a="1"/>
  <c r="C29" i="94" s="1"/>
  <c r="C30" i="94" a="1"/>
  <c r="C30" i="94" s="1"/>
  <c r="C31" i="94" a="1"/>
  <c r="C31" i="94" s="1"/>
  <c r="C32" i="94" a="1"/>
  <c r="C32" i="94" s="1"/>
  <c r="C33" i="94" a="1"/>
  <c r="C33" i="94" s="1"/>
  <c r="C34" i="94" a="1"/>
  <c r="C34" i="94" s="1"/>
  <c r="C35" i="94" a="1"/>
  <c r="C35" i="94" s="1"/>
  <c r="C36" i="94" a="1"/>
  <c r="C36" i="94" s="1"/>
  <c r="C37" i="94" a="1"/>
  <c r="C37" i="94" s="1"/>
  <c r="C38" i="94" a="1"/>
  <c r="C38" i="94" s="1"/>
  <c r="C39" i="94" a="1"/>
  <c r="C39" i="94" s="1"/>
  <c r="C40" i="94" a="1"/>
  <c r="C40" i="94" s="1"/>
  <c r="C41" i="94" a="1"/>
  <c r="C41" i="94" s="1"/>
  <c r="C42" i="94" a="1"/>
  <c r="C42" i="94" s="1"/>
  <c r="C43" i="94" a="1"/>
  <c r="C43" i="94" s="1"/>
  <c r="C44" i="94" a="1"/>
  <c r="C44" i="94" s="1"/>
  <c r="C45" i="94" a="1"/>
  <c r="C45" i="94" s="1"/>
  <c r="C46" i="94" a="1"/>
  <c r="C46" i="94" s="1"/>
  <c r="C47" i="94" a="1"/>
  <c r="C47" i="94" s="1"/>
  <c r="C48" i="94" a="1"/>
  <c r="C48" i="94" s="1"/>
  <c r="C49" i="94" a="1"/>
  <c r="C49" i="94" s="1"/>
  <c r="C50" i="94" a="1"/>
  <c r="C50" i="94" s="1"/>
  <c r="C51" i="94" a="1"/>
  <c r="C51" i="94" s="1"/>
  <c r="C52" i="94" a="1"/>
  <c r="C52" i="94" s="1"/>
  <c r="C53" i="94" a="1"/>
  <c r="C53" i="94" s="1"/>
  <c r="C54" i="94" a="1"/>
  <c r="C54" i="94" s="1"/>
  <c r="C55" i="94" a="1"/>
  <c r="C55" i="94" s="1"/>
  <c r="C56" i="94" a="1"/>
  <c r="C56" i="94" s="1"/>
  <c r="C57" i="94" a="1"/>
  <c r="C57" i="94" s="1"/>
  <c r="C58" i="94" a="1"/>
  <c r="C58" i="94" s="1"/>
  <c r="C59" i="94" a="1"/>
  <c r="C59" i="94" s="1"/>
  <c r="C60" i="94" a="1"/>
  <c r="C60" i="94" s="1"/>
  <c r="C61" i="94" a="1"/>
  <c r="C61" i="94" s="1"/>
  <c r="C62" i="94" a="1"/>
  <c r="C62" i="94" s="1"/>
  <c r="C63" i="94" a="1"/>
  <c r="C63" i="94" s="1"/>
  <c r="C64" i="94" a="1"/>
  <c r="C64" i="94" s="1"/>
  <c r="C65" i="94" a="1"/>
  <c r="C65" i="94" s="1"/>
  <c r="C66" i="94" a="1"/>
  <c r="C66" i="94" s="1"/>
  <c r="C67" i="94" a="1"/>
  <c r="C67" i="94" s="1"/>
  <c r="C68" i="94" a="1"/>
  <c r="C68" i="94" s="1"/>
  <c r="C69" i="94" a="1"/>
  <c r="C69" i="94" s="1"/>
  <c r="C70" i="94" a="1"/>
  <c r="C70" i="94" s="1"/>
  <c r="C71" i="94" a="1"/>
  <c r="C71" i="94" s="1"/>
  <c r="C72" i="94" a="1"/>
  <c r="C72" i="94" s="1"/>
  <c r="C73" i="94" a="1"/>
  <c r="C73" i="94" s="1"/>
  <c r="C74" i="94" a="1"/>
  <c r="C74" i="94" s="1"/>
  <c r="B38" i="94" a="1"/>
  <c r="B38" i="94" s="1"/>
  <c r="B39" i="94" a="1"/>
  <c r="B39" i="94" s="1"/>
  <c r="B40" i="94" a="1"/>
  <c r="B40" i="94" s="1"/>
  <c r="B41" i="94" a="1"/>
  <c r="B41" i="94" s="1"/>
  <c r="B42" i="94" a="1"/>
  <c r="B42" i="94"/>
  <c r="B43" i="94" a="1"/>
  <c r="B43" i="94" s="1"/>
  <c r="B44" i="94" a="1"/>
  <c r="B44" i="94" s="1"/>
  <c r="B45" i="94" a="1"/>
  <c r="B45" i="94" s="1"/>
  <c r="B46" i="94" a="1"/>
  <c r="B46" i="94" s="1"/>
  <c r="B47" i="94" a="1"/>
  <c r="B47" i="94" s="1"/>
  <c r="B48" i="94" a="1"/>
  <c r="B48" i="94"/>
  <c r="B49" i="94" a="1"/>
  <c r="B49" i="94" s="1"/>
  <c r="B50" i="94" a="1"/>
  <c r="B50" i="94" s="1"/>
  <c r="B51" i="94" a="1"/>
  <c r="B51" i="94" s="1"/>
  <c r="B52" i="94" a="1"/>
  <c r="B52" i="94" s="1"/>
  <c r="B53" i="94" a="1"/>
  <c r="B53" i="94" s="1"/>
  <c r="B21" i="94" a="1"/>
  <c r="B21" i="94" s="1"/>
  <c r="B22" i="94" a="1"/>
  <c r="B22" i="94" s="1"/>
  <c r="B23" i="94" a="1"/>
  <c r="B23" i="94" s="1"/>
  <c r="B24" i="94" a="1"/>
  <c r="B24" i="94" s="1"/>
  <c r="B25" i="94" a="1"/>
  <c r="B25" i="94"/>
  <c r="B26" i="94" a="1"/>
  <c r="B26" i="94" s="1"/>
  <c r="B27" i="94" a="1"/>
  <c r="B27" i="94" s="1"/>
  <c r="B28" i="94" a="1"/>
  <c r="B28" i="94" s="1"/>
  <c r="B29" i="94" a="1"/>
  <c r="B29" i="94" s="1"/>
  <c r="B30" i="94" a="1"/>
  <c r="B30" i="94" s="1"/>
  <c r="B31" i="94" a="1"/>
  <c r="B31" i="94"/>
  <c r="B32" i="94" a="1"/>
  <c r="B32" i="94" s="1"/>
  <c r="B33" i="94" a="1"/>
  <c r="B33" i="94" s="1"/>
  <c r="B34" i="94" a="1"/>
  <c r="B34" i="94" s="1"/>
  <c r="B35" i="94" a="1"/>
  <c r="B35" i="94" s="1"/>
  <c r="B36" i="94" a="1"/>
  <c r="B36" i="94" s="1"/>
  <c r="B37" i="94" a="1"/>
  <c r="B37" i="94"/>
  <c r="R188" i="129"/>
  <c r="R189" i="129"/>
  <c r="R190" i="129"/>
  <c r="R191" i="129"/>
  <c r="R192" i="129"/>
  <c r="R193" i="129"/>
  <c r="R194" i="129"/>
  <c r="R195" i="129"/>
  <c r="R196" i="129"/>
  <c r="R197" i="129"/>
  <c r="R198" i="129"/>
  <c r="R199" i="129"/>
  <c r="R200" i="129"/>
  <c r="R201" i="129"/>
  <c r="R202" i="129"/>
  <c r="R203" i="129"/>
  <c r="R204" i="129"/>
  <c r="R205" i="129"/>
  <c r="R206" i="129"/>
  <c r="R207" i="129"/>
  <c r="R208" i="129"/>
  <c r="R209" i="129"/>
  <c r="R210" i="129"/>
  <c r="R211" i="129"/>
  <c r="R212" i="129"/>
  <c r="R213" i="129"/>
  <c r="R214" i="129"/>
  <c r="R215" i="129"/>
  <c r="R216" i="129"/>
  <c r="R217" i="129"/>
  <c r="R218" i="129"/>
  <c r="R219" i="129"/>
  <c r="R220" i="129"/>
  <c r="R221" i="129"/>
  <c r="R222" i="129"/>
  <c r="R223" i="129"/>
  <c r="R224" i="129"/>
  <c r="R225" i="129"/>
  <c r="R226" i="129"/>
  <c r="R227" i="129"/>
  <c r="R228" i="129"/>
  <c r="R229" i="129"/>
  <c r="R230" i="129"/>
  <c r="R231" i="129"/>
  <c r="R232" i="129"/>
  <c r="R233" i="129"/>
  <c r="R234" i="129"/>
  <c r="R235" i="129"/>
  <c r="R236" i="129"/>
  <c r="R237" i="129"/>
  <c r="R238" i="129"/>
  <c r="R239" i="129"/>
  <c r="R240" i="129"/>
  <c r="R241" i="129"/>
  <c r="R242" i="129"/>
  <c r="R243" i="129"/>
  <c r="R244" i="129"/>
  <c r="R245" i="129"/>
  <c r="R246" i="129"/>
  <c r="R247" i="129"/>
  <c r="R248" i="129"/>
  <c r="R249" i="129"/>
  <c r="R250" i="129"/>
  <c r="R251" i="129"/>
  <c r="P103" i="129"/>
  <c r="R75" i="129"/>
  <c r="R76" i="129"/>
  <c r="R77" i="129"/>
  <c r="R78" i="129"/>
  <c r="R79" i="129"/>
  <c r="R80" i="129"/>
  <c r="R81" i="129"/>
  <c r="R82" i="129"/>
  <c r="R83" i="129"/>
  <c r="R84" i="129"/>
  <c r="R85" i="129"/>
  <c r="R86" i="129"/>
  <c r="R87" i="129"/>
  <c r="R88" i="129"/>
  <c r="R89" i="129"/>
  <c r="R90" i="129"/>
  <c r="R91" i="129"/>
  <c r="R92" i="129"/>
  <c r="R93" i="129"/>
  <c r="R94" i="129"/>
  <c r="R95" i="129"/>
  <c r="R96" i="129"/>
  <c r="R97" i="129"/>
  <c r="R98" i="129"/>
  <c r="R99" i="129"/>
  <c r="R100" i="129"/>
  <c r="R101" i="129"/>
  <c r="R102" i="129"/>
  <c r="R103" i="129"/>
  <c r="R104" i="129"/>
  <c r="R105" i="129"/>
  <c r="R106" i="129"/>
  <c r="R107" i="129"/>
  <c r="R108" i="129"/>
  <c r="R109" i="129"/>
  <c r="R110" i="129"/>
  <c r="R111" i="129"/>
  <c r="R112" i="129"/>
  <c r="R113" i="129"/>
  <c r="R114" i="129"/>
  <c r="R115" i="129"/>
  <c r="R116" i="129"/>
  <c r="R117" i="129"/>
  <c r="R118" i="129"/>
  <c r="R119" i="129"/>
  <c r="R120" i="129"/>
  <c r="R121" i="129"/>
  <c r="R122" i="129"/>
  <c r="R123" i="129"/>
  <c r="R124" i="129"/>
  <c r="R125" i="129"/>
  <c r="R126" i="129"/>
  <c r="R127" i="129"/>
  <c r="R128" i="129"/>
  <c r="R129" i="129"/>
  <c r="R130" i="129"/>
  <c r="R131" i="129"/>
  <c r="R132" i="129"/>
  <c r="R133" i="129"/>
  <c r="R134" i="129"/>
  <c r="R135" i="129"/>
  <c r="R136" i="129"/>
  <c r="R137" i="129"/>
  <c r="R138" i="129"/>
  <c r="R139" i="129"/>
  <c r="R140" i="129"/>
  <c r="R141" i="129"/>
  <c r="R142" i="129"/>
  <c r="R143" i="129"/>
  <c r="R144" i="129"/>
  <c r="R145" i="129"/>
  <c r="R146" i="129"/>
  <c r="R147" i="129"/>
  <c r="R148" i="129"/>
  <c r="R149" i="129"/>
  <c r="R150" i="129"/>
  <c r="R151" i="129"/>
  <c r="R152" i="129"/>
  <c r="R153" i="129"/>
  <c r="R154" i="129"/>
  <c r="R155" i="129"/>
  <c r="R156" i="129"/>
  <c r="R157" i="129"/>
  <c r="R158" i="129"/>
  <c r="R159" i="129"/>
  <c r="R160" i="129"/>
  <c r="R161" i="129"/>
  <c r="R162" i="129"/>
  <c r="R163" i="129"/>
  <c r="R164" i="129"/>
  <c r="R165" i="129"/>
  <c r="R166" i="129"/>
  <c r="R167" i="129"/>
  <c r="R168" i="129"/>
  <c r="R169" i="129"/>
  <c r="R170" i="129"/>
  <c r="R171" i="129"/>
  <c r="R172" i="129"/>
  <c r="R173" i="129"/>
  <c r="R174" i="129"/>
  <c r="R175" i="129"/>
  <c r="R176" i="129"/>
  <c r="R177" i="129"/>
  <c r="R178" i="129"/>
  <c r="R179" i="129"/>
  <c r="R180" i="129"/>
  <c r="R181" i="129"/>
  <c r="R182" i="129"/>
  <c r="R183" i="129"/>
  <c r="R184" i="129"/>
  <c r="R185" i="129"/>
  <c r="R186" i="129"/>
  <c r="R187" i="129"/>
  <c r="P102" i="129"/>
  <c r="E2" i="165"/>
  <c r="C2" i="165"/>
  <c r="AE2" i="165"/>
  <c r="AE3" i="165"/>
  <c r="AE4" i="165"/>
  <c r="AE5" i="165"/>
  <c r="AE6" i="165"/>
  <c r="AE7" i="165"/>
  <c r="AE8" i="165"/>
  <c r="AE9" i="165"/>
  <c r="AE10" i="165"/>
  <c r="AE11" i="165"/>
  <c r="AE12" i="165"/>
  <c r="AE13" i="165"/>
  <c r="AE14" i="165"/>
  <c r="AE15" i="165"/>
  <c r="AE16" i="165"/>
  <c r="AE17" i="165"/>
  <c r="AE18" i="165"/>
  <c r="AE19" i="165"/>
  <c r="AE20" i="165"/>
  <c r="AE21" i="165"/>
  <c r="AE22" i="165"/>
  <c r="AE23" i="165"/>
  <c r="AE24" i="165"/>
  <c r="AE25" i="165"/>
  <c r="AE26" i="165"/>
  <c r="AE27" i="165"/>
  <c r="AE28" i="165"/>
  <c r="AE29" i="165"/>
  <c r="AE30" i="165"/>
  <c r="AE31" i="165"/>
  <c r="AE32" i="165"/>
  <c r="AE33" i="165"/>
  <c r="AE34" i="165"/>
  <c r="AE35" i="165"/>
  <c r="AE36" i="165"/>
  <c r="AE37" i="165"/>
  <c r="AE38" i="165"/>
  <c r="AE39" i="165"/>
  <c r="AE40" i="165"/>
  <c r="AE41" i="165"/>
  <c r="AE42" i="165"/>
  <c r="AE43" i="165"/>
  <c r="AE44" i="165"/>
  <c r="AE45" i="165"/>
  <c r="AE46" i="165"/>
  <c r="AE47" i="165"/>
  <c r="AE48" i="165"/>
  <c r="AE49" i="165"/>
  <c r="AE50" i="165"/>
  <c r="AE51" i="165"/>
  <c r="AE52" i="165"/>
  <c r="AE53" i="165"/>
  <c r="AE54" i="165"/>
  <c r="AE55" i="165"/>
  <c r="AE56" i="165"/>
  <c r="AE57" i="165"/>
  <c r="AE58" i="165"/>
  <c r="AE59" i="165"/>
  <c r="AE60" i="165"/>
  <c r="AE61" i="165"/>
  <c r="AE62" i="165"/>
  <c r="AE63" i="165"/>
  <c r="AE64" i="165"/>
  <c r="AE65" i="165"/>
  <c r="AE66" i="165"/>
  <c r="AE67" i="165"/>
  <c r="AE68" i="165"/>
  <c r="AE69" i="165"/>
  <c r="AE70" i="165"/>
  <c r="AE71" i="165"/>
  <c r="AE72" i="165"/>
  <c r="AE73" i="165"/>
  <c r="AE74" i="165"/>
  <c r="AE75" i="165"/>
  <c r="AE76" i="165"/>
  <c r="AE77" i="165"/>
  <c r="AE78" i="165"/>
  <c r="AE79" i="165"/>
  <c r="AE80" i="165"/>
  <c r="AE81" i="165"/>
  <c r="AE82" i="165"/>
  <c r="AE83" i="165"/>
  <c r="AE84" i="165"/>
  <c r="AE85" i="165"/>
  <c r="AE86" i="165"/>
  <c r="AE87" i="165"/>
  <c r="AE88" i="165"/>
  <c r="AE89" i="165"/>
  <c r="AE90" i="165"/>
  <c r="AE91" i="165"/>
  <c r="AE92" i="165"/>
  <c r="AE93" i="165"/>
  <c r="AE94" i="165"/>
  <c r="AE95" i="165"/>
  <c r="AE96" i="165"/>
  <c r="AE97" i="165"/>
  <c r="AE98" i="165"/>
  <c r="AE99" i="165"/>
  <c r="AE100" i="165"/>
  <c r="AE101" i="165"/>
  <c r="AE102" i="165"/>
  <c r="AE103" i="165"/>
  <c r="AE104" i="165"/>
  <c r="AE105" i="165"/>
  <c r="AE106" i="165"/>
  <c r="AE107" i="165"/>
  <c r="AE108" i="165"/>
  <c r="AE109" i="165"/>
  <c r="AE110" i="165"/>
  <c r="AE111" i="165"/>
  <c r="AE112" i="165"/>
  <c r="AE113" i="165"/>
  <c r="AE114" i="165"/>
  <c r="AE115" i="165"/>
  <c r="AE116" i="165"/>
  <c r="AE117" i="165"/>
  <c r="AE118" i="165"/>
  <c r="AE119" i="165"/>
  <c r="AE120" i="165"/>
  <c r="AE121" i="165"/>
  <c r="AE122" i="165"/>
  <c r="AE123" i="165"/>
  <c r="AE124" i="165"/>
  <c r="AE125" i="165"/>
  <c r="AE126" i="165"/>
  <c r="AE127" i="165"/>
  <c r="AE128" i="165"/>
  <c r="AE129" i="165"/>
  <c r="AE130" i="165"/>
  <c r="AE131" i="165"/>
  <c r="AE132" i="165"/>
  <c r="AE133" i="165"/>
  <c r="AE134" i="165"/>
  <c r="AE135" i="165"/>
  <c r="AE136" i="165"/>
  <c r="AE137" i="165"/>
  <c r="AE138" i="165"/>
  <c r="AE139" i="165"/>
  <c r="AE140" i="165"/>
  <c r="AE141" i="165"/>
  <c r="AE142" i="165"/>
  <c r="AE143" i="165"/>
  <c r="AE144" i="165"/>
  <c r="AE145" i="165"/>
  <c r="AE146" i="165"/>
  <c r="AE147" i="165"/>
  <c r="AE148" i="165"/>
  <c r="AE149" i="165"/>
  <c r="AE150" i="165"/>
  <c r="AE151" i="165"/>
  <c r="AE152" i="165"/>
  <c r="AE153" i="165"/>
  <c r="AE154" i="165"/>
  <c r="AE155" i="165"/>
  <c r="AE156" i="165"/>
  <c r="AE157" i="165"/>
  <c r="AE158" i="165"/>
  <c r="AE159" i="165"/>
  <c r="AE160" i="165"/>
  <c r="AE161" i="165"/>
  <c r="AE162" i="165"/>
  <c r="AE163" i="165"/>
  <c r="AE164" i="165"/>
  <c r="AE165" i="165"/>
  <c r="AE166" i="165"/>
  <c r="AE167" i="165"/>
  <c r="AE168" i="165"/>
  <c r="AE169" i="165"/>
  <c r="AE170" i="165"/>
  <c r="AE171" i="165"/>
  <c r="AE172" i="165"/>
  <c r="AE173" i="165"/>
  <c r="AE174" i="165"/>
  <c r="AE175" i="165"/>
  <c r="AE176" i="165"/>
  <c r="AE177" i="165"/>
  <c r="AE178" i="165"/>
  <c r="AE179" i="165"/>
  <c r="AE180" i="165"/>
  <c r="AE181" i="165"/>
  <c r="AE1" i="165"/>
  <c r="AC2" i="165"/>
  <c r="AC3" i="165"/>
  <c r="AC4" i="165"/>
  <c r="AC5" i="165"/>
  <c r="AC6" i="165"/>
  <c r="AC7" i="165"/>
  <c r="AC8" i="165"/>
  <c r="AC9" i="165"/>
  <c r="AC10" i="165"/>
  <c r="AC11" i="165"/>
  <c r="AC12" i="165"/>
  <c r="AC13" i="165"/>
  <c r="AC14" i="165"/>
  <c r="AC15" i="165"/>
  <c r="AC16" i="165"/>
  <c r="AC17" i="165"/>
  <c r="AC18" i="165"/>
  <c r="AC19" i="165"/>
  <c r="AC20" i="165"/>
  <c r="AC21" i="165"/>
  <c r="AC22" i="165"/>
  <c r="AC23" i="165"/>
  <c r="AC24" i="165"/>
  <c r="AC25" i="165"/>
  <c r="AC26" i="165"/>
  <c r="AC27" i="165"/>
  <c r="AC28" i="165"/>
  <c r="AC29" i="165"/>
  <c r="AC30" i="165"/>
  <c r="AC31" i="165"/>
  <c r="AC32" i="165"/>
  <c r="AC33" i="165"/>
  <c r="AC34" i="165"/>
  <c r="AC35" i="165"/>
  <c r="AC36" i="165"/>
  <c r="AC37" i="165"/>
  <c r="AC38" i="165"/>
  <c r="AC39" i="165"/>
  <c r="AC40" i="165"/>
  <c r="AC41" i="165"/>
  <c r="AC42" i="165"/>
  <c r="AC43" i="165"/>
  <c r="AC44" i="165"/>
  <c r="AC45" i="165"/>
  <c r="AC46" i="165"/>
  <c r="AC47" i="165"/>
  <c r="AC48" i="165"/>
  <c r="AC49" i="165"/>
  <c r="AC50" i="165"/>
  <c r="AC51" i="165"/>
  <c r="AC52" i="165"/>
  <c r="AC53" i="165"/>
  <c r="AC54" i="165"/>
  <c r="AC55" i="165"/>
  <c r="AC56" i="165"/>
  <c r="AC57" i="165"/>
  <c r="AC58" i="165"/>
  <c r="AC59" i="165"/>
  <c r="AC60" i="165"/>
  <c r="AC61" i="165"/>
  <c r="AC62" i="165"/>
  <c r="AC63" i="165"/>
  <c r="AC64" i="165"/>
  <c r="AC65" i="165"/>
  <c r="AC66" i="165"/>
  <c r="AC67" i="165"/>
  <c r="AC68" i="165"/>
  <c r="AC69" i="165"/>
  <c r="AC70" i="165"/>
  <c r="AC71" i="165"/>
  <c r="AC72" i="165"/>
  <c r="AC73" i="165"/>
  <c r="AC74" i="165"/>
  <c r="AC75" i="165"/>
  <c r="AC76" i="165"/>
  <c r="AC77" i="165"/>
  <c r="AC78" i="165"/>
  <c r="AC79" i="165"/>
  <c r="AC80" i="165"/>
  <c r="AC81" i="165"/>
  <c r="AC82" i="165"/>
  <c r="AC83" i="165"/>
  <c r="AC84" i="165"/>
  <c r="AC85" i="165"/>
  <c r="AC86" i="165"/>
  <c r="AC87" i="165"/>
  <c r="AC88" i="165"/>
  <c r="AC89" i="165"/>
  <c r="AC90" i="165"/>
  <c r="AC91" i="165"/>
  <c r="AC92" i="165"/>
  <c r="AC93" i="165"/>
  <c r="AC94" i="165"/>
  <c r="AC95" i="165"/>
  <c r="AC96" i="165"/>
  <c r="AC97" i="165"/>
  <c r="AC98" i="165"/>
  <c r="AC99" i="165"/>
  <c r="AC100" i="165"/>
  <c r="AC101" i="165"/>
  <c r="AC102" i="165"/>
  <c r="AC103" i="165"/>
  <c r="AC104" i="165"/>
  <c r="AC105" i="165"/>
  <c r="AC106" i="165"/>
  <c r="AC107" i="165"/>
  <c r="AC108" i="165"/>
  <c r="AC109" i="165"/>
  <c r="AC110" i="165"/>
  <c r="AC111" i="165"/>
  <c r="AC112" i="165"/>
  <c r="AC113" i="165"/>
  <c r="AC114" i="165"/>
  <c r="AC115" i="165"/>
  <c r="AC116" i="165"/>
  <c r="AC117" i="165"/>
  <c r="AC118" i="165"/>
  <c r="AC119" i="165"/>
  <c r="AC120" i="165"/>
  <c r="AC121" i="165"/>
  <c r="AC122" i="165"/>
  <c r="AC123" i="165"/>
  <c r="AC124" i="165"/>
  <c r="AC125" i="165"/>
  <c r="AC126" i="165"/>
  <c r="AC127" i="165"/>
  <c r="AC128" i="165"/>
  <c r="AC129" i="165"/>
  <c r="AC130" i="165"/>
  <c r="AC131" i="165"/>
  <c r="AC132" i="165"/>
  <c r="AC133" i="165"/>
  <c r="AC134" i="165"/>
  <c r="AC135" i="165"/>
  <c r="AC136" i="165"/>
  <c r="AC137" i="165"/>
  <c r="AC138" i="165"/>
  <c r="AC139" i="165"/>
  <c r="AC140" i="165"/>
  <c r="AC141" i="165"/>
  <c r="AC142" i="165"/>
  <c r="AC143" i="165"/>
  <c r="AC144" i="165"/>
  <c r="AC145" i="165"/>
  <c r="AC146" i="165"/>
  <c r="AC147" i="165"/>
  <c r="AC148" i="165"/>
  <c r="AC149" i="165"/>
  <c r="AC150" i="165"/>
  <c r="AC151" i="165"/>
  <c r="AC152" i="165"/>
  <c r="AC153" i="165"/>
  <c r="AC154" i="165"/>
  <c r="AC155" i="165"/>
  <c r="AC156" i="165"/>
  <c r="AC157" i="165"/>
  <c r="AC158" i="165"/>
  <c r="AC159" i="165"/>
  <c r="AC160" i="165"/>
  <c r="AC161" i="165"/>
  <c r="AC162" i="165"/>
  <c r="AC163" i="165"/>
  <c r="AC164" i="165"/>
  <c r="AC165" i="165"/>
  <c r="AC166" i="165"/>
  <c r="AC167" i="165"/>
  <c r="AC168" i="165"/>
  <c r="AC169" i="165"/>
  <c r="AC170" i="165"/>
  <c r="AC171" i="165"/>
  <c r="AC172" i="165"/>
  <c r="AC173" i="165"/>
  <c r="AC174" i="165"/>
  <c r="AC175" i="165"/>
  <c r="AC1" i="165"/>
  <c r="AC176" i="165"/>
  <c r="AC177" i="165"/>
  <c r="AC178" i="165"/>
  <c r="AC179" i="165"/>
  <c r="AC180" i="165"/>
  <c r="AC181" i="165"/>
  <c r="A2" i="165"/>
  <c r="B2" i="165"/>
  <c r="A9" i="164" a="1"/>
  <c r="B39" i="164" a="1"/>
  <c r="B39" i="164" s="1"/>
  <c r="B40" i="164" a="1"/>
  <c r="B40" i="164" s="1"/>
  <c r="B41" i="164" a="1"/>
  <c r="B41" i="164" s="1"/>
  <c r="B42" i="164" a="1"/>
  <c r="B42" i="164" s="1"/>
  <c r="B43" i="164" a="1"/>
  <c r="B43" i="164" s="1"/>
  <c r="B44" i="164" a="1"/>
  <c r="B44" i="164" s="1"/>
  <c r="B46" i="164" a="1"/>
  <c r="B46" i="164" s="1"/>
  <c r="B47" i="164" a="1"/>
  <c r="B47" i="164" s="1"/>
  <c r="B48" i="164" a="1"/>
  <c r="B48" i="164" s="1"/>
  <c r="B49" i="164" a="1"/>
  <c r="B49" i="164" s="1"/>
  <c r="C5" i="164" a="1"/>
  <c r="C5" i="164" s="1"/>
  <c r="C2" i="163"/>
  <c r="A6" i="163" a="1"/>
  <c r="A6" i="163" s="1"/>
  <c r="AW2" i="161" a="1"/>
  <c r="AW2" i="161" s="1"/>
  <c r="AQ1" i="161" a="1"/>
  <c r="AQ1" i="161" s="1"/>
  <c r="AA4" i="161" a="1"/>
  <c r="AA4" i="161" s="1"/>
  <c r="F5" i="158"/>
  <c r="F6" i="158"/>
  <c r="F7" i="158"/>
  <c r="F4" i="158"/>
  <c r="AO4" i="161" a="1"/>
  <c r="AO4" i="161" s="1"/>
  <c r="Y4" i="161" a="1"/>
  <c r="Y4" i="161" s="1"/>
  <c r="W4" i="161" a="1"/>
  <c r="W4" i="161" s="1"/>
  <c r="U4" i="161" a="1"/>
  <c r="U4" i="161" s="1"/>
  <c r="R4" i="161" a="1"/>
  <c r="R4" i="161" s="1"/>
  <c r="D2" i="161"/>
  <c r="C1" i="94" a="1"/>
  <c r="C1" i="94" s="1"/>
  <c r="C2" i="94" a="1"/>
  <c r="C2" i="94" s="1"/>
  <c r="C3" i="94" a="1"/>
  <c r="C3" i="94" s="1"/>
  <c r="C4" i="94" a="1"/>
  <c r="C4" i="94" s="1"/>
  <c r="C5" i="94" a="1"/>
  <c r="C5" i="94" s="1"/>
  <c r="C6" i="94" a="1"/>
  <c r="C6" i="94" s="1"/>
  <c r="C7" i="94" a="1"/>
  <c r="C7" i="94" s="1"/>
  <c r="C8" i="94" a="1"/>
  <c r="C8" i="94" s="1"/>
  <c r="C9" i="94" a="1"/>
  <c r="C9" i="94" s="1"/>
  <c r="C10" i="94" a="1"/>
  <c r="C10" i="94" s="1"/>
  <c r="B1" i="94" a="1"/>
  <c r="B1" i="94" s="1"/>
  <c r="B2" i="94" a="1"/>
  <c r="B2" i="94" s="1"/>
  <c r="B3" i="94" a="1"/>
  <c r="B3" i="94" s="1"/>
  <c r="B4" i="94" a="1"/>
  <c r="B4" i="94" s="1"/>
  <c r="B5" i="94" a="1"/>
  <c r="B5" i="94" s="1"/>
  <c r="B6" i="94" a="1"/>
  <c r="B6" i="94" s="1"/>
  <c r="B7" i="94" a="1"/>
  <c r="B7" i="94" s="1"/>
  <c r="B8" i="94" a="1"/>
  <c r="B8" i="94" s="1"/>
  <c r="B9" i="94" a="1"/>
  <c r="B9" i="94" s="1"/>
  <c r="B10" i="94" a="1"/>
  <c r="B10" i="94" s="1"/>
  <c r="B11" i="94" a="1"/>
  <c r="B11" i="94" s="1"/>
  <c r="B12" i="94" a="1"/>
  <c r="B12" i="94" s="1"/>
  <c r="B13" i="94" a="1"/>
  <c r="B13" i="94" s="1"/>
  <c r="B14" i="94" a="1"/>
  <c r="B14" i="94" s="1"/>
  <c r="B15" i="94" a="1"/>
  <c r="B15" i="94" s="1"/>
  <c r="B16" i="94" a="1"/>
  <c r="B16" i="94" s="1"/>
  <c r="B17" i="94" a="1"/>
  <c r="B17" i="94" s="1"/>
  <c r="B18" i="94" a="1"/>
  <c r="B18" i="94" s="1"/>
  <c r="B19" i="94" a="1"/>
  <c r="B19" i="94" s="1"/>
  <c r="B20" i="94" a="1"/>
  <c r="B20" i="94" s="1"/>
  <c r="C2" i="161"/>
  <c r="R62" i="129"/>
  <c r="R63" i="129"/>
  <c r="R64" i="129"/>
  <c r="R65" i="129"/>
  <c r="R66" i="129"/>
  <c r="R67" i="129"/>
  <c r="R68" i="129"/>
  <c r="R69" i="129"/>
  <c r="R70" i="129"/>
  <c r="R71" i="129"/>
  <c r="R72" i="129"/>
  <c r="R73" i="129"/>
  <c r="R74" i="129"/>
  <c r="R252" i="129"/>
  <c r="P3" i="129"/>
  <c r="R3" i="129" s="1"/>
  <c r="P4" i="129"/>
  <c r="R4" i="129" s="1"/>
  <c r="P5" i="129"/>
  <c r="R5" i="129" s="1"/>
  <c r="P6" i="129"/>
  <c r="R6" i="129" s="1"/>
  <c r="P7" i="129"/>
  <c r="R7" i="129" s="1"/>
  <c r="P8" i="129"/>
  <c r="R8" i="129" s="1"/>
  <c r="P9" i="129"/>
  <c r="R9" i="129" s="1"/>
  <c r="P10" i="129"/>
  <c r="R10" i="129" s="1"/>
  <c r="P11" i="129"/>
  <c r="R11" i="129" s="1"/>
  <c r="P12" i="129"/>
  <c r="R12" i="129" s="1"/>
  <c r="P13" i="129"/>
  <c r="R13" i="129" s="1"/>
  <c r="P14" i="129"/>
  <c r="R14" i="129" s="1"/>
  <c r="P15" i="129"/>
  <c r="R15" i="129" s="1"/>
  <c r="P16" i="129"/>
  <c r="R16" i="129" s="1"/>
  <c r="P17" i="129"/>
  <c r="R17" i="129" s="1"/>
  <c r="P18" i="129"/>
  <c r="R18" i="129" s="1"/>
  <c r="P19" i="129"/>
  <c r="R19" i="129" s="1"/>
  <c r="P20" i="129"/>
  <c r="R20" i="129" s="1"/>
  <c r="P21" i="129"/>
  <c r="R21" i="129" s="1"/>
  <c r="P22" i="129"/>
  <c r="R22" i="129" s="1"/>
  <c r="P23" i="129"/>
  <c r="R23" i="129" s="1"/>
  <c r="P24" i="129"/>
  <c r="R24" i="129" s="1"/>
  <c r="P25" i="129"/>
  <c r="R25" i="129" s="1"/>
  <c r="P26" i="129"/>
  <c r="R26" i="129" s="1"/>
  <c r="P27" i="129"/>
  <c r="R27" i="129" s="1"/>
  <c r="P28" i="129"/>
  <c r="R28" i="129" s="1"/>
  <c r="P29" i="129"/>
  <c r="R29" i="129" s="1"/>
  <c r="P30" i="129"/>
  <c r="R30" i="129" s="1"/>
  <c r="P31" i="129"/>
  <c r="R31" i="129" s="1"/>
  <c r="P32" i="129"/>
  <c r="R32" i="129" s="1"/>
  <c r="P33" i="129"/>
  <c r="R33" i="129" s="1"/>
  <c r="P34" i="129"/>
  <c r="R34" i="129" s="1"/>
  <c r="P35" i="129"/>
  <c r="R35" i="129" s="1"/>
  <c r="P36" i="129"/>
  <c r="R36" i="129" s="1"/>
  <c r="P37" i="129"/>
  <c r="R37" i="129" s="1"/>
  <c r="P38" i="129"/>
  <c r="R38" i="129" s="1"/>
  <c r="P39" i="129"/>
  <c r="R39" i="129" s="1"/>
  <c r="P40" i="129"/>
  <c r="R40" i="129" s="1"/>
  <c r="P41" i="129"/>
  <c r="R41" i="129" s="1"/>
  <c r="P42" i="129"/>
  <c r="R42" i="129" s="1"/>
  <c r="P43" i="129"/>
  <c r="R43" i="129" s="1"/>
  <c r="P44" i="129"/>
  <c r="R44" i="129" s="1"/>
  <c r="P45" i="129"/>
  <c r="R45" i="129" s="1"/>
  <c r="P46" i="129"/>
  <c r="R46" i="129" s="1"/>
  <c r="P47" i="129"/>
  <c r="R47" i="129" s="1"/>
  <c r="P48" i="129"/>
  <c r="R48" i="129" s="1"/>
  <c r="P49" i="129"/>
  <c r="R49" i="129" s="1"/>
  <c r="P50" i="129"/>
  <c r="R50" i="129" s="1"/>
  <c r="P51" i="129"/>
  <c r="R51" i="129" s="1"/>
  <c r="P52" i="129"/>
  <c r="R52" i="129" s="1"/>
  <c r="P53" i="129"/>
  <c r="R53" i="129" s="1"/>
  <c r="P54" i="129"/>
  <c r="R54" i="129" s="1"/>
  <c r="P55" i="129"/>
  <c r="R55" i="129" s="1"/>
  <c r="P56" i="129"/>
  <c r="R56" i="129" s="1"/>
  <c r="P57" i="129"/>
  <c r="P58" i="129"/>
  <c r="R58" i="129" s="1"/>
  <c r="P59" i="129"/>
  <c r="R59" i="129" s="1"/>
  <c r="P60" i="129"/>
  <c r="P61" i="129"/>
  <c r="R61" i="129" s="1"/>
  <c r="P62" i="129"/>
  <c r="P63" i="129"/>
  <c r="P64" i="129"/>
  <c r="P65" i="129"/>
  <c r="P66" i="129"/>
  <c r="P67" i="129"/>
  <c r="P68" i="129"/>
  <c r="P69" i="129"/>
  <c r="P70" i="129"/>
  <c r="P71" i="129"/>
  <c r="P72" i="129"/>
  <c r="P73" i="129"/>
  <c r="P74" i="129"/>
  <c r="P75" i="129"/>
  <c r="P76" i="129"/>
  <c r="P77" i="129"/>
  <c r="P78" i="129"/>
  <c r="P79" i="129"/>
  <c r="P80" i="129"/>
  <c r="P81" i="129"/>
  <c r="P82" i="129"/>
  <c r="P83" i="129"/>
  <c r="P84" i="129"/>
  <c r="P85" i="129"/>
  <c r="P86" i="129"/>
  <c r="P87" i="129"/>
  <c r="P88" i="129"/>
  <c r="P89" i="129"/>
  <c r="P90" i="129"/>
  <c r="P91" i="129"/>
  <c r="P92" i="129"/>
  <c r="P93" i="129"/>
  <c r="P94" i="129"/>
  <c r="P95" i="129"/>
  <c r="P96" i="129"/>
  <c r="P97" i="129"/>
  <c r="P98" i="129"/>
  <c r="P99" i="129"/>
  <c r="P100" i="129"/>
  <c r="P101" i="129"/>
  <c r="P150" i="129"/>
  <c r="P151" i="129"/>
  <c r="P152" i="129"/>
  <c r="P153" i="129"/>
  <c r="P154" i="129"/>
  <c r="P155" i="129"/>
  <c r="P156" i="129"/>
  <c r="P157" i="129"/>
  <c r="P158" i="129"/>
  <c r="P159" i="129"/>
  <c r="P224" i="129"/>
  <c r="P238" i="129"/>
  <c r="P239" i="129"/>
  <c r="P240" i="129"/>
  <c r="P241" i="129"/>
  <c r="P242" i="129"/>
  <c r="P243" i="129"/>
  <c r="P244" i="129"/>
  <c r="P245" i="129"/>
  <c r="P246" i="129"/>
  <c r="P247" i="129"/>
  <c r="P248" i="129"/>
  <c r="P249" i="129"/>
  <c r="P250" i="129"/>
  <c r="P251" i="129"/>
  <c r="P2" i="129"/>
  <c r="R2" i="129" s="1"/>
  <c r="L269" i="129" a="1"/>
  <c r="L269" i="129" s="1"/>
  <c r="L266" i="129" a="1"/>
  <c r="L266" i="129" s="1"/>
  <c r="L265" i="129"/>
  <c r="L264" i="129" a="1"/>
  <c r="L264" i="129" s="1"/>
  <c r="L263" i="129"/>
  <c r="O259" i="129"/>
  <c r="N259" i="129"/>
  <c r="M259" i="129"/>
  <c r="L259" i="129"/>
  <c r="O258" i="129"/>
  <c r="N258" i="129"/>
  <c r="M258" i="129"/>
  <c r="L258" i="129"/>
  <c r="O257" i="129"/>
  <c r="N257" i="129"/>
  <c r="M257" i="129"/>
  <c r="L257" i="129"/>
  <c r="O256" i="129"/>
  <c r="N256" i="129"/>
  <c r="M256" i="129"/>
  <c r="L256" i="129"/>
  <c r="O255" i="129"/>
  <c r="N255" i="129"/>
  <c r="M255" i="129"/>
  <c r="L255" i="129"/>
  <c r="O254" i="129"/>
  <c r="N254" i="129"/>
  <c r="M254" i="129"/>
  <c r="L254" i="129"/>
  <c r="O253" i="129"/>
  <c r="N253" i="129"/>
  <c r="M253" i="129"/>
  <c r="L253" i="129"/>
  <c r="A18" i="50" a="1"/>
  <c r="A18" i="50" s="1"/>
  <c r="A15" i="50" a="1"/>
  <c r="A15" i="50" s="1"/>
  <c r="A14" i="50"/>
  <c r="A13" i="50" a="1"/>
  <c r="A13" i="50" s="1"/>
  <c r="A12" i="50"/>
  <c r="C4" i="159"/>
  <c r="C5" i="159"/>
  <c r="C6" i="159"/>
  <c r="C7" i="159"/>
  <c r="C8" i="159"/>
  <c r="C9" i="159"/>
  <c r="C10" i="159"/>
  <c r="C11" i="159"/>
  <c r="C12" i="159"/>
  <c r="C13" i="159"/>
  <c r="C14" i="159"/>
  <c r="C3" i="159"/>
  <c r="AB4" i="159"/>
  <c r="AC4" i="159"/>
  <c r="AD4" i="159"/>
  <c r="AE4" i="159"/>
  <c r="AF4" i="159"/>
  <c r="AG4" i="159"/>
  <c r="AH4" i="159"/>
  <c r="AB5" i="159"/>
  <c r="AC5" i="159"/>
  <c r="AD5" i="159"/>
  <c r="AE5" i="159"/>
  <c r="AF5" i="159"/>
  <c r="AG5" i="159"/>
  <c r="AH5" i="159"/>
  <c r="AB6" i="159"/>
  <c r="AC6" i="159"/>
  <c r="AD6" i="159"/>
  <c r="AE6" i="159"/>
  <c r="AF6" i="159"/>
  <c r="AG6" i="159"/>
  <c r="AH6" i="159"/>
  <c r="AB7" i="159"/>
  <c r="AC7" i="159"/>
  <c r="AD7" i="159"/>
  <c r="AE7" i="159"/>
  <c r="AF7" i="159"/>
  <c r="AG7" i="159"/>
  <c r="AH7" i="159"/>
  <c r="AB8" i="159"/>
  <c r="AC8" i="159"/>
  <c r="AD8" i="159"/>
  <c r="AE8" i="159"/>
  <c r="AF8" i="159"/>
  <c r="AG8" i="159"/>
  <c r="AH8" i="159"/>
  <c r="AB9" i="159"/>
  <c r="AC9" i="159"/>
  <c r="AD9" i="159"/>
  <c r="AE9" i="159"/>
  <c r="AF9" i="159"/>
  <c r="AG9" i="159"/>
  <c r="AH9" i="159"/>
  <c r="AB10" i="159"/>
  <c r="AC10" i="159"/>
  <c r="AD10" i="159"/>
  <c r="AE10" i="159"/>
  <c r="AF10" i="159"/>
  <c r="AG10" i="159"/>
  <c r="AH10" i="159"/>
  <c r="AB11" i="159"/>
  <c r="AC11" i="159"/>
  <c r="AD11" i="159"/>
  <c r="AE11" i="159"/>
  <c r="AF11" i="159"/>
  <c r="AG11" i="159"/>
  <c r="AH11" i="159"/>
  <c r="AB12" i="159"/>
  <c r="AC12" i="159"/>
  <c r="AD12" i="159"/>
  <c r="AE12" i="159"/>
  <c r="AF12" i="159"/>
  <c r="AG12" i="159"/>
  <c r="AH12" i="159"/>
  <c r="AB13" i="159"/>
  <c r="AC13" i="159"/>
  <c r="AD13" i="159"/>
  <c r="AE13" i="159"/>
  <c r="AF13" i="159"/>
  <c r="AG13" i="159"/>
  <c r="AH13" i="159"/>
  <c r="AB14" i="159"/>
  <c r="AC14" i="159"/>
  <c r="AD14" i="159"/>
  <c r="AE14" i="159"/>
  <c r="AF14" i="159"/>
  <c r="AG14" i="159"/>
  <c r="AH14" i="159"/>
  <c r="AC3" i="159"/>
  <c r="AD3" i="159"/>
  <c r="AE3" i="159"/>
  <c r="AF3" i="159"/>
  <c r="AG3" i="159"/>
  <c r="AH3" i="159"/>
  <c r="T4" i="159"/>
  <c r="U4" i="159"/>
  <c r="V4" i="159"/>
  <c r="W4" i="159"/>
  <c r="X4" i="159"/>
  <c r="Y4" i="159"/>
  <c r="Z4" i="159"/>
  <c r="T5" i="159"/>
  <c r="U5" i="159"/>
  <c r="V5" i="159"/>
  <c r="W5" i="159"/>
  <c r="X5" i="159"/>
  <c r="Y5" i="159"/>
  <c r="Z5" i="159"/>
  <c r="T6" i="159"/>
  <c r="U6" i="159"/>
  <c r="V6" i="159"/>
  <c r="W6" i="159"/>
  <c r="X6" i="159"/>
  <c r="Y6" i="159"/>
  <c r="Z6" i="159"/>
  <c r="T7" i="159"/>
  <c r="U7" i="159"/>
  <c r="V7" i="159"/>
  <c r="W7" i="159"/>
  <c r="X7" i="159"/>
  <c r="Y7" i="159"/>
  <c r="Z7" i="159"/>
  <c r="T8" i="159"/>
  <c r="U8" i="159"/>
  <c r="V8" i="159"/>
  <c r="W8" i="159"/>
  <c r="X8" i="159"/>
  <c r="Y8" i="159"/>
  <c r="Z8" i="159"/>
  <c r="T9" i="159"/>
  <c r="U9" i="159"/>
  <c r="V9" i="159"/>
  <c r="W9" i="159"/>
  <c r="X9" i="159"/>
  <c r="Y9" i="159"/>
  <c r="Z9" i="159"/>
  <c r="T10" i="159"/>
  <c r="U10" i="159"/>
  <c r="V10" i="159"/>
  <c r="W10" i="159"/>
  <c r="X10" i="159"/>
  <c r="Y10" i="159"/>
  <c r="Z10" i="159"/>
  <c r="T11" i="159"/>
  <c r="U11" i="159"/>
  <c r="V11" i="159"/>
  <c r="W11" i="159"/>
  <c r="X11" i="159"/>
  <c r="Y11" i="159"/>
  <c r="Z11" i="159"/>
  <c r="T12" i="159"/>
  <c r="U12" i="159"/>
  <c r="V12" i="159"/>
  <c r="W12" i="159"/>
  <c r="X12" i="159"/>
  <c r="Y12" i="159"/>
  <c r="Z12" i="159"/>
  <c r="T13" i="159"/>
  <c r="U13" i="159"/>
  <c r="V13" i="159"/>
  <c r="W13" i="159"/>
  <c r="X13" i="159"/>
  <c r="Y13" i="159"/>
  <c r="Z13" i="159"/>
  <c r="T14" i="159"/>
  <c r="U14" i="159"/>
  <c r="V14" i="159"/>
  <c r="W14" i="159"/>
  <c r="X14" i="159"/>
  <c r="Y14" i="159"/>
  <c r="Z14" i="159"/>
  <c r="U3" i="159"/>
  <c r="V3" i="159"/>
  <c r="W3" i="159"/>
  <c r="X3" i="159"/>
  <c r="Y3" i="159"/>
  <c r="Z3" i="159"/>
  <c r="AB3" i="159"/>
  <c r="T3" i="159"/>
  <c r="L4" i="159"/>
  <c r="M4" i="159"/>
  <c r="N4" i="159"/>
  <c r="O4" i="159"/>
  <c r="P4" i="159"/>
  <c r="Q4" i="159"/>
  <c r="R4" i="159"/>
  <c r="L5" i="159"/>
  <c r="M5" i="159"/>
  <c r="N5" i="159"/>
  <c r="O5" i="159"/>
  <c r="P5" i="159"/>
  <c r="Q5" i="159"/>
  <c r="R5" i="159"/>
  <c r="L6" i="159"/>
  <c r="M6" i="159"/>
  <c r="N6" i="159"/>
  <c r="O6" i="159"/>
  <c r="P6" i="159"/>
  <c r="Q6" i="159"/>
  <c r="R6" i="159"/>
  <c r="L7" i="159"/>
  <c r="M7" i="159"/>
  <c r="N7" i="159"/>
  <c r="O7" i="159"/>
  <c r="P7" i="159"/>
  <c r="Q7" i="159"/>
  <c r="R7" i="159"/>
  <c r="L8" i="159"/>
  <c r="M8" i="159"/>
  <c r="N8" i="159"/>
  <c r="O8" i="159"/>
  <c r="P8" i="159"/>
  <c r="Q8" i="159"/>
  <c r="R8" i="159"/>
  <c r="L9" i="159"/>
  <c r="M9" i="159"/>
  <c r="N9" i="159"/>
  <c r="O9" i="159"/>
  <c r="P9" i="159"/>
  <c r="Q9" i="159"/>
  <c r="R9" i="159"/>
  <c r="L10" i="159"/>
  <c r="M10" i="159"/>
  <c r="N10" i="159"/>
  <c r="O10" i="159"/>
  <c r="P10" i="159"/>
  <c r="Q10" i="159"/>
  <c r="R10" i="159"/>
  <c r="L11" i="159"/>
  <c r="M11" i="159"/>
  <c r="N11" i="159"/>
  <c r="O11" i="159"/>
  <c r="P11" i="159"/>
  <c r="Q11" i="159"/>
  <c r="R11" i="159"/>
  <c r="L12" i="159"/>
  <c r="M12" i="159"/>
  <c r="N12" i="159"/>
  <c r="O12" i="159"/>
  <c r="P12" i="159"/>
  <c r="Q12" i="159"/>
  <c r="R12" i="159"/>
  <c r="L13" i="159"/>
  <c r="M13" i="159"/>
  <c r="N13" i="159"/>
  <c r="O13" i="159"/>
  <c r="P13" i="159"/>
  <c r="Q13" i="159"/>
  <c r="R13" i="159"/>
  <c r="L14" i="159"/>
  <c r="M14" i="159"/>
  <c r="N14" i="159"/>
  <c r="O14" i="159"/>
  <c r="P14" i="159"/>
  <c r="Q14" i="159"/>
  <c r="R14" i="159"/>
  <c r="M3" i="159"/>
  <c r="N3" i="159"/>
  <c r="O3" i="159"/>
  <c r="P3" i="159"/>
  <c r="Q3" i="159"/>
  <c r="R3" i="159"/>
  <c r="L3" i="159"/>
  <c r="D4" i="159"/>
  <c r="E4" i="159"/>
  <c r="F4" i="159"/>
  <c r="G4" i="159"/>
  <c r="H4" i="159"/>
  <c r="I4" i="159"/>
  <c r="J4" i="159"/>
  <c r="D5" i="159"/>
  <c r="E5" i="159"/>
  <c r="F5" i="159"/>
  <c r="G5" i="159"/>
  <c r="H5" i="159"/>
  <c r="I5" i="159"/>
  <c r="J5" i="159"/>
  <c r="D6" i="159"/>
  <c r="E6" i="159"/>
  <c r="F6" i="159"/>
  <c r="G6" i="159"/>
  <c r="H6" i="159"/>
  <c r="I6" i="159"/>
  <c r="J6" i="159"/>
  <c r="D7" i="159"/>
  <c r="E7" i="159"/>
  <c r="F7" i="159"/>
  <c r="G7" i="159"/>
  <c r="H7" i="159"/>
  <c r="I7" i="159"/>
  <c r="J7" i="159"/>
  <c r="D8" i="159"/>
  <c r="E8" i="159"/>
  <c r="F8" i="159"/>
  <c r="G8" i="159"/>
  <c r="H8" i="159"/>
  <c r="I8" i="159"/>
  <c r="J8" i="159"/>
  <c r="D9" i="159"/>
  <c r="E9" i="159"/>
  <c r="F9" i="159"/>
  <c r="G9" i="159"/>
  <c r="H9" i="159"/>
  <c r="I9" i="159"/>
  <c r="J9" i="159"/>
  <c r="D10" i="159"/>
  <c r="E10" i="159"/>
  <c r="F10" i="159"/>
  <c r="G10" i="159"/>
  <c r="H10" i="159"/>
  <c r="I10" i="159"/>
  <c r="J10" i="159"/>
  <c r="D11" i="159"/>
  <c r="E11" i="159"/>
  <c r="F11" i="159"/>
  <c r="G11" i="159"/>
  <c r="H11" i="159"/>
  <c r="I11" i="159"/>
  <c r="J11" i="159"/>
  <c r="D12" i="159"/>
  <c r="E12" i="159"/>
  <c r="F12" i="159"/>
  <c r="G12" i="159"/>
  <c r="H12" i="159"/>
  <c r="I12" i="159"/>
  <c r="J12" i="159"/>
  <c r="D13" i="159"/>
  <c r="E13" i="159"/>
  <c r="F13" i="159"/>
  <c r="G13" i="159"/>
  <c r="H13" i="159"/>
  <c r="I13" i="159"/>
  <c r="J13" i="159"/>
  <c r="D14" i="159"/>
  <c r="E14" i="159"/>
  <c r="F14" i="159"/>
  <c r="G14" i="159"/>
  <c r="H14" i="159"/>
  <c r="I14" i="159"/>
  <c r="J14" i="159"/>
  <c r="E3" i="159"/>
  <c r="F3" i="159"/>
  <c r="G3" i="159"/>
  <c r="H3" i="159"/>
  <c r="I3" i="159"/>
  <c r="J3" i="159"/>
  <c r="D3" i="159"/>
  <c r="E63" i="159"/>
  <c r="D63" i="159"/>
  <c r="C63" i="159"/>
  <c r="F58" i="159"/>
  <c r="F57" i="159"/>
  <c r="F56" i="159"/>
  <c r="F55" i="159"/>
  <c r="F54" i="159"/>
  <c r="F53" i="159"/>
  <c r="F52" i="159"/>
  <c r="F51" i="159"/>
  <c r="F50" i="159"/>
  <c r="F49" i="159"/>
  <c r="F48" i="159"/>
  <c r="F47" i="159"/>
  <c r="F46" i="159"/>
  <c r="F45" i="159"/>
  <c r="F44" i="159"/>
  <c r="F43" i="159"/>
  <c r="F42" i="159"/>
  <c r="F41" i="159"/>
  <c r="F63" i="159" s="1"/>
  <c r="C25" i="159"/>
  <c r="C24" i="159"/>
  <c r="C23" i="159"/>
  <c r="C22" i="159"/>
  <c r="C5" i="157"/>
  <c r="C14" i="157"/>
  <c r="C13" i="157"/>
  <c r="C12" i="157"/>
  <c r="C11" i="157"/>
  <c r="C10" i="157"/>
  <c r="C9" i="157"/>
  <c r="C8" i="157"/>
  <c r="C7" i="157"/>
  <c r="C6" i="157"/>
  <c r="C4" i="157"/>
  <c r="C25" i="157"/>
  <c r="C24" i="157"/>
  <c r="C23" i="157"/>
  <c r="C22" i="157"/>
  <c r="C3" i="157"/>
  <c r="D2" i="165"/>
  <c r="F2" i="165"/>
  <c r="F4" i="163" l="1"/>
  <c r="AZ7" i="161" s="1"/>
  <c r="E4" i="163"/>
  <c r="AZ6" i="161" s="1"/>
  <c r="D4" i="163"/>
  <c r="AZ5" i="161" s="1"/>
  <c r="C4" i="163"/>
  <c r="AZ4" i="161" s="1"/>
  <c r="B4" i="163"/>
  <c r="AZ3" i="161" s="1"/>
  <c r="A4" i="163"/>
  <c r="AZ2" i="161" s="1"/>
  <c r="G4" i="163"/>
  <c r="AZ8" i="161" s="1"/>
  <c r="A6" i="162" a="1"/>
  <c r="A6" i="162" s="1"/>
  <c r="H1" i="162" s="1"/>
  <c r="Y4" i="163"/>
  <c r="Z4" i="163"/>
  <c r="AA4" i="163"/>
  <c r="AB4" i="163"/>
  <c r="AC4" i="163"/>
  <c r="AD4" i="163"/>
  <c r="AE4" i="163"/>
  <c r="A9" i="164"/>
  <c r="B9" i="164" s="1" a="1"/>
  <c r="B9" i="164" s="1"/>
  <c r="B20" i="164" a="1"/>
  <c r="B20" i="164" s="1"/>
  <c r="B21" i="164" a="1"/>
  <c r="B21" i="164" s="1"/>
  <c r="B10" i="164" a="1"/>
  <c r="B10" i="164" s="1"/>
  <c r="B22" i="164" a="1"/>
  <c r="B22" i="164" s="1"/>
  <c r="B11" i="164" a="1"/>
  <c r="B11" i="164" s="1"/>
  <c r="B23" i="164" a="1"/>
  <c r="B23" i="164" s="1"/>
  <c r="B12" i="164" a="1"/>
  <c r="B12" i="164" s="1"/>
  <c r="B24" i="164" a="1"/>
  <c r="B24" i="164" s="1"/>
  <c r="B13" i="164" a="1"/>
  <c r="B13" i="164" s="1"/>
  <c r="B25" i="164" a="1"/>
  <c r="B25" i="164" s="1"/>
  <c r="B14" i="164" a="1"/>
  <c r="B14" i="164" s="1"/>
  <c r="B26" i="164" a="1"/>
  <c r="B26" i="164" s="1"/>
  <c r="B15" i="164" a="1"/>
  <c r="B15" i="164" s="1"/>
  <c r="B27" i="164" a="1"/>
  <c r="B27" i="164" s="1"/>
  <c r="B19" i="164" a="1"/>
  <c r="B19" i="164" s="1"/>
  <c r="B30" i="164" a="1"/>
  <c r="B30" i="164" s="1"/>
  <c r="B18" i="164" a="1"/>
  <c r="B18" i="164" s="1"/>
  <c r="B29" i="164" a="1"/>
  <c r="B29" i="164" s="1"/>
  <c r="B17" i="164" a="1"/>
  <c r="B17" i="164" s="1"/>
  <c r="B28" i="164" a="1"/>
  <c r="B28" i="164" s="1"/>
  <c r="B16" i="164" a="1"/>
  <c r="B16" i="164" s="1"/>
  <c r="B38" i="164" a="1"/>
  <c r="B38" i="164" s="1"/>
  <c r="B37" i="164" a="1"/>
  <c r="B37" i="164" s="1"/>
  <c r="B36" i="164" a="1"/>
  <c r="B36" i="164" s="1"/>
  <c r="B35" i="164" a="1"/>
  <c r="B35" i="164" s="1"/>
  <c r="B34" i="164" a="1"/>
  <c r="B34" i="164" s="1"/>
  <c r="B33" i="164" a="1"/>
  <c r="B33" i="164" s="1"/>
  <c r="B32" i="164" a="1"/>
  <c r="B32" i="164" s="1"/>
  <c r="B31" i="164" a="1"/>
  <c r="B31" i="164" s="1"/>
  <c r="H1" i="163"/>
  <c r="AJ4" i="161" a="1"/>
  <c r="AJ4" i="161" s="1"/>
  <c r="AL4" i="161" a="1"/>
  <c r="AL4" i="161" s="1"/>
  <c r="AM4" i="161" a="1"/>
  <c r="AM4" i="161" s="1"/>
  <c r="R60" i="129"/>
  <c r="AI4" i="161" a="1"/>
  <c r="AI4" i="161" s="1"/>
  <c r="AK4" i="161" a="1"/>
  <c r="AK4" i="161" s="1"/>
  <c r="AB4" i="161" a="1"/>
  <c r="AE4" i="161" a="1"/>
  <c r="AE4" i="161" s="1"/>
  <c r="AD4" i="161" a="1"/>
  <c r="AD4" i="161" s="1"/>
  <c r="AC4" i="161" a="1"/>
  <c r="AC4" i="161" s="1"/>
  <c r="AH4" i="161" a="1"/>
  <c r="AH4" i="161" s="1"/>
  <c r="AG4" i="161" a="1"/>
  <c r="AG4" i="161" s="1"/>
  <c r="F2" i="161"/>
  <c r="E2" i="161"/>
  <c r="A4" i="161" a="1"/>
  <c r="R57" i="129"/>
  <c r="S2" i="129"/>
  <c r="O260" i="129"/>
  <c r="P259" i="129"/>
  <c r="M260" i="129"/>
  <c r="N260" i="129"/>
  <c r="P253" i="129"/>
  <c r="P254" i="129"/>
  <c r="P255" i="129"/>
  <c r="P256" i="129"/>
  <c r="P257" i="129"/>
  <c r="P258" i="129"/>
  <c r="L260" i="129"/>
  <c r="AK12" i="159"/>
  <c r="AL4" i="159"/>
  <c r="AK4" i="159"/>
  <c r="AK8" i="159"/>
  <c r="AM6" i="159"/>
  <c r="AL7" i="159"/>
  <c r="AL8" i="159"/>
  <c r="AP6" i="159"/>
  <c r="AK10" i="159"/>
  <c r="AO6" i="159"/>
  <c r="AM4" i="159"/>
  <c r="AL12" i="159"/>
  <c r="AK9" i="159"/>
  <c r="AI7" i="159"/>
  <c r="S6" i="159"/>
  <c r="AA5" i="159"/>
  <c r="AI4" i="159"/>
  <c r="AA9" i="159"/>
  <c r="AN5" i="159"/>
  <c r="AN6" i="159"/>
  <c r="AN4" i="159"/>
  <c r="AN9" i="159"/>
  <c r="AN7" i="159"/>
  <c r="AN10" i="159"/>
  <c r="K3" i="159"/>
  <c r="S3" i="159"/>
  <c r="C15" i="159"/>
  <c r="C16" i="159" s="1"/>
  <c r="C26" i="159"/>
  <c r="AI12" i="159"/>
  <c r="F15" i="159"/>
  <c r="AI3" i="159"/>
  <c r="AA3" i="159"/>
  <c r="H15" i="159"/>
  <c r="AO10" i="159"/>
  <c r="Y15" i="159"/>
  <c r="AO11" i="159"/>
  <c r="AM12" i="159"/>
  <c r="AH15" i="159"/>
  <c r="AN12" i="159"/>
  <c r="AP14" i="159"/>
  <c r="AN14" i="159"/>
  <c r="AO12" i="159"/>
  <c r="R15" i="159"/>
  <c r="AP13" i="159"/>
  <c r="P15" i="159"/>
  <c r="AL14" i="159"/>
  <c r="AP5" i="159"/>
  <c r="AA6" i="159"/>
  <c r="G15" i="159"/>
  <c r="AM3" i="159"/>
  <c r="Q15" i="159"/>
  <c r="Z15" i="159"/>
  <c r="S5" i="159"/>
  <c r="AM7" i="159"/>
  <c r="AJ8" i="159"/>
  <c r="K8" i="159"/>
  <c r="AM9" i="159"/>
  <c r="AN11" i="159"/>
  <c r="AA11" i="159"/>
  <c r="AI11" i="159"/>
  <c r="S13" i="159"/>
  <c r="AO14" i="159"/>
  <c r="K5" i="159"/>
  <c r="AJ5" i="159"/>
  <c r="AA7" i="159"/>
  <c r="AI10" i="159"/>
  <c r="U15" i="159"/>
  <c r="AO4" i="159"/>
  <c r="K6" i="159"/>
  <c r="AJ6" i="159"/>
  <c r="AL6" i="159"/>
  <c r="AO7" i="159"/>
  <c r="AN8" i="159"/>
  <c r="AO9" i="159"/>
  <c r="AP11" i="159"/>
  <c r="AP12" i="159"/>
  <c r="AA12" i="159"/>
  <c r="K13" i="159"/>
  <c r="AJ13" i="159"/>
  <c r="AD15" i="159"/>
  <c r="AK13" i="159"/>
  <c r="AE15" i="159"/>
  <c r="J15" i="159"/>
  <c r="AP3" i="159"/>
  <c r="AF15" i="159"/>
  <c r="AP4" i="159"/>
  <c r="AA4" i="159"/>
  <c r="AL5" i="159"/>
  <c r="AK6" i="159"/>
  <c r="AI8" i="159"/>
  <c r="AP9" i="159"/>
  <c r="AP10" i="159"/>
  <c r="K11" i="159"/>
  <c r="S11" i="159"/>
  <c r="S12" i="159"/>
  <c r="AL13" i="159"/>
  <c r="K14" i="159"/>
  <c r="AJ14" i="159"/>
  <c r="AC15" i="159"/>
  <c r="AM10" i="159"/>
  <c r="L15" i="159"/>
  <c r="V15" i="159"/>
  <c r="S4" i="159"/>
  <c r="AM5" i="159"/>
  <c r="AP7" i="159"/>
  <c r="AO8" i="159"/>
  <c r="K9" i="159"/>
  <c r="AJ9" i="159"/>
  <c r="S9" i="159"/>
  <c r="S10" i="159"/>
  <c r="AA10" i="159"/>
  <c r="AM13" i="159"/>
  <c r="AK14" i="159"/>
  <c r="AB15" i="159"/>
  <c r="T15" i="159"/>
  <c r="AI9" i="159"/>
  <c r="S14" i="159"/>
  <c r="AK5" i="159"/>
  <c r="AM8" i="159"/>
  <c r="AO3" i="159"/>
  <c r="AJ3" i="159"/>
  <c r="D15" i="159"/>
  <c r="M15" i="159"/>
  <c r="W15" i="159"/>
  <c r="AG15" i="159"/>
  <c r="AI5" i="159"/>
  <c r="AI6" i="159"/>
  <c r="K7" i="159"/>
  <c r="AJ7" i="159"/>
  <c r="S7" i="159"/>
  <c r="AP8" i="159"/>
  <c r="AK11" i="159"/>
  <c r="AJ12" i="159"/>
  <c r="K12" i="159"/>
  <c r="AI14" i="159"/>
  <c r="AN13" i="159"/>
  <c r="AA13" i="159"/>
  <c r="AI13" i="159"/>
  <c r="E15" i="159"/>
  <c r="N15" i="159"/>
  <c r="X15" i="159"/>
  <c r="AK7" i="159"/>
  <c r="S8" i="159"/>
  <c r="AA8" i="159"/>
  <c r="AL11" i="159"/>
  <c r="O15" i="159"/>
  <c r="AJ4" i="159"/>
  <c r="K4" i="159"/>
  <c r="AO5" i="159"/>
  <c r="AL9" i="159"/>
  <c r="K10" i="159"/>
  <c r="AJ10" i="159"/>
  <c r="AL10" i="159"/>
  <c r="AM11" i="159"/>
  <c r="AO13" i="159"/>
  <c r="AM14" i="159"/>
  <c r="AA14" i="159"/>
  <c r="AJ11" i="159"/>
  <c r="AK3" i="159"/>
  <c r="AL3" i="159"/>
  <c r="AN3" i="159"/>
  <c r="I15" i="159"/>
  <c r="F27" i="158"/>
  <c r="C27" i="158"/>
  <c r="D27" i="158"/>
  <c r="E27" i="158"/>
  <c r="G4" i="162" l="1"/>
  <c r="AU8" i="161" s="1"/>
  <c r="F4" i="162"/>
  <c r="AU7" i="161" s="1"/>
  <c r="E4" i="162"/>
  <c r="AU6" i="161" s="1"/>
  <c r="D4" i="162"/>
  <c r="AU5" i="161" s="1"/>
  <c r="C4" i="162"/>
  <c r="AU4" i="161" s="1"/>
  <c r="B4" i="162"/>
  <c r="AU3" i="161" s="1"/>
  <c r="A4" i="162"/>
  <c r="AU2" i="161" s="1"/>
  <c r="C41" i="164" a="1"/>
  <c r="C41" i="164" s="1"/>
  <c r="D9" i="164" a="1"/>
  <c r="D9" i="164" s="1"/>
  <c r="E9" i="164" a="1"/>
  <c r="E9" i="164" s="1"/>
  <c r="F9" i="164" a="1"/>
  <c r="F9" i="164" s="1"/>
  <c r="H9" i="164" a="1"/>
  <c r="H9" i="164" s="1"/>
  <c r="C9" i="164" a="1"/>
  <c r="C9" i="164" s="1"/>
  <c r="AU16" i="161"/>
  <c r="AU15" i="161"/>
  <c r="AU14" i="161"/>
  <c r="AU13" i="161"/>
  <c r="AU12" i="161"/>
  <c r="AU11" i="161"/>
  <c r="AU17" i="161"/>
  <c r="A4" i="161"/>
  <c r="I1" i="161"/>
  <c r="AB4" i="161"/>
  <c r="AF4" i="161" s="1" a="1"/>
  <c r="AF4" i="161" s="1"/>
  <c r="P260" i="129"/>
  <c r="F28" i="164" s="1" a="1"/>
  <c r="F28" i="164" s="1"/>
  <c r="AQ6" i="159"/>
  <c r="AQ11" i="159"/>
  <c r="AQ12" i="159"/>
  <c r="AQ14" i="159"/>
  <c r="AM15" i="159"/>
  <c r="T16" i="159"/>
  <c r="AN15" i="159"/>
  <c r="AA15" i="159"/>
  <c r="AK15" i="159"/>
  <c r="AQ4" i="159"/>
  <c r="AI15" i="159"/>
  <c r="AO15" i="159"/>
  <c r="D16" i="159"/>
  <c r="L16" i="159"/>
  <c r="AQ8" i="159"/>
  <c r="S15" i="159"/>
  <c r="AQ5" i="159"/>
  <c r="AJ15" i="159"/>
  <c r="AQ3" i="159"/>
  <c r="K15" i="159"/>
  <c r="AQ13" i="159"/>
  <c r="AQ7" i="159"/>
  <c r="AQ9" i="159"/>
  <c r="AQ10" i="159"/>
  <c r="AP15" i="159"/>
  <c r="AL15" i="159"/>
  <c r="AB16" i="159"/>
  <c r="C26" i="157"/>
  <c r="C15" i="157"/>
  <c r="C16" i="157" s="1"/>
  <c r="D28" i="158"/>
  <c r="D29" i="158" s="1"/>
  <c r="D49" i="164" l="1" a="1"/>
  <c r="D49" i="164" s="1"/>
  <c r="C16" i="164" a="1"/>
  <c r="C16" i="164" s="1"/>
  <c r="F39" i="164" a="1"/>
  <c r="F39" i="164" s="1"/>
  <c r="C18" i="164" a="1"/>
  <c r="C18" i="164" s="1"/>
  <c r="G47" i="164" a="1"/>
  <c r="G47" i="164" s="1"/>
  <c r="F41" i="164" a="1"/>
  <c r="F41" i="164" s="1"/>
  <c r="H16" i="164" a="1"/>
  <c r="H16" i="164" s="1"/>
  <c r="F27" i="164" a="1"/>
  <c r="F27" i="164" s="1"/>
  <c r="D35" i="164" a="1"/>
  <c r="D35" i="164" s="1"/>
  <c r="C46" i="164" a="1"/>
  <c r="C46" i="164" s="1"/>
  <c r="F26" i="164" a="1"/>
  <c r="F26" i="164" s="1"/>
  <c r="H37" i="164" a="1"/>
  <c r="H37" i="164" s="1"/>
  <c r="D11" i="164" a="1"/>
  <c r="D11" i="164" s="1"/>
  <c r="C30" i="164" a="1"/>
  <c r="C30" i="164" s="1"/>
  <c r="G35" i="164" a="1"/>
  <c r="G35" i="164" s="1"/>
  <c r="E48" i="164" a="1"/>
  <c r="E48" i="164" s="1"/>
  <c r="C13" i="164" a="1"/>
  <c r="C13" i="164" s="1"/>
  <c r="D36" i="164" a="1"/>
  <c r="D36" i="164" s="1"/>
  <c r="F10" i="164" a="1"/>
  <c r="F10" i="164" s="1"/>
  <c r="E43" i="164" a="1"/>
  <c r="E43" i="164" s="1"/>
  <c r="C34" i="164" a="1"/>
  <c r="C34" i="164" s="1"/>
  <c r="G40" i="164" a="1"/>
  <c r="G40" i="164" s="1"/>
  <c r="H47" i="164" a="1"/>
  <c r="H47" i="164" s="1"/>
  <c r="I28" i="164" a="1"/>
  <c r="I28" i="164" s="1"/>
  <c r="G9" i="164" a="1"/>
  <c r="G9" i="164" s="1"/>
  <c r="D37" i="164" a="1"/>
  <c r="D37" i="164" s="1"/>
  <c r="E35" i="164" a="1"/>
  <c r="E35" i="164" s="1"/>
  <c r="I38" i="164" a="1"/>
  <c r="I38" i="164" s="1"/>
  <c r="I39" i="164" a="1"/>
  <c r="I39" i="164" s="1"/>
  <c r="G19" i="164" a="1"/>
  <c r="G19" i="164" s="1"/>
  <c r="C37" i="164" a="1"/>
  <c r="C37" i="164" s="1"/>
  <c r="D22" i="164" a="1"/>
  <c r="D22" i="164" s="1"/>
  <c r="G13" i="164" a="1"/>
  <c r="G13" i="164" s="1"/>
  <c r="G49" i="164" a="1"/>
  <c r="G49" i="164" s="1"/>
  <c r="D34" i="164" a="1"/>
  <c r="D34" i="164" s="1"/>
  <c r="G46" i="164" a="1"/>
  <c r="G46" i="164" s="1"/>
  <c r="I41" i="164" a="1"/>
  <c r="I41" i="164" s="1"/>
  <c r="D14" i="164" a="1"/>
  <c r="D14" i="164" s="1"/>
  <c r="E24" i="164" a="1"/>
  <c r="E24" i="164" s="1"/>
  <c r="H25" i="164" a="1"/>
  <c r="H25" i="164" s="1"/>
  <c r="H29" i="164" a="1"/>
  <c r="H29" i="164" s="1"/>
  <c r="E30" i="164" a="1"/>
  <c r="E30" i="164" s="1"/>
  <c r="D43" i="164" a="1"/>
  <c r="D43" i="164" s="1"/>
  <c r="D16" i="164" a="1"/>
  <c r="D16" i="164" s="1"/>
  <c r="E20" i="164" a="1"/>
  <c r="E20" i="164" s="1"/>
  <c r="H34" i="164" a="1"/>
  <c r="H34" i="164" s="1"/>
  <c r="G33" i="164" a="1"/>
  <c r="G33" i="164" s="1"/>
  <c r="F17" i="164" a="1"/>
  <c r="F17" i="164" s="1"/>
  <c r="F12" i="164" a="1"/>
  <c r="F12" i="164" s="1"/>
  <c r="H38" i="164" a="1"/>
  <c r="H38" i="164" s="1"/>
  <c r="E12" i="164" a="1"/>
  <c r="E12" i="164" s="1"/>
  <c r="H28" i="164" a="1"/>
  <c r="H28" i="164" s="1"/>
  <c r="I19" i="164" a="1"/>
  <c r="I19" i="164" s="1"/>
  <c r="I15" i="164" a="1"/>
  <c r="I15" i="164" s="1"/>
  <c r="F49" i="164" a="1"/>
  <c r="F49" i="164" s="1"/>
  <c r="I33" i="164" a="1"/>
  <c r="I33" i="164" s="1"/>
  <c r="F32" i="164" a="1"/>
  <c r="F32" i="164" s="1"/>
  <c r="H41" i="164" a="1"/>
  <c r="H41" i="164" s="1"/>
  <c r="C35" i="164" a="1"/>
  <c r="C35" i="164" s="1"/>
  <c r="I23" i="164" a="1"/>
  <c r="I23" i="164" s="1"/>
  <c r="F19" i="164" a="1"/>
  <c r="F19" i="164" s="1"/>
  <c r="C19" i="164" a="1"/>
  <c r="C19" i="164" s="1"/>
  <c r="H39" i="164" a="1"/>
  <c r="H39" i="164" s="1"/>
  <c r="C47" i="164" a="1"/>
  <c r="C47" i="164" s="1"/>
  <c r="G12" i="164" a="1"/>
  <c r="G12" i="164" s="1"/>
  <c r="I47" i="164" a="1"/>
  <c r="I47" i="164" s="1"/>
  <c r="G25" i="164" a="1"/>
  <c r="G25" i="164" s="1"/>
  <c r="I26" i="164" a="1"/>
  <c r="I26" i="164" s="1"/>
  <c r="H22" i="164" a="1"/>
  <c r="H22" i="164" s="1"/>
  <c r="F36" i="164" a="1"/>
  <c r="F36" i="164" s="1"/>
  <c r="C26" i="164" a="1"/>
  <c r="C26" i="164" s="1"/>
  <c r="D33" i="164" a="1"/>
  <c r="D33" i="164" s="1"/>
  <c r="C38" i="164" a="1"/>
  <c r="C38" i="164" s="1"/>
  <c r="C32" i="164" a="1"/>
  <c r="C32" i="164" s="1"/>
  <c r="D19" i="164" a="1"/>
  <c r="D19" i="164" s="1"/>
  <c r="F11" i="164" a="1"/>
  <c r="F11" i="164" s="1"/>
  <c r="G28" i="164" a="1"/>
  <c r="G28" i="164" s="1"/>
  <c r="G31" i="164" a="1"/>
  <c r="G31" i="164" s="1"/>
  <c r="E14" i="164" a="1"/>
  <c r="E14" i="164" s="1"/>
  <c r="H36" i="164" a="1"/>
  <c r="H36" i="164" s="1"/>
  <c r="E26" i="164" a="1"/>
  <c r="E26" i="164" s="1"/>
  <c r="I30" i="164" a="1"/>
  <c r="I30" i="164" s="1"/>
  <c r="E17" i="164" a="1"/>
  <c r="E17" i="164" s="1"/>
  <c r="D39" i="164" a="1"/>
  <c r="D39" i="164" s="1"/>
  <c r="C48" i="164" a="1"/>
  <c r="C48" i="164" s="1"/>
  <c r="C29" i="164" a="1"/>
  <c r="C29" i="164" s="1"/>
  <c r="E42" i="164" a="1"/>
  <c r="E42" i="164" s="1"/>
  <c r="G37" i="164" a="1"/>
  <c r="G37" i="164" s="1"/>
  <c r="D28" i="164" a="1"/>
  <c r="D28" i="164" s="1"/>
  <c r="E49" i="164" a="1"/>
  <c r="E49" i="164" s="1"/>
  <c r="D32" i="164" a="1"/>
  <c r="D32" i="164" s="1"/>
  <c r="H18" i="164" a="1"/>
  <c r="H18" i="164" s="1"/>
  <c r="I31" i="164" a="1"/>
  <c r="I31" i="164" s="1"/>
  <c r="F34" i="164" a="1"/>
  <c r="F34" i="164" s="1"/>
  <c r="I49" i="164" a="1"/>
  <c r="I49" i="164" s="1"/>
  <c r="D26" i="164" a="1"/>
  <c r="D26" i="164" s="1"/>
  <c r="G21" i="164" a="1"/>
  <c r="G21" i="164" s="1"/>
  <c r="E32" i="164" a="1"/>
  <c r="E32" i="164" s="1"/>
  <c r="F13" i="164" a="1"/>
  <c r="F13" i="164" s="1"/>
  <c r="I11" i="164" a="1"/>
  <c r="I11" i="164" s="1"/>
  <c r="F29" i="164" a="1"/>
  <c r="F29" i="164" s="1"/>
  <c r="H19" i="164" a="1"/>
  <c r="H19" i="164" s="1"/>
  <c r="D10" i="164" a="1"/>
  <c r="D10" i="164" s="1"/>
  <c r="G14" i="164" a="1"/>
  <c r="G14" i="164" s="1"/>
  <c r="C40" i="164" a="1"/>
  <c r="C40" i="164" s="1"/>
  <c r="C43" i="164" a="1"/>
  <c r="C43" i="164" s="1"/>
  <c r="E38" i="164" a="1"/>
  <c r="E38" i="164" s="1"/>
  <c r="E39" i="164" a="1"/>
  <c r="E39" i="164" s="1"/>
  <c r="F21" i="164" a="1"/>
  <c r="F21" i="164" s="1"/>
  <c r="E46" i="164" a="1"/>
  <c r="E46" i="164" s="1"/>
  <c r="F16" i="164" a="1"/>
  <c r="F16" i="164" s="1"/>
  <c r="C28" i="164" a="1"/>
  <c r="C28" i="164" s="1"/>
  <c r="F18" i="164" a="1"/>
  <c r="F18" i="164" s="1"/>
  <c r="H30" i="164" a="1"/>
  <c r="H30" i="164" s="1"/>
  <c r="I46" i="164" a="1"/>
  <c r="I46" i="164" s="1"/>
  <c r="E19" i="164" a="1"/>
  <c r="E19" i="164" s="1"/>
  <c r="G32" i="164" a="1"/>
  <c r="G32" i="164" s="1"/>
  <c r="E21" i="164" a="1"/>
  <c r="E21" i="164" s="1"/>
  <c r="I25" i="164" a="1"/>
  <c r="I25" i="164" s="1"/>
  <c r="F23" i="164" a="1"/>
  <c r="F23" i="164" s="1"/>
  <c r="G16" i="164" a="1"/>
  <c r="G16" i="164" s="1"/>
  <c r="D38" i="164" a="1"/>
  <c r="D38" i="164" s="1"/>
  <c r="F42" i="164" a="1"/>
  <c r="F42" i="164" s="1"/>
  <c r="H13" i="164" a="1"/>
  <c r="H13" i="164" s="1"/>
  <c r="F47" i="164" a="1"/>
  <c r="F47" i="164" s="1"/>
  <c r="D40" i="164" a="1"/>
  <c r="D40" i="164" s="1"/>
  <c r="G24" i="164" a="1"/>
  <c r="G24" i="164" s="1"/>
  <c r="I34" i="164" a="1"/>
  <c r="I34" i="164" s="1"/>
  <c r="D13" i="164" a="1"/>
  <c r="D13" i="164" s="1"/>
  <c r="C23" i="164" a="1"/>
  <c r="C23" i="164" s="1"/>
  <c r="F24" i="164" a="1"/>
  <c r="F24" i="164" s="1"/>
  <c r="G26" i="164" a="1"/>
  <c r="G26" i="164" s="1"/>
  <c r="F33" i="164" a="1"/>
  <c r="F33" i="164" s="1"/>
  <c r="E41" i="164" a="1"/>
  <c r="E41" i="164" s="1"/>
  <c r="C15" i="164" a="1"/>
  <c r="C15" i="164" s="1"/>
  <c r="I13" i="164" a="1"/>
  <c r="I13" i="164" s="1"/>
  <c r="C12" i="164" a="1"/>
  <c r="C12" i="164" s="1"/>
  <c r="E37" i="164" a="1"/>
  <c r="E37" i="164" s="1"/>
  <c r="I37" i="164" a="1"/>
  <c r="I37" i="164" s="1"/>
  <c r="D21" i="164" a="1"/>
  <c r="D21" i="164" s="1"/>
  <c r="F35" i="164" a="1"/>
  <c r="F35" i="164" s="1"/>
  <c r="I43" i="164" a="1"/>
  <c r="I43" i="164" s="1"/>
  <c r="H32" i="164" a="1"/>
  <c r="H32" i="164" s="1"/>
  <c r="E47" i="164" a="1"/>
  <c r="E47" i="164" s="1"/>
  <c r="C27" i="164" a="1"/>
  <c r="C27" i="164" s="1"/>
  <c r="H23" i="164" a="1"/>
  <c r="H23" i="164" s="1"/>
  <c r="D25" i="164" a="1"/>
  <c r="D25" i="164" s="1"/>
  <c r="I20" i="164" a="1"/>
  <c r="I20" i="164" s="1"/>
  <c r="H42" i="164" a="1"/>
  <c r="H42" i="164" s="1"/>
  <c r="G29" i="164" a="1"/>
  <c r="G29" i="164" s="1"/>
  <c r="H20" i="164" a="1"/>
  <c r="H20" i="164" s="1"/>
  <c r="H33" i="164" a="1"/>
  <c r="H33" i="164" s="1"/>
  <c r="E28" i="164" a="1"/>
  <c r="E28" i="164" s="1"/>
  <c r="D41" i="164" a="1"/>
  <c r="D41" i="164" s="1"/>
  <c r="H26" i="164" a="1"/>
  <c r="H26" i="164" s="1"/>
  <c r="E27" i="164" a="1"/>
  <c r="E27" i="164" s="1"/>
  <c r="H12" i="164" a="1"/>
  <c r="H12" i="164" s="1"/>
  <c r="F15" i="164" a="1"/>
  <c r="F15" i="164" s="1"/>
  <c r="D17" i="164" a="1"/>
  <c r="D17" i="164" s="1"/>
  <c r="I17" i="164" a="1"/>
  <c r="I17" i="164" s="1"/>
  <c r="H31" i="164" a="1"/>
  <c r="H31" i="164" s="1"/>
  <c r="I40" i="164" a="1"/>
  <c r="I40" i="164" s="1"/>
  <c r="C21" i="164" a="1"/>
  <c r="C21" i="164" s="1"/>
  <c r="C42" i="164" a="1"/>
  <c r="C42" i="164" s="1"/>
  <c r="D47" i="164" a="1"/>
  <c r="D47" i="164" s="1"/>
  <c r="G15" i="164" a="1"/>
  <c r="G15" i="164" s="1"/>
  <c r="I12" i="164" a="1"/>
  <c r="I12" i="164" s="1"/>
  <c r="H35" i="164" a="1"/>
  <c r="H35" i="164" s="1"/>
  <c r="H27" i="164" a="1"/>
  <c r="H27" i="164" s="1"/>
  <c r="E22" i="164" a="1"/>
  <c r="E22" i="164" s="1"/>
  <c r="F22" i="164" a="1"/>
  <c r="F22" i="164" s="1"/>
  <c r="G41" i="164" a="1"/>
  <c r="G41" i="164" s="1"/>
  <c r="E25" i="164" a="1"/>
  <c r="E25" i="164" s="1"/>
  <c r="G30" i="164" a="1"/>
  <c r="G30" i="164" s="1"/>
  <c r="F20" i="164" a="1"/>
  <c r="F20" i="164" s="1"/>
  <c r="G23" i="164" a="1"/>
  <c r="G23" i="164" s="1"/>
  <c r="I16" i="164" a="1"/>
  <c r="I16" i="164" s="1"/>
  <c r="H10" i="164" a="1"/>
  <c r="H10" i="164" s="1"/>
  <c r="F25" i="164" a="1"/>
  <c r="F25" i="164" s="1"/>
  <c r="G36" i="164" a="1"/>
  <c r="G36" i="164" s="1"/>
  <c r="C31" i="164" a="1"/>
  <c r="C31" i="164" s="1"/>
  <c r="G43" i="164" a="1"/>
  <c r="G43" i="164" s="1"/>
  <c r="E13" i="164" a="1"/>
  <c r="E13" i="164" s="1"/>
  <c r="G42" i="164" a="1"/>
  <c r="G42" i="164" s="1"/>
  <c r="D42" i="164" a="1"/>
  <c r="D42" i="164" s="1"/>
  <c r="G27" i="164" a="1"/>
  <c r="G27" i="164" s="1"/>
  <c r="D27" i="164" a="1"/>
  <c r="D27" i="164" s="1"/>
  <c r="C17" i="164" a="1"/>
  <c r="C17" i="164" s="1"/>
  <c r="C24" i="164" a="1"/>
  <c r="C24" i="164" s="1"/>
  <c r="E18" i="164" a="1"/>
  <c r="E18" i="164" s="1"/>
  <c r="H49" i="164" a="1"/>
  <c r="H49" i="164" s="1"/>
  <c r="F37" i="164" a="1"/>
  <c r="F37" i="164" s="1"/>
  <c r="G10" i="164" a="1"/>
  <c r="G10" i="164" s="1"/>
  <c r="D12" i="164" a="1"/>
  <c r="D12" i="164" s="1"/>
  <c r="I27" i="164" a="1"/>
  <c r="I27" i="164" s="1"/>
  <c r="D24" i="164" a="1"/>
  <c r="D24" i="164" s="1"/>
  <c r="C10" i="164" a="1"/>
  <c r="C10" i="164" s="1"/>
  <c r="H21" i="164" a="1"/>
  <c r="H21" i="164" s="1"/>
  <c r="I48" i="164" a="1"/>
  <c r="I48" i="164" s="1"/>
  <c r="H11" i="164" a="1"/>
  <c r="H11" i="164" s="1"/>
  <c r="I10" i="164" a="1"/>
  <c r="I10" i="164" s="1"/>
  <c r="C14" i="164" a="1"/>
  <c r="C14" i="164" s="1"/>
  <c r="C39" i="164" a="1"/>
  <c r="C39" i="164" s="1"/>
  <c r="H40" i="164" a="1"/>
  <c r="H40" i="164" s="1"/>
  <c r="F31" i="164" a="1"/>
  <c r="F31" i="164" s="1"/>
  <c r="G22" i="164" a="1"/>
  <c r="G22" i="164" s="1"/>
  <c r="F38" i="164" a="1"/>
  <c r="F38" i="164" s="1"/>
  <c r="E33" i="164" a="1"/>
  <c r="E33" i="164" s="1"/>
  <c r="I36" i="164" a="1"/>
  <c r="I36" i="164" s="1"/>
  <c r="F46" i="164" a="1"/>
  <c r="F46" i="164" s="1"/>
  <c r="E15" i="164" a="1"/>
  <c r="E15" i="164" s="1"/>
  <c r="D46" i="164" a="1"/>
  <c r="D46" i="164" s="1"/>
  <c r="C36" i="164" a="1"/>
  <c r="C36" i="164" s="1"/>
  <c r="G11" i="164" a="1"/>
  <c r="G11" i="164" s="1"/>
  <c r="E31" i="164" a="1"/>
  <c r="E31" i="164" s="1"/>
  <c r="D29" i="164" a="1"/>
  <c r="D29" i="164" s="1"/>
  <c r="F43" i="164" a="1"/>
  <c r="F43" i="164" s="1"/>
  <c r="D20" i="164" a="1"/>
  <c r="D20" i="164" s="1"/>
  <c r="C20" i="164" a="1"/>
  <c r="C20" i="164" s="1"/>
  <c r="H48" i="164" a="1"/>
  <c r="H48" i="164" s="1"/>
  <c r="C11" i="164" a="1"/>
  <c r="C11" i="164" s="1"/>
  <c r="E34" i="164" a="1"/>
  <c r="E34" i="164" s="1"/>
  <c r="H15" i="164" a="1"/>
  <c r="H15" i="164" s="1"/>
  <c r="C49" i="164" a="1"/>
  <c r="C49" i="164" s="1"/>
  <c r="I22" i="164" a="1"/>
  <c r="I22" i="164" s="1"/>
  <c r="D23" i="164" a="1"/>
  <c r="D23" i="164" s="1"/>
  <c r="I14" i="164" a="1"/>
  <c r="I14" i="164" s="1"/>
  <c r="C22" i="164" a="1"/>
  <c r="C22" i="164" s="1"/>
  <c r="H43" i="164" a="1"/>
  <c r="H43" i="164" s="1"/>
  <c r="E23" i="164" a="1"/>
  <c r="E23" i="164" s="1"/>
  <c r="I35" i="164" a="1"/>
  <c r="I35" i="164" s="1"/>
  <c r="G38" i="164" a="1"/>
  <c r="G38" i="164" s="1"/>
  <c r="E40" i="164" a="1"/>
  <c r="E40" i="164" s="1"/>
  <c r="D15" i="164" a="1"/>
  <c r="D15" i="164" s="1"/>
  <c r="I32" i="164" a="1"/>
  <c r="I32" i="164" s="1"/>
  <c r="D18" i="164" a="1"/>
  <c r="D18" i="164" s="1"/>
  <c r="H14" i="164" a="1"/>
  <c r="H14" i="164" s="1"/>
  <c r="E11" i="164" a="1"/>
  <c r="E11" i="164" s="1"/>
  <c r="G18" i="164" a="1"/>
  <c r="G18" i="164" s="1"/>
  <c r="I21" i="164" a="1"/>
  <c r="I21" i="164" s="1"/>
  <c r="I29" i="164" a="1"/>
  <c r="I29" i="164" s="1"/>
  <c r="E10" i="164" a="1"/>
  <c r="E10" i="164" s="1"/>
  <c r="D31" i="164" a="1"/>
  <c r="D31" i="164" s="1"/>
  <c r="I9" i="164" a="1"/>
  <c r="I9" i="164" s="1"/>
  <c r="I24" i="164" a="1"/>
  <c r="I24" i="164" s="1"/>
  <c r="H24" i="164" a="1"/>
  <c r="H24" i="164" s="1"/>
  <c r="F14" i="164" a="1"/>
  <c r="F14" i="164" s="1"/>
  <c r="I42" i="164" a="1"/>
  <c r="I42" i="164" s="1"/>
  <c r="C33" i="164" a="1"/>
  <c r="C33" i="164" s="1"/>
  <c r="G20" i="164" a="1"/>
  <c r="G20" i="164" s="1"/>
  <c r="F30" i="164" a="1"/>
  <c r="F30" i="164" s="1"/>
  <c r="E16" i="164" a="1"/>
  <c r="E16" i="164" s="1"/>
  <c r="D48" i="164" a="1"/>
  <c r="D48" i="164" s="1"/>
  <c r="E29" i="164" a="1"/>
  <c r="E29" i="164" s="1"/>
  <c r="H46" i="164" a="1"/>
  <c r="H46" i="164" s="1"/>
  <c r="F40" i="164" a="1"/>
  <c r="F40" i="164" s="1"/>
  <c r="D30" i="164" a="1"/>
  <c r="D30" i="164" s="1"/>
  <c r="F48" i="164" a="1"/>
  <c r="F48" i="164" s="1"/>
  <c r="C25" i="164" a="1"/>
  <c r="C25" i="164" s="1"/>
  <c r="E36" i="164" a="1"/>
  <c r="E36" i="164" s="1"/>
  <c r="I18" i="164" a="1"/>
  <c r="I18" i="164" s="1"/>
  <c r="G48" i="164" a="1"/>
  <c r="G48" i="164" s="1"/>
  <c r="H17" i="164" a="1"/>
  <c r="H17" i="164" s="1"/>
  <c r="G17" i="164" a="1"/>
  <c r="G17" i="164" s="1"/>
  <c r="G34" i="164" a="1"/>
  <c r="G34" i="164" s="1"/>
  <c r="G39" i="164" a="1"/>
  <c r="G39" i="164" s="1"/>
  <c r="Z3" i="157" a="1"/>
  <c r="Z3" i="157" s="1"/>
  <c r="I12" i="157" a="1"/>
  <c r="I12" i="157" s="1"/>
  <c r="I9" i="157" a="1"/>
  <c r="I9" i="157" s="1"/>
  <c r="E4" i="157" a="1"/>
  <c r="E4" i="157" s="1"/>
  <c r="V4" i="157" a="1"/>
  <c r="V4" i="157" s="1"/>
  <c r="AB11" i="157" a="1"/>
  <c r="AB11" i="157" s="1"/>
  <c r="W6" i="157" a="1"/>
  <c r="W6" i="157" s="1"/>
  <c r="W3" i="157" a="1"/>
  <c r="W3" i="157" s="1"/>
  <c r="G3" i="157" a="1"/>
  <c r="G3" i="157" s="1"/>
  <c r="H4" i="157" a="1"/>
  <c r="H4" i="157" s="1"/>
  <c r="W12" i="157" a="1"/>
  <c r="W12" i="157" s="1"/>
  <c r="AB8" i="157" a="1"/>
  <c r="AB8" i="157" s="1"/>
  <c r="AF4" i="157" a="1"/>
  <c r="AF4" i="157" s="1"/>
  <c r="M3" i="157" a="1"/>
  <c r="M3" i="157" s="1"/>
  <c r="E10" i="157" a="1"/>
  <c r="E10" i="157" s="1"/>
  <c r="E7" i="157" a="1"/>
  <c r="E7" i="157" s="1"/>
  <c r="I3" i="157" a="1"/>
  <c r="I3" i="157" s="1"/>
  <c r="R13" i="157" a="1"/>
  <c r="R13" i="157" s="1"/>
  <c r="R10" i="157" a="1"/>
  <c r="R10" i="157" s="1"/>
  <c r="AF7" i="157" a="1"/>
  <c r="AF7" i="157" s="1"/>
  <c r="R4" i="157" a="1"/>
  <c r="R4" i="157" s="1"/>
  <c r="E13" i="157" a="1"/>
  <c r="E13" i="157" s="1"/>
  <c r="AB5" i="157" a="1"/>
  <c r="AB5" i="157" s="1"/>
  <c r="U3" i="157" a="1"/>
  <c r="U3" i="157" s="1"/>
  <c r="N14" i="157" a="1"/>
  <c r="N14" i="157" s="1"/>
  <c r="Y8" i="157" a="1"/>
  <c r="Y8" i="157" s="1"/>
  <c r="P7" i="157" a="1"/>
  <c r="P7" i="157" s="1"/>
  <c r="U6" i="157" a="1"/>
  <c r="U6" i="157" s="1"/>
  <c r="G6" i="157" a="1"/>
  <c r="G6" i="157" s="1"/>
  <c r="AD4" i="157" a="1"/>
  <c r="AD4" i="157" s="1"/>
  <c r="L8" i="157" a="1"/>
  <c r="L8" i="157" s="1"/>
  <c r="AD7" i="157" a="1"/>
  <c r="AD7" i="157" s="1"/>
  <c r="AH6" i="157" a="1"/>
  <c r="AH6" i="157" s="1"/>
  <c r="Y5" i="157" a="1"/>
  <c r="Y5" i="157" s="1"/>
  <c r="L5" i="157" a="1"/>
  <c r="L5" i="157" s="1"/>
  <c r="N11" i="157" a="1"/>
  <c r="N11" i="157" s="1"/>
  <c r="N8" i="157" a="1"/>
  <c r="N8" i="157" s="1"/>
  <c r="N5" i="157" a="1"/>
  <c r="N5" i="157" s="1"/>
  <c r="Q5" i="157" a="1"/>
  <c r="Q5" i="157" s="1"/>
  <c r="AF10" i="157" a="1"/>
  <c r="AF10" i="157" s="1"/>
  <c r="R7" i="157" a="1"/>
  <c r="R7" i="157" s="1"/>
  <c r="P4" i="157" a="1"/>
  <c r="P4" i="157" s="1"/>
  <c r="W9" i="157" a="1"/>
  <c r="W9" i="157" s="1"/>
  <c r="I6" i="157" a="1"/>
  <c r="I6" i="157" s="1"/>
  <c r="AH3" i="157" a="1"/>
  <c r="AH3" i="157" s="1"/>
  <c r="AH14" i="157" a="1"/>
  <c r="AH14" i="157" s="1"/>
  <c r="M7" i="157" a="1"/>
  <c r="M7" i="157" s="1"/>
  <c r="Q12" i="157" a="1"/>
  <c r="Q12" i="157" s="1"/>
  <c r="W5" i="157" a="1"/>
  <c r="W5" i="157" s="1"/>
  <c r="AB10" i="157" a="1"/>
  <c r="AB10" i="157" s="1"/>
  <c r="T3" i="157" a="1"/>
  <c r="T3" i="157" s="1"/>
  <c r="X8" i="157" a="1"/>
  <c r="X8" i="157" s="1"/>
  <c r="AC13" i="157" a="1"/>
  <c r="AC13" i="157" s="1"/>
  <c r="AH12" i="157" a="1"/>
  <c r="AH12" i="157" s="1"/>
  <c r="H6" i="157" a="1"/>
  <c r="H6" i="157" s="1"/>
  <c r="M11" i="157" a="1"/>
  <c r="M11" i="157" s="1"/>
  <c r="X3" i="157" a="1"/>
  <c r="X3" i="157" s="1"/>
  <c r="AC8" i="157" a="1"/>
  <c r="AC8" i="157" s="1"/>
  <c r="AG13" i="157" a="1"/>
  <c r="AG13" i="157" s="1"/>
  <c r="G7" i="157" a="1"/>
  <c r="G7" i="157" s="1"/>
  <c r="L12" i="157" a="1"/>
  <c r="L12" i="157" s="1"/>
  <c r="Z9" i="157" a="1"/>
  <c r="Z9" i="157" s="1"/>
  <c r="AE14" i="157" a="1"/>
  <c r="AE14" i="157" s="1"/>
  <c r="W7" i="157" a="1"/>
  <c r="W7" i="157" s="1"/>
  <c r="AB12" i="157" a="1"/>
  <c r="AB12" i="157" s="1"/>
  <c r="F5" i="157" a="1"/>
  <c r="F5" i="157" s="1"/>
  <c r="J10" i="157" a="1"/>
  <c r="J10" i="157" s="1"/>
  <c r="Z6" i="157" a="1"/>
  <c r="Z6" i="157" s="1"/>
  <c r="Y7" i="157" a="1"/>
  <c r="Y7" i="157" s="1"/>
  <c r="AD12" i="157" a="1"/>
  <c r="AD12" i="157" s="1"/>
  <c r="L13" i="157" a="1"/>
  <c r="L13" i="157" s="1"/>
  <c r="Y13" i="157" a="1"/>
  <c r="Y13" i="157" s="1"/>
  <c r="G14" i="157" a="1"/>
  <c r="G14" i="157" s="1"/>
  <c r="AE5" i="157" a="1"/>
  <c r="AE5" i="157" s="1"/>
  <c r="Z7" i="157" a="1"/>
  <c r="Z7" i="157" s="1"/>
  <c r="AE12" i="157" a="1"/>
  <c r="AE12" i="157" s="1"/>
  <c r="E6" i="157" a="1"/>
  <c r="E6" i="157" s="1"/>
  <c r="I11" i="157" a="1"/>
  <c r="I11" i="157" s="1"/>
  <c r="AG3" i="157" a="1"/>
  <c r="AG3" i="157" s="1"/>
  <c r="F9" i="157" a="1"/>
  <c r="F9" i="157" s="1"/>
  <c r="J14" i="157" a="1"/>
  <c r="J14" i="157" s="1"/>
  <c r="P13" i="157" a="1"/>
  <c r="P13" i="157" s="1"/>
  <c r="V6" i="157" a="1"/>
  <c r="V6" i="157" s="1"/>
  <c r="Z11" i="157" a="1"/>
  <c r="Z11" i="157" s="1"/>
  <c r="F4" i="157" a="1"/>
  <c r="F4" i="157" s="1"/>
  <c r="J9" i="157" a="1"/>
  <c r="J9" i="157" s="1"/>
  <c r="O14" i="157" a="1"/>
  <c r="O14" i="157" s="1"/>
  <c r="U7" i="157" a="1"/>
  <c r="U7" i="157" s="1"/>
  <c r="Y12" i="157" a="1"/>
  <c r="Y12" i="157" s="1"/>
  <c r="H10" i="157" a="1"/>
  <c r="H10" i="157" s="1"/>
  <c r="H7" i="157" a="1"/>
  <c r="H7" i="157" s="1"/>
  <c r="E8" i="157" a="1"/>
  <c r="E8" i="157" s="1"/>
  <c r="I13" i="157" a="1"/>
  <c r="I13" i="157" s="1"/>
  <c r="T5" i="157" a="1"/>
  <c r="T5" i="157" s="1"/>
  <c r="X10" i="157" a="1"/>
  <c r="X10" i="157" s="1"/>
  <c r="G8" i="157" a="1"/>
  <c r="G8" i="157" s="1"/>
  <c r="D3" i="157" a="1"/>
  <c r="D3" i="157" s="1"/>
  <c r="H8" i="157" a="1"/>
  <c r="H8" i="157" s="1"/>
  <c r="M13" i="157" a="1"/>
  <c r="M13" i="157" s="1"/>
  <c r="R6" i="157" a="1"/>
  <c r="R6" i="157" s="1"/>
  <c r="W11" i="157" a="1"/>
  <c r="W11" i="157" s="1"/>
  <c r="O4" i="157" a="1"/>
  <c r="O4" i="157" s="1"/>
  <c r="T9" i="157" a="1"/>
  <c r="T9" i="157" s="1"/>
  <c r="X14" i="157" a="1"/>
  <c r="X14" i="157" s="1"/>
  <c r="AD13" i="157" a="1"/>
  <c r="AD13" i="157" s="1"/>
  <c r="D7" i="157" a="1"/>
  <c r="D7" i="157" s="1"/>
  <c r="H12" i="157" a="1"/>
  <c r="H12" i="157" s="1"/>
  <c r="T4" i="157" a="1"/>
  <c r="T4" i="157" s="1"/>
  <c r="X9" i="157" a="1"/>
  <c r="X9" i="157" s="1"/>
  <c r="AC14" i="157" a="1"/>
  <c r="AC14" i="157" s="1"/>
  <c r="AH7" i="157" a="1"/>
  <c r="AH7" i="157" s="1"/>
  <c r="G13" i="157" a="1"/>
  <c r="G13" i="157" s="1"/>
  <c r="V10" i="157" a="1"/>
  <c r="V10" i="157" s="1"/>
  <c r="N3" i="157" a="1"/>
  <c r="N3" i="157" s="1"/>
  <c r="R8" i="157" a="1"/>
  <c r="R8" i="157" s="1"/>
  <c r="W13" i="157" a="1"/>
  <c r="W13" i="157" s="1"/>
  <c r="AG5" i="157" a="1"/>
  <c r="AG5" i="157" s="1"/>
  <c r="F11" i="157" a="1"/>
  <c r="F11" i="157" s="1"/>
  <c r="P3" i="157" a="1"/>
  <c r="P3" i="157" s="1"/>
  <c r="U8" i="157" a="1"/>
  <c r="U8" i="157" s="1"/>
  <c r="AH8" i="157" a="1"/>
  <c r="AH8" i="157" s="1"/>
  <c r="Q3" i="157" a="1"/>
  <c r="Q3" i="157" s="1"/>
  <c r="V8" i="157" a="1"/>
  <c r="V8" i="157" s="1"/>
  <c r="Z13" i="157" a="1"/>
  <c r="Z13" i="157" s="1"/>
  <c r="AF6" i="157" a="1"/>
  <c r="AF6" i="157" s="1"/>
  <c r="E12" i="157" a="1"/>
  <c r="E12" i="157" s="1"/>
  <c r="AC4" i="157" a="1"/>
  <c r="AC4" i="157" s="1"/>
  <c r="AG9" i="157" a="1"/>
  <c r="AG9" i="157" s="1"/>
  <c r="G9" i="157" a="1"/>
  <c r="G9" i="157" s="1"/>
  <c r="L14" i="157" a="1"/>
  <c r="L14" i="157" s="1"/>
  <c r="Q7" i="157" a="1"/>
  <c r="Q7" i="157" s="1"/>
  <c r="V12" i="157" a="1"/>
  <c r="V12" i="157" s="1"/>
  <c r="AG4" i="157" a="1"/>
  <c r="AG4" i="157" s="1"/>
  <c r="F10" i="157" a="1"/>
  <c r="F10" i="157" s="1"/>
  <c r="L3" i="157" a="1"/>
  <c r="L3" i="157" s="1"/>
  <c r="P8" i="157" a="1"/>
  <c r="P8" i="157" s="1"/>
  <c r="U13" i="157" a="1"/>
  <c r="U13" i="157" s="1"/>
  <c r="D11" i="157" a="1"/>
  <c r="D11" i="157" s="1"/>
  <c r="AB3" i="157" a="1"/>
  <c r="AB3" i="157" s="1"/>
  <c r="AF8" i="157" a="1"/>
  <c r="AF8" i="157" s="1"/>
  <c r="E14" i="157" a="1"/>
  <c r="E14" i="157" s="1"/>
  <c r="O6" i="157" a="1"/>
  <c r="O6" i="157" s="1"/>
  <c r="T11" i="157" a="1"/>
  <c r="T11" i="157" s="1"/>
  <c r="AD3" i="157" a="1"/>
  <c r="AD3" i="157" s="1"/>
  <c r="L7" i="157" a="1"/>
  <c r="L7" i="157" s="1"/>
  <c r="AE3" i="157" a="1"/>
  <c r="AE3" i="157" s="1"/>
  <c r="D9" i="157" a="1"/>
  <c r="D9" i="157" s="1"/>
  <c r="H14" i="157" a="1"/>
  <c r="H14" i="157" s="1"/>
  <c r="N7" i="157" a="1"/>
  <c r="N7" i="157" s="1"/>
  <c r="R12" i="157" a="1"/>
  <c r="R12" i="157" s="1"/>
  <c r="J5" i="157" a="1"/>
  <c r="J5" i="157" s="1"/>
  <c r="O10" i="157" a="1"/>
  <c r="O10" i="157" s="1"/>
  <c r="U9" i="157" a="1"/>
  <c r="U9" i="157" s="1"/>
  <c r="Y14" i="157" a="1"/>
  <c r="Y14" i="157" s="1"/>
  <c r="AE7" i="157" a="1"/>
  <c r="AE7" i="157" s="1"/>
  <c r="D13" i="157" a="1"/>
  <c r="D13" i="157" s="1"/>
  <c r="O5" i="157" a="1"/>
  <c r="O5" i="157" s="1"/>
  <c r="T10" i="157" a="1"/>
  <c r="T10" i="157" s="1"/>
  <c r="Y3" i="157" a="1"/>
  <c r="Y3" i="157" s="1"/>
  <c r="AD8" i="157" a="1"/>
  <c r="AD8" i="157" s="1"/>
  <c r="AH13" i="157" a="1"/>
  <c r="AH13" i="157" s="1"/>
  <c r="Q11" i="157" a="1"/>
  <c r="Q11" i="157" s="1"/>
  <c r="I4" i="157" a="1"/>
  <c r="I4" i="157" s="1"/>
  <c r="N9" i="157" a="1"/>
  <c r="N9" i="157" s="1"/>
  <c r="R14" i="157" a="1"/>
  <c r="R14" i="157" s="1"/>
  <c r="AC6" i="157" a="1"/>
  <c r="AC6" i="157" s="1"/>
  <c r="AG11" i="157" a="1"/>
  <c r="AG11" i="157" s="1"/>
  <c r="L4" i="157" a="1"/>
  <c r="L4" i="157" s="1"/>
  <c r="P9" i="157" a="1"/>
  <c r="P9" i="157" s="1"/>
  <c r="U14" i="157" a="1"/>
  <c r="U14" i="157" s="1"/>
  <c r="M4" i="157" a="1"/>
  <c r="M4" i="157" s="1"/>
  <c r="Q9" i="157" a="1"/>
  <c r="Q9" i="157" s="1"/>
  <c r="V14" i="157" a="1"/>
  <c r="V14" i="157" s="1"/>
  <c r="AB7" i="157" a="1"/>
  <c r="AB7" i="157" s="1"/>
  <c r="AF12" i="157" a="1"/>
  <c r="AF12" i="157" s="1"/>
  <c r="X5" i="157" a="1"/>
  <c r="X5" i="157" s="1"/>
  <c r="AC10" i="157" a="1"/>
  <c r="AC10" i="157" s="1"/>
  <c r="AH9" i="157" a="1"/>
  <c r="AH9" i="157" s="1"/>
  <c r="H3" i="157" a="1"/>
  <c r="H3" i="157" s="1"/>
  <c r="M8" i="157" a="1"/>
  <c r="M8" i="157" s="1"/>
  <c r="Q13" i="157" a="1"/>
  <c r="Q13" i="157" s="1"/>
  <c r="AC5" i="157" a="1"/>
  <c r="AC5" i="157" s="1"/>
  <c r="AG10" i="157" a="1"/>
  <c r="AG10" i="157" s="1"/>
  <c r="G4" i="157" a="1"/>
  <c r="G4" i="157" s="1"/>
  <c r="L9" i="157" a="1"/>
  <c r="L9" i="157" s="1"/>
  <c r="P14" i="157" a="1"/>
  <c r="P14" i="157" s="1"/>
  <c r="AE11" i="157" a="1"/>
  <c r="AE11" i="157" s="1"/>
  <c r="W4" i="157" a="1"/>
  <c r="W4" i="157" s="1"/>
  <c r="AB9" i="157" a="1"/>
  <c r="AB9" i="157" s="1"/>
  <c r="AF14" i="157" a="1"/>
  <c r="AF14" i="157" s="1"/>
  <c r="J7" i="157" a="1"/>
  <c r="J7" i="157" s="1"/>
  <c r="O12" i="157" a="1"/>
  <c r="O12" i="157" s="1"/>
  <c r="Y4" i="157" a="1"/>
  <c r="Y4" i="157" s="1"/>
  <c r="AD9" i="157" a="1"/>
  <c r="AD9" i="157" s="1"/>
  <c r="L10" i="157" a="1"/>
  <c r="L10" i="157" s="1"/>
  <c r="AE10" i="157" a="1"/>
  <c r="AE10" i="157" s="1"/>
  <c r="M9" i="157" a="1"/>
  <c r="M9" i="157" s="1"/>
  <c r="P12" i="157" a="1"/>
  <c r="P12" i="157" s="1"/>
  <c r="Z4" i="157" a="1"/>
  <c r="Z4" i="157" s="1"/>
  <c r="AE9" i="157" a="1"/>
  <c r="AE9" i="157" s="1"/>
  <c r="E3" i="157" a="1"/>
  <c r="E3" i="157" s="1"/>
  <c r="I8" i="157" a="1"/>
  <c r="I8" i="157" s="1"/>
  <c r="N13" i="157" a="1"/>
  <c r="N13" i="157" s="1"/>
  <c r="F6" i="157" a="1"/>
  <c r="F6" i="157" s="1"/>
  <c r="J11" i="157" a="1"/>
  <c r="J11" i="157" s="1"/>
  <c r="P10" i="157" a="1"/>
  <c r="P10" i="157" s="1"/>
  <c r="V3" i="157" a="1"/>
  <c r="V3" i="157" s="1"/>
  <c r="Z8" i="157" a="1"/>
  <c r="Z8" i="157" s="1"/>
  <c r="AE13" i="157" a="1"/>
  <c r="AE13" i="157" s="1"/>
  <c r="J6" i="157" a="1"/>
  <c r="J6" i="157" s="1"/>
  <c r="O11" i="157" a="1"/>
  <c r="O11" i="157" s="1"/>
  <c r="U4" i="157" a="1"/>
  <c r="U4" i="157" s="1"/>
  <c r="Y9" i="157" a="1"/>
  <c r="Y9" i="157" s="1"/>
  <c r="AD14" i="157" a="1"/>
  <c r="AD14" i="157" s="1"/>
  <c r="M12" i="157" a="1"/>
  <c r="M12" i="157" s="1"/>
  <c r="E5" i="157" a="1"/>
  <c r="E5" i="157" s="1"/>
  <c r="I10" i="157" a="1"/>
  <c r="I10" i="157" s="1"/>
  <c r="V7" i="157" a="1"/>
  <c r="V7" i="157" s="1"/>
  <c r="X7" i="157" a="1"/>
  <c r="X7" i="157" s="1"/>
  <c r="AC12" i="157" a="1"/>
  <c r="AC12" i="157" s="1"/>
  <c r="G5" i="157" a="1"/>
  <c r="G5" i="157" s="1"/>
  <c r="U12" i="157" a="1"/>
  <c r="U12" i="157" s="1"/>
  <c r="AD11" i="157" a="1"/>
  <c r="AD11" i="157" s="1"/>
  <c r="AG14" i="157" a="1"/>
  <c r="AG14" i="157" s="1"/>
  <c r="H5" i="157" a="1"/>
  <c r="H5" i="157" s="1"/>
  <c r="M10" i="157" a="1"/>
  <c r="M10" i="157" s="1"/>
  <c r="R3" i="157" a="1"/>
  <c r="R3" i="157" s="1"/>
  <c r="W8" i="157" a="1"/>
  <c r="W8" i="157" s="1"/>
  <c r="AB13" i="157" a="1"/>
  <c r="AB13" i="157" s="1"/>
  <c r="T6" i="157" a="1"/>
  <c r="T6" i="157" s="1"/>
  <c r="X11" i="157" a="1"/>
  <c r="X11" i="157" s="1"/>
  <c r="AD10" i="157" a="1"/>
  <c r="AD10" i="157" s="1"/>
  <c r="D4" i="157" a="1"/>
  <c r="D4" i="157" s="1"/>
  <c r="H9" i="157" a="1"/>
  <c r="H9" i="157" s="1"/>
  <c r="M14" i="157" a="1"/>
  <c r="M14" i="157" s="1"/>
  <c r="X6" i="157" a="1"/>
  <c r="X6" i="157" s="1"/>
  <c r="AC11" i="157" a="1"/>
  <c r="AC11" i="157" s="1"/>
  <c r="AH4" i="157" a="1"/>
  <c r="AH4" i="157" s="1"/>
  <c r="G10" i="157" a="1"/>
  <c r="G10" i="157" s="1"/>
  <c r="M6" i="157" a="1"/>
  <c r="M6" i="157" s="1"/>
  <c r="Z12" i="157" a="1"/>
  <c r="Z12" i="157" s="1"/>
  <c r="R5" i="157" a="1"/>
  <c r="R5" i="157" s="1"/>
  <c r="W10" i="157" a="1"/>
  <c r="W10" i="157" s="1"/>
  <c r="F8" i="157" a="1"/>
  <c r="F8" i="157" s="1"/>
  <c r="J13" i="157" a="1"/>
  <c r="J13" i="157" s="1"/>
  <c r="U5" i="157" a="1"/>
  <c r="U5" i="157" s="1"/>
  <c r="Y10" i="157" a="1"/>
  <c r="Y10" i="157" s="1"/>
  <c r="G11" i="157" a="1"/>
  <c r="G11" i="157" s="1"/>
  <c r="F3" i="157" a="1"/>
  <c r="F3" i="157" s="1"/>
  <c r="O8" i="157" a="1"/>
  <c r="O8" i="157" s="1"/>
  <c r="N12" i="157" a="1"/>
  <c r="N12" i="157" s="1"/>
  <c r="V5" i="157" a="1"/>
  <c r="V5" i="157" s="1"/>
  <c r="Z10" i="157" a="1"/>
  <c r="Z10" i="157" s="1"/>
  <c r="AF3" i="157" a="1"/>
  <c r="AF3" i="157" s="1"/>
  <c r="E9" i="157" a="1"/>
  <c r="E9" i="157" s="1"/>
  <c r="I14" i="157" a="1"/>
  <c r="I14" i="157" s="1"/>
  <c r="AG6" i="157" a="1"/>
  <c r="AG6" i="157" s="1"/>
  <c r="F12" i="157" a="1"/>
  <c r="F12" i="157" s="1"/>
  <c r="L11" i="157" a="1"/>
  <c r="L11" i="157" s="1"/>
  <c r="Q4" i="157" a="1"/>
  <c r="Q4" i="157" s="1"/>
  <c r="V9" i="157" a="1"/>
  <c r="V9" i="157" s="1"/>
  <c r="Z14" i="157" a="1"/>
  <c r="Z14" i="157" s="1"/>
  <c r="F7" i="157" a="1"/>
  <c r="F7" i="157" s="1"/>
  <c r="J12" i="157" a="1"/>
  <c r="J12" i="157" s="1"/>
  <c r="P5" i="157" a="1"/>
  <c r="P5" i="157" s="1"/>
  <c r="U10" i="157" a="1"/>
  <c r="U10" i="157" s="1"/>
  <c r="D8" i="157" a="1"/>
  <c r="D8" i="157" s="1"/>
  <c r="H13" i="157" a="1"/>
  <c r="H13" i="157" s="1"/>
  <c r="AF5" i="157" a="1"/>
  <c r="AF5" i="157" s="1"/>
  <c r="E11" i="157" a="1"/>
  <c r="E11" i="157" s="1"/>
  <c r="O3" i="157" a="1"/>
  <c r="O3" i="157" s="1"/>
  <c r="T8" i="157" a="1"/>
  <c r="T8" i="157" s="1"/>
  <c r="X13" i="157" a="1"/>
  <c r="X13" i="157" s="1"/>
  <c r="AH5" i="157" a="1"/>
  <c r="AH5" i="157" s="1"/>
  <c r="P6" i="157" a="1"/>
  <c r="P6" i="157" s="1"/>
  <c r="O13" i="157" a="1"/>
  <c r="O13" i="157" s="1"/>
  <c r="T13" i="157" a="1"/>
  <c r="T13" i="157" s="1"/>
  <c r="X4" i="157" a="1"/>
  <c r="X4" i="157" s="1"/>
  <c r="D6" i="157" a="1"/>
  <c r="D6" i="157" s="1"/>
  <c r="H11" i="157" a="1"/>
  <c r="H11" i="157" s="1"/>
  <c r="N4" i="157" a="1"/>
  <c r="N4" i="157" s="1"/>
  <c r="R9" i="157" a="1"/>
  <c r="R9" i="157" s="1"/>
  <c r="W14" i="157" a="1"/>
  <c r="W14" i="157" s="1"/>
  <c r="O7" i="157" a="1"/>
  <c r="O7" i="157" s="1"/>
  <c r="T12" i="157" a="1"/>
  <c r="T12" i="157" s="1"/>
  <c r="Y11" i="157" a="1"/>
  <c r="Y11" i="157" s="1"/>
  <c r="AE4" i="157" a="1"/>
  <c r="AE4" i="157" s="1"/>
  <c r="D10" i="157" a="1"/>
  <c r="D10" i="157" s="1"/>
  <c r="AB14" i="157" a="1"/>
  <c r="AB14" i="157" s="1"/>
  <c r="T7" i="157" a="1"/>
  <c r="T7" i="157" s="1"/>
  <c r="X12" i="157" a="1"/>
  <c r="X12" i="157" s="1"/>
  <c r="AD5" i="157" a="1"/>
  <c r="AD5" i="157" s="1"/>
  <c r="AH10" i="157" a="1"/>
  <c r="AH10" i="157" s="1"/>
  <c r="Q8" i="157" a="1"/>
  <c r="Q8" i="157" s="1"/>
  <c r="V13" i="157" a="1"/>
  <c r="V13" i="157" s="1"/>
  <c r="N6" i="157" a="1"/>
  <c r="N6" i="157" s="1"/>
  <c r="R11" i="157" a="1"/>
  <c r="R11" i="157" s="1"/>
  <c r="AC3" i="157" a="1"/>
  <c r="AC3" i="157" s="1"/>
  <c r="AG8" i="157" a="1"/>
  <c r="AG8" i="157" s="1"/>
  <c r="F14" i="157" a="1"/>
  <c r="F14" i="157" s="1"/>
  <c r="U11" i="157" a="1"/>
  <c r="U11" i="157" s="1"/>
  <c r="Z5" i="157" a="1"/>
  <c r="Z5" i="157" s="1"/>
  <c r="Q14" i="157" a="1"/>
  <c r="Q14" i="157" s="1"/>
  <c r="Q6" i="157" a="1"/>
  <c r="Q6" i="157" s="1"/>
  <c r="V11" i="157" a="1"/>
  <c r="V11" i="157" s="1"/>
  <c r="AB4" i="157" a="1"/>
  <c r="AB4" i="157" s="1"/>
  <c r="AF9" i="157" a="1"/>
  <c r="AF9" i="157" s="1"/>
  <c r="D5" i="157" a="1"/>
  <c r="D5" i="157" s="1"/>
  <c r="AC7" i="157" a="1"/>
  <c r="AC7" i="157" s="1"/>
  <c r="AG12" i="157" a="1"/>
  <c r="AG12" i="157" s="1"/>
  <c r="G12" i="157" a="1"/>
  <c r="G12" i="157" s="1"/>
  <c r="M5" i="157" a="1"/>
  <c r="M5" i="157" s="1"/>
  <c r="Q10" i="157" a="1"/>
  <c r="Q10" i="157" s="1"/>
  <c r="AF13" i="157" a="1"/>
  <c r="AF13" i="157" s="1"/>
  <c r="AG7" i="157" a="1"/>
  <c r="AG7" i="157" s="1"/>
  <c r="F13" i="157" a="1"/>
  <c r="F13" i="157" s="1"/>
  <c r="L6" i="157" a="1"/>
  <c r="L6" i="157" s="1"/>
  <c r="P11" i="157" a="1"/>
  <c r="P11" i="157" s="1"/>
  <c r="AE8" i="157" a="1"/>
  <c r="AE8" i="157" s="1"/>
  <c r="D14" i="157" a="1"/>
  <c r="D14" i="157" s="1"/>
  <c r="AB6" i="157" a="1"/>
  <c r="AB6" i="157" s="1"/>
  <c r="AF11" i="157" a="1"/>
  <c r="AF11" i="157" s="1"/>
  <c r="J4" i="157" a="1"/>
  <c r="J4" i="157" s="1"/>
  <c r="O9" i="157" a="1"/>
  <c r="O9" i="157" s="1"/>
  <c r="T14" i="157" a="1"/>
  <c r="T14" i="157" s="1"/>
  <c r="AD6" i="157" a="1"/>
  <c r="AD6" i="157" s="1"/>
  <c r="AH11" i="157" a="1"/>
  <c r="AH11" i="157" s="1"/>
  <c r="J8" i="157" a="1"/>
  <c r="J8" i="157" s="1"/>
  <c r="Y6" i="157" a="1"/>
  <c r="Y6" i="157" s="1"/>
  <c r="AC9" i="157" a="1"/>
  <c r="AC9" i="157" s="1"/>
  <c r="AE6" i="157" a="1"/>
  <c r="AE6" i="157" s="1"/>
  <c r="D12" i="157" a="1"/>
  <c r="D12" i="157" s="1"/>
  <c r="I5" i="157" a="1"/>
  <c r="I5" i="157" s="1"/>
  <c r="N10" i="157" a="1"/>
  <c r="N10" i="157" s="1"/>
  <c r="J3" i="157" a="1"/>
  <c r="J3" i="157" s="1"/>
  <c r="I7" i="157" a="1"/>
  <c r="I7" i="157" s="1"/>
  <c r="AQ15" i="159"/>
  <c r="AN17" i="159" s="1"/>
  <c r="D17" i="159"/>
  <c r="AJ17" i="159" s="1"/>
  <c r="H45" i="164" l="1"/>
  <c r="D45" i="164"/>
  <c r="C45" i="164"/>
  <c r="F45" i="164"/>
  <c r="E45" i="164"/>
  <c r="I45" i="164"/>
  <c r="G45" i="164"/>
  <c r="AL5" i="157"/>
  <c r="AJ5" i="157"/>
  <c r="AN5" i="157"/>
  <c r="AP5" i="157"/>
  <c r="AO5" i="157"/>
  <c r="AM5" i="157"/>
  <c r="AK5" i="157"/>
  <c r="AA5" i="157"/>
  <c r="S5" i="157"/>
  <c r="AL9" i="157"/>
  <c r="AI5" i="157"/>
  <c r="K5" i="157"/>
  <c r="AK12" i="157"/>
  <c r="AK6" i="157"/>
  <c r="AL11" i="157"/>
  <c r="AN14" i="157"/>
  <c r="AN4" i="157"/>
  <c r="AM8" i="157"/>
  <c r="AD15" i="157"/>
  <c r="AN7" i="157"/>
  <c r="AM7" i="157"/>
  <c r="S14" i="157"/>
  <c r="P15" i="157"/>
  <c r="AP14" i="157"/>
  <c r="AN9" i="157"/>
  <c r="AL7" i="157"/>
  <c r="AG15" i="157"/>
  <c r="AI8" i="157"/>
  <c r="AA4" i="157"/>
  <c r="AE15" i="157"/>
  <c r="AA6" i="157"/>
  <c r="AK11" i="157"/>
  <c r="N15" i="157"/>
  <c r="S10" i="157"/>
  <c r="AI13" i="157"/>
  <c r="W15" i="157"/>
  <c r="AI14" i="157"/>
  <c r="AO8" i="157"/>
  <c r="K7" i="157"/>
  <c r="AJ7" i="157"/>
  <c r="AP8" i="157"/>
  <c r="AI12" i="157"/>
  <c r="AL12" i="157"/>
  <c r="AI4" i="157"/>
  <c r="AM4" i="157"/>
  <c r="AN13" i="157"/>
  <c r="M15" i="157"/>
  <c r="S8" i="157"/>
  <c r="AM10" i="157"/>
  <c r="AP13" i="157"/>
  <c r="AK10" i="157"/>
  <c r="K8" i="157"/>
  <c r="AJ8" i="157"/>
  <c r="R15" i="157"/>
  <c r="AO13" i="157"/>
  <c r="AP6" i="157"/>
  <c r="AK3" i="157"/>
  <c r="E15" i="157"/>
  <c r="AL10" i="157"/>
  <c r="AI3" i="157"/>
  <c r="AB15" i="157"/>
  <c r="AH15" i="157"/>
  <c r="AL8" i="157"/>
  <c r="AF15" i="157"/>
  <c r="AJ12" i="157"/>
  <c r="K12" i="157"/>
  <c r="AI7" i="157"/>
  <c r="S4" i="157"/>
  <c r="AA11" i="157"/>
  <c r="AK8" i="157"/>
  <c r="AK13" i="157"/>
  <c r="K11" i="157"/>
  <c r="AJ11" i="157"/>
  <c r="S7" i="157"/>
  <c r="AA12" i="157"/>
  <c r="H15" i="157"/>
  <c r="AN3" i="157"/>
  <c r="AO6" i="157"/>
  <c r="AJ13" i="157"/>
  <c r="K13" i="157"/>
  <c r="S9" i="157"/>
  <c r="AJ6" i="157"/>
  <c r="K6" i="157"/>
  <c r="S12" i="157"/>
  <c r="AI11" i="157"/>
  <c r="AO4" i="157"/>
  <c r="AN8" i="157"/>
  <c r="AM12" i="157"/>
  <c r="AO10" i="157"/>
  <c r="G15" i="157"/>
  <c r="AM3" i="157"/>
  <c r="V15" i="157"/>
  <c r="AA9" i="157"/>
  <c r="J15" i="157"/>
  <c r="AP3" i="157"/>
  <c r="AP10" i="157"/>
  <c r="AA10" i="157"/>
  <c r="AI6" i="157"/>
  <c r="AO14" i="157"/>
  <c r="AK4" i="157"/>
  <c r="S3" i="157"/>
  <c r="L15" i="157"/>
  <c r="X15" i="157"/>
  <c r="AP12" i="157"/>
  <c r="T15" i="157"/>
  <c r="AA3" i="157"/>
  <c r="Z15" i="157"/>
  <c r="AL4" i="157"/>
  <c r="AI10" i="157"/>
  <c r="AJ3" i="157"/>
  <c r="K3" i="157"/>
  <c r="D15" i="157"/>
  <c r="AM11" i="157"/>
  <c r="AA8" i="157"/>
  <c r="AK9" i="157"/>
  <c r="S11" i="157"/>
  <c r="Y15" i="157"/>
  <c r="AA7" i="157"/>
  <c r="AO12" i="157"/>
  <c r="AN10" i="157"/>
  <c r="AP11" i="157"/>
  <c r="AM6" i="157"/>
  <c r="AN11" i="157"/>
  <c r="AP7" i="157"/>
  <c r="AO7" i="157"/>
  <c r="AK7" i="157"/>
  <c r="Q15" i="157"/>
  <c r="AL14" i="157"/>
  <c r="AL6" i="157"/>
  <c r="U15" i="157"/>
  <c r="AO9" i="157"/>
  <c r="AM14" i="157"/>
  <c r="AN6" i="157"/>
  <c r="S13" i="157"/>
  <c r="F15" i="157"/>
  <c r="AL3" i="157"/>
  <c r="AM9" i="157"/>
  <c r="AO11" i="157"/>
  <c r="K9" i="157"/>
  <c r="AJ9" i="157"/>
  <c r="AP9" i="157"/>
  <c r="AL13" i="157"/>
  <c r="AC15" i="157"/>
  <c r="AK14" i="157"/>
  <c r="AM13" i="157"/>
  <c r="O15" i="157"/>
  <c r="AJ10" i="157"/>
  <c r="K10" i="157"/>
  <c r="AJ4" i="157"/>
  <c r="K4" i="157"/>
  <c r="S6" i="157"/>
  <c r="AA14" i="157"/>
  <c r="K14" i="157"/>
  <c r="AJ14" i="157"/>
  <c r="AA13" i="157"/>
  <c r="AP4" i="157"/>
  <c r="AI9" i="157"/>
  <c r="I15" i="157"/>
  <c r="AO3" i="157"/>
  <c r="AN12" i="157"/>
  <c r="AQ5" i="157" l="1"/>
  <c r="L16" i="157"/>
  <c r="AQ14" i="157"/>
  <c r="AM15" i="157"/>
  <c r="K15" i="157"/>
  <c r="AQ9" i="157"/>
  <c r="AQ7" i="157"/>
  <c r="AN15" i="157"/>
  <c r="AQ12" i="157"/>
  <c r="AQ8" i="157"/>
  <c r="AA15" i="157"/>
  <c r="AO15" i="157"/>
  <c r="AP15" i="157"/>
  <c r="AQ10" i="157"/>
  <c r="AB16" i="157"/>
  <c r="AQ4" i="157"/>
  <c r="T16" i="157"/>
  <c r="AL15" i="157"/>
  <c r="AQ11" i="157"/>
  <c r="AI15" i="157"/>
  <c r="AQ6" i="157"/>
  <c r="S15" i="157"/>
  <c r="D16" i="157"/>
  <c r="AK15" i="157"/>
  <c r="AQ3" i="157"/>
  <c r="AJ15" i="157"/>
  <c r="AQ13" i="157"/>
  <c r="A1" i="50"/>
  <c r="B1" i="50"/>
  <c r="AQ15" i="157" l="1"/>
  <c r="AN17" i="157" s="1"/>
  <c r="D17" i="157"/>
  <c r="AJ17" i="157" s="1"/>
  <c r="C29" i="157"/>
  <c r="C29" i="159"/>
  <c r="C34" i="157"/>
  <c r="C32" i="157"/>
  <c r="C32" i="159"/>
  <c r="C31" i="159"/>
  <c r="C30" i="159"/>
  <c r="C31" i="157"/>
  <c r="C35" i="159"/>
  <c r="C34" i="159"/>
  <c r="C33" i="159"/>
  <c r="C33" i="157"/>
  <c r="C30" i="157"/>
  <c r="C35" i="157"/>
  <c r="C36" i="159" l="1"/>
  <c r="C36" i="15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<sst xmlns="http://schemas.openxmlformats.org/spreadsheetml/2006/main" count="8393" uniqueCount="4477">
  <si>
    <t>S.NO</t>
  </si>
  <si>
    <t>1.</t>
  </si>
  <si>
    <t>2.</t>
  </si>
  <si>
    <t>3.</t>
  </si>
  <si>
    <t>4.</t>
  </si>
  <si>
    <t>5.</t>
  </si>
  <si>
    <t>6.</t>
  </si>
  <si>
    <t>7.</t>
  </si>
  <si>
    <t>8.</t>
  </si>
  <si>
    <t>9.</t>
  </si>
  <si>
    <t>10.</t>
  </si>
  <si>
    <t>11.</t>
  </si>
  <si>
    <t>12.</t>
  </si>
  <si>
    <t>13.</t>
  </si>
  <si>
    <t>14.</t>
  </si>
  <si>
    <t>15.</t>
  </si>
  <si>
    <t>16.</t>
  </si>
  <si>
    <t>17.</t>
  </si>
  <si>
    <t>18.</t>
  </si>
  <si>
    <t>19.</t>
  </si>
  <si>
    <t>20.</t>
  </si>
  <si>
    <t>ADI</t>
  </si>
  <si>
    <t>KURUL TARİHİ</t>
  </si>
  <si>
    <t>Doktora Tezi</t>
  </si>
  <si>
    <t>Uzmanlık Tezi</t>
  </si>
  <si>
    <t>Yüksek Lisans Tezi</t>
  </si>
  <si>
    <t>NİTELİĞİ</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</si>
  <si>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</si>
  <si>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</si>
  <si>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</si>
  <si>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</si>
  <si>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</si>
  <si>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</si>
  <si>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</si>
  <si>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</si>
  <si>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</si>
  <si>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</si>
  <si>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</si>
  <si>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</si>
  <si>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</si>
  <si>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</si>
  <si>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</si>
  <si>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</si>
  <si>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</si>
  <si>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</si>
  <si>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</si>
  <si>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</si>
  <si>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</si>
  <si>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</si>
  <si>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</si>
  <si>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</si>
  <si>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</si>
  <si>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</si>
  <si>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</si>
  <si>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</si>
  <si>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</si>
  <si>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</si>
  <si>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ONAY</t>
  </si>
  <si>
    <t>DÜZELTME</t>
  </si>
  <si>
    <t>KAPSAM DIŞI</t>
  </si>
  <si>
    <t>TOPLAM</t>
  </si>
  <si>
    <t>SORUMLUSU</t>
  </si>
  <si>
    <t>YERİ</t>
  </si>
  <si>
    <t>Prof. Dr. M. Özgür UYANIK</t>
  </si>
  <si>
    <t>Dr. Öğr. Üyesi Müge DEMİR</t>
  </si>
  <si>
    <t>S.No</t>
  </si>
  <si>
    <t>Dosya Sayısı</t>
  </si>
  <si>
    <t>Adı Soyadı</t>
  </si>
  <si>
    <t>Nitelik</t>
  </si>
  <si>
    <t>Karar</t>
  </si>
  <si>
    <t>Onay</t>
  </si>
  <si>
    <t>Düzeltme</t>
  </si>
  <si>
    <t>Kapsam Dışı</t>
  </si>
  <si>
    <t>KAEK</t>
  </si>
  <si>
    <t>51.</t>
  </si>
  <si>
    <t>52.</t>
  </si>
  <si>
    <t>Bireysel Araştırma</t>
  </si>
  <si>
    <t>SBA NUMARASI</t>
  </si>
  <si>
    <t>GERİ ÇEKİLDİ</t>
  </si>
  <si>
    <t>Geri Çekildi</t>
  </si>
  <si>
    <t>Satır Renklendirme Formül: =ÇİFTMİ(SATIR())</t>
  </si>
  <si>
    <t>İki Nokta Üst Üste: @* ":"</t>
  </si>
  <si>
    <t>Sorumlu Araştırmacı Seç: =PARÇAAL(E8;BUL("üyelerinden";E8)+UZUNLUK("üyelerinden");BUL("sorumlu";E8)-BUL("üyelerinden";E8)-UZUNLUK("üyelerinden"))</t>
  </si>
  <si>
    <t>Anabilim Dalı Seç: =PARÇAAL(E9;BUL("Fakültesi";E9)+UZUNLUK("Fakültesi");BUL("öğretim";E9)-BUL("Fakültesi";E9)-UZUNLUK("Fakültesi"))</t>
  </si>
  <si>
    <t>Doç. Dr. Burcu ERSÖZ ALAN</t>
  </si>
  <si>
    <t>Private Sub Worksheet_SelectionChange(ByVal Target As Range)
    Cells.EntireColumn.AutoFit
End Sub</t>
  </si>
  <si>
    <t>GÖRÜŞ</t>
  </si>
  <si>
    <t>Görüş</t>
  </si>
  <si>
    <t>Prof. Dr. Ayşe KİN İŞLER</t>
  </si>
  <si>
    <t>Prof. Dr. Ayşe Nurten AKARSU</t>
  </si>
  <si>
    <t>Üniversitemiz Tıp Fakültesi Ruh Sağlığı ve Hastalıkları Anabilim Dalı öğretim üyelerinden Prof. Dr. Başaran DEMİR’in sorumlu araştırmacı olduğu, Arş. Gör. Dr. Anıl ALP ve Arş. Gör. Dr. Oğuzhan ONAT ile birlikte çalışacakları,</t>
  </si>
  <si>
    <t>Prof. Dr. Yavuz AYHAN</t>
  </si>
  <si>
    <t>Prof. Dr. Gözde GİRGİN</t>
  </si>
  <si>
    <t>Doç. Dr. Ekim GÜMELER</t>
  </si>
  <si>
    <t>Prof. Dr. Nazmiye Ebru ORTAÇ ERSOY</t>
  </si>
  <si>
    <t>Doç. Dr. Tolga ÇAKMAK</t>
  </si>
  <si>
    <t>Doç. Dr. Kübra AYKAÇ</t>
  </si>
  <si>
    <t>Gündem Sayıları</t>
  </si>
  <si>
    <t>Başvuru</t>
  </si>
  <si>
    <t>Dilekçe</t>
  </si>
  <si>
    <t>Toplam</t>
  </si>
  <si>
    <t>Gündem Tarihleri</t>
  </si>
  <si>
    <t>SBA 26/001</t>
  </si>
  <si>
    <t>SBA 26/002</t>
  </si>
  <si>
    <t>SBA 26/003</t>
  </si>
  <si>
    <t>SBA 26/004</t>
  </si>
  <si>
    <t>SBA 26/005</t>
  </si>
  <si>
    <t>SBA 26/006</t>
  </si>
  <si>
    <t>SBA 26/007</t>
  </si>
  <si>
    <t>SBA 26/008</t>
  </si>
  <si>
    <t>SBA 26/009</t>
  </si>
  <si>
    <t>SBA 26/010</t>
  </si>
  <si>
    <t>SBA 26/011</t>
  </si>
  <si>
    <t>SBA 26/012</t>
  </si>
  <si>
    <t>SBA 26/013</t>
  </si>
  <si>
    <t>SBA 26/014</t>
  </si>
  <si>
    <t>SBA 26/015</t>
  </si>
  <si>
    <t>SBA 26/016</t>
  </si>
  <si>
    <t>SBA 26/017</t>
  </si>
  <si>
    <t>SBA 26/018</t>
  </si>
  <si>
    <t>SBA 26/019</t>
  </si>
  <si>
    <t>SBA 26/020</t>
  </si>
  <si>
    <t>SBA 26/021</t>
  </si>
  <si>
    <t>SBA 26/022</t>
  </si>
  <si>
    <t>SBA 26/023</t>
  </si>
  <si>
    <t>SBA 26/024</t>
  </si>
  <si>
    <t>SBA 26/025</t>
  </si>
  <si>
    <t>SBA 26/026</t>
  </si>
  <si>
    <t>SBA 26/027</t>
  </si>
  <si>
    <t>SBA 26/028</t>
  </si>
  <si>
    <t>SBA 26/029</t>
  </si>
  <si>
    <t>SBA 26/030</t>
  </si>
  <si>
    <t>SBA 26/031</t>
  </si>
  <si>
    <t>SBA 26/032</t>
  </si>
  <si>
    <t>SBA 26/033</t>
  </si>
  <si>
    <t>SBA 26/034</t>
  </si>
  <si>
    <t>SBA 26/035</t>
  </si>
  <si>
    <t>SBA 26/036</t>
  </si>
  <si>
    <t>SBA 26/037</t>
  </si>
  <si>
    <t>SBA 26/038</t>
  </si>
  <si>
    <t>SBA 26/039</t>
  </si>
  <si>
    <t>SBA 26/040</t>
  </si>
  <si>
    <t>SBA 26/041</t>
  </si>
  <si>
    <t>SBA 26/042</t>
  </si>
  <si>
    <t>SBA 26/043</t>
  </si>
  <si>
    <t>SBA 26/044</t>
  </si>
  <si>
    <t>SBA 26/045</t>
  </si>
  <si>
    <t>SBA 26/046</t>
  </si>
  <si>
    <t>SBA 26/047</t>
  </si>
  <si>
    <t>SBA 26/048</t>
  </si>
  <si>
    <t>SBA 26/049</t>
  </si>
  <si>
    <t>SBA 26/050</t>
  </si>
  <si>
    <t>SBA 26/051</t>
  </si>
  <si>
    <t>SBA 26/052</t>
  </si>
  <si>
    <t>BAŞVURU TARİHİ</t>
  </si>
  <si>
    <t>2026 GÜNDEM SAYILARI</t>
  </si>
  <si>
    <t>Prof. Dr. Melih Önder BABAOĞLU</t>
  </si>
  <si>
    <t>53.</t>
  </si>
  <si>
    <t>SBA 26/053</t>
  </si>
  <si>
    <t>54.</t>
  </si>
  <si>
    <t>SBA 26/054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</si>
  <si>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</si>
  <si>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</si>
  <si>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</si>
  <si>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</si>
  <si>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</si>
  <si>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</si>
  <si>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</si>
  <si>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</si>
  <si>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</si>
  <si>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</si>
  <si>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</si>
  <si>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</si>
  <si>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</si>
  <si>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</si>
  <si>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</si>
  <si>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</si>
  <si>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</si>
  <si>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</si>
  <si>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</si>
  <si>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</si>
  <si>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</si>
  <si>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</si>
  <si>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</si>
  <si>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</si>
  <si>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</si>
  <si>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</si>
  <si>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</si>
  <si>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</si>
  <si>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</si>
  <si>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</si>
  <si>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</si>
  <si>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</si>
  <si>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</si>
  <si>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</si>
  <si>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</si>
  <si>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</si>
  <si>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</si>
  <si>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</si>
  <si>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</si>
  <si>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</si>
  <si>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</si>
  <si>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</si>
  <si>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</si>
  <si>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</si>
  <si>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</si>
  <si>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</si>
  <si>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</si>
  <si>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</si>
  <si>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</si>
  <si>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</si>
  <si>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</si>
  <si>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</si>
  <si>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</si>
  <si>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</si>
  <si>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</si>
  <si>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</si>
  <si>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</si>
  <si>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</si>
  <si>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</si>
  <si>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</si>
  <si>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</si>
  <si>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</si>
  <si>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</si>
  <si>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</si>
  <si>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</si>
  <si>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</si>
  <si>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</si>
  <si>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</si>
  <si>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</si>
  <si>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</si>
  <si>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</si>
  <si>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</si>
  <si>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</si>
  <si>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</si>
  <si>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</si>
  <si>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</si>
  <si>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</si>
  <si>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</si>
  <si>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</si>
  <si>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</si>
  <si>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</si>
  <si>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</si>
  <si>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</si>
  <si>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</si>
  <si>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</si>
  <si>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</si>
  <si>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</si>
  <si>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</si>
  <si>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</si>
  <si>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</si>
  <si>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</si>
  <si>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</si>
  <si>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</si>
  <si>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</si>
  <si>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</si>
  <si>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</si>
  <si>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</si>
  <si>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</si>
  <si>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</si>
  <si>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</si>
  <si>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</si>
  <si>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</si>
  <si>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</si>
  <si>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</si>
  <si>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</si>
  <si>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</si>
  <si>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</si>
  <si>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</si>
  <si>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</si>
  <si>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</si>
  <si>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</si>
  <si>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</si>
  <si>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</si>
  <si>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</si>
  <si>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</si>
  <si>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</si>
  <si>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</si>
  <si>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</si>
  <si>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</si>
  <si>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</si>
  <si>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</si>
  <si>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</si>
  <si>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</si>
  <si>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</si>
  <si>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</si>
  <si>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</si>
  <si>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</si>
  <si>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</si>
  <si>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</si>
  <si>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</si>
  <si>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</si>
  <si>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</si>
  <si>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</si>
  <si>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</si>
  <si>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</si>
  <si>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</si>
  <si>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</si>
  <si>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</si>
  <si>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</si>
  <si>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</si>
  <si>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</si>
  <si>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</si>
  <si>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</si>
  <si>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</si>
  <si>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</si>
  <si>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</si>
  <si>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RET</t>
  </si>
  <si>
    <t>Ret</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</si>
  <si>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</si>
  <si>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</si>
  <si>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</si>
  <si>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</si>
  <si>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“Akciğer Grafisinde Kardiyomegali Değerlendirmesinde Yapay Zeka: Bulguların Toraks BT Bulgulan ile Karşılaştırılması”</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</si>
  <si>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</si>
  <si>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</si>
  <si>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</si>
  <si>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</si>
  <si>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“Hastanede Oral ve Enteral Nütrisyon Ürünlerinin Erişilebilirliği ve Reçeleme Pratikleri: Retrospektif Gözlemsel Çalışma”</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</si>
  <si>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</si>
  <si>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</si>
  <si>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“Hacettepe Üniversitesi Tıp Fakültesi Hastanesinde Görev Yapan Asistan Hekimlerin Doğal Afet Farkındalığı ve Afetlere Hazırlık Düzeylerinin Değerlendirilmesi ”</t>
  </si>
  <si>
    <t>“Ergenlerde Akran Zorbalığının Özerklik, Kimlik Özellikleri ve Bağlanma ile İlişkisi”</t>
  </si>
  <si>
    <t>“Apikal Periyodontitis Etiyopatogenezinde İnflamatuar Sitokin Polimorfizmleri -Mikrobiyom İlişkisinin Araştırılması”</t>
  </si>
  <si>
    <t>“Poliarteritis Nodoza (PAN) Hastalarında Organ Tutulum Paternlerinin Latent Sınıf ve Faktör Analizi ile Değerlendirilmesi (Evaluation of Organ Involvement Patterns in Patients With Polyarteritis Nodosa Using Latent Classand Factor Analysis)</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</si>
  <si>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</si>
  <si>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</si>
  <si>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“Acil Tıp Uzmanlık Eğitiminde Ölümcül Göğüs Ağrısı Tanılarında Seprit Konkordans Test Oluşturmak için Büyük Dil Modellerinden ChatGPT ve Claude'nin Kullanılması”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</si>
  <si>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</si>
  <si>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</si>
  <si>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“Sülfonamid Türeyi İlaçlara Bağlı Aşırı Duyarlılık Reaksiyonlarında Klinik Sonuçlar”</t>
  </si>
  <si>
    <t>“Herediter Anjioödem Hastalarının Hastalık Farkındalığı ve Karşılanmamış İhtiyaçların Değerlendirilmesi ”</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</si>
  <si>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</si>
  <si>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</si>
  <si>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</si>
  <si>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</si>
  <si>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</si>
  <si>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</si>
  <si>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</si>
  <si>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</si>
  <si>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“Sağlık Hizmetlerinde Aşırı Kullanım Algısı: Nedenleri, Sonuçları ve Hekime Güven ile İlişkisinin Hasta Perspektifinden Değerlendirilmesi”</t>
  </si>
  <si>
    <t>“Ekran Bağımlılığı ile İnflamasyon İlişkisi”</t>
  </si>
  <si>
    <t>“Maksiller Sinüs Lift Cerrahisinin Komşu Dişlerin Pulpa Vitalitesi Üzerine Etkisinin Elektriksel ve Termal Testlerle Değerlendirilmesi”</t>
  </si>
  <si>
    <t>“Kawasaki Hastalığının Viral Enfeksiyonlar ve Hava Kirliliği ile İlişkisi”</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</si>
  <si>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</si>
  <si>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</si>
  <si>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</si>
  <si>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</si>
  <si>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“Eskrim Sporcularında Diz ve Omuz Eklemi Ultrasonografik Parametrelerinin Değerlendirilmesi"</t>
  </si>
  <si>
    <t>“Aksiyel Spondiloartritli Hastalarda Fiziksel Aktiviteyi Değerlendirmek İçin Türkçeleştirilen mSQUASH Anketinin Validasyonu”</t>
  </si>
  <si>
    <t>Dr. Vet. Hek. Özgür Doğuş EROL DUYAR</t>
  </si>
  <si>
    <t>Sağlık Bilimleri Enstitüsü</t>
  </si>
  <si>
    <t>Prof. Dr. Esra BİRBEN</t>
  </si>
  <si>
    <t>Moleküler Biyoloji Anabilim Dalı</t>
  </si>
  <si>
    <t>Doç. Dr. Gamze DURHAN</t>
  </si>
  <si>
    <t>Radyoloji Anabilim Dalı</t>
  </si>
  <si>
    <t>Prof. Dr. Bayram ŞAHİN</t>
  </si>
  <si>
    <t>Lokman Hekim Üniversitesi
Sağlık Hizmetleri Meslek Yüksekokulu</t>
  </si>
  <si>
    <t>Prof. Dr. Ömür ÇELİKBIÇAK</t>
  </si>
  <si>
    <t>Fizikokimya Anabilim Dalı</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</si>
  <si>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</si>
  <si>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</si>
  <si>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</si>
  <si>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</si>
  <si>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Doç. Dr. Ayhan EYMİRLİ</t>
  </si>
  <si>
    <t>Endodonti Anabilim Dalı</t>
  </si>
  <si>
    <t>Doç. Dr. Nursel ÇALIK BAŞARAN</t>
  </si>
  <si>
    <t>Üniversitemiz Tıp Fakültesi İç Hastalıkları Anabilim Dalı öğretim üyelerinden Doç. Dr. Nursel Çalık BAŞARAN’ın sorumlu araştırmacı olduğu,  Arş. Gör. Dr. Ahmet Burak ARSLAN’ın uzmanlık tezi olan,</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</si>
  <si>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</si>
  <si>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Öğr. Gör. Dr. Buket KILIÇ</t>
  </si>
  <si>
    <t>Çocuk ve Ergen Ruh Sağlığı ve Hastalıkları Anabilim Dalı</t>
  </si>
  <si>
    <t>Prof. Dr. Yakut AKYÖN YILMAZ</t>
  </si>
  <si>
    <t>Tıbbi Mikrobiyoloji Anabilim Dalı</t>
  </si>
  <si>
    <t>Prof. Dr. Ömer KARADAĞ</t>
  </si>
  <si>
    <t>Üniversitemiz Tıp Fakültesi İç Hastalıkları Anabilim Dalı öğretim üyelerinden Prof. Dr. Ömer KARADAĞ’ın sorumlu araştırmacı olduğu, Arş. Gör. Dr. Büşra FIRLATAN YAZGAN ile birlikte çalışacakları,</t>
  </si>
  <si>
    <t>Prof. Dr. N. Dilara ZEYBEK</t>
  </si>
  <si>
    <t>Histoloji ve Embriyoloji Anabilim Dalı</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</si>
  <si>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</si>
  <si>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</si>
  <si>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</si>
  <si>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Dr. Öğr. Üyesi Yiğitcan KARANFİL</t>
  </si>
  <si>
    <t>Spor Hekimliği Anabilim Dalı</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</si>
  <si>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</si>
  <si>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</si>
  <si>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</si>
  <si>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</si>
  <si>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</si>
  <si>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Anesteziyoloji ve Reanimasyon Anabilim Dalı</t>
  </si>
  <si>
    <t>Prof. Dr. Banu KILIÇASLAN</t>
  </si>
  <si>
    <t>Doç. Dr. Ulaş KUMBASAR</t>
  </si>
  <si>
    <t>Dr. Öğr. Üyesi Figen BEZCİ AYGÜN</t>
  </si>
  <si>
    <t>Göğüs Cerrahisi Anabilim Dalı</t>
  </si>
  <si>
    <t>Göz Hastalıkları Anabilim Dalı</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</si>
  <si>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</si>
  <si>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</si>
  <si>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</si>
  <si>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Üniversitemiz Tıp Fakültesi Çocuk ve Ergen Ruh Sağlığı ve Hastalıkları Anabilim Dalı öğretim üyelerinden Doç. Dr. Dilek ÜNAL’ın sorumlu araştırmacı olduğu, Arş. Gör. Dr. Beray BAHAR'ın uzmanlık tezi olan,</t>
  </si>
  <si>
    <t>Doç. Dr. Dilek ÜNAL</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</si>
  <si>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</si>
  <si>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</si>
  <si>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</si>
  <si>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</si>
  <si>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</si>
  <si>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</si>
  <si>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Dr. Öğr. Üyesi Gonca ÖZTEN</t>
  </si>
  <si>
    <t>Kadın Hastalıkları ve Doğum Anabilim Dalı</t>
  </si>
  <si>
    <t>Prof. Dr. Hikmet YORGUN</t>
  </si>
  <si>
    <t>Kardiyoloji Anabilim Dalı</t>
  </si>
  <si>
    <t>Üniversitemiz Tıp Fakültesi Spor Hekimliği Anabilim Dalı öğretim üyelerinden Dr. Öğr. Üyesi Yiğitcan KARANFİL'in sorumlu araştırmacı olduğu, Arş. Gör. Dr. Batuhan Erhan AKTAŞ ile birlikte çalışacakları,</t>
  </si>
  <si>
    <t>Doç. Dr. Levent KILIÇ</t>
  </si>
  <si>
    <t>Üniversitemiz Tıp Fakültesi İç Hastalıkları Anabilim Dalı öğretim üyelerinden Doç. Dr. Levent KILIÇ’ın sorumlu araştırmacı olduğu, Arş. Gör. Dr. Buğu BULAT ile birlikte çalışacakları,</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</si>
  <si>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</si>
  <si>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</si>
  <si>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Prof. Dr. Kudret AYTEMİR</t>
  </si>
  <si>
    <t>SBA 25/072</t>
  </si>
  <si>
    <t>Dr. Öğr. Üyesi Irmak OCAK</t>
  </si>
  <si>
    <t>Ortodonti Anabilim Dalı</t>
  </si>
  <si>
    <t>“Midpalatal Sütur Olgunlaşmasının Değerlendirilmesinde Yeni Bir Metot”</t>
  </si>
  <si>
    <t>SBA 25/073</t>
  </si>
  <si>
    <t>Dr. Öğr. Üyesi Cem VARAN</t>
  </si>
  <si>
    <t>“Beyin Tümörünün Postoperatif Tedavisinde Antikanser/Antianjiogenik İlaç ve Kök Hücre İçeren, 3B Yazıcı ile Kişiselleştirilebilir İmplantların Geliştirilmesi ve İnvitro/İnvivo Değerlendirilmesi”</t>
  </si>
  <si>
    <t>SBA 25/074</t>
  </si>
  <si>
    <t>Prof. Dr. Meryem Aslı TUNCER</t>
  </si>
  <si>
    <t>“Multipl Skleroz Tanılı Hastalarda Telomer Uzunluğu Analizi: Prognoz, Klinik Fenotip, Dizabilite ve Manyetik Rezonans Görüntüleme Beyin Volüm Değişiklikleri ile İlişkisi”</t>
  </si>
  <si>
    <t>SBA 25/075</t>
  </si>
  <si>
    <t>Prof. Dr. Sibel DOĞAN GÜNAYDIN</t>
  </si>
  <si>
    <t>Deri ve Zührevi Hastalıklar Anabilim Dalı</t>
  </si>
  <si>
    <t>“Psoriatik Tırnak Bulgularının İncelenmesi ve Psoriatik Artrit ile İlişkisi”</t>
  </si>
  <si>
    <t>SBA 25/076</t>
  </si>
  <si>
    <t>Prof. Dr. Ömer Alper GÜRLEK</t>
  </si>
  <si>
    <t>“IL-1 İnhibitörü Tedavisi ve Kolşisin Tedavisi Alan Ailevi Akdeniz Ateşi Hastalarında Kemik Dönüşüm Belirteçlerinin Karşılaştırılması”</t>
  </si>
  <si>
    <t>SBA 25/077</t>
  </si>
  <si>
    <t>Prof. Dr. Sercan AKSOY</t>
  </si>
  <si>
    <t>“Triple Negatif Meme Kanseri Tanılı Hastaların Klinik Özellikleri ve Tedavi Sonuçlarının İncelenmesi”</t>
  </si>
  <si>
    <t>SBA 25/078</t>
  </si>
  <si>
    <t>Doç. Dr. İzzet FİDANCI</t>
  </si>
  <si>
    <t>“WaLIDD Skorunun Türkçe Geçerlik ve Güvenirlik Çalışması”</t>
  </si>
  <si>
    <t>SBA 25/079</t>
  </si>
  <si>
    <t>Prof. Dr. Zeynep Alev ÖZÖN</t>
  </si>
  <si>
    <t>“Ulusal Yenidoğan Tarama Programı ile Konjenital Hipotiroidi Tanısı Alarak İzlemde Geçici ve Kalıcı Konjenital Hipotiroidi Tanımlanan Olguların Retrospektif Değerlendirmesi"</t>
  </si>
  <si>
    <t>SBA 25/080</t>
  </si>
  <si>
    <t>Prof. Dr. Alp ÇETİN</t>
  </si>
  <si>
    <t>“Fibromiyalji Tanılı Hastalarda İstenilen Görüntüleme Yöntemleri ile Geçirilmiş Cerrahi Operasyonların Sıklığı"</t>
  </si>
  <si>
    <t>SBA 25/081</t>
  </si>
  <si>
    <t>Prof. Dr. Elmas Nazlı GÖNÇ</t>
  </si>
  <si>
    <t>“Üçüncü Basamak Sağlık Merkezinde Pediatrik Osteoporoz Olgularının Etiyolojik Dağılımı, Klinik ve Laboratuvar Özellikleri”</t>
  </si>
  <si>
    <t>SBA 25/082</t>
  </si>
  <si>
    <t>Doç. Dr. Filiz ÜZÜMCÜGİL</t>
  </si>
  <si>
    <t>“Pediatrik Brakiosefalik Ven Kateterizasyonlarının Komplikasyonlar Açısından Retrospektif Olarak İncelenmesi”</t>
  </si>
  <si>
    <t>SBA 25/083</t>
  </si>
  <si>
    <t>Dr. Öğr. Üyesi Gizem ERBAŞ ÜNVERDİ</t>
  </si>
  <si>
    <t>“İyon Salan Restoratif Dental Malzemelerin Bazı Mekanik Özellikler ve Mikrosızıntı Açısından İn-Vitro Olarak Değerlendirilmesi”</t>
  </si>
  <si>
    <t>SBA 25/084</t>
  </si>
  <si>
    <t>Prof. Dr. Yasemin BAYAZIT</t>
  </si>
  <si>
    <t>“Glutatyon S Transferaz P1 Enziminin Triple-Negatif Meme Kanser Hücrelerinde Ferroptoz Üzerindeki Rolünün İncelenmesi”</t>
  </si>
  <si>
    <t>SBA 25/085</t>
  </si>
  <si>
    <t>Arş. Gör. Dr. Hatice Ceren İSKENDER</t>
  </si>
  <si>
    <t>"Tip I Diyabet Tanısı Olan Çocukların Sağlıkta Baba Katılımlarının Değerlendirilmesi"</t>
  </si>
  <si>
    <t>SBA 25/086</t>
  </si>
  <si>
    <t>Prof. Dr. Yahya BÜYÜKAŞIK</t>
  </si>
  <si>
    <t>“Kronik Myeloid Lösemi Blastik Faz Hastalarının Tek Merkezden Gerçek Yaşam Verileriyle Retrospektif İncelenmesi”</t>
  </si>
  <si>
    <t>SBA 25/087</t>
  </si>
  <si>
    <t>Dr. Öğr. Üyesi Berna ÇELİK ERTAŞ</t>
  </si>
  <si>
    <t>“Çocukluk Çağı Eksojen Obezite Tedavisinde Yaşam Tarzı Değişikliği Önerilerinin Etkinliğinin İncelenmesi”</t>
  </si>
  <si>
    <t>SBA 25/088</t>
  </si>
  <si>
    <t>Prof. Dr. Nuray BAYRAKÇI</t>
  </si>
  <si>
    <t>“Bifosfonat Kullanan Hastalarda İlaca Bağlı Olarak Çenelerde Görülen Osteonekrozun Etyopatogenezinde Otofaji, Apoptoz ve Nekrozun Rolü”</t>
  </si>
  <si>
    <t>SBA 25/089</t>
  </si>
  <si>
    <t>Prof. Dr. Nilgün SAYINALP</t>
  </si>
  <si>
    <t>"Kronik Lenfositik Lösemi Hastalarında Ekstrameduller Tutulumunun Prognostik, Klinik, Laboratuvar, Tedavi Yanıtı Açısından Değerlendirmesi"</t>
  </si>
  <si>
    <t>SBA 25/090</t>
  </si>
  <si>
    <t>Prof. Dr. İbrahim Celalettin HAZNEDAROĞLU</t>
  </si>
  <si>
    <t>“Kronik Myeloid Lösemi Hastalarının Klinik, Prognostik, Sağkalım ve Tedavilerinin Değerlendirilmesi”</t>
  </si>
  <si>
    <t>SBA 25/091</t>
  </si>
  <si>
    <t>Doç. Dr. Ümit Yavuz MALKAN</t>
  </si>
  <si>
    <t>“Akut Myeloid Lösemi Hastalarında Konsolidasyon Tedavisinde Kullanılan Sitarabin Doz Yoğunluğunun Hastalığın Prognozu ve Sağkalımı Üzerine Etkisi”</t>
  </si>
  <si>
    <t>SBA 25/092</t>
  </si>
  <si>
    <t>Doç. Dr. Derman BAŞARAN</t>
  </si>
  <si>
    <t>“Fertilite Koruyucu Tedavi Uygulanan Endometrium Kanseri ve Endometrial İntraepitelyal Neoplazi Tanılı Hastalarda Moleküler Sınıflandırmanın Prognoza Etkisi”</t>
  </si>
  <si>
    <t>SBA 25/093</t>
  </si>
  <si>
    <t>Prof. Dr. Dilşad FOTO ÖZDEMİR</t>
  </si>
  <si>
    <t>“Özgül Öğrenme Bozukluğu ve Dikkat Eksikliği Hiperaktivite Bozukluğu Komorbiditesi Olan Çocuklarda Okuma-Yazma Performansının Yönetici İşlevler, Nörobilişsel Profil ve İşlevsellik ile İlişkisinin İncelenmesi”</t>
  </si>
  <si>
    <t>SBA 25/094</t>
  </si>
  <si>
    <t>Prof. Dr. Hatice Nursun ÖZCAN</t>
  </si>
  <si>
    <t>“Pediatrik Akciğer Enfeksiyonlarında Toraks BT Bulgularının Klinik Verilerle Birleştirilmesi Sonucunda Mantar ve Diğer Etkenlerin Derin Öğrenme ve Makine Öğrenmesi Yöntemleriyle Erken Dönemde Ayırt Edilmesi”</t>
  </si>
  <si>
    <t>SBA 25/095</t>
  </si>
  <si>
    <t>Arş. Gör. Dr. Nihat Şükrü ÖZGÖREN</t>
  </si>
  <si>
    <t>“İnsan Hareketinin Biyomekanik Analizi İçin Bilgisayar Benzeşim Modeli Geliştirilmesi”</t>
  </si>
  <si>
    <t>SBA 25/096</t>
  </si>
  <si>
    <t>Arş. Gör. Dt. Tülin TAŞDEMİR</t>
  </si>
  <si>
    <t>“Amelogenezis İmperfectalı Hastaların Mandibula Kemik Yapısının Fraktal Analizi”</t>
  </si>
  <si>
    <t>SBA 25/097</t>
  </si>
  <si>
    <t>Prof. Dr. Salih Kutay DEMİRKAN</t>
  </si>
  <si>
    <t>“Göğüs Hastalıkları Hekimlerinin Kistik Fibrozis Transmembran Düzenleyici (KFTR) Modülatör Tedaviler-İlaç Etkileşimleri Hakkında Bilgi ve Tutumlarının Değerlendirilmesi"</t>
  </si>
  <si>
    <t>SBA 25/098</t>
  </si>
  <si>
    <t>Prof. Dr. Meryem UZAMIŞ TEKÇİÇEK</t>
  </si>
  <si>
    <t>Osteogenezis İmperfekta Hastalarında Ağız Diş Sağlığı Durumunun Değerlendirilmesi</t>
  </si>
  <si>
    <t>SBA 25/099</t>
  </si>
  <si>
    <t>Doç. Dr. Duygu AYHAN BAŞER</t>
  </si>
  <si>
    <t>“Çalışan Kadın Sağlığı: Genel Sağlık, Koruyucu Sağlık Hizmetlerinden Faydalanma ve İş-Yaşam Dengesi Durumları”</t>
  </si>
  <si>
    <t>SBA 25/100</t>
  </si>
  <si>
    <t>“65 Yaş ve Üzeri Tip 2 Diabetes Mellituslu Bireylerde İlaç Kullanım Uygunluğunun Retrospektif Değerlendirilmesi”</t>
  </si>
  <si>
    <t>SBA 25/101</t>
  </si>
  <si>
    <t>“Hacettepe Üniversitesi Erişkin Hastanesi İç Hastalıkları Servislerinde İstem Dışı Kilo Kaybı Nedeni ile Yatırılmış Hastalarda Tetkik Süreçlerinin ve Etiyoloji Dağılımlarının Retrospektif İncelenmesi”</t>
  </si>
  <si>
    <t>SBA 25/102</t>
  </si>
  <si>
    <t>“Akut Lösemi Hastalarında Tanı Öncesi Kan Değerlerinin Etkinliği”</t>
  </si>
  <si>
    <t>SBA 25/103</t>
  </si>
  <si>
    <t>Prof. Dr. Salih AKSU</t>
  </si>
  <si>
    <t>“Relaps/ Refrakter Akut Myeloid Lösemi Hastalarında Reindüksiyonda Venetoklaks İçeren Tedavi Rejimlerinin Diğer Tedavilerle Karşılaştırılması”</t>
  </si>
  <si>
    <t>SBA 25/104</t>
  </si>
  <si>
    <t>Prof. Dr. Ferah YILDIZ</t>
  </si>
  <si>
    <t>“Distal-Orta Yerleşimli Lokal İleri Evre Rektum Adenokanser Tanılı Hastalarda Radyoterapi Müdahalelerinin Patolojik ve Klinik Tümör Yanıt Oranlarına Etkisinin Araştırılması”</t>
  </si>
  <si>
    <t>SBA 25/105</t>
  </si>
  <si>
    <t>Doç. Dr. Halide Özge BAŞARAN</t>
  </si>
  <si>
    <t>''Kawasaki Hastalığı Tanısı Koymaya Yardımcı Yapay Zeka Modeli 'Galadriel'in Tanı Koyma Başarısının Retrospektif Değerlendirilmesi''</t>
  </si>
  <si>
    <t>SBA 25/106</t>
  </si>
  <si>
    <t>''Çocukluk Çağı Sistemik Lupus Eritematozus Tanısı Koymaya Yardımcı Yapay Zeka Modeli 'Morgaf''ın Tanı Koyma Başarısının Retrospektif Değerlendirilmesi''</t>
  </si>
  <si>
    <t>SBA 25/107</t>
  </si>
  <si>
    <t>Doç. Dr. Erdal SAĞ</t>
  </si>
  <si>
    <t>“Çocukluk Çağı İnflamatuvar Doku Hastalıkları Tanılı Çocuk ve Ergenlerde Yaşam Kalitesi ve İlişkili Faktörlerin Değerlendirilmesi”</t>
  </si>
  <si>
    <t>SBA 25/108</t>
  </si>
  <si>
    <t>“Çocukluk Çağı Otoimmün Romatolojik Hastalıklar Tanılı Çocuk ve Ergenlerde Yaşam Kalitesi ve İlişkili Faktörlerin Değerlendirilmesi”</t>
  </si>
  <si>
    <t>SBA 25/109</t>
  </si>
  <si>
    <t>“Ergenlerde Dijital Bağımlılık Düzeyleri ile Yaşam Tarzı İnancı Arasındaki İlişkinin İncelenmesi: Bir Aile Sağlığı Merkezi Örneği”</t>
  </si>
  <si>
    <t>SBA 25/110</t>
  </si>
  <si>
    <t>Prof. Dr. Çağrı Mesut TEMUÇİN</t>
  </si>
  <si>
    <t>"Referans Merkezi Servikal Distoni Botulinum Toksin Uygulamaları Değerlendirmesi"</t>
  </si>
  <si>
    <t>SBA 25/111</t>
  </si>
  <si>
    <t>"Motor İletim Blokları Parametrelerinin Retrospektif Olarak Analizi"</t>
  </si>
  <si>
    <t>SBA 25/112</t>
  </si>
  <si>
    <t>Prof. Dr. Burcu Balam DOĞU</t>
  </si>
  <si>
    <t>“Geriatri Eğitimi, Uzmanlık Alanı ve Sosyo-Demografik Faktörlerin Geriatrik Hasta Yaklaşımına Etkisi:Türkiye'deki Uzman Doktorlar Arasında Çok Yönlü Bir Analiz”</t>
  </si>
  <si>
    <t>SBA 25/113</t>
  </si>
  <si>
    <t>“Sınıf II Malokluzyona Sahip Bireylerde Temporomandibular Eklem Bozukluklarının Panoramik Radyografiler Kullanılarak Yapay Zeka ile Teşhisi”</t>
  </si>
  <si>
    <t>SBA 25/114</t>
  </si>
  <si>
    <t>Dr. Öğr. Üyesi Serkan UYSAL</t>
  </si>
  <si>
    <t>“Mesleksel ve Çevresel İç Ortam Hava Kirleticileri ile Akciğer Adenokarsinomu Arasındaki İlişkinin Biyolojik Kanıtlar ile Değerlendirilmesi”</t>
  </si>
  <si>
    <t>SBA 25/115</t>
  </si>
  <si>
    <t>Doç. Dr. Serpil ÖCAL</t>
  </si>
  <si>
    <t>“Kronik Karaciğer Hastalarında Sarkopeninin Non-İnvaziv Yöntemlerle Değerlendirilmesi ve Sarkopenin Uzun Dönem Morbidite ve Mortaliteye Etkisi”</t>
  </si>
  <si>
    <t>SBA 25/116</t>
  </si>
  <si>
    <t>Doç. Dr. Ahmet Çağkan İNKAYA</t>
  </si>
  <si>
    <t>“Noninvazif Pulmoner Aspergillozis ve Allerjik Bronkopulmoner Aspergillozis Tanılı Kistik Fibrozis Hastalarında Vorikonazol Serum Düzeyi Ölçümünün Tedaviye Katkısı”</t>
  </si>
  <si>
    <t>SBA 25/117</t>
  </si>
  <si>
    <t>“Primer İntratorasik Nörojenik Tümörlere Multidisipliner Yaklaşım”</t>
  </si>
  <si>
    <t>SBA 25/118</t>
  </si>
  <si>
    <t>Prof. Dr. Uğur ÜNLÜTÜRK</t>
  </si>
  <si>
    <t>“Papiller Tiroid Kanseri Tanısında Prediktif Değeri Olan Moleküllerin Tespit Edilmesi”</t>
  </si>
  <si>
    <t>SBA 25/119</t>
  </si>
  <si>
    <t>Prof. Dr. Hakan GÖKER</t>
  </si>
  <si>
    <t>“Allojenik Kök Hücre Nakli Yapılan Hastalarda Sitomegalovirüs Reaktivasyonu Sıklığının Risk Faktörlerinin ve Sağ Kalıma Etkisinin Retrospektif Değerlendirilmesi”</t>
  </si>
  <si>
    <t>SBA 25/120</t>
  </si>
  <si>
    <t>“Hız Temelli Antrenmanın Aktivasyon Sonrası Performans Artışına Etkisinin Sirkadiyen Ritme göre İncelenmesi”</t>
  </si>
  <si>
    <t>SBA 25/121</t>
  </si>
  <si>
    <t>Doç. Dr. Saliha ESENBOĞA</t>
  </si>
  <si>
    <t>“Oral İmmunoglobulin Replasmanı Almış Olan Primer İmmün Yetmezlik Hastalarının Demografik, Klinik ve Laboratuvar Özelliklerinin Değerlendirilmesi”</t>
  </si>
  <si>
    <t>SBA 25/122</t>
  </si>
  <si>
    <t>Dr. Öğr. Üyesi Gamze VARAN</t>
  </si>
  <si>
    <t>“Antimikrobiyal Dirençle Mücadeleye Yönelik Nanopartiküler Aşı Formülasyonlarının Geliştirilmesi”</t>
  </si>
  <si>
    <t>SBA 25/123</t>
  </si>
  <si>
    <t>Prof. Dr. Okan Bülent YILDIZ</t>
  </si>
  <si>
    <t>“Polikistik Over Sendromlu Hastaların Açlık ve Tokluk Durumunda Beyin Fonksiyonel Durum Değişiminin İnkretin Hormonlarla İlişkisinin İncelenmesi ve Sağlıklı Gönüllüler ile Karşılaştırılması”</t>
  </si>
  <si>
    <t>SBA 25/124</t>
  </si>
  <si>
    <t>Doç. Dr. Göksel GÜVEN</t>
  </si>
  <si>
    <t>“Kritik Hastalarda Yatak Başında Nabız Basıncı Değerlendirmesi Strok Volümdeki Düşük Değerleri Tespit Edebilir mi veya Değişiklikleri Takip Edebilir mi? Çok Merkezli, Kesitsel, Gözlemsel ANDROMEDA-PEGASUS Çalışması”</t>
  </si>
  <si>
    <t>SBA 25/125</t>
  </si>
  <si>
    <t>Prof. Dr. Ali Bülent CENGİZ</t>
  </si>
  <si>
    <t>“Preseptal, Orbital ve Bukkal Sellülit Nedeniyle Hastanede Yatan Çocukların Değerlendirilmesi”</t>
  </si>
  <si>
    <t>SBA 25/126</t>
  </si>
  <si>
    <t>Prof. Dr. Yasemin ÖZSÜREKCİ</t>
  </si>
  <si>
    <t>“Çocuk Hastalarda Kombine Antibiyotik Tedavilerinin Yan Etkilerinin Retrospektif Olarak İncelenmesi”</t>
  </si>
  <si>
    <t>SBA 25/127</t>
  </si>
  <si>
    <t>“Kistik Hava Boşlukları ile İlişkili Akciğer Kanseri: Klinik, RadyolojikVe Patolojik Özellikler”</t>
  </si>
  <si>
    <t>SBA 25/128</t>
  </si>
  <si>
    <t>Dr. Öğr. Üyesi Arif Mithat AMCA</t>
  </si>
  <si>
    <t>“Artistik Buz Pateninde Başarılı ve Başarısız Salchow Sıçrayışlarının Kinematik Analizi”</t>
  </si>
  <si>
    <t>SBA 25/129</t>
  </si>
  <si>
    <t>Prof. Dr. Tahir HAZIR</t>
  </si>
  <si>
    <t>“Yön Değiştirme Mesafesine Göre 5-0-5 Testinin Geçerliliği ve Alt Ekstremite Kuvveti ile İlişkisi”</t>
  </si>
  <si>
    <t>SBA 25/130</t>
  </si>
  <si>
    <t>Prof. Dr. Deniz ÇAĞDAŞ AYVAZ</t>
  </si>
  <si>
    <t>“Ataksi-Telanjiektazi Hastalığının Patogenezinin Moleküler Boyutta Sistemik Analizi”</t>
  </si>
  <si>
    <t>SBA 25/131</t>
  </si>
  <si>
    <t>"Adipozite İlişkili Ateroskleroz Patogenezinde Rol Oynayan Periferik Mononükleer Hücrelerdeki İnflamasyon Yolaklarının Belirlenmesi"</t>
  </si>
  <si>
    <t>SBA 25/132</t>
  </si>
  <si>
    <t>Prof. Dr. Dilek YALNIZOĞLU</t>
  </si>
  <si>
    <t>“Yenidoğan Yoğun Bakım Ünitesinde Sürekli Elektroensefalografi ile Değerlendirilmiş Olan Kritik Hastaların Sonuçlarının İncelenmesi”</t>
  </si>
  <si>
    <t>SBA 25/133</t>
  </si>
  <si>
    <t>“Çocuk Yoğun Bakım Servisinde Sürekli Elektroensefalografi ile Değerlendirilmiş Olan Kritik Hastaların Sonuçlarının İncelenmesi”</t>
  </si>
  <si>
    <t>SBA 25/134</t>
  </si>
  <si>
    <t>Prof. Dr. Bora PEYNİRCİOĞLU</t>
  </si>
  <si>
    <t>“Konservatif Tedaviye Dirençli Periartiküler Kas İskelet Sistemi Hastalıklarında Fonksiyon Kısıtlayıcı Semptomların Transarteryal Periartiküler Embolizasyonu (TAPE) Tedavisi Sonrası Yanıt Değerlendirilmesi”</t>
  </si>
  <si>
    <t>SBA 25/135</t>
  </si>
  <si>
    <t>Prof. Dr. Şevkiye Selin AYTAÇ EYÜPOĞLU</t>
  </si>
  <si>
    <t>“ALL BFM IC 2009 Protokolü ile Tedavi Edilen Akut Lenfoblastik Lösemili Çocuk Hastalarda Yaşam Süresi Analizi"</t>
  </si>
  <si>
    <t>SBA 25/136</t>
  </si>
  <si>
    <t>Prof. Dr. Arzu TOPELİ İSKİT</t>
  </si>
  <si>
    <t>“Yoğun Bakmda Hizmet veren Hekim Hemşire ve Klinik Eczacıların İntravenöz Sıvı Tedavisi Hakkında Bilgi ve Tutumlarının Değerlendirilmesi”</t>
  </si>
  <si>
    <t>SBA 25/137</t>
  </si>
  <si>
    <t>Dr. Öğr. Üyesi Onur KOÇ</t>
  </si>
  <si>
    <t>“Hastalarda Var Olan Uyku Bozukluklarının Diş Çekimi Sonrası Rahatsızlıklara Olan Etkisinin İncelenmesi”</t>
  </si>
  <si>
    <t>SBA 25/138</t>
  </si>
  <si>
    <t>“Ağız, Diş ve Çene Cerrahisi Alanında Yapay Zekâ Destekli Teknolojilere Yönelik Hasta İlgi ve Bilgi Seviyesi: Anket Çalışması”</t>
  </si>
  <si>
    <t>SBA 25/139</t>
  </si>
  <si>
    <t>Dr. Öğr. Üyesi Burak TAŞTEKİN</t>
  </si>
  <si>
    <t>“Demiryolu ile İlişkili Ölümlerin Değerlendirilmesi: Bölgesel Bir Otopsi Çalışması”</t>
  </si>
  <si>
    <t>SBA 25/140</t>
  </si>
  <si>
    <t>“Ankara Bölgesinde 2014-2023 Yılları Arasında Otopsisi Yapılmış Elektrik Akımına Bağlı Ölüm Olgularının Değerlendirilmesi”</t>
  </si>
  <si>
    <t>SBA 25/141</t>
  </si>
  <si>
    <t>“Ankara Bölgesinde Otopsisi Yapılmış İkili Ölüm Olgularının Değerlendirilmesi”</t>
  </si>
  <si>
    <t>SBA 25/142</t>
  </si>
  <si>
    <t>Doç. Dr. Deniz ATEŞ ÖZDEMİR</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</si>
  <si>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</si>
  <si>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SBA 25/143</t>
  </si>
  <si>
    <t>Dr. Öğr. Üyesi Emre KARA</t>
  </si>
  <si>
    <t>“Teikoplanin Terapötik İlaç Düzey İzlemi: Tek Merkezli Retrospektif Analiz”</t>
  </si>
  <si>
    <t>SBA 25/144</t>
  </si>
  <si>
    <t>“Uzun Süren Nötropeniye Bağlı Ciddi Enfeksiyon Olan Hastalarda Granülosit Transfüzyonu Tedavisinin Değerlendirilmesi”</t>
  </si>
  <si>
    <t>SBA 25/145</t>
  </si>
  <si>
    <t>“Yetişkin Hemofili A ve B Hastaları ile Aile Üyesi Bakım Verenlerde Yaşam Kalitesi ve Bakım Yükü”</t>
  </si>
  <si>
    <t>SBA 25/146</t>
  </si>
  <si>
    <t>“Orak Hücreli Anemi Hastalarının Kanama ve Tromboz Sıklıkları ile Klinik Özelliklerinin ve Tedavi Yöntemlerinin İncelenmesi”</t>
  </si>
  <si>
    <t>SBA 25/147</t>
  </si>
  <si>
    <t>Prof. Dr. Emirhan NEMUTLU</t>
  </si>
  <si>
    <t>“Mitokondriyal Hastalıklarda Mitokondri Fonksiyon Bozukluğunun Çoklu-Omik Platformları ile Değerlendirilmesi ve Girişimsel Olmayan Yeni Tanı ve İzlem Yöntemlerinin Geliştirilmesi”</t>
  </si>
  <si>
    <t>SBA 25/148</t>
  </si>
  <si>
    <t>“Mekanik Aort ve Mitral Kapak Protezi Bulunan Hastalarda Ventriküler Taşikardi Ablasyonunda Sol Ventriküle Transapikal ve Trans-Sağ Atriyal Erişimin Etkinliği ve Sonuçları”</t>
  </si>
  <si>
    <t>SBA 25/149</t>
  </si>
  <si>
    <t>Prof. Dr. Fadime İrsel TEZER FİLİK</t>
  </si>
  <si>
    <t>“Subkortikal Bant Heterotopisi: Klinik Özellikler ve Epilepsi Yükü”</t>
  </si>
  <si>
    <t>SBA 25/150</t>
  </si>
  <si>
    <t>Prof. Dr. Egemen TURHAN</t>
  </si>
  <si>
    <t>“Standart AP ve Lateral Diz Grafilerinin Değerlendirilmesi ve Radyolojik Ölçümlerin Yapay Zeka ile Analizi”</t>
  </si>
  <si>
    <t>SBA 25/151</t>
  </si>
  <si>
    <t>Prof. Dr. Cengiz KILIÇ</t>
  </si>
  <si>
    <t>“6 Şubat 2023 Depremzedelerinde Uzun Dönemdeki Ruhsal Sorunları Belirleyen Faktörler: Bölge Dışına Göçün Etkileri”</t>
  </si>
  <si>
    <t>SBA 25/152</t>
  </si>
  <si>
    <t>Prof. Dr. Ayşe Tomris ERBAŞ</t>
  </si>
  <si>
    <t>“Akromegali Hastalarında Serebral Küçük Damar Hastalığı ve Vasküler Kognitif Bozuklukların Değerlendirilmesi”</t>
  </si>
  <si>
    <t>SBA 25/153</t>
  </si>
  <si>
    <t>Prof. Dr. Emine ÇAĞLAR</t>
  </si>
  <si>
    <t>“Omuz Yaralanması Geçiren Sporcularda Spora Dönüş Evrelerinde Psikolojik Hazıroluşluğun İncelenmesi: Boylamsal Karma Desen Çalışması”</t>
  </si>
  <si>
    <t>SBA 25/154</t>
  </si>
  <si>
    <t>Prof. Dr. Bülent ALTUN</t>
  </si>
  <si>
    <t>“Diyabet Dışı Kronik Böbrek Hastalığında Sodyum-Glukoz Kotransporter 2 İnhibitörünün Proteinüri Üzerine Etkisi”</t>
  </si>
  <si>
    <t>SBA 25/155</t>
  </si>
  <si>
    <t>Dr. Öğr. Üyesi Yağmur ÜNSAL</t>
  </si>
  <si>
    <t>“Gordon Sendromu Tanılı Bir Çocukta Saptanan Yeni WNK1 Varyantının Aile İçi Hastalıkla Segregasyonunun Araştırılması”</t>
  </si>
  <si>
    <t>SBA 25/156</t>
  </si>
  <si>
    <t>Dr. Öğr. Üyesi Hilmi Anıl DİNÇER</t>
  </si>
  <si>
    <t>“Malignite Nedeniyle Yapılan Gastrointestinal Sistem Cerrahisi Sonrası Görülen İntraabdominal Kanamaların Tedavisinde Cerrahi ve Vasküler Girişimsel Radyolojik Yöntem Sonuçlarının Karşılaştırılması”</t>
  </si>
  <si>
    <t>SBA 25/157</t>
  </si>
  <si>
    <t>“Konjenital Hipotiroidi İçin Ulusal Ölçekli Yenidoğan Tarama Testi Sonucuyla Çocuk Endokrinoloji Bölümüne Yönlendirilen Olguların Klinik, Laboratuvar, Radyolojik Özelliklerinin İncelenmesi”</t>
  </si>
  <si>
    <t>SBA 25/158</t>
  </si>
  <si>
    <t>Prof. Dr. Güliz Fatma YAVAŞ</t>
  </si>
  <si>
    <t>“Optik Disk Druzeni Tanılı Hastalar ve Kontrol Gruplarında, Optik Koherens Tomografı-Anjiyografı (OCT-A) Tetkiki ile Optik Sinir Başı ve Peripapiller Mikrovasküler Değişikliklerin Karşılaştırılması ve Klinik Bulgular ile Korelasyonu”</t>
  </si>
  <si>
    <t>SBA 25/159</t>
  </si>
  <si>
    <t>Doç. Dr. Rahşan GÖÇMEN</t>
  </si>
  <si>
    <t>“Manyetik Rezonans Görüntüleme ile Serebellum, Beyin Sapı, Bazal Gangliyon ve Talamusta Saptanan Insidentalomaların Görüntüleme Bulguları”</t>
  </si>
  <si>
    <t>SBA 25/160</t>
  </si>
  <si>
    <t>Dr. Öğr. Üyesi Hatice BOYACIOĞLU ERDEN</t>
  </si>
  <si>
    <t>"Alt Premolar Dişlere Ait Gubernakular Kanalın Konik Işınlı Bilgisayarlı Tomografi Görüntülerinde İncelenmesi"</t>
  </si>
  <si>
    <t>SBA 25/161</t>
  </si>
  <si>
    <t>Doç. Dr. Baran ERMAN</t>
  </si>
  <si>
    <t>“PIK3CG Eksikliğinin Doğal ve Kazanılmış Bağışıklık Sistemi Üzerindeki Etkilerinin Araştırılması”</t>
  </si>
  <si>
    <t>SBA 25/162</t>
  </si>
  <si>
    <t>Prof. Dr. Alp USUBÜTÜN</t>
  </si>
  <si>
    <t>“GPT-4 ile Patoloji Raporlarında Veri Analizi”</t>
  </si>
  <si>
    <t>SBA 25/163</t>
  </si>
  <si>
    <t>Prof. Dr. Alper AKTAŞ</t>
  </si>
  <si>
    <t>“Geçirilmiş Oral Cerrahi İşlemlerin Hastaların Dental Anksiyete ve Ağrı Üzerine Etkisinin Değerlendirilmesi”</t>
  </si>
  <si>
    <t>SBA 25/164</t>
  </si>
  <si>
    <t>Öğr. Gör. Salih Eren MERAL</t>
  </si>
  <si>
    <t>“Temporomandibular Eklem Bozukluklarında Çene Fonksiyon Kısıtlanmasının ve Yaşam Kalitesinin Değerlendirilmesi”</t>
  </si>
  <si>
    <t>SBA 25/165</t>
  </si>
  <si>
    <t>Doç. Dr. Derman BAŞARAN
Prof. Dr. Alp USUBÜTÜN</t>
  </si>
  <si>
    <t>“Endometrium Adenokarsinom Hastalarında Retrospektif Yetersiz ve Negatif Biyopsilerinin Klinikopatolojik Açıdan Değerlendirilmesi”</t>
  </si>
  <si>
    <t>SBA 25/166</t>
  </si>
  <si>
    <t>Dr. Öğr. Üyesi Şafak ALPAT</t>
  </si>
  <si>
    <t>“Çocuk Kalp Cerrahisi Uygulanan Hastalarda Postoperatif İntraabdominal Hipertansiyonun Cerrahi Sonuçlara Etkisinin İncelenmesi”</t>
  </si>
  <si>
    <t>SBA 25/167</t>
  </si>
  <si>
    <t>Doç. Dr. Ahmet Hakan ATEŞ</t>
  </si>
  <si>
    <t>“Aort Kapak Protezi olan Hastalarda Transtorasik Ekokardiyografik ve İnvaziv Ölçümlerle Transvalvüler Aort Gradientlerinin Karşılaştırılması”</t>
  </si>
  <si>
    <t>SBA 25/168</t>
  </si>
  <si>
    <t>“Body Roundness Index ve Body Shape Index'in Sarkopenik Obezite ile Yaşayanlarda Geriatrik Sendromlar ve Kognitif Fonksiyonlarla İlişkisi</t>
  </si>
  <si>
    <t>SBA 25/169</t>
  </si>
  <si>
    <t>“Primer Dismenoreden Etkilenme Düzeyine Göre Başvurulan Tamamlayıcı ve Alternatif Tedavi Yöntemlerinin Değerlendirilmesi”</t>
  </si>
  <si>
    <t>SBA 25/170</t>
  </si>
  <si>
    <t>“Kullanılmayan İlaçların İadesi ve İmhası Anketinin Türkçe Geçerlik ve Güvenirlik Çalışması</t>
  </si>
  <si>
    <t>SBA 25/171</t>
  </si>
  <si>
    <t>“Nörofibromatozis Tip 1 Hastalarının Beyin Manyetik Rezonans Görüntüleme Bulgularının Retrospektif Degerlendirilmesi”</t>
  </si>
  <si>
    <t>SBA 25/172</t>
  </si>
  <si>
    <t>Prof. Dr. Rıza Köksal ÖZGÜL</t>
  </si>
  <si>
    <t>“Kalıtsal Metabolik Hastalıklar ile ROS-Aracılı Hücresel Stres Arasındaki İlişkinin Metabolizma Açısından Değerlendirilmesi”</t>
  </si>
  <si>
    <t>SBA 25/173</t>
  </si>
  <si>
    <t>“İmmün Trombositopeni Hastalarında Splenektomi ile Alternatif Tedaviler Arasında Tedavi Etkinliği ve Trombositk Olay Sıklığının Karşılaştırılması”</t>
  </si>
  <si>
    <t>SBA 25/174</t>
  </si>
  <si>
    <t>Doç. Dr. Muhammed Bahaddin DURAK</t>
  </si>
  <si>
    <t>“İnflamatuar Bağırsak Hastalığında Sarkopeni Değerlendirmesinde Optimal Yönteminin Belirlenmesi ve Nütrisyonel Değerlendirme”</t>
  </si>
  <si>
    <t>SBA 25/175</t>
  </si>
  <si>
    <t>Doç. Dr. Cem ÇÖTELİ</t>
  </si>
  <si>
    <t>“Hipertrofik Kardiyomiyopati Hastalarında Ventriküler Taşikardi Ablasyonunun Etkinliği ve Sonuçları”</t>
  </si>
  <si>
    <t>SBA 25/176</t>
  </si>
  <si>
    <t>Prof. Dr. Ali DURSUN</t>
  </si>
  <si>
    <t>“Statin Tedavisi Altındaki Pediatrik Hiperlipidemi Hastalarında Glikolizasyon Profili Karşılaştırması”</t>
  </si>
  <si>
    <t>SBA 25/177</t>
  </si>
  <si>
    <t>Prof. Dr. Şule YİĞİT</t>
  </si>
  <si>
    <t>“Gecikmiş Kord Klemplenmesinin Erken Dönem Yenidoğan Komplikasyonları Üzerine Etkisinin Değerlendirilmesi”</t>
  </si>
  <si>
    <t>SBA 25/178</t>
  </si>
  <si>
    <t>“Tirozinemi Tip 1 Tanılı Pediatrik Yaş Grubu Hastalarda Metabolomik Profilin Hastalığın Klinik ve Laboratuvar Bulguları ve Tedavisi ile İlişkisinin Değerlendirilmesi”</t>
  </si>
  <si>
    <t>SBA 25/179</t>
  </si>
  <si>
    <t>Doç. Dr. Şafak PARLAK SAĞOL</t>
  </si>
  <si>
    <t>“Amyotrofik Lateral Skleroz Hastalarının MRG ile Degerlendirilmesi”</t>
  </si>
  <si>
    <t>SBA 25/180</t>
  </si>
  <si>
    <t>Dr. Öğr. Üyesi Muhammed Çağrı KÜLEKÇİ</t>
  </si>
  <si>
    <t>Kulak Burun Boğaz Anabilim Dalı</t>
  </si>
  <si>
    <t>“Benign Paroksizimal Pozisyonel Vertigo Hastalarında Klinik Tecrübemiz”</t>
  </si>
  <si>
    <t>SBA 25/181</t>
  </si>
  <si>
    <t>Dr. Öğr. Üyesi Ali BATUR</t>
  </si>
  <si>
    <t>“Acil Servise Başvuran Febril Nötropeni Hastalarında MASCC Skorlaması ile Yapılan Hasta Yönetiminin FRAİL Kırılganlık İndeksi Skorları ile Karşılaştırılması ve Değerlendirilmesi: Gözlemsel Çalışma”</t>
  </si>
  <si>
    <t>SBA 25/182</t>
  </si>
  <si>
    <t>Prof. Dr. Gazi HURİ</t>
  </si>
  <si>
    <t>“Erişkin Hastalarda Glenoid Versiyonlarının ve Morfolojilerinin Bilgisayarlı Tomografi (BT) ile Değerlendirilmesi”</t>
  </si>
  <si>
    <t>SBA 25/183</t>
  </si>
  <si>
    <t>“Dirsek Lateral Epikondilit Tanılı Hastalarda Uyku Kalitesinin Değerlendirilmesi”</t>
  </si>
  <si>
    <t>SBA 25/184</t>
  </si>
  <si>
    <t>Prof. Dr. Deniz DOĞRU</t>
  </si>
  <si>
    <t>“Ulusal Kistik Fibrozis Hasta Kayıt Sisteminde Kayıtlı Hastalarda Kistik Fibrozis İlişkili Karaciğer Hastalığının Bağımsız Belirleyicilerinin Saptanması”</t>
  </si>
  <si>
    <t>SBA 25/185</t>
  </si>
  <si>
    <t>Doç. Dr. Fatoş KORKMAZ</t>
  </si>
  <si>
    <t>“Yoğun Bakım Ünitelerinde Endotrakeal Tüp İlişkili Oral Mukoz Membran Basınç Yaralanması: Tek Merkezde Boylamsal Bir Nokta Prevalans Çalışması”</t>
  </si>
  <si>
    <t>SBA 25/186</t>
  </si>
  <si>
    <t>Doç. Dr. Hilal AKSOY</t>
  </si>
  <si>
    <t>“HPV Aşısının Sosyal Medyadaki İnfodemisi: Nitel Çalışma”</t>
  </si>
  <si>
    <t>SBA 25/187</t>
  </si>
  <si>
    <t>“X, Y ve Z Kuşağında Beslenme Alışkanlıklarındaki Farklılıkların Araştırılması”</t>
  </si>
  <si>
    <t>SBA 25/188</t>
  </si>
  <si>
    <t>Prof. Dr. Ayşe HEVES KARAGÖZ</t>
  </si>
  <si>
    <t>“Ameliyathane Dışı İrreversible Elektroporasyon Uygulanan Onkolojik Hastalarda Anestezi Yönetimi ve Komplikasyonların İncelenmesi: Retrospektif Gözlemsel Çalışma”</t>
  </si>
  <si>
    <t>SBA 25/189</t>
  </si>
  <si>
    <t>Prof. Dr. A. Mazhar TOKGÖZOĞLU</t>
  </si>
  <si>
    <t>“Kalça Artroplastisinde Constrained Asetabular İnsertlerin Uzun Dönem Sonuçları”</t>
  </si>
  <si>
    <t>SBA 25/190</t>
  </si>
  <si>
    <t>Doç. Dr. Barış SEZER</t>
  </si>
  <si>
    <t>“Tıp Fakültesi Öğrencileri İçin Geliştirilen Bir Elektronik Performans Destek Sisteminin Akademik Başarı ve Performansa Etkisi”</t>
  </si>
  <si>
    <t>SBA 25/191</t>
  </si>
  <si>
    <t>Doç. Dr. Neslihan AKDOĞAN</t>
  </si>
  <si>
    <t>“Mikozis Fungoides, Psöriasis ve Atopik Dermatit Hastalarında Dermoskopik Bulguların İncelenmesi”</t>
  </si>
  <si>
    <t>SBA 25/192</t>
  </si>
  <si>
    <t>“Kistik Nötrofilik Granülomatöz Mastit ve İdiopatik Granülomatöz Mastitin Radyolojik Görüntüleme Bulgularının Klinik ve Patolojik Veriler Eşliğinde Karşılaştırılması”</t>
  </si>
  <si>
    <t>SBA 25/193</t>
  </si>
  <si>
    <t>Prof. Dr. Mustafa CENGİZ</t>
  </si>
  <si>
    <t>“Baş Boyun Kanserli Olgularda European Organisation for Research and Treatment of Cancer (EORTC) H&amp;N43 Modülünün Türkçe Validasyonu, Kronoradyoterapinin Hayat Kalitesi ve Akut Toksisiteler Üzerine Etkisi”</t>
  </si>
  <si>
    <t>SBA 25/194</t>
  </si>
  <si>
    <t>Prof. Dr. Hakan UZUN</t>
  </si>
  <si>
    <t>“Tendon Transferi Uygulanan Hastalarda Etiyolojik Faktörlerin Retrospektif Analizi”</t>
  </si>
  <si>
    <t>SBA 25/195</t>
  </si>
  <si>
    <t>"Nonsteroid Anti-İnflamatuar İlaçlar ile Alevlenen Hava Yolu Hastalığında Aspirin Kullanımının Kardiyovasküler Olaylar ve Kanama ile İlişkisini Değerlendirmek"</t>
  </si>
  <si>
    <t>SBA 25/196</t>
  </si>
  <si>
    <t>"Nonsteroidal Anti-İnflamatuar ilaçlarla Alevlenen Solunum Yolu Hastalığında (N-ERD) Biyolojik ve Aspirin Tedavilerinin Karşılaştırmalı Etkileri "</t>
  </si>
  <si>
    <t>SBA 25/197</t>
  </si>
  <si>
    <t>Prof. Dr. Bora GÜLHAN</t>
  </si>
  <si>
    <t>“Proteinüri Nedeniyle Çocuk Nefrolojisi Bilim Dalı'nda Değerlendirilen Diabetes Mellitus Tanılı Çocuk Hastaların Retrospektif Değerlendirilmesi”</t>
  </si>
  <si>
    <t>SBA 25/198</t>
  </si>
  <si>
    <t>“Türk Erişkinlerde El Sıkma Kuvveti Referans Değerlerinin Belirlenmesi”</t>
  </si>
  <si>
    <t>SBA 25/199</t>
  </si>
  <si>
    <t>Prof. Dr. Uğur Özçelik</t>
  </si>
  <si>
    <t>“Çocuk ve Adolesan Tüberküloz Vakalarında Göçün Etkisi”</t>
  </si>
  <si>
    <t>SBA 25/200</t>
  </si>
  <si>
    <t>“Erişkinlerin Aromaterapi Hakkında Bilgi, Tutum ve Davranışlarının Araştırılması: Kesitsel Çalışma”</t>
  </si>
  <si>
    <t>SBA 25/201</t>
  </si>
  <si>
    <t>Prof. Dr. Sıddıka Songül YALÇIN</t>
  </si>
  <si>
    <t>“Nörofibromatosis Tip 1 Vakalarında Gebelik Öncesi Dönemden Çocukluk Dönemine Çevresel Etkilenimler”</t>
  </si>
  <si>
    <t>SBA 25/202</t>
  </si>
  <si>
    <t>“Sıfır Eko Zamanlı Manyetik Rezonans Görüntüleme ile Ölçülen Kritik Omuz Açısının Rotator Kılıf Anormallikleri ve Glenohumeral Osteoartrit ile İlişkisi”</t>
  </si>
  <si>
    <t>SBA 25/203</t>
  </si>
  <si>
    <t>“Küçük/Orta Damar Vaskülitli Hastaların Kutanöz Prezentasyonları: Dermoskopik ve Histopatolojik Benzerlik ve Farklılıkların İncelenmesi”</t>
  </si>
  <si>
    <t>SBA 25/204</t>
  </si>
  <si>
    <t>Doç. Dr. Mevhibe İrem YILDIZ</t>
  </si>
  <si>
    <t>“Fonksiyonel Nöbet ve Epilepsi Hastalarında Faillik ve Sahiplik Hissi Parametrelerinin Değerlendirilmesi, Epilepsi Hastalarında Fonksiyonel Nöbet Gelişimini Yordayan Etmenlerin İncelenmesi”</t>
  </si>
  <si>
    <t>SBA 25/205</t>
  </si>
  <si>
    <t>Prof. Dr. Seda Banu AKINCI</t>
  </si>
  <si>
    <t>“Yoğun Bakımda Takip Edilen Geriatrik Hasta Grubunun Klinik Özellikleri ve Klinik Skorların Yoğun Bakım Sonuçlarına Etkisi: Çok Merkezli Prospektif Çalışma”</t>
  </si>
  <si>
    <t>SBA 25/206</t>
  </si>
  <si>
    <t>"Preterm Doğum Öyküsü Olan Çocukların Okula Hazır Bulunuşluklarının Değerlendirilmesi"</t>
  </si>
  <si>
    <t>SBA 25/207</t>
  </si>
  <si>
    <t>Prof. Dr. Sinem AKGÜL</t>
  </si>
  <si>
    <t>“Hastaneye Yatan Ergenlerde Hastalıkların Siberkondri Üzerindeki Etkisi”</t>
  </si>
  <si>
    <t>SBA 25/208</t>
  </si>
  <si>
    <t>“Türkiye’de Aile Sağlığı Merkezlerinde Yapılan Okul Sağlık Taramalarına Yönelik Öğretmenlerin Farkındalık ve Tutumlarının Araştırılması: Nitel Çalışma”</t>
  </si>
  <si>
    <t>SBA 25/209</t>
  </si>
  <si>
    <t>Dr. Öğr. Üyesi Sevtap ARSLAN SARIKAYA</t>
  </si>
  <si>
    <t>“Bilgisayarlı Tomografi Anjiyografide Hepatik Arter Aterosklerozu Prevalansının Araştırılması”</t>
  </si>
  <si>
    <t>SBA 25/210</t>
  </si>
  <si>
    <t>Dr. Öğr. Üyesi Pınar SERDAR EYMİRLİ</t>
  </si>
  <si>
    <t>“Farklı Diş Macunları ve Er,Cr:YSGG Lazerin Süt Dişi Remineralizasyonuna Etkisi”</t>
  </si>
  <si>
    <t>SBA 25/211</t>
  </si>
  <si>
    <t>Dr. Öğr. Üyesi Ahmet AYDIN</t>
  </si>
  <si>
    <t>“Biyoprostetik Kalp Kapağı İmplantasyonu Geçiren Hastalarda Trombo-profilaksi İçin Warfarin ile Non–Vitamin K Oral Antikoagülanların Karşılaştırılması”</t>
  </si>
  <si>
    <t>SBA 25/212</t>
  </si>
  <si>
    <t>“Farklı Miyeloid Neoplazilerde Tanı ve İzlemde İnflamasyon Parametreleri”</t>
  </si>
  <si>
    <t>SBA 25/213</t>
  </si>
  <si>
    <t>Prof. Dr. Gözde YAZICI</t>
  </si>
  <si>
    <t>“Erken Evre Glottik Kanserlerde Radyoterapi Sonuçları ve Ön Komissür Tutulumunun Radyoterapi Tekniği ile İlişkisi”</t>
  </si>
  <si>
    <t>SBA 25/214</t>
  </si>
  <si>
    <t>"IKZF1 Gen Varyantı Saptanan Primer İmmün Yetmezlik Hastalarının Demografik, Klinik ve Laboratuvar Özelliklerinin Değerlendirilmesi"</t>
  </si>
  <si>
    <t>SBA 25/215</t>
  </si>
  <si>
    <t>Prof. Dr. Mustafa YILMAZ</t>
  </si>
  <si>
    <t>“Kardiyopulmoner Bypass Sırasında Hemadsorbsiyon Uygulamasının Pediyatrik Hastaların Mortalite ve Morbiditesi Üzerine Etkileri”</t>
  </si>
  <si>
    <t>SBA 25/216</t>
  </si>
  <si>
    <t>Doç. Dr. Murat KARA</t>
  </si>
  <si>
    <t>“İleri Blefaropitoz Olgularında Yeni Bir Cerrahi Yaklaşım: Kontralateral Corrugatör Supercilii Kas Transpozisyonu ve Topografik-Mikroskopik Analizi”</t>
  </si>
  <si>
    <t>SBA 25/217</t>
  </si>
  <si>
    <t>“Kan Akımı Kısıtlanmasına Bağlı Aerobik Egzersizin Metabolik Değişiklikler Üzerindeki Etkisinin Çoklu Omiks Teknikler ile Belirlenmesi”</t>
  </si>
  <si>
    <t>SBA 25/218</t>
  </si>
  <si>
    <t>“Toplumda Tarama İçin Risk Aracının (RISC) Hospitalize Yaşlı Hastada Geçerlik ve Güvenirliğinin Değerlendirilmesi”</t>
  </si>
  <si>
    <t>SBA 25/219</t>
  </si>
  <si>
    <t>Doç. Dr. Mert EŞME</t>
  </si>
  <si>
    <t>“Osteoporozu Olan Geriatrik Hastalarda Kırık Riskinin FI-Lab Skoru ve Kapsamlı Geriatrik Değerlendirme ile Değerlendirilmesi”</t>
  </si>
  <si>
    <t>SBA 25/220</t>
  </si>
  <si>
    <t>Prof. Dr. Banu TAVAT</t>
  </si>
  <si>
    <t>"İşitsel Üçlü Sessiz Harf Sıralaması Testi’nin Hafif Bilişsel Bozukluk ve Alzheimer Hastalarında Psikometrik Özelliklerinin Belirlenmesi: Ayırtedicilik, Geçerlik ve Güvenirlik Çalışması”</t>
  </si>
  <si>
    <t>SBA 25/221</t>
  </si>
  <si>
    <t>Doç. Dr. Nadir YALÇIN</t>
  </si>
  <si>
    <t>“Çocuk Acil Servise İlaç İntoksikasyonu ile Başvuran ve Çocuk ve Ergen Ruh Sağlığı Tarafından Takip Edilen Bireylerin Geriye Dönük Değerlendirilmesi”</t>
  </si>
  <si>
    <t>SBA 25/222</t>
  </si>
  <si>
    <t>Prof. Dr. Tarık TUNCAY</t>
  </si>
  <si>
    <t>“Palyatif Bakım Hastalarına Bakım Verenlerin Deneyimlerinde Cinsiyet Rollerinin Etkilerinin İncelenmesi”</t>
  </si>
  <si>
    <t>SBA 25/223</t>
  </si>
  <si>
    <t>Doç. Dr. Akın ÜZÜMCÜGİL</t>
  </si>
  <si>
    <t>“Brakial Pleksus Doğum Paralizisi Olan Hastalarda Gövde ve Alt Ekstremite Dengesinin Değerlendirilmesi”</t>
  </si>
  <si>
    <t>SBA 25/224</t>
  </si>
  <si>
    <t>“Ergen ve Genç Yetişkinlerde Menstrüasyon Farkındalığı”</t>
  </si>
  <si>
    <t>SBA 25/225</t>
  </si>
  <si>
    <t>“Viral Solunum Yolu Enfeksiyonu Tanısı ile Takip Edilen Çocuk Hastaların Klinik Verilerinin Retrospektif Olarak İncelenmesi”</t>
  </si>
  <si>
    <t>SBA 25/226</t>
  </si>
  <si>
    <t>Prof. Dr. Banu ÇAKIR</t>
  </si>
  <si>
    <t>Halk Sağlığı Anabilim Dalı</t>
  </si>
  <si>
    <t>“Astım Tanılı Çocuklarda Çekirdek Aile ve Çekirdek Aile Dışı Akrabalarda Alerjik Hastalık Sıklığının Belirlenmesi"</t>
  </si>
  <si>
    <t>SBA 25/227</t>
  </si>
  <si>
    <t>Prof. Dr. Mehmet AYVAZ</t>
  </si>
  <si>
    <t>“Proksimal Tibia Rekonstrüksiyonu ile Tedavi Edilen Hastaların Klinik Sonuçları”</t>
  </si>
  <si>
    <t>SBA 25/228</t>
  </si>
  <si>
    <t>"Diş Hekimliğinde Yapay Zeka Destekli Teşhis ve Tedavilere Güven: Hasta Perspektifinden Bir Analiz"</t>
  </si>
  <si>
    <t>SBA 25/229</t>
  </si>
  <si>
    <t>Doç. Dr. Eda Didem KURT ŞÜKÜR</t>
  </si>
  <si>
    <t>"Akut Poststreptokoksik Glomerulonefrit Tanılı Hastaların Retrospektif Olarak İncelenmesi"</t>
  </si>
  <si>
    <t>SBA 25/230</t>
  </si>
  <si>
    <t>Doç. Dr. Fatima AERTS KAYA</t>
  </si>
  <si>
    <t>“İnsan Göbek Kordonu Temelli Yapay Timüs Organoidlerinin Geliştirilmesi ve Karakterize Edilmesi”</t>
  </si>
  <si>
    <t>SBA 25/231</t>
  </si>
  <si>
    <t>Prof. Dr. Diclehan ORHAN</t>
  </si>
  <si>
    <t>“Wilms Tümörü ve Nefrojenik Artıklardaki Moleküler Değişiklikler”</t>
  </si>
  <si>
    <t>SBA 25/232</t>
  </si>
  <si>
    <t>Prof. Dr. Bülent ATİLLA</t>
  </si>
  <si>
    <t>“Erişkin Popülasyonda Ayak Bileği Kırıklarının Deplasman ve Yumuşak Doku Hasarlarının ZTE sekanslı MRG ile Değerlendirilmesi ve BT ile Karşılaştırılması”</t>
  </si>
  <si>
    <t>SBA 25/233</t>
  </si>
  <si>
    <t>“Yeni Nesil Antikoagülan İlaçların İlaç Etkileşimleri Hakkında Farkındalık Düzeyinin Ölçülmesi”</t>
  </si>
  <si>
    <t>SBA 25/234</t>
  </si>
  <si>
    <t>“Dental Tedavi Sırasında veya Reçetelendirmede Gelişebilecek İlaç Etkileşimleri Hakkında Farkındalık Düzeyinin Ölçülmesi”</t>
  </si>
  <si>
    <t>SBA 25/235</t>
  </si>
  <si>
    <t>Dr. Öğr. Üyesi Deniz Can GÜVEN</t>
  </si>
  <si>
    <t>"İmmünoterapi ile Tedavi Edilen Kanser Hastalarında Tedavi Öncesi Serbest T3/T4 Oranı ile Sağkalım İlişkisi”</t>
  </si>
  <si>
    <t>SBA 25/236</t>
  </si>
  <si>
    <t>“Rotasyon Profilli Bilgisayarlı Tomografi Kullanılarak Oluşturulan Parametreler ile Radyografide Proksimal Femur Rotasyonunun Değerlendirilmesi”</t>
  </si>
  <si>
    <t>SBA 25/237</t>
  </si>
  <si>
    <t>Doç. Dr. Hanife Güler DÖNMEZ</t>
  </si>
  <si>
    <t>"Vegan Beslenmenin Oral Mukoza Üzerindeki Sitolojik, Genotoksik ve Antioksidan Etkilerinin İncelenmesi”</t>
  </si>
  <si>
    <t>SBA 25/238</t>
  </si>
  <si>
    <t>"Hospitalize Edilen Kanser Hastalarında Mortaliteye ve Hastanede Yeniden Yatışa Etki Eden Klinik Faktörlerin İncelenmesi"</t>
  </si>
  <si>
    <t>SBA 25/239</t>
  </si>
  <si>
    <t>"BRCA Mutant Meme ve Over Kanseri Hastaların Birinci Derece Erkek ve Kadın Yakınlarında Genetik Test Oranlarının ve Sonuçlarının Değerlendirilmesi"</t>
  </si>
  <si>
    <t>SBA 25/240</t>
  </si>
  <si>
    <t>Doç. Dr. İbrahim Halil ÖNCEL</t>
  </si>
  <si>
    <t>“Çocuklarda Doğal İmmünite Kaynaklı Santral Sinir Sistemi İnflamasyonunda Beyin Büyümesini ve Sağlığını Haritalama”</t>
  </si>
  <si>
    <t>SBA 25/241</t>
  </si>
  <si>
    <t>“Geriatrik Sendromlarla C Reaktif-Albumin-Lenfosit İndeksinin İlişkisinin İncelenmesi”</t>
  </si>
  <si>
    <t>SBA 25/242</t>
  </si>
  <si>
    <t>Prof. Dr. Umut KALYONCU</t>
  </si>
  <si>
    <t>"Kristal Artropatilerde Klinik ve Radyolojik Değerlendirmenin İncelenmesi"</t>
  </si>
  <si>
    <t>SBA 25/243</t>
  </si>
  <si>
    <t>"Bakteriyel Enfeksiyon Tanısı ile Yatarak Tedavi Olan Çocuk Hastaların Verilerinin Retrospektif Olarak İncelenmesi"</t>
  </si>
  <si>
    <t>SBA 25/244</t>
  </si>
  <si>
    <t>Prof. Dr. Sunay İL</t>
  </si>
  <si>
    <t>“Genç Yetişkin Erkeklerde Cinsiyet Rolü Gerilimi ve Problemli Kumar Oynama”</t>
  </si>
  <si>
    <t>SBA 25/245</t>
  </si>
  <si>
    <t>“Koroner Arter Hastalığı Tanılı Geriatrik Hastalarda Elektif Perkütan Koroner Girişiminin Geriatrik Sendromlarla İlişkisi”</t>
  </si>
  <si>
    <t>SBA 25/246</t>
  </si>
  <si>
    <t>Prof. Dr. Mert ÇALIŞ</t>
  </si>
  <si>
    <t>“Rinoplasti Ameliyatlarında Piezoelektrik Yardımlı Osteotomi ve Konvansiyonel Osteotomilerin Periorbital Ödem ve Ekimoz Üzerine Etkisi”</t>
  </si>
  <si>
    <t>SBA 25/247</t>
  </si>
  <si>
    <t>Doç. Dr. Zeynep TÜZÜN GÜN</t>
  </si>
  <si>
    <t>“Yeme Bozukluğu Olan Ergenlerde Ebeveyn-Ergen Sınırlarının İncelenmesi”</t>
  </si>
  <si>
    <t>SBA 25/248</t>
  </si>
  <si>
    <t>“Ciddi Pnömokokkal Enfeksiyon Geçiren Hastaların Retrospektif Olarak İmmün Yetmezlik Açısından Değerlendirilmesi”</t>
  </si>
  <si>
    <t>SBA 25/249</t>
  </si>
  <si>
    <t>Doç. Dr. Ayşe Bikem KARGI</t>
  </si>
  <si>
    <t>“Borderline Kişilik Özellikleri ve Çocuklukta Onaylamayan Çevre Arasındaki İlişki: Bir Model Testi”</t>
  </si>
  <si>
    <t>SBA 25/250</t>
  </si>
  <si>
    <t>Prof. Dr. Hüseyin Gencay KEÇELİ</t>
  </si>
  <si>
    <t>“Serbest Dişeti Grefti Alınan Lateral Damak Bölgesine Farklı Ajanlar Uygulanarak Yara İyileşmesinin Karşılaştırılması”</t>
  </si>
  <si>
    <t>SBA 25/251</t>
  </si>
  <si>
    <t>“Heterozigot FMF Hastalarının Tedavi Kesildikten Sonraki İzleminin Değerlendirilmesi”</t>
  </si>
  <si>
    <t>SBA 25/252</t>
  </si>
  <si>
    <t>“PFAPA Tanılı Hastalarda Kullanılan Tedavilerin Retrospektif Olarak Değerlendirilmesi”</t>
  </si>
  <si>
    <t>SBA 25/253</t>
  </si>
  <si>
    <t>Doç. Dr. Başak YALICI ARMAĞAN</t>
  </si>
  <si>
    <t>“Geriatrik Popülasyonda Prurigo Nodülaris Hastalarında Etyolojik Faktörlerin Araştırılması”</t>
  </si>
  <si>
    <t>SBA 25/254</t>
  </si>
  <si>
    <t>“İntravitreal Enjeksiyon Yapılan Yaşa Bağlı Makula Dejenerasyonuna Sahip Olan Hastalarda Non Kontakt Speküler Konfokal Mikroskopi İle Korneal Parametrelerin Değerlendirilmesi”</t>
  </si>
  <si>
    <t>SBA 25/255</t>
  </si>
  <si>
    <t>Prof. Dr. Elmas Ebru YALÇIN</t>
  </si>
  <si>
    <t>“Çocuklarda Post Enfeksiyöz Bronşiolitis Obliterans Gelişmesinin Genetik Temellerinin Belirlenmesi”</t>
  </si>
  <si>
    <t>SBA 25/256</t>
  </si>
  <si>
    <t>Prof. Dr. Suna SABUNCUOĞLU</t>
  </si>
  <si>
    <t>“Kemoterapötik İlaç Hazırlayan ve Uygulayan Hemşirelerde Olası Toksik Etkilerin Değerlendirilmesi”</t>
  </si>
  <si>
    <t>SBA 25/257</t>
  </si>
  <si>
    <t>Prof. Dr. Şuayip YALÇIN</t>
  </si>
  <si>
    <t>“Metastatik Kolorektal Adenokarsinomunda Karaciğer Metastazektomisi Sonrası Adjuvan Tedavilerin Etkinliğinin Değerlendirilmesi”</t>
  </si>
  <si>
    <t>SBA 25/258</t>
  </si>
  <si>
    <t>"Çocukluk Çağı Aşılarına Karşı Antikor Düzeylerinin Değerlendirilmesi"</t>
  </si>
  <si>
    <t>SBA 25/259</t>
  </si>
  <si>
    <t>“Pediatrik Ampiyemde Streptococcus Pneumoniae’nin Rolü: Tanıdaki Gelişmeler ve Epidemiyolojik Bulgular”</t>
  </si>
  <si>
    <t>SBA 25/260</t>
  </si>
  <si>
    <t>Doç. Dr. İdil Rana USER</t>
  </si>
  <si>
    <t>“Superior Mezenter Arter Sendromu Tedavisinde Beslenme Desteği ve Sonuçları”</t>
  </si>
  <si>
    <t>SBA 25/261</t>
  </si>
  <si>
    <t>Prof. Dr. Tutku SOYER</t>
  </si>
  <si>
    <t>“Eozinofilik Özofajit Gelişen Özofagus Atrezili Olgularda Oral Mikrobiyom ve Metabolomik Profillerinin İncelenmesi”</t>
  </si>
  <si>
    <t>SBA 25/262</t>
  </si>
  <si>
    <t>Prof. Dr. Serdar ÖZER</t>
  </si>
  <si>
    <t>“Septal Perforasyon Onarımı Sonrası Mukosiliyer Klirens değerlendirilmesi: Rinosintigrafi ve Sakkarin Testi ile Karşılaştırmalı Analiz”</t>
  </si>
  <si>
    <t>SBA 25/263</t>
  </si>
  <si>
    <t>Prof. Dr. Hakan Hıfzı TÜZ</t>
  </si>
  <si>
    <t>“Ortognatik Cerrahi Takiplerinde Karşılaşılan Nörosensoriyel Bozuklukların Klinik Testler ile Değerlendirilmesi ve Yaşam Kalitesi Üzerine Etkisi”</t>
  </si>
  <si>
    <t>SBA 25/264</t>
  </si>
  <si>
    <t>Doç. Dr. Seda Hanife OĞUZ BAYKAL</t>
  </si>
  <si>
    <t>“Cinsiyet Olumlayıcı Hormon Tedavisi Alan Transgender Erkekler ve Endojen Hiperandrojenizmi Olan Polikistik Over Sendromlu Kadınlarda İnsülin Direnci ile İlişkili Laboratuvar ve Vücut Kompozisyon Parametrelerinin Karşılaştırılması”</t>
  </si>
  <si>
    <t>SBA 25/265</t>
  </si>
  <si>
    <t>“Sarkoidoz Hastalarının İmmünolojik Açıdan Değerlendirilmesi”</t>
  </si>
  <si>
    <t>SBA 25/266</t>
  </si>
  <si>
    <t>Prof. Dr. Emel UZUNOĞLU ÖZYÜREK</t>
  </si>
  <si>
    <t>“Rejeneratif Endodontik Tedavide Kullanılan Materyallerin Simüle Dişlerin Kırılma Dayanımına Etkisi: Laboratuvar Çalışması”</t>
  </si>
  <si>
    <t>SBA 25/267</t>
  </si>
  <si>
    <t>Dr. Öğr. Üyesi Gonca ÖZTEN DERE</t>
  </si>
  <si>
    <t>“Fertil Yaş Grubunda Myomektomi Sonrası Gerçekleşen Gebeliklerin Myomektomi Zamanı ile Gebelik Zamanı Arasında Geçen Sürelerin ve Gebelik Sonuçlarının Retrospektif Olarak Araştırılması”</t>
  </si>
  <si>
    <t>SBA 25/268</t>
  </si>
  <si>
    <t>Prof. Dr. Mustafa Barış GÜNCÜ</t>
  </si>
  <si>
    <t>“Titanyum Tabanlı Monolitik Zirkonya Köprülerin Klinik Değerlendirmesi: Bir Retrospektif Takip Çalışması”</t>
  </si>
  <si>
    <t>SBA 25/269</t>
  </si>
  <si>
    <t>Dr. Öğr. Üyesi Güneş GÜNER GEBEŞ</t>
  </si>
  <si>
    <t>“Testiküler Germ Hücreli Tümörlerde Tedavi Yanıtı ve Prognoz ile İlişkilendirilebilecek Biyobelirteçlerin Araştırılması”</t>
  </si>
  <si>
    <t>SBA 25/270</t>
  </si>
  <si>
    <t>“Anoreksiya Nervoza Hastalarında Solunum Fonksiyonları ile Kas Kalınlığı ve Kuvveti Arasındaki İlişkinin Araştırılması: Vaka-Kontrol ve İzlem Çalışması”</t>
  </si>
  <si>
    <t>SBA 25/271</t>
  </si>
  <si>
    <t>Doç. Dr. Uzay KOÇ VURAL</t>
  </si>
  <si>
    <t>“Kalsiyum Silikat ve Kalsiyum Hidroksit Kontaminasyonunun Universal Adezivlerin Dentin Yüzeylerine Bağlanma Dayanımı Üzerindeki Etkisi”</t>
  </si>
  <si>
    <t>201.</t>
  </si>
  <si>
    <t>SBA 25/272</t>
  </si>
  <si>
    <t>“Pediatrik Hiperlipidemi Hastalarında Glikolizasyon Profil  Karşılaştırması”</t>
  </si>
  <si>
    <t>202.</t>
  </si>
  <si>
    <t>SBA 25/273</t>
  </si>
  <si>
    <t>“Türkiye'de Steril Vücut Sıvılarında Streptococcus Pneumoniae Serogruplarının Prevalansı: Çok Merkezli, Prospektif Çalışma”</t>
  </si>
  <si>
    <t>203.</t>
  </si>
  <si>
    <t>SBA 25/274</t>
  </si>
  <si>
    <t>“Kullanılmış İnsülin İğnelerinin İmha Yöntemlerinin Tespiti: Türkiye’de Bir Aile Sağlığı Merkezi’nde Yapılandırılmış Hasta Eğitimi Müdahalesinin Sürdürülebilir Evsel Tıbbi Atık Yönetimine Etkisinin Değerlendirilmesi”</t>
  </si>
  <si>
    <t>204.</t>
  </si>
  <si>
    <t>SBA 25/275</t>
  </si>
  <si>
    <t>Doç. Dr. Seda AYDAN</t>
  </si>
  <si>
    <t>“Ambulans Çağrısı Sonrası Hastaneye Nakledilmeyen Hasta Özelliklerinin İncelenmesi ve Alternatif Bakım Önerilerinin Değerlendirilmesi”</t>
  </si>
  <si>
    <t>205.</t>
  </si>
  <si>
    <t>SBA 25/276</t>
  </si>
  <si>
    <t>“Orta Dönemde Bakılan Serum ve İdrar Metal İyon Seviyeleri, Metal-Metal Kalça Artroplastisinin On İki Yıllık Sağkalımım Öngörebilir mi?”</t>
  </si>
  <si>
    <t>206.</t>
  </si>
  <si>
    <t>SBA 25/277</t>
  </si>
  <si>
    <t>Prof. Dr. Hüseyin Hüsrev TURNAGÖL</t>
  </si>
  <si>
    <t>"Rekreasyonel Sporcuların Maksimal Oksijen Tüketim Düzeyleri ile Vücut Kompozisyonu Arasındaki İlişkinin Belirlenmesi"</t>
  </si>
  <si>
    <t>207.</t>
  </si>
  <si>
    <t>SBA 25/278</t>
  </si>
  <si>
    <t>“Uyku Sağlığı Okuryazarlığı Ölçeğinin Türkçe Geçerlik ve Güvenirlik Çalışması"</t>
  </si>
  <si>
    <t>208.</t>
  </si>
  <si>
    <t>SBA 25/279</t>
  </si>
  <si>
    <t>Doç. Dr. Naşide MANGIR BOLAT</t>
  </si>
  <si>
    <t>“Videoürodinami Tetkiki Öncesi Hastanın Skopi İşlemi Sırasında Maruz Kalacağı Radyasyon Miktarını Öngörücü Faktörlerin ve Videoürodinami Tetkiki ile Kadın İşeme Fonksiyonun Tanımlanması”</t>
  </si>
  <si>
    <t>209.</t>
  </si>
  <si>
    <t>SBA 25/280</t>
  </si>
  <si>
    <t>“Rekürren Glial Tümörlerde Robotik Jiroskopik Lattice Tedavisi ile Reirradyasyon: Klinik Sonuçlar ve Yaşam Kalitesinin Değerlendirilmesi”</t>
  </si>
  <si>
    <t>210.</t>
  </si>
  <si>
    <t>SBA 25/281</t>
  </si>
  <si>
    <t>Prof. Dr. Ömür ÇAĞLAR</t>
  </si>
  <si>
    <t>“Total Kalça Protezi Yapılan Hastalarda Gelişen Periprostetik Kırıkların Uzun Dönem Sonuçları ve Sağkalım Analizi”</t>
  </si>
  <si>
    <t>211.</t>
  </si>
  <si>
    <t>SBA 25/282</t>
  </si>
  <si>
    <t>Doç. Dr. Mehmet Ali KARACA</t>
  </si>
  <si>
    <t>“Acil Serviste Fraktür Şüphesi Taşıyan Hastalara Çekilen Pelvis Bilgisayarlı              Tomografi Görüntülerinin Yapay Zeka ile Değerlendirilmesi”</t>
  </si>
  <si>
    <t>212.</t>
  </si>
  <si>
    <t>SBA 25/283</t>
  </si>
  <si>
    <t>“Bir Aile Sağlığı Merkezi’ne Başvuran Erişkin Bireylerin Hipnoterapi Konusundaki Bilgi ve Tutumlarının İncelenmesi”</t>
  </si>
  <si>
    <t>213.</t>
  </si>
  <si>
    <t>SBA 25/284</t>
  </si>
  <si>
    <t>“Otoinflamatuvar Hastalıklarda Akciğer Tutulumunun Değerlendirilmesi”</t>
  </si>
  <si>
    <t>214.</t>
  </si>
  <si>
    <t>SBA 25/285</t>
  </si>
  <si>
    <t>“Psöriatik Artrit ve Psöriasis Tanılı Hastaların Tırnak Yatağı Kapilleroskopi Değerlendirmesi”</t>
  </si>
  <si>
    <t>215.</t>
  </si>
  <si>
    <t>SBA 25/286</t>
  </si>
  <si>
    <t>“Otoimmün Hastalıklarda Eşlik Eden Ek Otoimmün Hastalıkların İncelenmesi”</t>
  </si>
  <si>
    <t>216.</t>
  </si>
  <si>
    <t>SBA 25/287</t>
  </si>
  <si>
    <t>“Juvenil İdiyopatik Artritte Hastalık Gidişatının Değerlendirilmesinde Kalprotektinin Yeri”</t>
  </si>
  <si>
    <t>217.</t>
  </si>
  <si>
    <t>SBA 25/288</t>
  </si>
  <si>
    <t>Prof. Dr. Bülent Enis ŞEKEREL</t>
  </si>
  <si>
    <t>“6-18 Yaş Arası Besin İlişkili IgE Aracılı Reaksiyonu Olan Hastaların Değerlendirilmesi”</t>
  </si>
  <si>
    <t>218.</t>
  </si>
  <si>
    <t>SBA 25/289</t>
  </si>
  <si>
    <t>Prof. Dr. Özge UYSAL SOYER</t>
  </si>
  <si>
    <t>“Astım Hastalarında Yorgunluk Düzeyinin Astım Kontrol Durumu ile İlişkisinin Değerlendirilmesi”</t>
  </si>
  <si>
    <t>219.</t>
  </si>
  <si>
    <t>SBA 25/290</t>
  </si>
  <si>
    <t>“Antiepileptik İlaç Aşırı Duyarlılık Reaksiyonlarının Klinik ve Laboratuvar Özelliklerinin Risk Analizi ile Değerlendirilmesi”</t>
  </si>
  <si>
    <t>220.</t>
  </si>
  <si>
    <t>SBA 25/291</t>
  </si>
  <si>
    <t>Prof. Dr. Yelda BİLGİNER</t>
  </si>
  <si>
    <t>“Çocukluk Çağı IgG4 İlişkili Hastalık: Çok Merkezli Uluslararası Çalışma”</t>
  </si>
  <si>
    <t>221.</t>
  </si>
  <si>
    <t>SBA 25/292</t>
  </si>
  <si>
    <t>Prof. Dr. Selçuk DAĞDELEN</t>
  </si>
  <si>
    <t>“Kronik Böbrek Hastalarında Glisemik Değişkenlik ve Metabolik Profilin İncelenmesi”</t>
  </si>
  <si>
    <t>222.</t>
  </si>
  <si>
    <t>SBA 25/293</t>
  </si>
  <si>
    <t>Prof. Dr. Aysun BALSEVEN ODABAŞI</t>
  </si>
  <si>
    <t>“Adli Tıp Araştırma Görevlilerinin İstifalarına Yönelik Değerlendirme: Bir Anket Çalışması”</t>
  </si>
  <si>
    <t>223.</t>
  </si>
  <si>
    <t>SBA 25/294</t>
  </si>
  <si>
    <t>“Abdominal ve Torasik Aort Anevrizma Olgularında Endovasküler Onarım Sırasındaki Anestezi Yaklaşımının Klinik Sonuçlar Üzerine Etkilerinin Retrospektif Olarak İncelenmesi”</t>
  </si>
  <si>
    <t>224.</t>
  </si>
  <si>
    <t>SBA 25/295</t>
  </si>
  <si>
    <t>Doç. Dr. Hande GÖRÜCÜ COŞKUNER</t>
  </si>
  <si>
    <t>“Ortodontik Tedavi Sürecinin Keratinize Diş Eti Özellikleri Üzerine Etkisinin İncelenmesi”</t>
  </si>
  <si>
    <t>225.</t>
  </si>
  <si>
    <t>SBA 25/296</t>
  </si>
  <si>
    <t>“Ankara’da Çalışan Aile Hekimlerinin Çalıştıkları İlçenin Sosyo-Ekonomik Gelişmişlik Düzeyi ile Tükenmişlik Durumları Arasındaki İlişkinin Değerlendirilmesi”</t>
  </si>
  <si>
    <t>226.</t>
  </si>
  <si>
    <t>SBA 25/297</t>
  </si>
  <si>
    <t>Prof. Dr. Ayşen AKINCI</t>
  </si>
  <si>
    <t>“Ankilozan Spondiliti Olan ve Olmayan Bireylerde Aşil, Plantar Fasya, Supraspinatus Entez Bölgelerinin Shear Wave Elastografi ile Değerlendirilmesi”</t>
  </si>
  <si>
    <t>227.</t>
  </si>
  <si>
    <t>SBA 25/298</t>
  </si>
  <si>
    <t>“Erken Başlangıçlı Skolyozda Tweener Grubunun Cerrahi Tedavisinde Büyüyen Rod Uygulamaları ile Posterior Spinal Füzyonun Orta-Uzun Dönem Sonuçlarının Karşılaştırılması”</t>
  </si>
  <si>
    <t>228.</t>
  </si>
  <si>
    <t>SBA 25/299</t>
  </si>
  <si>
    <t>Prof. Dr. Güney YILMAZ</t>
  </si>
  <si>
    <t>“Serebral Palsili Çocuklarda Kalça Cerrahisi Sonrası Tekrar Çıkık Gelişimini Etkileyen Faktörler”</t>
  </si>
  <si>
    <t>229.</t>
  </si>
  <si>
    <t>SBA 25/300</t>
  </si>
  <si>
    <t>“Pediatrik Popülasyonda Pelvik BT ile Asetabular Sektör Açıları ve Femoroasetabular Parametreler Arasındaki Korelasyonun Değerlendirilmesi ve Normatif Referans Değerlerin Belirlenmesi”</t>
  </si>
  <si>
    <t>230.</t>
  </si>
  <si>
    <t>SBA 25/301</t>
  </si>
  <si>
    <t>Dr. Öğr. Üyesi Gökçen AKÇİÇEK</t>
  </si>
  <si>
    <t>“Panoramik Radyograflarda Derin Öğrenme Yöntemiyle Gelistirilen Yapay Zeka Algoritmasıyla Mandibulada Idiyopatik Osteoskleroz ile Kondensing Osteitisin Tespitinin ve Ayrımının Yapılması”</t>
  </si>
  <si>
    <t>231.</t>
  </si>
  <si>
    <t>SBA 25/302</t>
  </si>
  <si>
    <t>“Geriatrik Jinekolojik Hastalarda Cerrahi Morbiditenin İncelenmesi”</t>
  </si>
  <si>
    <t>232.</t>
  </si>
  <si>
    <t>SBA 25/303</t>
  </si>
  <si>
    <t>Prof. Dr. Zafer Selçuk TUNCER</t>
  </si>
  <si>
    <t>“İzole Humerus Kırığı İle Prezente Olan Endometrium Kanseri Vaka Raporu”</t>
  </si>
  <si>
    <t>233.</t>
  </si>
  <si>
    <t>SBA 25/304</t>
  </si>
  <si>
    <t>“Kanıta Dayalı Eğitim Müdahaleleri ile Lipid Profili Test İstemlerinin Optimizasyonu: Kalite Geliştirme Çalışması”</t>
  </si>
  <si>
    <t>234.</t>
  </si>
  <si>
    <t>SBA 25/305</t>
  </si>
  <si>
    <t>“Aile Sağlığı Merkezlerinde Aile Hekimleri Tarafından Yapılacak Bakım Noktası Ultrasonografisi: Erişkin Bireylerin Tutum ve Güveni”</t>
  </si>
  <si>
    <t>235.</t>
  </si>
  <si>
    <t>SBA 25/306</t>
  </si>
  <si>
    <t>Prof. Dr. Murat GÜLTEKİN</t>
  </si>
  <si>
    <t>“Borderline Over Tümörlerinde Histerektominin Prognoza Etkisi”</t>
  </si>
  <si>
    <t>236.</t>
  </si>
  <si>
    <t>SBA 25/307</t>
  </si>
  <si>
    <t>“IL-23 İnhibitörü Kullanan Hastalarda Üçüncü Ay Yanıtlarının Birinci Yıl Yanıtlarıyla Korelasyonu”</t>
  </si>
  <si>
    <t>237.</t>
  </si>
  <si>
    <t>SBA 25/308</t>
  </si>
  <si>
    <t>Arş. Gör. Dr. Evrim ÜNVER</t>
  </si>
  <si>
    <t>“Kol Salınımının Derinlik Sıçraması Optimal Düşüş Yüksekliğine Etkisinin İncelenmesi”</t>
  </si>
  <si>
    <t>238.</t>
  </si>
  <si>
    <t>SBA 25/309</t>
  </si>
  <si>
    <t>Doç. Dr. Aslıhan AYKARA</t>
  </si>
  <si>
    <t>“Yardımcı Üreme Tekniklerine Başvuran Kadınlarla Güçlendirme Odaklı Sosyal Hizmet Grup Müdahalesi”</t>
  </si>
  <si>
    <t>239.</t>
  </si>
  <si>
    <t>SBA 25/310</t>
  </si>
  <si>
    <t>“Kalsiyum Silikat Esaslı Kök Kanal Dolgu Maddelerinin Kanal Tedavili Dişlerin Kırılma Dayanımına Etkisinde Kalsiyum Hidroksitin Rolü”</t>
  </si>
  <si>
    <t>240.</t>
  </si>
  <si>
    <t>SBA 25/311</t>
  </si>
  <si>
    <t>“Kök Kanalında Kırılan Farklı Döner Eğelerin Kanaldan Uzaklaştırılması Sırasındaki Dentin Kalınlığındaki Değişimin ve Apikalden Taşan Debrisin Değerlendirilmesi”</t>
  </si>
  <si>
    <t>241.</t>
  </si>
  <si>
    <t>SBA 25/312</t>
  </si>
  <si>
    <t>“Retroperitoneal Fibrozisli IgG4 İlişkili Hastalığı Bulunan Hastaların Romatolojik ve Ürolojik Açıdan Mortalite, Morbitide, Prognozlarının ve Tedavi Yaklaşımlarının Değerlendirilendirilmesi”</t>
  </si>
  <si>
    <t>242.</t>
  </si>
  <si>
    <t>SBA 25/313</t>
  </si>
  <si>
    <t>"Fertilite Koruyucu Tedavi Uygulanan Endometrium Kanseri ve Endometrial İntraepitelyal Neoplazi Tanılı Hastalarda Moleküler Sınıflandırmanın Prognoza Etkisi”</t>
  </si>
  <si>
    <t>243.</t>
  </si>
  <si>
    <t>SBA 25/314</t>
  </si>
  <si>
    <t>Prof. Dr. Özgür CANBAY</t>
  </si>
  <si>
    <t>“Mandibuler Distraktör Takılan Pediatrik Hastalarda Perioperatif Komlikasyonların Retrospektrif İncelenmesi”</t>
  </si>
  <si>
    <t>244.</t>
  </si>
  <si>
    <t>SBA 25/315</t>
  </si>
  <si>
    <t>Prof. Dr. Ziya Toros SELÇUK</t>
  </si>
  <si>
    <t>“Pnömosistis Jirovecii Pnömonisi Tanısı Koyulan Hastalarda Risk Faktörleri ve Tedavi Yanıtlarının Değerlendirilmesi”</t>
  </si>
  <si>
    <t>245.</t>
  </si>
  <si>
    <t>SBA 25/316</t>
  </si>
  <si>
    <t>“Kök Kanal Tedavili Dişlerin Kırılma Dayanımında Gütaperkanın Tavsiye Edilen Tüketim Tarihinin Rolü”</t>
  </si>
  <si>
    <t>246.</t>
  </si>
  <si>
    <t>SBA 25/317</t>
  </si>
  <si>
    <t>Prof. Dr. Işkın Pınar ZARAKOL</t>
  </si>
  <si>
    <t>“Cinsel Yolla Bulaşan Enfeksiyonlarda Risk Paternlerinin Veri Odaklı Keşfi: Makine Öğrenimi Yaklaşımı”</t>
  </si>
  <si>
    <t>247.</t>
  </si>
  <si>
    <t>SBA 25/318</t>
  </si>
  <si>
    <t>“Adipozite İndeksleri İle Geriatrik Sendromlar Arasındaki İlişki”</t>
  </si>
  <si>
    <t>248.</t>
  </si>
  <si>
    <t>SBA 25/319</t>
  </si>
  <si>
    <t>“Kişiye Özel İmplantlar İle Yapılan Le Fort 1 Cerrahisinde Maksilla Pozisyonunun Doğruluğunun İncelenmesi”</t>
  </si>
  <si>
    <t>249.</t>
  </si>
  <si>
    <t>SBA 25/320</t>
  </si>
  <si>
    <t>“Migren Tedavisi Optimizasyon Anketi (MTOQ)-4"ün Türkçe Geçerlik ve Güvenirlik Çalışması”</t>
  </si>
  <si>
    <t>250.</t>
  </si>
  <si>
    <t>SBA 25/321</t>
  </si>
  <si>
    <t>“Kronik Hastalıklarda Doktor-Hasta İlişkisi Ölçeği’nin Türkçe Geçerlik ve Güvenirlik Çalışması”</t>
  </si>
  <si>
    <t>251.</t>
  </si>
  <si>
    <t>SBA 25/322</t>
  </si>
  <si>
    <t>“Deoksiriboz Nükleik Asit Yanlış Eşleşme Tamir Proteinlerinde İmmunohistokimyasal Olarak Kayıp Gözlenen Endometrium Kanserlerinde, Lynch Sendromu İçin Uygulanan Algoritmanın ve Çalışma Kohortunda Lynch Sendromu Saptanan Olguların Değerlendirilmesi”</t>
  </si>
  <si>
    <t>252.</t>
  </si>
  <si>
    <t>SBA 25/323</t>
  </si>
  <si>
    <t>Doç. Dr. Oytun PORTAKAL</t>
  </si>
  <si>
    <t>“Prostat ve Mesane Kanserlerinde DNA Hasar Yanıtının Hedeflenmesi: Preklinik Modelleme"</t>
  </si>
  <si>
    <t>253.</t>
  </si>
  <si>
    <t>SBA 25/324</t>
  </si>
  <si>
    <t>“Leiomyoma Tanısıyla Opere Edilen Ve Fumarat Hidrataz Eksikliği Saptanan Hastaların Klinik Sonuçlarının Değerlendirilmesi”</t>
  </si>
  <si>
    <t>254.</t>
  </si>
  <si>
    <t>SBA 25/325</t>
  </si>
  <si>
    <t>Dr. Öğr. Üyesi Selen ADİLOĞLU</t>
  </si>
  <si>
    <t>“Bir Üniversite Hastanesindeki Diş Hekimlerinin Dental Anksiyete Konusundaki Bilgi, Farkındalık ve Yönetim Stratejilerinin Değerlendirilmesi”</t>
  </si>
  <si>
    <t>255.</t>
  </si>
  <si>
    <t>SBA 25/326</t>
  </si>
  <si>
    <t>“Aktive Fosfoinositid 3-Kinaz Delta| Sendromu Tanısında Laboratuvar Testlerinin Karşılaştırılması”</t>
  </si>
  <si>
    <t>256.</t>
  </si>
  <si>
    <t>SBA 25/327</t>
  </si>
  <si>
    <t>“Kistik Fibrozisli Çocuklarda İlk Asemptomatik Metisilin Dirençli Staphylococcus aureus Üremesine Yönelik Antibiyotik Tedavisi Verilmesinin Klinik Duruma Etkisi”</t>
  </si>
  <si>
    <t>257.</t>
  </si>
  <si>
    <t>SBA 25/328</t>
  </si>
  <si>
    <t>Prof. Dr. Pelin Özlem ŞİMŞEK KİPER</t>
  </si>
  <si>
    <t>“46,XY Cinsiyet Gelişim Bozukluğu Tanılı Hastalarda Moleküler Etiyolojinin Araştırılması”</t>
  </si>
  <si>
    <t>258.</t>
  </si>
  <si>
    <t>SBA 25/329</t>
  </si>
  <si>
    <t>“İnek Sütü Alerjisi Olan Çocuklarda Serum Albümin Duyarlılığı ve Sığır Eti Alerjisi Birlikteliğinin Değerlendirilmesi”</t>
  </si>
  <si>
    <t>259.</t>
  </si>
  <si>
    <t>SBA 25/330</t>
  </si>
  <si>
    <t>Prof. Dr. E. Nazlı GÖNÇ</t>
  </si>
  <si>
    <t>“Psödohipoparatiroidizmin Klinik ve Laboratuvar Özellikleri ile Genotip-Fenotip İlişkisi”</t>
  </si>
  <si>
    <t>260.</t>
  </si>
  <si>
    <t>SBA 25/331</t>
  </si>
  <si>
    <t>Öğr. Gör. Dr. Bahattin PASLI</t>
  </si>
  <si>
    <t>Anatomi Anabilim Dalı</t>
  </si>
  <si>
    <t>“Fossa Vermiana’nın Morfolojik ve Morfometrik Olarak İncelenmesi”</t>
  </si>
  <si>
    <t>261.</t>
  </si>
  <si>
    <t>SBA 25/332</t>
  </si>
  <si>
    <t>Doç. Dr. Ceren GÜNBEY</t>
  </si>
  <si>
    <t>“Çocukluk Çağında Dirençli Epilepside Uyku Bozuklukları ve Diğer Komorbid Durumların Değerlendirilmesi”</t>
  </si>
  <si>
    <t>262.</t>
  </si>
  <si>
    <t>SBA 25/333</t>
  </si>
  <si>
    <t>Doç. Dr. Özlem DİKMETAŞ SANDIKÇI</t>
  </si>
  <si>
    <t>“Kornea Endotelini Etkileyen Hastalıklarda İnvivo Konfokal Mikroskopi Görüntülerinin Derin Öğrenme Tabanlı Bilgisayarlı Görü Yöntemleriyle Sınıflandırılması”</t>
  </si>
  <si>
    <t>263.</t>
  </si>
  <si>
    <t>SBA 25/334</t>
  </si>
  <si>
    <t>“Yaşlı Bireylerde Farklı Formüllerle Hesaplanan Glomerüler Filtrasyon Hızı ile Kognitif Fonksiyonların ilişkisi”</t>
  </si>
  <si>
    <t>264.</t>
  </si>
  <si>
    <t>SBA 25/335</t>
  </si>
  <si>
    <t>“Kök Kanalında Farklı Uzunluklarda Kırılan Nikel-Titanyum Eğelerin Farklı Yöntemler ile Uzaklaştırılmasının Apikalden Taşan Debrise Etkisi”</t>
  </si>
  <si>
    <t>265.</t>
  </si>
  <si>
    <t>SBA 25/336</t>
  </si>
  <si>
    <t>Doç. Dr. Cafer BALCI</t>
  </si>
  <si>
    <t>“Türkiye 65 Yaş Üstü Popülasyonunda Yaşa ve Cinsiyete Göre Baldır Çevresi Persentil Eğrilerinin Oluşturulması: Tek Merkezli Kesitsel Bir Çalışma”</t>
  </si>
  <si>
    <t>266.</t>
  </si>
  <si>
    <t>SBA 25/337</t>
  </si>
  <si>
    <t>“Kartilaj Slop ve Ön Çapraz Bağı Rüptürü Risk Faktörlerinin Merge MRG ile Değerlendirilmesi”</t>
  </si>
  <si>
    <t>267.</t>
  </si>
  <si>
    <t>SBA 25/338</t>
  </si>
  <si>
    <t>Öğr. Gör. Dr. Aslı Şan DAĞLI GÜL</t>
  </si>
  <si>
    <t>“Sigara İçen ve İçmeyen Bireylerde D Vitamini Seviyeleri ile İnflamatuar Biyobelirteçler (CRP, IL-17, IL-19) Arasındaki İlişkinin Değerlendirilmesi”</t>
  </si>
  <si>
    <t>268.</t>
  </si>
  <si>
    <t>SBA 25/339</t>
  </si>
  <si>
    <t>“Farklı Konsantrasyonlarda ve Taşıyıcılarla Hazırlanan Kalsiyum Hidroksitin Apikalden Taşma Miktarının İn Vitro Değerlendirilmesi”</t>
  </si>
  <si>
    <t>269.</t>
  </si>
  <si>
    <t>SBA 25/340</t>
  </si>
  <si>
    <t>Prof. Dr. İnci Nur SALTIK TEMİZEL</t>
  </si>
  <si>
    <t>“Çocuklarda Duodenogastrik Reflü Hastalığı: Bu Bir Fonksiyonel Gastrointestinal Hastalık mıdır?”</t>
  </si>
  <si>
    <t>270.</t>
  </si>
  <si>
    <t>SBA 25/341</t>
  </si>
  <si>
    <t>Prof. Dr. Ümit Murat ŞAHİNER</t>
  </si>
  <si>
    <t>“AtopikDermatit Tanılı Adölesan Hastalarda Uyku ve Yasam Kalitesinin Değerlendirilmesi”</t>
  </si>
  <si>
    <t>271.</t>
  </si>
  <si>
    <t>SBA 25/342</t>
  </si>
  <si>
    <t>Öğr. Gör. Dr. Yaman MUŞDAL</t>
  </si>
  <si>
    <t>“Schwartz Jampel Sendromunda Metabolik Yolakların Araştırılması ve Terapötik Yaklaşım Hedefleri”</t>
  </si>
  <si>
    <t>272.</t>
  </si>
  <si>
    <t>SBA 25/343</t>
  </si>
  <si>
    <t>Prof. Dr. Mehmet Ali KILIÇARSLAN</t>
  </si>
  <si>
    <t>"Erişkinlerde Yaş Tayini İçin Pulpanın Radyolojik Değişikliklerinin İncelendiği Yeni Bir Yöntemin Değerlendirilmesi"</t>
  </si>
  <si>
    <t>273.</t>
  </si>
  <si>
    <t>SBA 25/344</t>
  </si>
  <si>
    <t>“Elektrofizyoloji Laboratuvarında Miyotonik Boşalımlar: Tanı, Klinik ve Elektrofizyoloji”</t>
  </si>
  <si>
    <t>274.</t>
  </si>
  <si>
    <t>SBA 25/345</t>
  </si>
  <si>
    <t>“Herediter Miyelin Hastalıklarında Periferik Sinir Sistemi Tutulumunun Elektrofizyolojik Özellikleri”</t>
  </si>
  <si>
    <t>275.</t>
  </si>
  <si>
    <t>SBA 25/346</t>
  </si>
  <si>
    <t>Doç. Dr. Nagihan KOÇ</t>
  </si>
  <si>
    <t>“Dudak Damak Yarığı Hastalarında Temporomandibuler Eklem Patolojilerinin Konik Işınlı Bilgisayarlı Tomografi (KIBT) Görüntüleri Üzerinden Araştırılması”</t>
  </si>
  <si>
    <t>276.</t>
  </si>
  <si>
    <t>SBA 25/347</t>
  </si>
  <si>
    <t>Doç. Dr. Oğuz KUŞCU</t>
  </si>
  <si>
    <t>“Baş Boyun Yassı Hücreli Kanserlerinde DNA Metilasyonunun Gen Ekspresyonu Üzerinden Prognoza Etkisi”</t>
  </si>
  <si>
    <t>277.</t>
  </si>
  <si>
    <t>SBA 25/348</t>
  </si>
  <si>
    <t>Prof. Dr. Mehmet Ruhi ONUR</t>
  </si>
  <si>
    <t>“Radyasyon Yönetim Sistemleri ile Bilgisayarlı Tomografi Tetkiklerinin Lokal Tanısal Referans Seviyelerinin Belirlenmesi”</t>
  </si>
  <si>
    <t>278.</t>
  </si>
  <si>
    <t>SBA 25/349</t>
  </si>
  <si>
    <t>“Primer Hiperparatiroidi Hastalarında Cerrahi Tedavi ile Sağlanan Kürün Miyokin Profili Üzerindeki Etkilerinin İncelenmesi”</t>
  </si>
  <si>
    <t>279.</t>
  </si>
  <si>
    <t>SBA 25/350</t>
  </si>
  <si>
    <t>Prof. Dr. Nalan ÇELEBİ</t>
  </si>
  <si>
    <t>“Lateral Epikondilit Tedavisinde Steroid Enjeksiyonu ile Kombine Lateral Antebrakial Kutanöz Sinir Pulsed Radyofrekans Tedavisinin Etkinliğinin Değerlendirilmesi”</t>
  </si>
  <si>
    <t>280.</t>
  </si>
  <si>
    <t>SBA 25/351</t>
  </si>
  <si>
    <t>“Medial Diz Ağrısı Olan Diz Osteoartritli Hastalarda Safen ve Medial Geniküler Sinirlerin Pulsed Radyofrekans Tedavilerinin Etkinliklerinin Karşılaştırılması”</t>
  </si>
  <si>
    <t>281.</t>
  </si>
  <si>
    <t>SBA 25/352</t>
  </si>
  <si>
    <t>Prof. Dr. İmran VURAL</t>
  </si>
  <si>
    <t>“Küresel Bir Halk Sağlığı Problemi Olan Antibiyotik Direncini Aşmak için Antisense Oligonükleotit Temelli Yenilikçi Formülasyonların Geliştirilmesi ve Değerlendirilmesi”</t>
  </si>
  <si>
    <t>282.</t>
  </si>
  <si>
    <t>SBA 25/353</t>
  </si>
  <si>
    <t>Dr. Öğr. Üyesi Ceren Damla DURMAZ ÖZDİNÇ</t>
  </si>
  <si>
    <t>“Multiple Miyelom Etiyolojisinde Kopya Sayısı Değişikliklerinin Dijital Multipleks Ligasyon Bağımlı Prob Amplifikasyonu (MLPA) ile Araştırılması”</t>
  </si>
  <si>
    <t>283.</t>
  </si>
  <si>
    <t>SBA 25/354</t>
  </si>
  <si>
    <t>Prof. Dr. Özlem BOYBEYİ</t>
  </si>
  <si>
    <t>“Çocuklarda Laparoskopik Kolesistektomilerde İndosiyaninyeşil (ICG) destekli Floresan Görüntülemenin Cerrahi Sonuçlara Etkisinin Belirlenmesi”</t>
  </si>
  <si>
    <t>284.</t>
  </si>
  <si>
    <t>SBA 25/355</t>
  </si>
  <si>
    <t>“Maksiller Darlığa Sahip İleri Sutural Maturasyon Evresinde Olan Hastalarda Modifiye Glassman Tekniği ile Cortico-Puncture Tekniği Uygulanarak Yapılan Mini Vida Destekli Genişletme Tedavisinin Etkilerinin Karşılaştırılması”</t>
  </si>
  <si>
    <t>285.</t>
  </si>
  <si>
    <t>SBA 25/356</t>
  </si>
  <si>
    <t>Doç. Dr. İrem KOÇ</t>
  </si>
  <si>
    <t>"İntraoküler Retinoblastomun Geç Nükslerinin Retrospektif Olarak Değerlendirilmesi"</t>
  </si>
  <si>
    <t>286.</t>
  </si>
  <si>
    <t>SBA 25/357</t>
  </si>
  <si>
    <t>“Temporomandibular Eklem Bozukluklarında Ağız Açma Sırasında Disk Morfolojisinde Meydana Gelen Pozisyonel Transformasyonun Klinik Bulgular ve Manyetik Rezonans Görüntüleme Parametreleri ile İlişkisinin Değerlendirilmesi”</t>
  </si>
  <si>
    <t>287.</t>
  </si>
  <si>
    <t>SBA 25/358</t>
  </si>
  <si>
    <t>Prof. Dr. Hane TAYLAN ŞEKEROĞLU</t>
  </si>
  <si>
    <t>“Nörodejeneratif Hastalıkların Erken Tanısında Göz Hareketleri Kullanılabilir mi?: Yapay Zeka Aracılıklı Vaka-Kontrol Çalışması”</t>
  </si>
  <si>
    <t>288.</t>
  </si>
  <si>
    <t>SBA 25/359</t>
  </si>
  <si>
    <t>“Kritik Hastalarda Rutin Mikrodolaşım Değerlendirmesinin Şok Erken Tanısına Etkisi”</t>
  </si>
  <si>
    <t>289.</t>
  </si>
  <si>
    <t>SBA 25/360</t>
  </si>
  <si>
    <t>“İskemik Ventriküler Taşikardi Ablasyon Tedavisinde Kritik Koridorların Değerlendirilmesi: Üç Boyutlu Elektroanatomik Haritalama ve Kardiyak Manyetik Rezonans Görüntüleme Bulgularının Karşılaştırılması ve Sonlanımlar Üzerine Etkisi”</t>
  </si>
  <si>
    <t>290.</t>
  </si>
  <si>
    <t>SBA 25/361</t>
  </si>
  <si>
    <t>Prof. Dr. Taylan TAV</t>
  </si>
  <si>
    <t>“Şiddetli Ülseratif Kolit Hastalarında Aleksitimi Varlığının Değerlendirilmesi”</t>
  </si>
  <si>
    <t>291.</t>
  </si>
  <si>
    <t>SBA 25/362</t>
  </si>
  <si>
    <t>“İnflamatuar Bağırsak Hastalıklarında Kullanılan Biyolojik Ajanlarda Tedavi Persistensinin Değerlendirilmesi ”</t>
  </si>
  <si>
    <t>292.</t>
  </si>
  <si>
    <t>SBA 25/363</t>
  </si>
  <si>
    <t>“Meme Kanseri Hastalarında Gustave Roussy İmmün Skorunun Sağ Kalım ile İlişkisi”</t>
  </si>
  <si>
    <t>293.</t>
  </si>
  <si>
    <t>SBA 25/364</t>
  </si>
  <si>
    <t>Prof. Dr. Murat GÜLTEKİN
Prof. Dr. Türkmen Turan ÇİFTÇİ</t>
  </si>
  <si>
    <t>“Endometrioma Nedeniyle Skleroterapi Uygulanan Hastalarda Over Rezervi, Fertilite, Gebelik Sonuçları ve Endometrioma Prognozu Üzerine Etkisinin Retrospektif Analizi”</t>
  </si>
  <si>
    <t>294.</t>
  </si>
  <si>
    <t>SBA 25/365</t>
  </si>
  <si>
    <t>Prof. Dr. Ebru DAMADOĞLU</t>
  </si>
  <si>
    <t>"Steroid Olmayan Anti-İnflamatuar İlaçlarla Alevlenen Hava Yolu Hastalığı (NERD) Hastalarında Aspirin Desensitizasyonu Sonrası Düzenli Aspirin Tedavisinin (ATAD) Serum Lipit Mediyatörleri Üzerine Etkilerinin Araştırılması"</t>
  </si>
  <si>
    <t>295.</t>
  </si>
  <si>
    <t>SBA 25/366</t>
  </si>
  <si>
    <t>“Keratokonus Evresi ile Retina Sinir Lifi Tabakası, Makula Kalınlığı, Ganglion Hücre Tabakası Parametrelerindeki Değişikliklerin İlişkisinin Optik Koherens Tomografi Kullanarak İncelenmesi”</t>
  </si>
  <si>
    <t>296.</t>
  </si>
  <si>
    <t>SBA 25/367</t>
  </si>
  <si>
    <t>Prof. Dr. Ahmet PINAR</t>
  </si>
  <si>
    <t>“Yeni Hepatit B Biyobelirteçlerinin Kronik Hepatit B Hastalığının Fazlarındaki Değişiminin İncelenmesi”</t>
  </si>
  <si>
    <t>297.</t>
  </si>
  <si>
    <t>SBA 25/368</t>
  </si>
  <si>
    <t>“Rekreasyonel ve Elit Kadın Sporcularda İnkontinans Sıklığının ve Etiyolojisinin Belirlenmesi”</t>
  </si>
  <si>
    <t>298.</t>
  </si>
  <si>
    <t>SBA 25/369</t>
  </si>
  <si>
    <t>Prof. Dr. Feza KORKUSUZ</t>
  </si>
  <si>
    <t>“Eklem İçi Ortobiyolojik Uygulanmış Diz Osteoartritli Hastaların Hareket Analizi”</t>
  </si>
  <si>
    <t>299.</t>
  </si>
  <si>
    <t>SBA 25/370</t>
  </si>
  <si>
    <t>Prof. Dr. Hasan Serkan DOĞAN</t>
  </si>
  <si>
    <t>''Tam Çift Sistemler İçin Yapılan Üst Kutuplu Heminefrektomi Sonrası Hasta Takiplerinde Alt Üriner Sistem Cerrahisi Gerekliliğinin Değerlendirilmesi”</t>
  </si>
  <si>
    <t>300.</t>
  </si>
  <si>
    <t>SBA 25/371</t>
  </si>
  <si>
    <t>Prof. Dr. Cenk Yücel BİLEN</t>
  </si>
  <si>
    <t>“Farklı Cinsteki Üriner Sistem Taşlarının Evriminin Cerrahi Bulgular ve Laboratuar Tetkikleri ile Araştırılması”</t>
  </si>
  <si>
    <t>301.</t>
  </si>
  <si>
    <t>SBA 25/372</t>
  </si>
  <si>
    <t>Prof. Dr. Neşe DERİCİOĞLU</t>
  </si>
  <si>
    <t>“Post-travmatik Epilepsi: Hastaların Klinik Özellikleri, MRGve EEG Bulgularının Prognozla İlişkisi”</t>
  </si>
  <si>
    <t>302.</t>
  </si>
  <si>
    <t>SBA 25/373</t>
  </si>
  <si>
    <t>Prof. Dr. Ömer DİZDAR</t>
  </si>
  <si>
    <t>“Mikrosatellit İnstabilitesi Yüksek Olan Mide Kanseri Olgularında Tedavi Yaklaşımı ve Prognoz İncelenmesi”</t>
  </si>
  <si>
    <t>303.</t>
  </si>
  <si>
    <t>SBA 25/374</t>
  </si>
  <si>
    <t>“Elektrofizyoloji Laboratuvannda Pleksus Hasarı Tanısı”</t>
  </si>
  <si>
    <t>304.</t>
  </si>
  <si>
    <t>SBA 25/375</t>
  </si>
  <si>
    <t>“Yoğun Bakım Hastalarında Vücut Yağ ve Kas Dağılımının Organ Sonlanımı ve Mortaliteye Etkisi”</t>
  </si>
  <si>
    <t>305.</t>
  </si>
  <si>
    <t>SBA 25/376</t>
  </si>
  <si>
    <t>“Kalıtsal Kanser Sendromlarında Gelişmiş Genomik Yaklaşımlarla Yeni Genetik Faktörlerin Tanımlanması”</t>
  </si>
  <si>
    <t>306.</t>
  </si>
  <si>
    <t>SBA 25/377</t>
  </si>
  <si>
    <t>“Opere Temporal Lob Epilepsili Hastalarda Jeneralize İnteriktal Epileptiform Deşarj Varlığı ve Önemi”</t>
  </si>
  <si>
    <t>307.</t>
  </si>
  <si>
    <t>SBA 25/378</t>
  </si>
  <si>
    <t>Prof. Dr. Dilek ASLAN</t>
  </si>
  <si>
    <t>"Üniversite Öğrencileri Arasında Sosyal Medyada Karşılaştıkları Beslenme ve Gıda ile İlgili İçeriklerin Öğrencilerin Beslenme Davranışlarını Etkileme Durumlarına İlişkin Görüşlerinin Belirlenmesi"</t>
  </si>
  <si>
    <t>308.</t>
  </si>
  <si>
    <t>SBA 25/379</t>
  </si>
  <si>
    <t>Doç. Dr. Çiğdem KARACA</t>
  </si>
  <si>
    <t>“Üçüncü Molar Dişlerle İlişkili Perikoronal Foliküllerin Radyografik ve Patolojik Özelliklerinin Retrospektif İncelenmesi”</t>
  </si>
  <si>
    <t>309.</t>
  </si>
  <si>
    <t>SBA 25/380</t>
  </si>
  <si>
    <t>“İç Hastalıkları Uzmanları ve Araştırma Görevlilerinde Obezite Farkındalığı ve Bilgi Düzeyi ile Eğitim İhtiyacının Belirlenmesi”</t>
  </si>
  <si>
    <t>310.</t>
  </si>
  <si>
    <t>SBA 25/381</t>
  </si>
  <si>
    <t>Prof. Dr. Tevfik KARAGÖZ</t>
  </si>
  <si>
    <t>“Mitral Anüler Disjunction Saptanan Hastalarda Genetik Etiyolojinin Araştırılması ”</t>
  </si>
  <si>
    <t>311.</t>
  </si>
  <si>
    <t>SBA 25/382</t>
  </si>
  <si>
    <t>“POS-VAP: Sürekli Gözlemsel Çalışma- Ventilatör İlişkili Pnömoni”</t>
  </si>
  <si>
    <t>312.</t>
  </si>
  <si>
    <t>SBA 25/383</t>
  </si>
  <si>
    <t>Prof. Dr. Aygin EKİNCİOĞLU</t>
  </si>
  <si>
    <t>“Dahiliye Servislerinde İlaç Uygulama Zamanlarının Değerlendirilmesi ve Klinik Eczacının Rolü”</t>
  </si>
  <si>
    <t>313.</t>
  </si>
  <si>
    <t>SBA 25/384</t>
  </si>
  <si>
    <t>“Kalça Osteoartritli Hastalarda Floroskopi ve Ultrasonografi Kılavuzluğunda İntraartiküler Kalça Enjeksiyonlarının Etkinliklerinin Karşılaştırılması”</t>
  </si>
  <si>
    <t>314.</t>
  </si>
  <si>
    <t>SBA 25/385</t>
  </si>
  <si>
    <t>“Diz Osteoartritli Hastalarda Floroskopi ve Ultrasonografi Kılavuzluğunda İntraartiküler Diz Enjeksiyonlarının Etkinliklerinin Karşılaştırılması"</t>
  </si>
  <si>
    <t>315.</t>
  </si>
  <si>
    <t>SBA 25/386</t>
  </si>
  <si>
    <t>“Laringotrakeal Stenoz Cerrahi Tedavisinde Uzun Dönem Sonuçlarımız: 15 Yıllık Hacettepe Tecrübesi”</t>
  </si>
  <si>
    <t>316.</t>
  </si>
  <si>
    <t>SBA 25/387</t>
  </si>
  <si>
    <t>“Soliter Fibröz Tümör/Hemanjioperisitoma Tanılı Hastaların Demografik, Klinikopatolojik, Prognostik Özelliklerinin ve Tedavi Yanıtlarının Değerlendirilmesi”</t>
  </si>
  <si>
    <t>317.</t>
  </si>
  <si>
    <t>SBA 25/388</t>
  </si>
  <si>
    <t>“B12 Vitamini Eksikliği Tedavisinin Kılavuza Uygunluğunun Değerlendirilmes”</t>
  </si>
  <si>
    <t>318.</t>
  </si>
  <si>
    <t>SBA 25/389</t>
  </si>
  <si>
    <t>“Obez Hastalarda Meropenem ve Vankomisin Terapötik İlaç Düzeyi İzlemi: Retrospektif Bir Kohort Çalışması”</t>
  </si>
  <si>
    <t>319.</t>
  </si>
  <si>
    <t>SBA 25/390</t>
  </si>
  <si>
    <t>Doç. Dr. Ülkühan ÖZTOPRAK</t>
  </si>
  <si>
    <t>“İlaca Dirençli Fokal Epilepsili Çocuklarda İktal Otonomik Bulguların Değerlendirilmesi”</t>
  </si>
  <si>
    <t>320.</t>
  </si>
  <si>
    <t>SBA 25/391</t>
  </si>
  <si>
    <t>Dr. Öğr. Üyesi Leyla HUSEYNOVA TERZİ</t>
  </si>
  <si>
    <t>“Türkiye’de Deri ve Zührevi Hastalıklar Uzmanları ve Uzmanlık Öğrencilerinin Hekimlik Uygulamalarında Chat GPT Kullanımını ve Bu Uygulamaya Güvenini Değerlendiren Anket Çalışması”</t>
  </si>
  <si>
    <t>321.</t>
  </si>
  <si>
    <t>SBA 25/392</t>
  </si>
  <si>
    <t>"Biyolojik Tedavilerin Otoenjektor ve Kullanıma Hazır Enjektörler Formlarının Evde Kullanımının Degerlendirilmesi"</t>
  </si>
  <si>
    <t>322.</t>
  </si>
  <si>
    <t>SBA 25/393</t>
  </si>
  <si>
    <t>“Paranazal Sinüs Pnömotizasyonu ile Nazal Muayene Bulguları ve Rinomanometrik Parametreler Arasındaki İlişkinin Değerlendirilmesi”</t>
  </si>
  <si>
    <t>323.</t>
  </si>
  <si>
    <t>SBA 25/394</t>
  </si>
  <si>
    <t>“Ortognatik Cerrahide ERAS Yaklaşımının Operatif Parametreler ve Nörosensoryel İyileşmeye Etkisi”</t>
  </si>
  <si>
    <t>324.</t>
  </si>
  <si>
    <t>SBA 25/395</t>
  </si>
  <si>
    <t>“Tıp Fakültesi Öğrencilerinin Zona Hastalığı ve Zona Aşısıyla İlgili Bilgi Düzeyinin Değerlendirilmesi: Tanımlayıcı Kesitsel Çalışma”</t>
  </si>
  <si>
    <t>325.</t>
  </si>
  <si>
    <t>SBA 25/396</t>
  </si>
  <si>
    <t>“Yumurta Alerjisi Olan Çocuk Hastalarda Yumurta Merdiveninin Güvenlik ve Etkinliğinin Değerlendirilmesi”</t>
  </si>
  <si>
    <t>326.</t>
  </si>
  <si>
    <t>SBA 25/397</t>
  </si>
  <si>
    <t>Prof. Dr. Özgür Ahmet ATAY</t>
  </si>
  <si>
    <t>“Ön Çapraz Bağ Rekonstrüksiyonu Yapılan Hastalarda Kemik Tünel Genişliklerinin Zero Time Echo Sekans Manyetik Rezonans Görüntülemeve Bilgisayarlı Tomografi ile Karşılaştırılması”</t>
  </si>
  <si>
    <t>327.</t>
  </si>
  <si>
    <t>SBA 25/398</t>
  </si>
  <si>
    <t>Dr. Öğr. Üyesi Cansu ÖZDEMİR SAKA</t>
  </si>
  <si>
    <t>“Aril Hidrokarbon Reseptör (AhR) Yolağının Mezenkimal Kök Hücreden İn Vitro Adiposit Farklılaşmasındaki ve Olgun Adipositlerdeki Rolünün İncelenmesi”</t>
  </si>
  <si>
    <t>328.</t>
  </si>
  <si>
    <t>SBA 25/399</t>
  </si>
  <si>
    <t>Doç. Dr. Hacı Hasan YETER</t>
  </si>
  <si>
    <t>“Metabolik Disfonsiyon ile İlişkili Steatotik Karaciğer Hastalığında Serum ve İdrar Uromodulin Düzeylerinin Böbrek Fonksiyonlarıyla İlişkisi”</t>
  </si>
  <si>
    <t>329.</t>
  </si>
  <si>
    <t>SBA 25/400</t>
  </si>
  <si>
    <t>“Kırım- Kongo Kanamalı Ateşi Olan Çocuk Hastaların Klinik Verilerinin Retrospektif Değerlendirilmesi”</t>
  </si>
  <si>
    <t>330.</t>
  </si>
  <si>
    <t>SBA 25/401</t>
  </si>
  <si>
    <t>Prof. Dr. Uğur CANPOLAT</t>
  </si>
  <si>
    <t>“Kalıcı Kalp Pili İmplantasyonunda Venöz Oklüzyon İzlenen Hastalarda Venoplasti Sonuçlarının Değerlendirilmesi”</t>
  </si>
  <si>
    <t>331.</t>
  </si>
  <si>
    <t>SBA 25/402</t>
  </si>
  <si>
    <t>“Transfemoral Yol ile Yapılan Girişimsel İşlemlerde Yüzeyel Ultrasonografinin Prognoz ve Mortaliteye Etkisinin Değerlendirilmesi”</t>
  </si>
  <si>
    <t>332.</t>
  </si>
  <si>
    <t>SBA 25/403</t>
  </si>
  <si>
    <t>“Yapay Zekanın Ventriküler Ekstrasistollerin Elektrokardiyografik Özelliklerine Göre Anatomik Lokalizasyonlarının Değerlendirilmesindeki Rolünün İncelenmesi”</t>
  </si>
  <si>
    <t>333.</t>
  </si>
  <si>
    <t>SBA 25/404</t>
  </si>
  <si>
    <t>Prof. Dr. Mustafa CANKURTARAN</t>
  </si>
  <si>
    <t>“Hastanede Yatan 65 Yaş ve Üstü Bireylerde Sosyal Kırılganlığın Değerlendirilmesi ve Geriatrik Sendromlarla İlişkisi”</t>
  </si>
  <si>
    <t>334.</t>
  </si>
  <si>
    <t>SBA 25/405</t>
  </si>
  <si>
    <t>“Polikistik Over Sendromuna İlişkin Bilgi ve Algının Çok Dilli Video Tabanlı Eğitim ile Değerlendirilmesi”</t>
  </si>
  <si>
    <t>335.</t>
  </si>
  <si>
    <t>SBA 25/406</t>
  </si>
  <si>
    <t>Doç. Dr. Emre ALTUNDAŞAR</t>
  </si>
  <si>
    <t>“Periapikal Patolojisi Bulunan Dişlerde Primer Endodontik Tedavinin Başarısızlık Nedenlerinin İncelenmesi”</t>
  </si>
  <si>
    <t>336.</t>
  </si>
  <si>
    <t>SBA 25/407</t>
  </si>
  <si>
    <t>Prof. Dr. Banu SANCAK</t>
  </si>
  <si>
    <t>“Morganellaceae Ailesinde Antibiyotik Direnç Mekanizmalarının ve Virülans Faktörlerinin Fenotipik ve Genotipik Yöntemlerle İncelenmesi”</t>
  </si>
  <si>
    <t>337.</t>
  </si>
  <si>
    <t>SBA 25/408</t>
  </si>
  <si>
    <t>Prof. Dr. Uzay KOÇ VURAL</t>
  </si>
  <si>
    <t>“Güncel Üniversal Kompozit Rezinlerin Polimerizasyon Büzülmesi ve Mikrosızıntı Açısından Karşılaştırılması”</t>
  </si>
  <si>
    <t>338.</t>
  </si>
  <si>
    <t>SBA 25/409</t>
  </si>
  <si>
    <t>Dr. Öğr. Üyesi Buket ACAR</t>
  </si>
  <si>
    <t>“Peri-implantitis ve Periodontitiste İnflamatuvar ve Koruyucu Yanıt: Dişeti Islaklığı, Dişeti Oluğu Sıvısı ve Peri-implant Oluk Sıvısının TNF-α, IL-10, MUC4 Düzeylerinin İncelenmesi”</t>
  </si>
  <si>
    <t>339.</t>
  </si>
  <si>
    <t>SBA 25/410</t>
  </si>
  <si>
    <t>“Fasiyal Reanimasyonda Yeni Bir Donör Sinir: Servikal Sinirin Topografik ve Mikroanatomik Özelliklerinin İncelenmesi, Kadavra Çalışması”</t>
  </si>
  <si>
    <t>340.</t>
  </si>
  <si>
    <t>SBA 25/411</t>
  </si>
  <si>
    <t>Doç. Dr. Şükrü Alpan CİNEMRE</t>
  </si>
  <si>
    <t>“Sezon Öncesi Antrenman Yükü, Kuvvet Parametreleri ve Performans İlişkisinin Antrenman Takibi Yöntemleri ile Değerlendirmesi”</t>
  </si>
  <si>
    <t>341.</t>
  </si>
  <si>
    <t>SBA 25/412</t>
  </si>
  <si>
    <t>Prof. Dr. Gökçen ÇOBAN ÇİFÇİ</t>
  </si>
  <si>
    <t>“Multipıl Skleroz Hastalarındaki Demiyelinizan Lezyonların, Non-demiyelinizan Lezyonlardan Duyarlılık Ağırlıklı MR Görüntüleme ile Ayrımı”</t>
  </si>
  <si>
    <t>342.</t>
  </si>
  <si>
    <t>SBA 25/413</t>
  </si>
  <si>
    <t>"Santral Sinir Sistemi’nde T Hücreli Lenfomaların Görüntüleme Bulguları"</t>
  </si>
  <si>
    <t>343.</t>
  </si>
  <si>
    <t>SBA 25/414</t>
  </si>
  <si>
    <t>“Torasik Outlet Sendromu Hastalarında Stellat Ganglion Bloğu ile Torasik Sempatik Bloğun Ağrı Yönetimindeki Etkinliğinin Karşılaştırılması”</t>
  </si>
  <si>
    <t>344.</t>
  </si>
  <si>
    <t>SBA 25/415</t>
  </si>
  <si>
    <t>“Türkiye'de Aile Hekimlerinin Kronik Ağrısı Olan Hastalara Yaklaşımı: Tanımlayıcı Çalışma”</t>
  </si>
  <si>
    <t>345.</t>
  </si>
  <si>
    <t>SBA 25/416</t>
  </si>
  <si>
    <t>“Koroner Arteriovenöz Fistül Hastalarının Tanı, Tedavi ve Takip Süreçlerinin Retrospektif Değerlendirilmesi”</t>
  </si>
  <si>
    <t>346.</t>
  </si>
  <si>
    <t>SBA 25/417</t>
  </si>
  <si>
    <t>“Yaş ve Cinsiyete Özgü Baldır Çevresi Persentilleri ile Geriatri Polikliniği Hastalarında Olası Sarkopeni Arasındaki İlişki”</t>
  </si>
  <si>
    <t>347.</t>
  </si>
  <si>
    <t>SBA 25/418</t>
  </si>
  <si>
    <t>“Aril Hidrokarbon Reseptörü İnhibisyonunun Kemik İliği Yağ Mezenkimal Kök Hücreleri Kaynaklı Ekstraselüler Veziküller Aracılığıyla Kemik İliği Nişine Olan Etkilerinin Araştırılması”</t>
  </si>
  <si>
    <t>348.</t>
  </si>
  <si>
    <t>SBA 25/419</t>
  </si>
  <si>
    <t>Prof. Dr. Sadberk Lale TOKGÖZOĞLU</t>
  </si>
  <si>
    <t>“Femoral ve Karotis Plak Yükünün Uzun Dönem Takipte Aterosklerotik Vasküler Olaylar ile İlişkisinin Değerlendirilmesi”</t>
  </si>
  <si>
    <t>349.</t>
  </si>
  <si>
    <t>SBA 25/420</t>
  </si>
  <si>
    <t>“Düşük İmmün Reaktif Tripsinojen (IRT) Değerleri Nedeniyle Yenidoğan Taramasından Kaçan Kistik Fibrozisli Çocukların Özellikleri ve Taramada Yakalanan Hasta Grubu ile Karşılaştırılması”</t>
  </si>
  <si>
    <t>350.</t>
  </si>
  <si>
    <t>SBA 25/421</t>
  </si>
  <si>
    <t>“Kafein ve L-Karnitin Takviyesinin Koşucularda Substrat Oksidasyonu ve Solunumsal Eşik Şiddeti Üzerindeki Koşu Performansýna Etkisi”</t>
  </si>
  <si>
    <t>351.</t>
  </si>
  <si>
    <t>SBA 25/422</t>
  </si>
  <si>
    <t>“Psöriazis Tanılı Biyolojik Tedavi Alan Kronik Hepatit B Enfeksiyonu Olan Hastalarda Hepatik Fibrozisin Transient Elastografi ile Değerlendirilmesi”</t>
  </si>
  <si>
    <t>352.</t>
  </si>
  <si>
    <t>SBA 25/423</t>
  </si>
  <si>
    <t>“Kolşisin Dirençli Ailevi Akdeniz Ateşinin Yönetiminde Klinisyen Yaklaşımlarının Anket ile Araştırılması”</t>
  </si>
  <si>
    <t>353.</t>
  </si>
  <si>
    <t>SBA 25/424</t>
  </si>
  <si>
    <t>Prof. Dr. Ayşe AKINCI</t>
  </si>
  <si>
    <t>"Ankilozan Spondiliti Olan ve Olmayan Bireylerde Asil ve Supraspinatus Entez Bölgelerinin Karşılaştırılması ve Ankilozan Spondilit Hastalik Aktivitesi ve Fonksiyonel Durumu ile İlişkilendirilmesi"</t>
  </si>
  <si>
    <t>354.</t>
  </si>
  <si>
    <t>SBA 25/425</t>
  </si>
  <si>
    <t>“Juvenil Skleroderma Tanılı Hastaların Özelliklerinin Belirlenmesi”</t>
  </si>
  <si>
    <t>355.</t>
  </si>
  <si>
    <t>SBA 25/426</t>
  </si>
  <si>
    <t>Prof. Dr. Serap AYDIN</t>
  </si>
  <si>
    <t>“Major Depresyon Bozukluğunda SSRI Tedavisinin Başarısını Öngören, Emosyonel EEG Tabanlı, Çizge Kuramsal ve Nedensel Bir Prognostik Belirteç Araştırması”</t>
  </si>
  <si>
    <t>356.</t>
  </si>
  <si>
    <t>SBA 25/427</t>
  </si>
  <si>
    <t>“İskelet Displazili Çocuklarda Geçici Hemiepifizyodez Cerrahisi Sonrası Radyolojik Sonuçlar ve Rekürrens Eğilimleri”</t>
  </si>
  <si>
    <t>357.</t>
  </si>
  <si>
    <t>SBA 25/428</t>
  </si>
  <si>
    <t>“Pierre Robin Sekanslı Hastalarda Distraksiyon Osteogenezis Uygulamasının Dentofasiyal Yapılara Uzun Dönemdeki Etkisi”</t>
  </si>
  <si>
    <t>358.</t>
  </si>
  <si>
    <t>SBA 25/429</t>
  </si>
  <si>
    <t>Doç. Dr. Ezgi ATİK</t>
  </si>
  <si>
    <t>"Şeffaf Plak Tedavilerinde Kullanılan Ataşmanların Hastaların Estetik ve Fonksiyon Algılarının Üzerine Etkisinin Değerlendirilmesi"</t>
  </si>
  <si>
    <t>359.</t>
  </si>
  <si>
    <t>SBA 25/430</t>
  </si>
  <si>
    <t>"Yüz Dikey Yüksekliği Farklı Olan Kadınlarda Degişen Üst Lateral Diş Boyutlarınım Gülümseme Estetiğine Etkisi”</t>
  </si>
  <si>
    <t>360.</t>
  </si>
  <si>
    <t>SBA 25/431</t>
  </si>
  <si>
    <t>“Neoadjuvan Kemoterapi, Cerrahi ve Adjuvan Radyoterapi Uygulanan Meme Kanserli Olgularda HER2- Düzeyi ile Sağkalım İlişkisi ”</t>
  </si>
  <si>
    <t>361.</t>
  </si>
  <si>
    <t>SBA 25/432</t>
  </si>
  <si>
    <t>Prof. Dr. Bilge VOLKAN SALANCI</t>
  </si>
  <si>
    <t>Nükleer Tıp Anabilim Dalı</t>
  </si>
  <si>
    <t>“İnvaziv Lobüler Meme Kanserinde Pozitron Emisyon Tomografisi / Bilgisayarlı Tomografi Görüntüleme Yöntemi ile Hastalık Heterojenitesinin Değerlendirmesi”</t>
  </si>
  <si>
    <t>362.</t>
  </si>
  <si>
    <t>SBA 25/433</t>
  </si>
  <si>
    <t>“Cerrahi Olarak Tedavi Edilen Pelvik Fragilite Kırığı Olan Hastaların Retrospektif Olarak Değerlendirilmesi: Fonksiyonel ve Radyolojik Bulgular”</t>
  </si>
  <si>
    <t>363.</t>
  </si>
  <si>
    <t>SBA 25/434</t>
  </si>
  <si>
    <t>“ICIQ-FLUTS ve ICIQ-MLUTS Skorlarının Ürodinamik Tanılarla İlişkisi: Retrospektif Bir Analiz”</t>
  </si>
  <si>
    <t>364.</t>
  </si>
  <si>
    <t>SBA 25/435</t>
  </si>
  <si>
    <t>“Nöroloji ve Çocuk Nöroloji Bölümlerinden Çocuk İmmünoloji Bölümüne Konsulte Edilen ve Primer İmmün Yetmezlik Tanısı Konulan Hastaların İncelenmesi”</t>
  </si>
  <si>
    <t>365.</t>
  </si>
  <si>
    <t>SBA 25/436</t>
  </si>
  <si>
    <t>“2500 Hastalık Vaka Serisiyle Primer Dudak ve Damak Yarıkları: Epidemiyolojik, Cerrahi ve Postoperatif Komplikasyonların Erken ve Geç Dönem İlişkisinin Analizi”</t>
  </si>
  <si>
    <t>366.</t>
  </si>
  <si>
    <t>SBA 25/437</t>
  </si>
  <si>
    <t>Prof. Dr. Deniz AKATA</t>
  </si>
  <si>
    <t>"Manyetik Rezonans Görüntülemede Difüzyon Ağırlıklı Görüntüleme Ovaryan ve Adneksal Lezyonları Raporlama ve Veri Sistemi– Manyetik Rezonans Skorlama Skalasının İsabetine Katkısı"</t>
  </si>
  <si>
    <t>367.</t>
  </si>
  <si>
    <t>SBA 25/438</t>
  </si>
  <si>
    <t>Prof. Dr. Göknur HALİLOĞLU</t>
  </si>
  <si>
    <t>“Yenidoğan Taraması ile Tanı Alan Spinal Musküler Atrofili Çocukların Tedavi Altında +2. Yıl Fonksiyonel İzlem Sonuçları: Hacettepe Örneği”</t>
  </si>
  <si>
    <t>368.</t>
  </si>
  <si>
    <t>SBA 25/439</t>
  </si>
  <si>
    <t>Doç. Dr. İdil Rana USER KILIÇ</t>
  </si>
  <si>
    <t>“Çocukluk Çağı Tümörleri İlişkili Trombüslerde Cerrahi Tedavi Yöntemleri”</t>
  </si>
  <si>
    <t>369.</t>
  </si>
  <si>
    <t>SBA 25/440</t>
  </si>
  <si>
    <t>“Çocuk Hastalarda Ekstragonadal Germ Hücreli Tümörlerin Klinik, Patolojik Özellikleri ve LIN28 ile İmmunohistokimyasal Analizi”</t>
  </si>
  <si>
    <t>370.</t>
  </si>
  <si>
    <t>SBA 25/441</t>
  </si>
  <si>
    <t>“Primer Dudak Damak Yarıklı Hastalarda Eşlik Eden Anomalilerin Operasyon Yaşı ve Erken Dönem Postoperatif Komplikasyonlarla İlişkisi</t>
  </si>
  <si>
    <t>371.</t>
  </si>
  <si>
    <t>SBA 25/442</t>
  </si>
  <si>
    <t>Dr. Öğr. Üyesi Oğuz KARCIOĞLU</t>
  </si>
  <si>
    <t>“Erişkin Kistik Fibrozis Hastalarında Genotiplere Göre Modülatör Tedavi Etkinliğinin Değerlendirilmesi”</t>
  </si>
  <si>
    <t>372.</t>
  </si>
  <si>
    <t>SBA 25/443</t>
  </si>
  <si>
    <t>Prof. Dr. Nüket PAKSOY ERBAYDAR</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</si>
  <si>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</si>
  <si>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373.</t>
  </si>
  <si>
    <t>SBA 25/444</t>
  </si>
  <si>
    <t>Prof. Dr. Ülfet Pınar ERKEKOĞLU</t>
  </si>
  <si>
    <t>“Pediatrik Wilson Hastalarında Nörotoksisitenin Değerlendirilmesi”</t>
  </si>
  <si>
    <t>374.</t>
  </si>
  <si>
    <t>SBA 25/445</t>
  </si>
  <si>
    <t>Doç. Dr. Cem ŞİMŞEK</t>
  </si>
  <si>
    <t>“Abdominal Patolojilerin Radyolojik Tanısına Yönelik Derin Öğrenme Modeli Geliştirilmesi.”</t>
  </si>
  <si>
    <t>375.</t>
  </si>
  <si>
    <t>SBA 25/446</t>
  </si>
  <si>
    <t>Prof. Dr. Hülya DEMİR</t>
  </si>
  <si>
    <t>“Çocukluk Çağında Pankreatit”</t>
  </si>
  <si>
    <t>376.</t>
  </si>
  <si>
    <t>SBA 25/447</t>
  </si>
  <si>
    <t>“Farklı Materyaller ve Kalınlıklar ile Taklit Edilen Periodontal Ligamentin Kök Kanal Tedavili Dişlerde Kırılma Dayanımı Üzerindeki Etkisi: İn Vitro Çalışma”</t>
  </si>
  <si>
    <t>377.</t>
  </si>
  <si>
    <t>SBA 25/448</t>
  </si>
  <si>
    <t>“İmmünoterapi Alan Hastalarda İmmün Yan Etki Gelişimini Predikte Eden Klinik ve Genetik Belirteçler”</t>
  </si>
  <si>
    <t>378.</t>
  </si>
  <si>
    <t>SBA 25/449</t>
  </si>
  <si>
    <t>“Üst Aerodigestif Sistem Mukozal Lezyonların Analizinde Dar Bant Görüntülemenin Yeri, Verilerin Histopatolojik İnceleme ile Karşılaştırılması”</t>
  </si>
  <si>
    <t>379.</t>
  </si>
  <si>
    <t>SBA 25/450</t>
  </si>
  <si>
    <t>“Çocuklarda Cerrahi Sonrası Geliştirilmiş İyileştirme (Enhanced Recovery After Surgery: ERAS) Programı Uygulamaları”</t>
  </si>
  <si>
    <t>380.</t>
  </si>
  <si>
    <t>SBA 25/451</t>
  </si>
  <si>
    <t>“Kırım- Kongo Kanamalı Ateşi Tanılı Çocuk ve Erişkin Hastaların Sitokin ve Kemokin Yanıtlarının Değerlendirilmesi”</t>
  </si>
  <si>
    <t>381.</t>
  </si>
  <si>
    <t>SBA 25/452</t>
  </si>
  <si>
    <t>“Toraks BT Görüntülerinde İnterstisyel Akciğer Hastalığı Tespiti Amacıyla Akciğer Desen Analizine Yönelik Yapay Zeka Uygulaması”</t>
  </si>
  <si>
    <t>382.</t>
  </si>
  <si>
    <t>SBA 25/453</t>
  </si>
  <si>
    <t>'Mitral Kapak Replasmanı Sonrası Postoperatif Mitral Gradient ile Kapak Boyutu, Vücut Kitle İndeksi ve Sol Atrium Çapı Arasındakı İlişkinin Retrospektif Analizi''</t>
  </si>
  <si>
    <t>383.</t>
  </si>
  <si>
    <t>SBA 25/454</t>
  </si>
  <si>
    <t>“Preoperatif Uyku Kalitesinin Mandibular Gömülü Üçüncü Molar Diş Çekimi Sonrası Ağrı ve Ödem Üzerine Etkisi”</t>
  </si>
  <si>
    <t>384.</t>
  </si>
  <si>
    <t>SBA 25/455</t>
  </si>
  <si>
    <t>Doç. Dr. Gülşen TAŞDELEN</t>
  </si>
  <si>
    <t>“Aile Hekimliği Uzmanlık Öğrencileri İçin EASM Rotasyonu Öncesi Çevrimiçi Bir Oryantasyon Eğitimi Programının Geliştirilmesi ve Etkinliğinin Değerlendirilmesi”</t>
  </si>
  <si>
    <t>385.</t>
  </si>
  <si>
    <t>SBA 25/456</t>
  </si>
  <si>
    <t>“Nemalin Miyopatisi Olan Hastalar için Çok Merkezli, Prospektif, Uzunlamasına ve Gözlemsel Bir Doğal Seyir Çalışması”</t>
  </si>
  <si>
    <t>386.</t>
  </si>
  <si>
    <t>SBA 25/457</t>
  </si>
  <si>
    <t>“Femur Başı Avasküler Nekrozu Olan Hastalarda Tedavi Modalitelerinin ve Sağkalımın Retrospektif Olarak Değerlendirilmesi”</t>
  </si>
  <si>
    <t>387.</t>
  </si>
  <si>
    <t>SBA 25/458</t>
  </si>
  <si>
    <t>Prof. Dr. Deniz DOĞRU ERSÖZ</t>
  </si>
  <si>
    <t>“Çocukluk Çağında Nintedanib Kullanımı: Tek Merkez Deneyimi”</t>
  </si>
  <si>
    <t>388.</t>
  </si>
  <si>
    <t>SBA 25/459</t>
  </si>
  <si>
    <t>Dr. Öğr. Üyesi Melda ÇELİK</t>
  </si>
  <si>
    <t>“Emzirme Danışmanlığı Merkezi’ne Başvuran Ebeveynlerde Postpartum Depresyon Saptanma Durumunun ve İlişkili Faktörlerin Değerlendirilmesi: Retrospektif Kohort Çalışması”</t>
  </si>
  <si>
    <t>389.</t>
  </si>
  <si>
    <t>SBA 25/460</t>
  </si>
  <si>
    <t>“Tıp Fakültesi ve Beslenme ve Diyetetik Bölümü Öğrencilerinin Hasta Güvenliği ve Mesleklerarası İşbirliği Programına Yönelik Görüşleri”</t>
  </si>
  <si>
    <t>390.</t>
  </si>
  <si>
    <t>SBA 25/461</t>
  </si>
  <si>
    <t>“Çocukluk Çağı Akut Arteriyel İskemik İnme Tanısı Alan Hastalarda Etiyoloji, Tedavi Yaklaşımı ve Nörolojik Sonuçlarının Değerlendirilmesi”</t>
  </si>
  <si>
    <t>391.</t>
  </si>
  <si>
    <t>SBA 25/462</t>
  </si>
  <si>
    <t>“18-49 Yaş Arası Kadınların Birinci Basamakta Yapılan Jinekolojik Muayene Hakkındaki Görüş ve Deneyimleri”</t>
  </si>
  <si>
    <t>392.</t>
  </si>
  <si>
    <t>SBA 25/463</t>
  </si>
  <si>
    <t>“Mesleklerarası İşbirliği Programına Yönelik Öğrenci ve Eğitici Görüşleri: Program Değerlendirme Çalışması”</t>
  </si>
  <si>
    <t>393.</t>
  </si>
  <si>
    <t>SBA 25/464</t>
  </si>
  <si>
    <t>“Asitretin Tedavisi Almış Psoriazis Vulgaris Tanılı Hastalarda FIB-4 Skorunun Retrospektif Değerlendirilmesi”</t>
  </si>
  <si>
    <t>394.</t>
  </si>
  <si>
    <t>SBA 25/465</t>
  </si>
  <si>
    <t>“Klinik Nütrisyon Tedavisinde Hedefe Ulaşmada Önemli Bir Bariyer: Refeedin Sendromu”</t>
  </si>
  <si>
    <t>395.</t>
  </si>
  <si>
    <t>SBA 25/466</t>
  </si>
  <si>
    <t>"İleri Yaşlı Bireylerde Trombosit Lenfosit Oranı ile Disfaji Arasındaki İlişki”</t>
  </si>
  <si>
    <t>396.</t>
  </si>
  <si>
    <t>SBA 25/467</t>
  </si>
  <si>
    <t>“Bruselloz Tanılı Çocukların Sitokin ve Kemokin Yanıtlarının Değerlendirilmesi”</t>
  </si>
  <si>
    <t>397.</t>
  </si>
  <si>
    <t>SBA 25/468</t>
  </si>
  <si>
    <t>“Acil İstenen EEG’lerin Tanısal Değeri ve Tedaviye Katkısı”</t>
  </si>
  <si>
    <t>398.</t>
  </si>
  <si>
    <t>SBA 25/469</t>
  </si>
  <si>
    <t>Prof. Dr. Ayşe Sanem ŞAHLI</t>
  </si>
  <si>
    <t>“Anne Adaylarının İşitme Kaybı Risk Faktörleri ve Erken Korunma Hakkındaki Farkındalıklarının Belirlenmesi ve Eğitimi”</t>
  </si>
  <si>
    <t>399.</t>
  </si>
  <si>
    <t>SBA 25/470</t>
  </si>
  <si>
    <t>“Ekran Maruziyetinin Çocukların İşitme, Konuşma ve Dil Becerilerine Etkisi Konusunda Ebeveyn Farkındalığının İncelenmesi ve Bilgilendirilmesi”</t>
  </si>
  <si>
    <t>400.</t>
  </si>
  <si>
    <t>SBA 25/471</t>
  </si>
  <si>
    <t>“Panoramik Radyografik Görüntüler Kullanılarak Angle Sınıf I, II ve III Malokluzyona Sahip Hastalarda Mandibular Kemik Dansite ve Morfolojisinin Karşılaştırılması”</t>
  </si>
  <si>
    <t>401.</t>
  </si>
  <si>
    <t>SBA 25/472</t>
  </si>
  <si>
    <t>“Uyku Apnesinde Cerrahi Tedavi Olan ve  Pozitif Havayolu Basıncı(CPAP) Cihazı Kullanan Hastalarla, Amelyat Olmadan CPAP Tedavisi Kullanan Hastaların CPAP Basınç ve Titrasyon  Farklılıklarının Saptanması”</t>
  </si>
  <si>
    <t>402.</t>
  </si>
  <si>
    <t>SBA 25/473</t>
  </si>
  <si>
    <t>Doç. Dr. Önder İLGİLİ</t>
  </si>
  <si>
    <t>“Kurtarıcı Kardeş Uygulamasının Etik Boyutları: Uzman Hekimlerin Yaklaşımları”</t>
  </si>
  <si>
    <t>403.</t>
  </si>
  <si>
    <t>SBA 25/474</t>
  </si>
  <si>
    <t>Prof. Dr. Tolga YILDIRIM</t>
  </si>
  <si>
    <t>“Membranöz Nefropati Hastalarında Tiroid Kanseri Taramasının Önemi”</t>
  </si>
  <si>
    <t>404.</t>
  </si>
  <si>
    <t>SBA 25/475</t>
  </si>
  <si>
    <t>“Pediatrik Nöroloji Polikliniğinde Nörogenetik Hastalıkların Dağılımı”</t>
  </si>
  <si>
    <t>405.</t>
  </si>
  <si>
    <t>SBA 25/476</t>
  </si>
  <si>
    <t>“ Santral Sinir Sistemi Atipik Demiyelinizan Olgularında Klinik, Radyolojik ve Patolojik Değerlendirme ”</t>
  </si>
  <si>
    <t>406.</t>
  </si>
  <si>
    <t>SBA 25/477</t>
  </si>
  <si>
    <t>"Zigomatikomaksiller Kompleks Fraktürlerinde 2 Nokta ve 3 Nokta Fiksasyonunun Uzun Dönem Stabilite ve Orbital Hacim Açısından Kraniyometrik Analizi"</t>
  </si>
  <si>
    <t>407.</t>
  </si>
  <si>
    <t>SBA 25/478</t>
  </si>
  <si>
    <t>“Kistik Fibrozis Yenidoğan Tarama Programı: 10 Yıllık Retrospektif Analiz ve Tanısal Değerlendirme”</t>
  </si>
  <si>
    <t>408.</t>
  </si>
  <si>
    <t>SBA 25/479</t>
  </si>
  <si>
    <t>Dr. Öğr. Üyesi Evrim ÜNVER</t>
  </si>
  <si>
    <t>“Arttırılmış Eksantrik Yük Uygulamasının Derinlik Sıçraması Üzerine Akut Etkisinin İncelenmesi”</t>
  </si>
  <si>
    <t>409.</t>
  </si>
  <si>
    <t>SBA 25/480</t>
  </si>
  <si>
    <t>“Atopik Dermatit Tanılı Adölesan Hastalarda Menstrüasyon Siklusun Hastalık Aktivitesi Üzerine Etkisi”</t>
  </si>
  <si>
    <t>410.</t>
  </si>
  <si>
    <t>SBA 25/481</t>
  </si>
  <si>
    <t>Prof. Dr. Filiz METE</t>
  </si>
  <si>
    <t>“Duygusal Zekâ Temelli Etkinliklerin Konuşma Akıcılığına, Duygusal Zekâya ve Beyin Bağlantısallık Ağlarına Etkisi”</t>
  </si>
  <si>
    <t>411.</t>
  </si>
  <si>
    <t>SBA 25/482</t>
  </si>
  <si>
    <t>Dr. Öğr. Üyesi Hasan Barış ILGAZ</t>
  </si>
  <si>
    <t>“Tıp Fakültesi Öğrencilerinin Anatomi Eğitiminde Kullandıkları Yapay Zeka Araçları Hakkındaki Tutum ve Görüşleri”</t>
  </si>
  <si>
    <t>412.</t>
  </si>
  <si>
    <t>SBA 25/483</t>
  </si>
  <si>
    <t>“Erişkin Özofagus Atrezilere Özgü Hayat Kalitesi Anketi”</t>
  </si>
  <si>
    <t>413.</t>
  </si>
  <si>
    <t>SBA 25/484</t>
  </si>
  <si>
    <t>Dr. Öğr. Üyesi Ezgi YETİM ARSAVA</t>
  </si>
  <si>
    <t>“Atipik Alzheimer Varyantlarında Glimfatik Sistem, Serebral Perfüzyon ve APOE Genotipinin Bütüncül Değerlendirmesi: Pilot Nörogörüntüleme ve Genetik Çalışma”</t>
  </si>
  <si>
    <t>414.</t>
  </si>
  <si>
    <t>SBA 25/485</t>
  </si>
  <si>
    <t>“Özofagus Atrezili Çocuklarda Tekrarlayan Trakeoözofageal Fistüllerin Yönetimi”</t>
  </si>
  <si>
    <t>415.</t>
  </si>
  <si>
    <t>SBA 25/486</t>
  </si>
  <si>
    <t>“Ağır Akciğer Hastalığı Olan Kistik Fibrozis Hastalarında Modulatör Tedavinin Akciğer Nakil Gereksinimine Etkisi: Ulusal Kistik Fibrozis Kayıt Sistemi Verilerinin İncelenmesi”</t>
  </si>
  <si>
    <t>416.</t>
  </si>
  <si>
    <t>SBA 25/487</t>
  </si>
  <si>
    <t>“Tiroid Göz Hastalığında Hastalık Şiddetinin Oftalmolojik ve Ortoptik Klinik Bulgular ile Korelasyonu”</t>
  </si>
  <si>
    <t>417.</t>
  </si>
  <si>
    <t>SBA 25/488</t>
  </si>
  <si>
    <t>“Kemik Tümörleri Nedeniyle Yapılan Segmental Kemik Rezeksiyonları Sonrası Oluşan Defektlerin Otogreft ve Tümör Protezi Yöntemleriyle Rekonstrüksiyonlarının Karşılaştırılması”</t>
  </si>
  <si>
    <t>418.</t>
  </si>
  <si>
    <t>SBA 25/489</t>
  </si>
  <si>
    <t>“5 Yaş Altı Hastalarda İstismar ve İhmal Değerlendirilmesi, Sandığımız Kadar Nadir Mi?”</t>
  </si>
  <si>
    <t>419.</t>
  </si>
  <si>
    <t>SBA 25/490</t>
  </si>
  <si>
    <t>“Konjenital Tibia Psödoartrozunda Ilizarov Tekniği ile Vaskülarize Fibula Grefti Kombinasyonunun Cerrahi Sonuçlarının Değerlendirilmesi”</t>
  </si>
  <si>
    <t>420.</t>
  </si>
  <si>
    <t>SBA 25/491</t>
  </si>
  <si>
    <t>“Geriatrik Popülasyonda Uykusuzluğu Ölçmeye Yönelik Bergen Uykusuzluk Ölçeğinin Türkçe Geçerlik ve Güvenirlik Çalışması”</t>
  </si>
  <si>
    <t>421.</t>
  </si>
  <si>
    <t>SBA 25/492</t>
  </si>
  <si>
    <t>Prof. Dr. M. Cemalettin AKSOY</t>
  </si>
  <si>
    <t>“Legg-Calve-Perthes Hastalığı Olan Çocukların Kalça Eklem Sıvısından Alınan Örneklerinde Mikroorganizma Araştırılması: Karşılaştırmalı Prospektif Çalışma”</t>
  </si>
  <si>
    <t>422.</t>
  </si>
  <si>
    <t>SBA 25/493</t>
  </si>
  <si>
    <t>“Sarkopenik Obezite ile Serum İlişkili İnflamasyon Belirteçlerin İlişkisinin İncelenmesi”</t>
  </si>
  <si>
    <t>423.</t>
  </si>
  <si>
    <t>SBA 25/494</t>
  </si>
  <si>
    <t>“Psoriatik Tırnak ve Onikomikozda Klinik ve Dermoskopik Özelliklerin Karşılaştırılması”</t>
  </si>
  <si>
    <t>424.</t>
  </si>
  <si>
    <t>SBA 25/495</t>
  </si>
  <si>
    <t>Prof. Dr. İbrahim Çağatay KARAASLAN</t>
  </si>
  <si>
    <t>“Alerjik ve Alerjik Olmayan Astımlı Çocuklardan İzole Edilen Eozinofillerde Oksidatif Stres Cevap Mekanizmalarının Araştırılması”</t>
  </si>
  <si>
    <t>425.</t>
  </si>
  <si>
    <t>SBA 25/496</t>
  </si>
  <si>
    <t>Öğr. Gör. Dr. Ergin EROĞLU</t>
  </si>
  <si>
    <t>“İşitme Kayıplı Hastalarda Multidisipliner İmplant Konseyi Kararları ile ChatGPT Yanıtlarının Karşılaştırılması”</t>
  </si>
  <si>
    <t>426.</t>
  </si>
  <si>
    <t>SBA 25/497</t>
  </si>
  <si>
    <t>Prof. Dr. Özgür DEREN</t>
  </si>
  <si>
    <t>“Fetal Anemi Nedeniyle İntrauterin Kan Transfüzyonu Yapılan Bebeklerin Kısa ve Uzun Dönem Nörolojik Sonuçlarının Değerlendirmesi”</t>
  </si>
  <si>
    <t>427.</t>
  </si>
  <si>
    <t>SBA 25/498</t>
  </si>
  <si>
    <t>Doç. Dr. Gamze ATAY</t>
  </si>
  <si>
    <t>“Pre-menopozal ve Post-menopozal Kadınlarda Odyolojik ve Vestibüler Fonksiyonların Karşılaştırılması”</t>
  </si>
  <si>
    <t>428.</t>
  </si>
  <si>
    <t>SBA 25/499</t>
  </si>
  <si>
    <t>"Serviks Kanserinde Kemoradyoterapi Öncesi ve Sürecindeki Sarkopeni ve Klinik Önemi"</t>
  </si>
  <si>
    <t>429.</t>
  </si>
  <si>
    <t>SBA 25/500</t>
  </si>
  <si>
    <t>Prof. Dr. Mustafa ARICI</t>
  </si>
  <si>
    <t>“İç Hastalıkları Servislerinde İntravenöz Diüretik Tedavisi Amacıyla Yatan Hipervolemik Hastaların Diüretik Doz Etkinliğinin İdrar Sodyumu İle Değerlendirilmesi”</t>
  </si>
  <si>
    <t>430.</t>
  </si>
  <si>
    <t>SBA 25/501</t>
  </si>
  <si>
    <t>“Yoğun Bakım Ünitesinde İntravenöz Sıvı Kullanımının Değerlendirilmesi”</t>
  </si>
  <si>
    <t>431.</t>
  </si>
  <si>
    <t>SBA 25/502</t>
  </si>
  <si>
    <t>“Konservatif Tedaviye Dirençli Periartiküler Kas İskelet Sistemi Hastalıklarında Fonksiyon Kısıtlayıcı Semptomların Transarteriyel Periartiküler Embolizasyon (TAPE) Tedavisi Sonrası Yanıt Değerlendirilemesi ”</t>
  </si>
  <si>
    <t>432.</t>
  </si>
  <si>
    <t>SBA 25/503</t>
  </si>
  <si>
    <t>Prof. Dr. Ümit Yavuz MALKAN</t>
  </si>
  <si>
    <t>“Klasik Hodgkin Lenfoma Hastalarında İlk Basamak ve Kurtarma Tedavilerinin Karşılaştırılması”</t>
  </si>
  <si>
    <t>433.</t>
  </si>
  <si>
    <t>SBA 25/504</t>
  </si>
  <si>
    <t>Dr. Öğr. Gör. Timuçin SABUNCU</t>
  </si>
  <si>
    <t>''Pulmoner Kapak Replasmanı Yapılan Hastaların Uzun Dönem Sonuçlarının İzlenmesi ve Bunların Maliyet Analizi Sonuçlarının Araştırılması''</t>
  </si>
  <si>
    <t>434.</t>
  </si>
  <si>
    <t>SBA 25/505</t>
  </si>
  <si>
    <t>Prof. Dr. A. Elif ANIL YAĞCIOĞLU</t>
  </si>
  <si>
    <t>“Klozapinle İlişkili Nötropeni İçin Aday İmmun Biyobelirteçlerin Araştırılması”</t>
  </si>
  <si>
    <t>435.</t>
  </si>
  <si>
    <t>SBA 25/506</t>
  </si>
  <si>
    <t>“Kronik Plak Tip Psöriazis Vulgaris Tanılı Çoklu Biyolojik Tedavi Dirençli Hastaların Demografik Özellikleri, Klinik Özellikleri ve Komorbiditelerinin İncelenmesinın”</t>
  </si>
  <si>
    <t>436.</t>
  </si>
  <si>
    <t>SBA 25/507</t>
  </si>
  <si>
    <t>“Mylohyoid Kas Transpozisyonunun Fasial Reanimasyondaki Potansiyeli: Kadavra Çalışması”</t>
  </si>
  <si>
    <t>437.</t>
  </si>
  <si>
    <t>SBA 25/508</t>
  </si>
  <si>
    <t>“Superior ve İnferior Labial Arterlerin Vermilion Sınırındaki Derinliklerinin ve Konumunun Ölçümü: Kadavra Çalışması”</t>
  </si>
  <si>
    <t>438.</t>
  </si>
  <si>
    <t>SBA 25/509</t>
  </si>
  <si>
    <t>Doç. Dr. Meliha Çağla SÖNMEZER</t>
  </si>
  <si>
    <t>“İmmünsüpresif Tedavi Öncesi HBV Serolojik Durumuna Göre Alınan Klinik Kararların ve Antiviral Kullanımının Uluslararası ve Ulusal Rehberlerle Uyumu: Tek Merkez Gerçek Yaşam Verilerinin Analizi”</t>
  </si>
  <si>
    <t>439.</t>
  </si>
  <si>
    <t>SBA 25/510</t>
  </si>
  <si>
    <t>"Astımlı Hastalarda Otonom Disfonksiyon ve Termoregülasyon Bozukluklarının Klinik ve Proteomik Etkileri”</t>
  </si>
  <si>
    <t>440.</t>
  </si>
  <si>
    <t>SBA 25/511</t>
  </si>
  <si>
    <t>“Over Kanseri Hastalarında Primer Debulking Cerrahisi Yapılan ve Neoadjuvan Kemoterapi Alanlarda Gelişen Venöz Tromboembolik Olaylar, Risk Faktörleri, Sağkalım ve Profilaksi Uygulamalarının Retrospektif Olarak Araştırılması”</t>
  </si>
  <si>
    <t>441.</t>
  </si>
  <si>
    <t>SBA 25/512</t>
  </si>
  <si>
    <t>Doç. Dr. Nagehan EMİRALİOĞLU ORDUKAYA</t>
  </si>
  <si>
    <t>“Kistik Fibrozis Hastalarında Balgam Kültüründe Kronik Candida Kolonizasyonunun Solunum Fonksiyonları, Klinik ve Laboratuar Parametreleri Üzerine Olan Etkilerinin Değerlendirilmesi”</t>
  </si>
  <si>
    <t>442.</t>
  </si>
  <si>
    <t>SBA 25/513</t>
  </si>
  <si>
    <t>“İleri Evre Over Kanserinde Pelvik Sitoredüksiyon için Pelvik Peritonektomi Yapılan Hastalar ile Rektosigmoid Rezeksiyon Yapılan Hastalar Arasındaki Pelvik Nüks ve Sağ Kalım Oranlarının Karşılaştırılması”</t>
  </si>
  <si>
    <t>443.</t>
  </si>
  <si>
    <t>SBA 25/514</t>
  </si>
  <si>
    <t>“Obezite Hastalığının Oküler Yüzey Üzerindeki Etkilerinin Değerlendirilmesi”</t>
  </si>
  <si>
    <t>444.</t>
  </si>
  <si>
    <t>SBA 25/515</t>
  </si>
  <si>
    <t>“Ergenlerde Dayanıklılık ile İlişkili Etkenlerin İncelenmesi”</t>
  </si>
  <si>
    <t>445.</t>
  </si>
  <si>
    <t>SBA 25/516</t>
  </si>
  <si>
    <t>“Renal Amiloidozda Prognozu Etkileyen Faktörler: 25 Yıllık Tek Merkez Deneyimi”</t>
  </si>
  <si>
    <t>446.</t>
  </si>
  <si>
    <t>SBA 25/517</t>
  </si>
  <si>
    <t>“Glomerulonefritlerin Gebelik Süreci, Maternal ve Fetal Sonlanıma Etkisi”</t>
  </si>
  <si>
    <t>447.</t>
  </si>
  <si>
    <t>SBA 25/518</t>
  </si>
  <si>
    <t>“Serbest Diş Eti Grefti Alınan Lateral Damak Bölgesine Farklı Ajanlar Uygulanmış Hastaların Verilerinin Karşılaştırılmalı Olarak İncelenmesi”</t>
  </si>
  <si>
    <t>448.</t>
  </si>
  <si>
    <t>SBA 25/519</t>
  </si>
  <si>
    <t>Dr. Öğr. Üyesi Emre MUTLU</t>
  </si>
  <si>
    <t>“Klozapine Yanıt ile Yan Etkiler Arasındaki İlişkinin İncelenmesi: Geriye Dönük Bir Çalışma”</t>
  </si>
  <si>
    <t>449.</t>
  </si>
  <si>
    <t>SBA 25/520</t>
  </si>
  <si>
    <t>“Metabolik Disfonksiyonla İlişkili Steatotik Karaciğer Hastalığı (MASLD) Etiyopatogenezinde Safra Asidi Metabolitleri ve Metabolomik Analizi”</t>
  </si>
  <si>
    <t>450.</t>
  </si>
  <si>
    <t>SBA 25/521</t>
  </si>
  <si>
    <t>Dr. Öğr. Üyesi Süleyman BULUT</t>
  </si>
  <si>
    <t>"U14 Su Topu Oyuncularında Enerji Dengesi ve Bazı Performans Parametrelerinin Belirlenmesi"</t>
  </si>
  <si>
    <t>451.</t>
  </si>
  <si>
    <t>SBA 25/522</t>
  </si>
  <si>
    <t>“Gıda Sağlığı ile İlgili Olan Profesyonellerin Gıda İnfodemisi Hakkındaki Görüş ve Deneyimleri: Niteliksel Bir Çalışma”</t>
  </si>
  <si>
    <t>452.</t>
  </si>
  <si>
    <t>SBA 25/523</t>
  </si>
  <si>
    <t>Doç. Dr. Ahmet Erim PAMUK</t>
  </si>
  <si>
    <t>“Larinks Patolojilerinin Malignleşme Sürecinde SERPİNE1'in Rolü”</t>
  </si>
  <si>
    <t>453.</t>
  </si>
  <si>
    <t>SBA 25/524</t>
  </si>
  <si>
    <t>“Kalsiyum (Ca2+) ve Magnezyum (Mg2+) İlişkili İmmün Yetmezliklerde Fonksiyonel ve Klinik Özellikler”</t>
  </si>
  <si>
    <t>454.</t>
  </si>
  <si>
    <t>SBA 25/525</t>
  </si>
  <si>
    <t>Doç. Dr. İlker ERTUĞRUL</t>
  </si>
  <si>
    <t>“SCN5A Varyantı Saptanan Hastaların Klinik ve Moleküler Bulgularının Değerlendirilmesi”</t>
  </si>
  <si>
    <t>455.</t>
  </si>
  <si>
    <t>SBA 25/526</t>
  </si>
  <si>
    <t>Arş. Gör. Dr. Şüheda BAHTİYAR</t>
  </si>
  <si>
    <t>“Gelişimsel Açıdan Riskli Çocuklarda 4–6 Yaş Arasında Öğrenme Güçlüğü Belirtilerinin Taranması ve Risk Etkenleriyle İlişkisinin Belirlenmesi”</t>
  </si>
  <si>
    <t>456.</t>
  </si>
  <si>
    <t>SBA 25/527</t>
  </si>
  <si>
    <t>Prof. Dr. Hayriye Uğur ÖZÇELİK</t>
  </si>
  <si>
    <t>“Akondroplazili Çocuk Hastalarda Uyku ile İlişkili Solunum Bozukluklarının ve Polisomnografi Bulgularının Değerlendirilmesi”</t>
  </si>
  <si>
    <t>457.</t>
  </si>
  <si>
    <t>SBA 25/528</t>
  </si>
  <si>
    <t>“Skleroderma Tanılı Olgu ve Bireylerin Biyopsikososyal Durumları ile Çiğneme-Yutma Performansları Arasındaki İlişkinin Araştırılması”</t>
  </si>
  <si>
    <t>458.</t>
  </si>
  <si>
    <t>SBA 25/529</t>
  </si>
  <si>
    <t>“Skleroderma Tanılı Olgu ve Bireylerin Biyopsikososyal Durumları ile Fiziksel Performans ve Fonksiyonellikleri Arasındaki İlişkinin Araştırılması”</t>
  </si>
  <si>
    <t>459.</t>
  </si>
  <si>
    <t>SBA 25/530</t>
  </si>
  <si>
    <t>“JİA Tanılı Olgularda Ebeveynlerin Bildirdiği Ağrıyı Felaketleştirme Durumuna Göre Biyopsikososyal Özelliklerin İncelenmesi”</t>
  </si>
  <si>
    <t>460.</t>
  </si>
  <si>
    <t>SBA 25/531</t>
  </si>
  <si>
    <t>Prof. Dr. Ali AKDOĞAN</t>
  </si>
  <si>
    <t>“Üst Ekstremite Deri Kalınlığının Hasta Tarafından Kendi Kendine Değerlendirilmesi Anketinin Türkçe Versiyonunun Kültürel Adaptasyonu, Geçerliği ve Güvenirliğinin İncelenmesi”</t>
  </si>
  <si>
    <t>461.</t>
  </si>
  <si>
    <t>SBA 25/532</t>
  </si>
  <si>
    <t>“Nazal Septal Perforasyon Onarımının Hastaların Nazal Hava Akımı ve Yaşam Kalitesi Üzerine Olan Etkisinin Değerlendirilmesi”</t>
  </si>
  <si>
    <t>462.</t>
  </si>
  <si>
    <t>SBA 25/533</t>
  </si>
  <si>
    <t>“Kistik Fibrozis Transmembran Regülatör Protein-İlişkili Hastalık Tanılı Çocuk Hastalarımızın Klinik ve Radyolojik Özellikleri”</t>
  </si>
  <si>
    <t>463.</t>
  </si>
  <si>
    <t>SBA 25/534</t>
  </si>
  <si>
    <t>Prof. Dr. Ali VARAN</t>
  </si>
  <si>
    <t>“Çocukluk Çağı Sinoviyal Sarkom Olgularının Retrospektif Değerlendrilmesi”</t>
  </si>
  <si>
    <t>464.</t>
  </si>
  <si>
    <t>SBA 25/535</t>
  </si>
  <si>
    <t>“Spinal Musküler Atrofi Tanılı Hastalarda Kemik Sağlığının Retrospektif Olarak Değerlendirilmesi”</t>
  </si>
  <si>
    <t>465.</t>
  </si>
  <si>
    <t>SBA 25/536</t>
  </si>
  <si>
    <t>“Griscelli Sendromu Tanısı Alan Hastaların Klinik ve Laboratuvar Özelliklerinin Değerelnedirilmesi”</t>
  </si>
  <si>
    <t>466.</t>
  </si>
  <si>
    <t>SBA 25/537</t>
  </si>
  <si>
    <t>Prof. Dr. Bilge PEHLİVANOĞLU</t>
  </si>
  <si>
    <t>“Stres, Cinsiyet ve Menstrual Döngünün, Tıkınırcasına Yeme Bozukluğu ve Uyku Kalitesi ile İlişkisinin İncelenmesi”</t>
  </si>
  <si>
    <t>467.</t>
  </si>
  <si>
    <t>SBA 25/538</t>
  </si>
  <si>
    <t>Doç. Dr. Kevser NALBANT</t>
  </si>
  <si>
    <t>“Otizm Tanılı Ergenlerin Ebeveynlerinin Tükenmişlik ve Damgalanma Algısının Bilinçli Farkındalık Aracılığıyla Ergenlerin Psikososyal İyilik Hali Üzerine Etkisi”</t>
  </si>
  <si>
    <t>468.</t>
  </si>
  <si>
    <t>SBA 25/539</t>
  </si>
  <si>
    <t>“LeFort I Cerrahisi Uygulanan Hastalarda Maksiller Sinüs Membran Kalınlığı ve Sinüs Sağlığının Değerlendirilmesi”</t>
  </si>
  <si>
    <t>469.</t>
  </si>
  <si>
    <t>SBA 25/540</t>
  </si>
  <si>
    <t>Dr. Öğr. Üyesi Olcay KURTULAN</t>
  </si>
  <si>
    <t>"Tiroid İnce İğne Aspirasyon Sitolojisinde Dijital Sitopatoloji ile Konvansiyonel Işık Mikroskobu Değerlendirmesinin Karşılaştırmalı Analizi: Belirsiz Kategorilere Odaklanarak"</t>
  </si>
  <si>
    <t>470.</t>
  </si>
  <si>
    <t>SBA 25/541</t>
  </si>
  <si>
    <t>Dr. Öğr. Gör. Esat Kıvanç KAYA</t>
  </si>
  <si>
    <t>"Yoğun Bakım Sonrası İzlem Polikliniğinde Takip Edilen Hastaların Demografik ve Klinik Özelliklerinin İncelenmesi "</t>
  </si>
  <si>
    <t>471.</t>
  </si>
  <si>
    <t>SBA 25/542</t>
  </si>
  <si>
    <t>Doç. Dr. Utku AKGÖR</t>
  </si>
  <si>
    <t>“Benign Histerektomi Öncesi Video Bilgilendirmesinin Anksiyete Düzeyine Etkisi”</t>
  </si>
  <si>
    <t>472.</t>
  </si>
  <si>
    <t>SBA 25/543</t>
  </si>
  <si>
    <t>“Ankara, Türkiye'deki Sahra Altı Afrikalı Üniversite Öğrencileri Arasında Sağlık Durumu, Sağlık Hizmetlerine Erişim, Sağlık Okuryazarlığı Düzeyi ve İlişkili Faktörlerin Belirlenmesi Araştırması”</t>
  </si>
  <si>
    <t>473.</t>
  </si>
  <si>
    <t>SBA 25/544</t>
  </si>
  <si>
    <t>“PIDCAP Skorlama Sisteminin Kronik Granülomatöz Hastalık Tanısı Olan Hastalarda Değerlendirilmesi”</t>
  </si>
  <si>
    <t>474.</t>
  </si>
  <si>
    <t>SBA 25/545</t>
  </si>
  <si>
    <t>“İmmünoterapilere Bağlı Endokrin Yan Etkiler ve Endokrinolojiye Yönlendirme Pratiklerinin Değerlendirilmesi”</t>
  </si>
  <si>
    <t>475.</t>
  </si>
  <si>
    <t>SBA 25/546</t>
  </si>
  <si>
    <t>“Yeme Bozukluğu Olan Ergende Tütün, Alkol ve Madde Kullanım Sıklığı ile Hastalık Şiddeti Arasındaki İlişkinin İncelenmesi”</t>
  </si>
  <si>
    <t>476.</t>
  </si>
  <si>
    <t>SBA 25/547</t>
  </si>
  <si>
    <t>“Uterin Serviksin İnvaziv Stratifiye Müsin Üreten Karsinomu: Klinikopatolojik Bulguların ve Prognostik Faktörlerin Değerlendirilmesi”</t>
  </si>
  <si>
    <t>477.</t>
  </si>
  <si>
    <t>SBA 25/548</t>
  </si>
  <si>
    <t>“Uluslararası İnkontinans Konsültasyonu– Az Aktif Mesane Anketi’nin Türkçe Geçerlik ve Güvenirlik Çalışması”</t>
  </si>
  <si>
    <t>478.</t>
  </si>
  <si>
    <t>SBA 25/549</t>
  </si>
  <si>
    <t>Dr. Öğr. Üyesi Meral ÜNER</t>
  </si>
  <si>
    <t>“Böbrek Biyopsilerinde Lupus Nefriti NIH Skorlamasının Dil Modeli ile Otomatikleştirilmesi ve Patolog Değerlendirmesi ile Karşılaştırılması”</t>
  </si>
  <si>
    <t>479.</t>
  </si>
  <si>
    <t>SBA 25/550</t>
  </si>
  <si>
    <t>“Şeffaf Plak Tedavilerinde Refinement Aşamasında Tekrarlayan Ataşman Debonding İşleminin Mine Yüzeyine Etkilerinin 3 Boyutlu Olarak İncelenmesi: In-Vitro Çalışma”</t>
  </si>
  <si>
    <t>480.</t>
  </si>
  <si>
    <t>SBA 25/551</t>
  </si>
  <si>
    <t>“Kistik Fibrozis, Primer Siliyer Diskinezi ve Astım Tanılı Çocukların Solunum Fonksiyon Testlerinin; Spirometri, Akciğer Temizleme İndeksi ve İmpuls Osilometri ile Değerlendirilmesi ve Parametreler Arasındaki İlişkilerin İncelenmesi”</t>
  </si>
  <si>
    <t>481.</t>
  </si>
  <si>
    <t>SBA 25/552</t>
  </si>
  <si>
    <t>“IgA Nefropatisi Oxford (MEST-C) Skorlamasında Dil Modeli Çıktılarının Patolog Değerlendirmeleriyle Karşılaştırılması ve Standardizasyona Yönelik Potansiyelinin Araştırılması”</t>
  </si>
  <si>
    <t>482.</t>
  </si>
  <si>
    <t>SBA 25/553</t>
  </si>
  <si>
    <t>483.</t>
  </si>
  <si>
    <t>SBA 25/554</t>
  </si>
  <si>
    <t>Doç. Dr. Erdem FADILOĞLU</t>
  </si>
  <si>
    <t>“Fetal Kardiyak Girişim Yapılan Fetuslarda Prenatal Dönemde Yapılan Ekstremite Dopplerlerinin Longitudinal İzlemi ve Perinatal Sonuçlarla İlişkisi”</t>
  </si>
  <si>
    <t>484.</t>
  </si>
  <si>
    <t>SBA 25/555</t>
  </si>
  <si>
    <t>Prof. Dr. Deniz KÖKSAL</t>
  </si>
  <si>
    <t>“Anti-TNF Tedavi Sürecinde Çekilen Akciğer Grafilerinin Yapay Zeka Destekli Değerlendirmesinin, Klinisyen Değerlendirmesi ile Karşılaştırması ve Klinik Uygulamalara Entegrasyonunun İncelenmesi”</t>
  </si>
  <si>
    <t>485.</t>
  </si>
  <si>
    <t>SBA 25/556</t>
  </si>
  <si>
    <t>“Küçük Hücreli Akciğer Karsinomunda Moleküler Alt Tiplerin ASCL1, NEUROD1, POU2F3 ve YAP1 İmmünohistokimyasal Ekspresyonuna Göre Sınıflandırılması ve Klinik Önemi”</t>
  </si>
  <si>
    <t>486.</t>
  </si>
  <si>
    <t>SBA 25/557</t>
  </si>
  <si>
    <t>“Multipl Sklerozda Telomer Uzunluğu, p16INK4a İfadesi ve İleri Beyin MR Görüntülemeleri ile Hastalık Progresyonu Arasındaki İlişkinin Prospektif İncelenmesi”</t>
  </si>
  <si>
    <t>487.</t>
  </si>
  <si>
    <t>SBA 25/558</t>
  </si>
  <si>
    <t>Prof. Dr. Nagehan EMİRALİOĞLU ORDUKAYA</t>
  </si>
  <si>
    <t>“Türkiye’deki Çocukluk Çağı İnterstisiyel Akciğer Hastalığı Tanısıyla İzlenen Hastaların Demografik ve Klinik Özelliklerinin REDCap Veri Tabanına Kaydedilmesi (chILD Türkiye) ve Verilerin Değerlendirilmesi”</t>
  </si>
  <si>
    <t>488.</t>
  </si>
  <si>
    <t>SBA 25/559</t>
  </si>
  <si>
    <t>Prof. Dr.Özgür UĞURLUOĞLU</t>
  </si>
  <si>
    <t>“Taburculuk Sonrası Bakım Geçiş Kalitesinin Değerlendirilmesi: Çok Boyutlu Bir Ölçüm Yaklaşımı”</t>
  </si>
  <si>
    <t>489.</t>
  </si>
  <si>
    <t>SBA 25/560</t>
  </si>
  <si>
    <t>“Geç Preterm Gebeliklerde Antenatal Kortikosteroid Uygulamasının Neonatal Hipoglisemi ve Klinik Sonuçlara Etkisi”</t>
  </si>
  <si>
    <t>490.</t>
  </si>
  <si>
    <t>SBA 25/561</t>
  </si>
  <si>
    <t>“Oral Biyopsi Uygulanan Hastalarda Anksiyete ve Ağrı Düzeylerinin Değerlendirilmesi”</t>
  </si>
  <si>
    <t>491.</t>
  </si>
  <si>
    <t>SBA 25/562</t>
  </si>
  <si>
    <t>Prof. Dr. Mehmet Akif TOPÇUOĞLU</t>
  </si>
  <si>
    <t>“İdiopatik İzole Ekstrakraniyal İnternal Karotis Arter Vazospazmında Tedavi Seçenekleri ve Prognoza Etkileri”</t>
  </si>
  <si>
    <t>492.</t>
  </si>
  <si>
    <t>SBA 25/563</t>
  </si>
  <si>
    <t>Dr.Öğr. Üyesi Yiğitcan KARANFİL</t>
  </si>
  <si>
    <t>“Yüzücülerde Ultrason ve Güç Ölçümleri ile Omuz Yaralanma Profili Çıkarılması”</t>
  </si>
  <si>
    <t>493.</t>
  </si>
  <si>
    <t>SBA 25/564</t>
  </si>
  <si>
    <t>“Seçilmiş Nöroloji Olgularının Klinik Seyir ve Tedavi-Prognozuna Yönelik Olgu Temelli Derlemesi”</t>
  </si>
  <si>
    <t>494.</t>
  </si>
  <si>
    <t>SBA 25/565</t>
  </si>
  <si>
    <t>“Büllöz Pemfigoid Tanılı Hastalarda Omalizumab Tedavisinin Yanıtlarının Değerlendirilmesi"</t>
  </si>
  <si>
    <t>495.</t>
  </si>
  <si>
    <t>SBA 25/566</t>
  </si>
  <si>
    <t>Doç. Dr. Hilal SUSAM ŞEN</t>
  </si>
  <si>
    <t>"Çocukluk Çağında Matür T/NK Hücreli Lenfomalar : Hacettepe Deneyimi"</t>
  </si>
  <si>
    <t>496.</t>
  </si>
  <si>
    <t>SBA 25/567</t>
  </si>
  <si>
    <t>“Kronik Miyeloid Lösemi Hastalarında Tirozin Kinaz Kullanımı İlişkili Proteinüri Gelişimini Etkileyen Faktörlerin İncelenmesi”</t>
  </si>
  <si>
    <t>497.</t>
  </si>
  <si>
    <t>SBA 25/568</t>
  </si>
  <si>
    <t>“Stajyer Diş Hekimlerinde Maket Üzerinde Sütur Eğitiminin Etkinliği ve Memnuniyetinin Değerlendirilmesi"</t>
  </si>
  <si>
    <t>498.</t>
  </si>
  <si>
    <t>SBA 25/569</t>
  </si>
  <si>
    <t>Dr. Öğr. Üyesi Sevinç ASKERBEYLİ ÖRS</t>
  </si>
  <si>
    <t>“Preklinik Endodonti Eğitiminde 3D Baskılı Modeller: Öğrenci Perspektifinden Bir Değerlendirme”</t>
  </si>
  <si>
    <t>499.</t>
  </si>
  <si>
    <t>SBA 25/570</t>
  </si>
  <si>
    <t>“Koklear İmplant ile İlgili Tüm Soruların ChatGPT Yanıtlarının Kulak Burun Boğaz Uzmanları Tarafından Değerlendirilmesi”</t>
  </si>
  <si>
    <t>500.</t>
  </si>
  <si>
    <t>SBA 25/571</t>
  </si>
  <si>
    <t>“Susam Alerjisi Olan Çocuklarda Oral İmmünoterapinin Güvenliği ve Yaşam Kalitesi Üzerine Etkilerinin Değerlendirilmesi''</t>
  </si>
  <si>
    <t>501.</t>
  </si>
  <si>
    <t>SBA 25/572</t>
  </si>
  <si>
    <t>“Çocukluk Çağı Over Kistadenomları: Hacettepe Deneyimi”</t>
  </si>
  <si>
    <t>502.</t>
  </si>
  <si>
    <t>SBA 25/573</t>
  </si>
  <si>
    <t>“Sigara İçen Bireylerde Fonksiyonel Yakın Kızılötesi Spektroskopisi Kullanılarak Fonksiyonel Bağlantısallığın ve Kalp Hızı Değişkenliğinin İncelenmesi”</t>
  </si>
  <si>
    <t>503.</t>
  </si>
  <si>
    <t>SBA 25/574</t>
  </si>
  <si>
    <t>“Malignite Tanısı Alan Primer İmmün Yetmezlikli Hastaların Klinik ve Laboratuvar Özelliklerinin Değerlendirilmesi ”</t>
  </si>
  <si>
    <t>504.</t>
  </si>
  <si>
    <t>SBA 25/575</t>
  </si>
  <si>
    <t>“Çene Bölgesi Patolojik Lezyonların CBCT Görüntülerinde Yapay Zeka Tabanlı Otomatik Tanısı: Derin Öğrenme Yaklaşımı”</t>
  </si>
  <si>
    <t>505.</t>
  </si>
  <si>
    <t>SBA 25/576</t>
  </si>
  <si>
    <t>“Endoskopik Endonazal ya da Transkonjonktival Yaklaşımla Optik Sinir Dekompresyonu ve/veya Optik Sinir Kılıf Fenestrasyonu Yapılan Olgularda Sonuçların Karşılaştırılması”</t>
  </si>
  <si>
    <t>506.</t>
  </si>
  <si>
    <t>SBA 25/577</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</si>
  <si>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</si>
  <si>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507.</t>
  </si>
  <si>
    <t>SBA 25/578</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</si>
  <si>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</si>
  <si>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508.</t>
  </si>
  <si>
    <t>SBA 25/579</t>
  </si>
  <si>
    <t>Prof. Dr. Nermin TARHAN</t>
  </si>
  <si>
    <t>“Dijital Fotoğraf Tabanlı Renk Analizi ile Gingival İndeksin Belirlenmesi: Klinik Sağlık, Gingivitis ve Periodontitis Vakalarının Karşılaştırılması”</t>
  </si>
  <si>
    <t>509.</t>
  </si>
  <si>
    <t>SBA 25/580</t>
  </si>
  <si>
    <t>Prof. Dr. Ethem Murat ARSAVA</t>
  </si>
  <si>
    <t>“İnme Hastalarında Kardiyak Risk Faktörleri: Sol Atriyum Morfolojisi, Koroner Kalsifikasyon Skoru ve Mitral Kazeöz Kalsifikasyonun Kardiyak Bilgisayarlı Tomografi ile Değerlendirilmesi”</t>
  </si>
  <si>
    <t>510.</t>
  </si>
  <si>
    <t>SBA 25/581</t>
  </si>
  <si>
    <t>“Pediatrik Popülasyonda Yaşla Değişen Alerjene Özgü Duyarlanma Dinamikleri</t>
  </si>
  <si>
    <t>511.</t>
  </si>
  <si>
    <t>SBA 25/582</t>
  </si>
  <si>
    <t>Öğr. Gör. Dr. Pınar ÖZDEMİR YAŞAR</t>
  </si>
  <si>
    <t>“Minimal İnvaziv Kardiyak Cerrahide Anestezi Yönetimi Deneyimimiz Tek Merkezli Gözlemsel Çalışma-Bireysel Araştırma”</t>
  </si>
  <si>
    <t>512.</t>
  </si>
  <si>
    <t>SBA 25/583</t>
  </si>
  <si>
    <t>“Primer Hiperparatiroidi Tanılı Hastaların Demografik, Klinik, Biyokimyasal ve Görüntüleme Bulgularının Değerlendirilmesi”</t>
  </si>
  <si>
    <t>513.</t>
  </si>
  <si>
    <t>SBA 25/584</t>
  </si>
  <si>
    <t>“.Yüksek Dereceli Majör Tükürük Bezleri Malignitelerinin Sonuçlarının Retrospektif İncelenmesi: Uluslararası Çok Merkezli Bir Çalışma”</t>
  </si>
  <si>
    <t>514.</t>
  </si>
  <si>
    <t>SBA 25/585</t>
  </si>
  <si>
    <t>Prof. Dr. Meltem ÇAĞLAR TUNCALI</t>
  </si>
  <si>
    <t>“Prostat Kanserinde Sistemik Tedavi Yanıt Değerlendirilmesinde Ga-68 İşaretli PSMA PET-BT ile Biyokimyasal Belirteçlerin Rolü ve Prognostik Önemi”</t>
  </si>
  <si>
    <t>515.</t>
  </si>
  <si>
    <t>SBA 25/586</t>
  </si>
  <si>
    <t>Prof. Dr. Murat TUNCEL</t>
  </si>
  <si>
    <t>“Metastatik Prostat Kanseri Olan Hastalarda Androjen Reseptör Yolak İnhibitörlerinin Etkinliğini Tahmin Etmede Klinik-Biyokimyasal ve Moleküler Görüntüleme Parametrelerinin Rolü”</t>
  </si>
  <si>
    <t>516.</t>
  </si>
  <si>
    <t>SBA 25/587</t>
  </si>
  <si>
    <t>Prof. Dr. Can Ebru KURT</t>
  </si>
  <si>
    <t>“Nöromusküler Hastalıklarda Tüm Ekzom Dizileme Yöntemi ile Genetik Etyolojinin Belirlenmesi”</t>
  </si>
  <si>
    <t>517.</t>
  </si>
  <si>
    <t>SBA 25/588</t>
  </si>
  <si>
    <t>“Örgün ve Mesleki Öğretimde Olmayan veya Çalışmayan (NEET) Gençlerin Ruh Sağlığının Sosyal Eşitsizlikler Açısından İncelenmesi: Nitel ve Nicel bir Derleme”</t>
  </si>
  <si>
    <t>518.</t>
  </si>
  <si>
    <t>SBA 25/589</t>
  </si>
  <si>
    <t>Prof. Dr. Didem DAYANGAÇ ERDEN</t>
  </si>
  <si>
    <t>“Pseudo-Bartter Sendromu Olan Kistik Fibrozis Transmembran Regülatör-İlişkili Hastalık Tanılı Çocuklarda Epitel İyon Kanallarının İfade Analizi”</t>
  </si>
  <si>
    <t>519.</t>
  </si>
  <si>
    <t>SBA 25/590</t>
  </si>
  <si>
    <t>“Anaplastik Tiroid Kanserli Olguların Tanı, Tedavi ve Takip Açısından Retrospektif Değerlendirilmesi”</t>
  </si>
  <si>
    <t>520.</t>
  </si>
  <si>
    <t>SBA 25/591</t>
  </si>
  <si>
    <t>Prof. Dr. Zeliha YILMAZ</t>
  </si>
  <si>
    <t>“Yeni Bir İrrigasyon Solüsyonu Triton’un Epoksi Rezin ve Kalsiyum Silikat Esaslı Kök Kanal Dolgu Materyallerinin İtme Bağlanma Dayanımına Etkisi”</t>
  </si>
  <si>
    <t>521.</t>
  </si>
  <si>
    <t>SBA 25/592</t>
  </si>
  <si>
    <t>“Pitoz Cerrahisinde Yeni Bir Teknik: Procerus Kas Transferi ile Üst Göz Kapağının Dinamik Reanimasyonu, Kadavra Çalışması”</t>
  </si>
  <si>
    <t>522.</t>
  </si>
  <si>
    <t>SBA 25/593</t>
  </si>
  <si>
    <t>“Türkiye'de Konjenital Miyastenik Sendromların Genetik Profili: Yeni Mutasyonlar ve Klinik Perspektifler”</t>
  </si>
  <si>
    <t>523.</t>
  </si>
  <si>
    <t>SBA 25/594</t>
  </si>
  <si>
    <t>“Menstrüel Kanama Dışı Risk Faktörü Olmayan Genç Kadınlarda Demir Eksikliği ile Menstrüel Kanama Özellikleri Arasındaki İlişkinin Değerlendirilmesi”</t>
  </si>
  <si>
    <t>524.</t>
  </si>
  <si>
    <t>SBA 25/595</t>
  </si>
  <si>
    <t>Prof. Dr. Şahinde Özlem ERDEN AKİ</t>
  </si>
  <si>
    <t>“Yakınını Kaybetmiş Yaşlılarda Uzamış Yas Belirtilerini Yordayan Faktörler”</t>
  </si>
  <si>
    <t>525.</t>
  </si>
  <si>
    <t>SBA 25/596</t>
  </si>
  <si>
    <t>“Gonadotropin Salgılatıcı Hormon Analoglarının Endometriyal İntraepitelyal Neoplazi ve Erken Evre Endometrium Kanserinde Fertilite Koruyucu Tedaviye Etkisi”</t>
  </si>
  <si>
    <t>526.</t>
  </si>
  <si>
    <t>SBA 25/597</t>
  </si>
  <si>
    <t>Prof. Dr. Gökhan METAN</t>
  </si>
  <si>
    <t>“Teikoplanin ile Tedavi Edilen Hastalarda Terapötik İlaç Düzey İzlemi: Retrospektif Bir Analiz”</t>
  </si>
  <si>
    <t>527.</t>
  </si>
  <si>
    <t>SBA 25/598</t>
  </si>
  <si>
    <t>“Vorikonazol Serum Düzeyi İzlemi Yapılan Hastalarda Terapötik Aralığı Etkileyen Faktörlerin Retrospektif Değerlendirilmesi ve Klinik Bir Skorlama Modelinin Geliştirilmesi”</t>
  </si>
  <si>
    <t>528.</t>
  </si>
  <si>
    <t>SBA 25/599</t>
  </si>
  <si>
    <t>“Periventriküler Nodüler Heterotopi İlişkili Epilepside Klinik Özellikler”</t>
  </si>
  <si>
    <t>529.</t>
  </si>
  <si>
    <t>SBA 25/600</t>
  </si>
  <si>
    <t>“Polimikrogiri İlişkili Epilepsi Hastalarında Klinik ve Laboratuvar Bulgular: Tek Merkez Deneyimi”</t>
  </si>
  <si>
    <t>530.</t>
  </si>
  <si>
    <t>SBA 25/601</t>
  </si>
  <si>
    <t>Doç. Dr. Cansu ÖZŞİN ÖZLER</t>
  </si>
  <si>
    <t>“Diş Hekimliği Fakültesine Başvuran Çocukların Ebeveynlerinin Ağız Sağlığı Okuryazarlık Durumlarının Değerlendirilmesi”</t>
  </si>
  <si>
    <t>531.</t>
  </si>
  <si>
    <t>SBA 25/602</t>
  </si>
  <si>
    <t>“Bronkopulmoner Displazi Tanılı Hastaların İzleminde Akciğer Ultrasonografisinin Yeri”</t>
  </si>
  <si>
    <t>532.</t>
  </si>
  <si>
    <t>SBA 25/603</t>
  </si>
  <si>
    <t>“Ara Değer Ter Testi Olan Kistik Fibrozisli Çocukların Klinik Özellikleri”</t>
  </si>
  <si>
    <t>533.</t>
  </si>
  <si>
    <t>SBA 25/604</t>
  </si>
  <si>
    <t>Prof. Dr. Müzeyyen Pınar ÖZGEN KIRATLI</t>
  </si>
  <si>
    <t>“Multipl Myelomda Fonksiyonel Görüntüleme: MRG ve PET-BT Yöntemlerinin Karşılaştırılması”</t>
  </si>
  <si>
    <t>534.</t>
  </si>
  <si>
    <t>SBA 25/605</t>
  </si>
  <si>
    <t>“Wolfram Sendromlu ve Midline Anomalili Hastaların Klinik Özelliklerinin Retrospektif Değerlendirilmesi”</t>
  </si>
  <si>
    <t>535.</t>
  </si>
  <si>
    <t>SBA 25/606</t>
  </si>
  <si>
    <t>“MEN1 ve MEN4 Sendromlu Hastaların Klinik Özelliklerinin Retrospektif Değerlendirilmesi”</t>
  </si>
  <si>
    <t>536.</t>
  </si>
  <si>
    <t>SBA 25/607</t>
  </si>
  <si>
    <t>Prof. Dr. Ayda KARACA</t>
  </si>
  <si>
    <t>“Yetişkin Bireylerde Sedanter Davranışın Kesintiye Uğratma Sıklığı, Fiziksel Aktivite ve Sedanter Davranış Sürelerinin İncelenmesi”</t>
  </si>
  <si>
    <t>537.</t>
  </si>
  <si>
    <t>SBA 25/608</t>
  </si>
  <si>
    <t>“Clavicula'nin Morfometrik Analizi ve Ortopedik İmplant Planlamasina Yönelik Katkıları”</t>
  </si>
  <si>
    <t>538.</t>
  </si>
  <si>
    <t>SBA 25/609</t>
  </si>
  <si>
    <t>“KBB Hastalarında Farklı Yapay Zekâ Modellerinin Tanı ve Tedavi Önerilerinin Değerlendirip Karşılaştırılması”</t>
  </si>
  <si>
    <t>539.</t>
  </si>
  <si>
    <t>SBA 25/610</t>
  </si>
  <si>
    <t>“Papiller Tiroid Kanserinin Tükürükteki Moleküler Belirteçler ile Tanısı”</t>
  </si>
  <si>
    <t>540.</t>
  </si>
  <si>
    <t>SBA 25/611</t>
  </si>
  <si>
    <t>"Diş Hekimliği Fakültesine Konsülte Edilen Hastalarda Konik Işınlı Bilgisayarlı Tomografi Endikasyonları ve Saptanan Bulgular"</t>
  </si>
  <si>
    <t>541.</t>
  </si>
  <si>
    <t>SBA 25/612</t>
  </si>
  <si>
    <t>Doç. Dr. Pınar ARPINAR AVŞAR</t>
  </si>
  <si>
    <t>"Kadınlarda Spor Türü ve Yaşın Alt Ekstremite de Mekanik Sertlik Üzerine Etkisi: İki Farklı Sıçrama Türü için Karşılaştırmalı Bir Analiz"</t>
  </si>
  <si>
    <t>542.</t>
  </si>
  <si>
    <t>SBA 25/613</t>
  </si>
  <si>
    <t>"Serum Triptaz Düzeyinin Mast Hücre İlişkili Hastalıklardaki Rolünün Retrospektif Olarak Değerlendirilmesi"</t>
  </si>
  <si>
    <t>543.</t>
  </si>
  <si>
    <t>SBA 25/614</t>
  </si>
  <si>
    <t>Arş. Gör. Dr. Tayfun Hilmi AKBABA</t>
  </si>
  <si>
    <t>“Behçet Hastalarının Serum Nörofilaman Seviyelerinin Belirlenmesi”</t>
  </si>
  <si>
    <t>544.</t>
  </si>
  <si>
    <t>SBA 25/615</t>
  </si>
  <si>
    <t>Prof. Dr. Erem BİLENSOY</t>
  </si>
  <si>
    <t>“Topikal Ürünlerde Mikroyapı Benzerliğini Aydınlatmaya Yönelik In Vitro Permeasyon Çalışması”</t>
  </si>
  <si>
    <t>545.</t>
  </si>
  <si>
    <t>SBA 25/616</t>
  </si>
  <si>
    <t>“Bronkopulmoner Displazili Çocuklarda Solunum Fonksiyonlarının Değerlendirilmesinde İmpuls Osilometri ve Spirometrinin Karşılaştırılması”</t>
  </si>
  <si>
    <t>546.</t>
  </si>
  <si>
    <t>SBA 25/617</t>
  </si>
  <si>
    <t>Doç. Dr. Yılmaz YILDIZ</t>
  </si>
  <si>
    <t>“Metilmalonik Asidemi ve Propiyonik Asidemide Akut Metabolik Dekompanzasyonun Acil Tanı ve Tedavisi”</t>
  </si>
  <si>
    <t>547.</t>
  </si>
  <si>
    <t>SBA 25/618</t>
  </si>
  <si>
    <t>Dr. Öğr. Üyesi Gökhan AYIK</t>
  </si>
  <si>
    <t>“Pediatrik Proksimal Humerus Kırıklarında Konservatif ve Cerrahi Tedavinin Uzun Dönem Sonuçları”</t>
  </si>
  <si>
    <t>548.</t>
  </si>
  <si>
    <t>SBA 25/619</t>
  </si>
  <si>
    <t>Prof. Dr. Hatice Yasemin BALABAN</t>
  </si>
  <si>
    <t>“Yeni Terapötiklerin ve Biyobelirteçlerin Keşfi İçin Metabolik Fonksiyon Bozukluğu ile İlişkili Steatotik Karaciğer Hastalığının (MASLD) Patobiyolojisinin Açığa Çıkarılması(UNMASK- EP PerMed Horizon 2020 Projesi)”</t>
  </si>
  <si>
    <t>549.</t>
  </si>
  <si>
    <t>SBA 25/620</t>
  </si>
  <si>
    <t>“Adölesan Nöromüsküler Kalça Displazisi için Asetabuloplasti ile Kombine Üçlü Pelvik Osteotominin Güvenliği ve Uygulanabilirliği"</t>
  </si>
  <si>
    <t>550.</t>
  </si>
  <si>
    <t>SBA 25/621</t>
  </si>
  <si>
    <t>“Polikistik Böbrek Hastalığı Olan Renal Transplant Alıcılarında Postoperatif Sağkalım ve Komplikasyonların Değerlendirilmesi''</t>
  </si>
  <si>
    <t>551.</t>
  </si>
  <si>
    <t>SBA 25/622</t>
  </si>
  <si>
    <t>“Jüvenil Sistemik Skleroz için Uluslararası Başlangıç Kohortu”</t>
  </si>
  <si>
    <t>552.</t>
  </si>
  <si>
    <t>SBA 25/623</t>
  </si>
  <si>
    <t>Prof. Dr. Uğur ÜNLÜTÜRK
Dr. Öğr. Üyesi Nasire ULUÇ</t>
  </si>
  <si>
    <t>“Tiroid Kanserinde Metabolik Çeşitliliğin Açığa Çıkarılması: Fiber Tabanlı, İşaretsiz Orta Dalgaboylu Kızılötesi Optoakustik Prob Teknolojisinin Geliştirilmesi”</t>
  </si>
  <si>
    <t>553.</t>
  </si>
  <si>
    <t>SBA 25/624</t>
  </si>
  <si>
    <t>Doç. Dr. Hayrettin Hakan AYKAN</t>
  </si>
  <si>
    <t>“Çocuk Kardiyoloji ÜnitesiTransvenöz Lead Çıkarılması Deneyimlerinin Retrospektif Değerlendirilmesi”</t>
  </si>
  <si>
    <t>554.</t>
  </si>
  <si>
    <t>SBA 25/625</t>
  </si>
  <si>
    <t>Doç. Dr. Leman AKCAN YILDIZ</t>
  </si>
  <si>
    <t>“Çocuk Acile Başvuran Kritik HastalardaHiperglisemi Sıklığı, Hastalıklara Göre Dağılımı ve Hasta Sonuçlarına Etkisi”</t>
  </si>
  <si>
    <t>555.</t>
  </si>
  <si>
    <t>SBA 25/626</t>
  </si>
  <si>
    <t>Dr. Öğr. Üyesi Yasemin GÜZEL</t>
  </si>
  <si>
    <t>“Farklı Branşlardaki Erkek Sporcularda DXA ile Değerlendirilen Vücut Kompozisyonu İndekslerinin Karşılaştırılması”</t>
  </si>
  <si>
    <t>556.</t>
  </si>
  <si>
    <t>SBA 25/627</t>
  </si>
  <si>
    <t>“Melazma Hastalarında Vasküler Endotelyal Büyüme Faktörü Polimorfizminin Değerlendirilmesi”</t>
  </si>
  <si>
    <t>557.</t>
  </si>
  <si>
    <t>SBA 25/628</t>
  </si>
  <si>
    <t>“Platisma KasTranspozisyonunun Fonksiyonel ve Rekonstrüktif Kullanımı: Kadavra Çalışması”</t>
  </si>
  <si>
    <t>558.</t>
  </si>
  <si>
    <t>SBA 25/629</t>
  </si>
  <si>
    <t>“Doğumsal Brakiyal Pleksus Yaralanmalarında Önkol Cerrahi Sonrası Fonksiyonel Başarıyı Etkileyen Radyolojik Parametreler: Radius Anatomisinin Rolü”</t>
  </si>
  <si>
    <t>559.</t>
  </si>
  <si>
    <t>SBA 25/630</t>
  </si>
  <si>
    <t>Prof. Dr. Sedat KİRAZ</t>
  </si>
  <si>
    <t>“Gerçek Yaşam Verileriyle Romatoid Artritli Hastalarda Hedefe Yönelik Tedavi Zamanlaması ve Diz-Kalça Protez Cerrahisi İlişkisi”</t>
  </si>
  <si>
    <t>560.</t>
  </si>
  <si>
    <t>SBA 25/631</t>
  </si>
  <si>
    <t>“Kronik Böbrek Hastalığı İlişkili Bilişsel Bozukluk Patofizyolojisinin Radyolojik, Biyokimyasal ve Metabolomik Biyobelirteçler Işığında Karşılaştırmalı Bir Sistem Biyolojisi Analizi”</t>
  </si>
  <si>
    <t>561.</t>
  </si>
  <si>
    <t>SBA 25/632</t>
  </si>
  <si>
    <t>“Şeffaf Plak Tedavilerinde Kullanılan Ataşmanların Bağlanma ve Uzaklaştırılma Yöntemlerinin Diş Rengi Üzerine Etkileri”</t>
  </si>
  <si>
    <t>562.</t>
  </si>
  <si>
    <t>SBA 25/633</t>
  </si>
  <si>
    <t>“Ottawa Kriz Kaynak Yönetimi Küresel Değerlendirme Ölçeği ve Ottawa Kriz Kaynak Yönetimi Becerileri Kontrol Listesinin Türkçeye Uyarlanması”</t>
  </si>
  <si>
    <t>563.</t>
  </si>
  <si>
    <t>SBA 25/634</t>
  </si>
  <si>
    <t>“Polimiksin Nefrotoksisitesi için Makine Öğrenme Tabanlı Prediktif Skor Geliştirilmesi”</t>
  </si>
  <si>
    <t>564.</t>
  </si>
  <si>
    <t>SBA 25/635</t>
  </si>
  <si>
    <t>“Antrenman Maskesi ile Uygulanan Dar Alan Oyunlarına Verilen İç ve Dış Yük Yanıtlar"</t>
  </si>
  <si>
    <t>565.</t>
  </si>
  <si>
    <t>SBA 25/636</t>
  </si>
  <si>
    <t>“Yorgunluğun Farklı Açısal Hızlarda Alt Ekstremite İzokinetik Kas Kuvvet Çıktıları Üzerine Etkisi”</t>
  </si>
  <si>
    <t>566.</t>
  </si>
  <si>
    <t>SBA 25/637</t>
  </si>
  <si>
    <t>Doç. Dr. Oğuz Abdullah UYAROĞLU</t>
  </si>
  <si>
    <t>“İç Hastalıkları Servislerinde Yatan ve Eksizyonel Lenf Nodu Biyopsisi Yapılan Hastaların Klinik, Laboratuvar ve Radyolojik Görüntülemelerinin Tanı Süreci ile İlişkili Analizi ve Prediktörlerin Belirlenmesi”</t>
  </si>
  <si>
    <t>567.</t>
  </si>
  <si>
    <t>SBA 25/638</t>
  </si>
  <si>
    <t>“Os Parietale Kalınlığının Bölgesel Değişkenliğinin Analizi ve Klinik Önemi”</t>
  </si>
  <si>
    <t>568.</t>
  </si>
  <si>
    <t>SBA 25/639</t>
  </si>
  <si>
    <t>Dr. Öğr. Üyesi Burak Yasin AKTAŞ</t>
  </si>
  <si>
    <t>“Hacettepe Üniversitesi Hastanesinde Solid Tümörlü Kanser Hastalarının Tedaviye Ulaşmak İçin Geçirdikleri Sürenin ve Zaman Toksisitesinin Değerlendirilmesi”</t>
  </si>
  <si>
    <t>569.</t>
  </si>
  <si>
    <t>SBA 25/640</t>
  </si>
  <si>
    <t>“İntihar Davranışı Ayrımı: Ası Vakalarında Proteomik Analiz ve İmmünflöresan İnceleme ile Nörobiyolojik Belirteç Belirlenmesi”</t>
  </si>
  <si>
    <t>570.</t>
  </si>
  <si>
    <t>SBA 25/641</t>
  </si>
  <si>
    <t>Prof. Dr. Menemşe GÜMÜŞDERELİOĞLU</t>
  </si>
  <si>
    <t>“Hücresizleştirilmiş İnsan Amniyotik Membran Temelli Küçük Çaplı Vasküler Greft Geliştirilmesi ve Cerrahi Anastomoz Uygulamalarında Değerlendirilmesi”</t>
  </si>
  <si>
    <t>571.</t>
  </si>
  <si>
    <t>SBA 25/642</t>
  </si>
  <si>
    <t>“Farklı Elektrikli Testere Sistemlerinin Cerrahi Verimlilik, Termal Etki ve Kullanıcı Deneyimi Açısından Kemik Modelinde Karşılaştırılması”</t>
  </si>
  <si>
    <t>572.</t>
  </si>
  <si>
    <t>SBA 25/643</t>
  </si>
  <si>
    <t>“İlaca Dirençli Ekstratemporal Lob Epilepsisi Cerrahisi Geçiren Hastalarda Cerrahi Sonuçlar ve Prognozu Etkileyen Faktörlerin Retrospektif Analizi”</t>
  </si>
  <si>
    <t>573.</t>
  </si>
  <si>
    <t>SBA 25/644</t>
  </si>
  <si>
    <t>Prof. Dr. Gıyasettin DEMİRHAN</t>
  </si>
  <si>
    <t>“Matematik ve Türkçe Derslerinde Kullanılan Fiziksel Aktivite Tabanlı Aktif ve Pasif Zihin Molalarının Akademik Başarı, Bilişsel İşlevler, Fiziksel Aktivite Düzeyi ve Sınıf İçi Davranışlar Üzerindeki Etkisi”</t>
  </si>
  <si>
    <t>574.</t>
  </si>
  <si>
    <t>SBA 25/645</t>
  </si>
  <si>
    <t>Prof. Dr. Sevinç SARINÇ</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</si>
  <si>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</si>
  <si>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575.</t>
  </si>
  <si>
    <t>SBA 25/646</t>
  </si>
  <si>
    <t>Prof. Dr. Halil Gökhan DEMİRKIRAN</t>
  </si>
  <si>
    <t>“Komplikasyonların Azaltılmasında Distraksiyon Tabanlı Büyüme Dostu Teknikler İçin Uygun Cerrahi Yaş”</t>
  </si>
  <si>
    <t>576.</t>
  </si>
  <si>
    <t>SBA 25/647</t>
  </si>
  <si>
    <t>“Meningomiyesel ve Diğer Nöromusküler Erken Başlangıçlı Skolyozlarda Büyüyen Rod Tedavisini Tekiben Uygulanan Definitif Cerrahinin Klinik ve Radyolojik Sonuçlarının Karşılaştırılması”</t>
  </si>
  <si>
    <t>577.</t>
  </si>
  <si>
    <t>SBA 25/648</t>
  </si>
  <si>
    <t>“Vulva Kanseri ve HER-2 İlişkisi”</t>
  </si>
  <si>
    <t>578.</t>
  </si>
  <si>
    <t>SBA 25/649</t>
  </si>
  <si>
    <t>“Artan Renal Klirensi Olan Hastalarda Meropenem Kan Düzeylerinin Retrospektif Olarak Değerlendirilmesi”</t>
  </si>
  <si>
    <t>579.</t>
  </si>
  <si>
    <t>SBA 25/650</t>
  </si>
  <si>
    <t>“Kanserli Hastalarda Serum Albumin-Kreatin Oranının Sağkalım ve Progresyonsu Sağkalım ile İlişkisinin Araştırılması”</t>
  </si>
  <si>
    <t>580.</t>
  </si>
  <si>
    <t>SBA 25/651</t>
  </si>
  <si>
    <t>“Biyopsi ile Tanımlanmış Lakrimal Bez Patolojilerine Sahip Hastaların Demografik ve Klinik Özelliklerinin Belirlenmesi”</t>
  </si>
  <si>
    <t>581.</t>
  </si>
  <si>
    <t>SBA 25/652</t>
  </si>
  <si>
    <t>“REM Uyku Davranış Bozukluğunun Prodromal, İdiopatik ve Sekonder Alt Tiplerinde Klinik, Polisomnografik Özellikler ve Tedavi Yanıtlarının Karşılaştırılması”</t>
  </si>
  <si>
    <t>582.</t>
  </si>
  <si>
    <t>SBA 25/653</t>
  </si>
  <si>
    <t>“Hipokampal Sklerozlu Mezial Temporal Lob Epilepsisinde Skalp EEG’de İktal Yayılım Özelliklerinin Cerrahi Sonrası Prognozu Öngörmede Rolü: Retrospektif Bir Analiz”</t>
  </si>
  <si>
    <t>583.</t>
  </si>
  <si>
    <t>SBA 25/654</t>
  </si>
  <si>
    <t>“Kronik Çok İlaca Dirençli Pseudomonas Aeruginosa Enfeksiyonu Olan Kistik Fibrozisli Çocuk Hastalarımızın Retrospektif Değerlendirilmesi</t>
  </si>
  <si>
    <t>584.</t>
  </si>
  <si>
    <t>SBA 25/655</t>
  </si>
  <si>
    <t>“Hemoptizi Sebebiyle Fleksible Fiberoptik Bronkoskopi Yaptiğimiz Çocuk Hastalarımızın Retrospektif Değerlendirilmesi”</t>
  </si>
  <si>
    <t>585.</t>
  </si>
  <si>
    <t>SBA 25/656</t>
  </si>
  <si>
    <t>Doç. Dr. Elif Günay BULUT</t>
  </si>
  <si>
    <t>“Pediyatrik Orbital Rabdomyosarkomun Görüntüleme Bulguları”</t>
  </si>
  <si>
    <t>586.</t>
  </si>
  <si>
    <t>SBA 25/657</t>
  </si>
  <si>
    <t>“Sanal Cerrahi Planlamanın Kişiye Özel Plak ve Geleneksel Miniplak Fiksasyonu Yapılmış Hastalardaki Doğruluğunun İncelenmesi”</t>
  </si>
  <si>
    <t>587.</t>
  </si>
  <si>
    <t>SBA 25/658</t>
  </si>
  <si>
    <t>Doç. Dr. Ece MERAL</t>
  </si>
  <si>
    <t>“.Huzurevinde Yaşayan Yaşlı Bireylerin Ağız Sağlığı Durumu ile Bakımevi Personelinin Ağız Sağlığına Yönelik Bilgi Düzeyi Arasındaki İlişkinin Değerlendirilmesi.”</t>
  </si>
  <si>
    <t>588.</t>
  </si>
  <si>
    <t>SBA 25/659</t>
  </si>
  <si>
    <t>“İdiyopatik Jeneralize Epilepside Klinik ve Tanısal Özelliklerin Saptanması ve Tedavi Sonuçlarıyla İlişkisinin Retrospektif Olarak Değerlendirilmesi”</t>
  </si>
  <si>
    <t>589.</t>
  </si>
  <si>
    <t>SBA 25/660</t>
  </si>
  <si>
    <t>Prof. Dr. Fahriye Duygu ÇETİNKAYA</t>
  </si>
  <si>
    <t>“Çevresel Sensör Reseptör Uyarımı ile Koşullandırılmış İnflamasyon Baskılayıcı”</t>
  </si>
  <si>
    <t>590.</t>
  </si>
  <si>
    <t>SBA 25/661</t>
  </si>
  <si>
    <t>“Evre 3 ve 4 Kronik Böbrek Hastalarında Hastalık Farkındalık Ölçeği Geliştirilmesi: Ekolojik Model Temelli Bir Yaklaşım”</t>
  </si>
  <si>
    <t>591.</t>
  </si>
  <si>
    <t>SBA 25/662</t>
  </si>
  <si>
    <t>“Kolorektal Kanserli Hastaların Klinopatolojik Özellikleri”</t>
  </si>
  <si>
    <t>592.</t>
  </si>
  <si>
    <t>SBA 25/663</t>
  </si>
  <si>
    <t>“Kronik Granülomatoz Hastalık Tanılı Çocukların Akciğer Bulgularının Değerlendirilmesi”</t>
  </si>
  <si>
    <t>593.</t>
  </si>
  <si>
    <t>SBA 25/664</t>
  </si>
  <si>
    <t>“Diyabet Tarama Test İstemlerinin Kanıta Dayalı Eğitim Müdahaleleri ile Rasyonel Kullanımının Arttırılması: Kalite Geliştirme Çalışması”</t>
  </si>
  <si>
    <t>594.</t>
  </si>
  <si>
    <t>SBA 25/665</t>
  </si>
  <si>
    <t>“Eczacılıkta Uzmanlık Sınavı Başarısı Açısından Yapay Zeka Tabanlı Büyük Dil Modellerinin Karşılaştırması”</t>
  </si>
  <si>
    <t>595.</t>
  </si>
  <si>
    <t>SBA 25/666</t>
  </si>
  <si>
    <t>Prof. Dr. Burçin ŞENER</t>
  </si>
  <si>
    <t>“HIV ile Yaşayan Kişilerde HIV Viral Yükün ve İmmünolojik Parametrelerin Quantiferon-TB Gold Plus Testi Sonucuna Etkisi”</t>
  </si>
  <si>
    <t>596.</t>
  </si>
  <si>
    <t>SBA 25/667</t>
  </si>
  <si>
    <t>Dr. Öğr. Üyesi Hatice Yağmur ZENGİN</t>
  </si>
  <si>
    <t>“40 Yaş ve Üstü HIV Pozitif Bireylerde Kırılganlık Riskinin Tahmini ve Dijital Risk Değerlendirmede Web R Shiny Uygulaması”</t>
  </si>
  <si>
    <t>597.</t>
  </si>
  <si>
    <t>SBA 25/668</t>
  </si>
  <si>
    <t>“İmmunoglobulin-E Aracılı Besin Alerjisi Tanılı Hastalarda Besin Yükleme Testinde Pozitif Reaksiyon Gelişen Eşik Değeri Öngörmek Amacıyla Kullanılabilecek Faktörlerin Belirlenmesi”</t>
  </si>
  <si>
    <t>598.</t>
  </si>
  <si>
    <t>SBA 25/669</t>
  </si>
  <si>
    <t>“Balık İlişkili Besin Proteininin İndüklediği Enterokolit Sendromunda İlk Provakasyon Zamanının Belirlenmesi”</t>
  </si>
  <si>
    <t>599.</t>
  </si>
  <si>
    <t>SBA 25/670</t>
  </si>
  <si>
    <t>Öğr. Gör. Dr. Ahmet Onur DAŞTAN</t>
  </si>
  <si>
    <t>“L-Sitrülin Malat Takviyesinin Dövüş Sporcularında Aerobik Egzersiz Performansı Üzerine Etkisi”</t>
  </si>
  <si>
    <t>600.</t>
  </si>
  <si>
    <t>SBA 25/671</t>
  </si>
  <si>
    <t>Dr. Öğr. Üyesi Gizem ÜREL DEMİR</t>
  </si>
  <si>
    <t>“Fibrodisplazi Ossifikans Progressiva Tanılı Hastaların Klinik ve Moleküler Özelliklerinin Gözden Geçirilmesi”</t>
  </si>
  <si>
    <t>601.</t>
  </si>
  <si>
    <t>SBA 25/672</t>
  </si>
  <si>
    <t>“İmmün Kontrol Noktası İnhibitörü Alan Kanser Hastalarında Vücut Kompozisyonu, Psikososyal Faktörler ve İlaç İlişkili Sorunların Klinik Seyirle İlişkisinin Değerlendirilmesi”</t>
  </si>
  <si>
    <t>602.</t>
  </si>
  <si>
    <t>SBA 25/673</t>
  </si>
  <si>
    <t>“Oral Bakteri Kaynaklı Ekstraselüler Veziküllerin İnsan Mikroçevre Hücreleri Üzerindeki Etkilerinin Araştırılması”</t>
  </si>
  <si>
    <t>603.</t>
  </si>
  <si>
    <t>SBA 25/674</t>
  </si>
  <si>
    <t>Prof. Dr. Fatma Gökçem YILDIZ SARIKAYA</t>
  </si>
  <si>
    <t>“Amyotrofik Lateral Skleroz Hastalarında trapez Kasına Uygulanan Repetetif Sinir Stimülasyonunun Tanısal Değerlendirilmesi: Kontrollü Prospektif Bir Çalışma”</t>
  </si>
  <si>
    <t>604.</t>
  </si>
  <si>
    <t>SBA 25/675</t>
  </si>
  <si>
    <t>“SOD1 Mutasyonu Taşıyan Amyotrofik Lateral Skleroz Hastalarında Kalp Hızı Değişkenliği ve Sempatik Deri Yanıtı ile Otonomik Disfonksiyonun Değerlendirilmesi”</t>
  </si>
  <si>
    <t>605.</t>
  </si>
  <si>
    <t>SBA 25/676</t>
  </si>
  <si>
    <t>“Susam Alerjisi Olan Çocuklarda Oral İmmünoterapi ve Besinden Kaçınma Yaklaşımlarının Yaşam Kalitesi Üzerine Etkileri”</t>
  </si>
  <si>
    <t>606.</t>
  </si>
  <si>
    <t>SBA 25/677</t>
  </si>
  <si>
    <t>“İdrar Kaçıran Kadınlarda Yapay Zeka Yardımlı Görüntüleme Analizi ile Tanı Süreçlerinin Geliştirilmesi”</t>
  </si>
  <si>
    <t>607.</t>
  </si>
  <si>
    <t>SBA 25/678</t>
  </si>
  <si>
    <t>“Astım Tanılı Çocuklarda Tedavi Edilebilir Özelliklerin İncelenmesi”</t>
  </si>
  <si>
    <t>608.</t>
  </si>
  <si>
    <t>SBA 25/679</t>
  </si>
  <si>
    <t>Prof. Dr. Şükran Nazan KOŞAR</t>
  </si>
  <si>
    <t>“Sedanter Davranışın Farklı Şiddette Egzersizlerle Kesintiye Uğratılmasının Postprandiyal Kardiyometabolik Etkileri”</t>
  </si>
  <si>
    <t>609.</t>
  </si>
  <si>
    <t>SBA 25/680</t>
  </si>
  <si>
    <t>“Polikistik Over Sendromu Tanılı Hastaların Endokrinolojik İzlemi ve Veri Tabanı Oluşturulması”</t>
  </si>
  <si>
    <t>610.</t>
  </si>
  <si>
    <t>SBA 25/681</t>
  </si>
  <si>
    <t>"Nörofibromatozis Tip1 İlişkili Pleksiform Nörofibromlarda Selümetinib Kullanımı: Hacettepe Deneyimi”</t>
  </si>
  <si>
    <t>611.</t>
  </si>
  <si>
    <t>SBA 25/682</t>
  </si>
  <si>
    <t>“Proksimal Tibia İntraartiküler Kırıklarının Retrospektif Analizi ve Tedavi Sonuçları”</t>
  </si>
  <si>
    <t>612.</t>
  </si>
  <si>
    <t>SBA 25/683</t>
  </si>
  <si>
    <t>“Graves Hastalarında Beslenme Alışkanlıkları ve Vücut Kompozisyonunun İncelenmesi”</t>
  </si>
  <si>
    <t>613.</t>
  </si>
  <si>
    <t>SBA 25/684</t>
  </si>
  <si>
    <t>“Sekonder İmmün Yetmezlik İçin Farkındalığın Değerlendirilmesi: Pediatri ve İmmünoloji Perspektifi”</t>
  </si>
  <si>
    <t>614.</t>
  </si>
  <si>
    <t>SBA 25/685</t>
  </si>
  <si>
    <t>“ALPACA Tanısı İle İzlenen Hastaların Değerlendirilmesi”</t>
  </si>
  <si>
    <t>615.</t>
  </si>
  <si>
    <t>SBA 25/686</t>
  </si>
  <si>
    <t>“Şeffaf Plak Kompozit Ataşmanlarının Renk Stabilitesi ve Diş Rengi Üzerine Etkileri”</t>
  </si>
  <si>
    <t>616.</t>
  </si>
  <si>
    <t>SBA 25/687</t>
  </si>
  <si>
    <t>“Hacettepe Üniversitesi Hastanesi Ameliyathanesinde Çalışan Cerrahlarda Kas İskelet Sistemi Problemlerinin Tespiti"</t>
  </si>
  <si>
    <t>617.</t>
  </si>
  <si>
    <t>SBA 25/688</t>
  </si>
  <si>
    <t>“Eozinofilik Gastrointestinal Hastalık Tanısı Alan Primer İmmün Yetmezlikli Hastaların Klinik ve Laboratuvar Özelliklerinin Değerlendirilmesi”</t>
  </si>
  <si>
    <t>618.</t>
  </si>
  <si>
    <t>SBA 25/689</t>
  </si>
  <si>
    <t>Uzm. Dt. Tülin TAŞDEMİR</t>
  </si>
  <si>
    <t>“Süt Azı Dişlerinde Fizyolojik ve Patolojik Rezorpsiyonun Derin Öğrenme ile Otomatik Sınıflandırılması”</t>
  </si>
  <si>
    <t>619.</t>
  </si>
  <si>
    <t>SBA 25/690</t>
  </si>
  <si>
    <t>Prof. Dr. Özgür UĞURLUOĞLU</t>
  </si>
  <si>
    <t>“Tip 2 Diyabet Hastalarında Karar Verme Çatışması, Kronik Hastalık Bakım Değerlendirmesi, Diyabet Distresi ve Tedaviye Uyum Arasındaki İlişkilerin Değrlendirilmesi”</t>
  </si>
  <si>
    <t>620.</t>
  </si>
  <si>
    <t>SBA 25/691</t>
  </si>
  <si>
    <t>“LeFort 1 Cerrahisinde Maksillaya Yaptırılan Çeşitli Hareketlerin Dudak ve Burun Estetik Bölgelerindeki Etkilerinin İncelenmesi”</t>
  </si>
  <si>
    <t>621.</t>
  </si>
  <si>
    <t>SBA 25/692</t>
  </si>
  <si>
    <t>“Primer İmmün Yetmezlik Tanısı ile İzlenen Hastalarda Karaciğerde Gelişebilen Fokal Nodüler Hiperplazi Lezyonlarmin Değerlendirilmesi ”</t>
  </si>
  <si>
    <t>622.</t>
  </si>
  <si>
    <t>SBA 25/693</t>
  </si>
  <si>
    <t>“Kronik Tromboembolik Pulmoner Hipertansiyonun Tanisonda ve Tedavi Yanıtı Değerlendirmesinde Akciğer Ventilasyon/Perfüzyon Sintigrafisinin Prognostik Gücü”</t>
  </si>
  <si>
    <t>623.</t>
  </si>
  <si>
    <t>SBA 25/694</t>
  </si>
  <si>
    <t>Prof. Dr. Levent SENNAROĞLU</t>
  </si>
  <si>
    <t>“Axial ve Koronal Düzlemde Koklear Apertür Ölçümlerinin İnternal Akustik Kanal ve Koklear Sinir ile İlişkisi”</t>
  </si>
  <si>
    <t>624.</t>
  </si>
  <si>
    <t>SBA 25/695</t>
  </si>
  <si>
    <t>“Sigara Kullanan Erişkinlerin Sigaraya Ayırdıkları Bütçeye Dair Farkındalıklarının Sigara Bırakma Motivasyonlarıyla İlişkisi”</t>
  </si>
  <si>
    <t>625.</t>
  </si>
  <si>
    <t>SBA 25/696</t>
  </si>
  <si>
    <t>“Çene Kemiklerinde Multipl Miyeloma Bağlı Mikroyapısal Bozulmaların Kantitatif Analizi: Fraktal, Lakünerite ve Entropi Parametrelerinin Karşılaştırmalı İncelemesi”</t>
  </si>
  <si>
    <t>626.</t>
  </si>
  <si>
    <t>SBA 25/697</t>
  </si>
  <si>
    <t>"Ailesel Akdeniz Ateşi’nde MEFV Genotipine Göre Klinik Özelliklerin Karşılaştırılması: Homozigot, Heterozigot ve Klinik Önemi Bilinmeyen Varyant Taşıyıcıları"</t>
  </si>
  <si>
    <t>627.</t>
  </si>
  <si>
    <t>SBA 25/698</t>
  </si>
  <si>
    <t>"Çocukluk Çağı Kronik Non-Bakteriyel Osteomiyelit Hastalarında Tedaviye Yanıtlar ve Relapsı Öngören Faktörler"</t>
  </si>
  <si>
    <t>628.</t>
  </si>
  <si>
    <t>SBA 25/699</t>
  </si>
  <si>
    <t>Prof. Dr. Uğur BAYSAL</t>
  </si>
  <si>
    <t>“Tablet Tabanlı Mikroperimetri ile Yaşa Bağlı Makula Dejenerasyonunda Görme Keskinliği Değişiminin Ev Ortamında Saptanması”</t>
  </si>
  <si>
    <t>629.</t>
  </si>
  <si>
    <t>SBA 25/700</t>
  </si>
  <si>
    <t>“Humerus Şaft Kırıklarının Retrospektif Analizi ve Tedavi Sonuçları”</t>
  </si>
  <si>
    <t>630.</t>
  </si>
  <si>
    <t>SBA 25/701</t>
  </si>
  <si>
    <t>“Mitokondriyal Hastalık Tanılı Hastaların Semptom ve Bulgularının Mitokondriyal Hastalık Tanı Kriterleri ile Değerlendirilmesi”</t>
  </si>
  <si>
    <t>631.</t>
  </si>
  <si>
    <t>SBA 25/702</t>
  </si>
  <si>
    <t>“Kırım-Kongo Kanamalı Ateşinin Moleküler İmzalarının Ortaya Konması: mRNA, lncRNA, sRNA ve circRNA Profilleri Üzerine Transkriptomik ve Biyoinformatik Yaklaşım”</t>
  </si>
  <si>
    <t>632.</t>
  </si>
  <si>
    <t>SBA 25/703</t>
  </si>
  <si>
    <t>Dr. Öğr. Üyesi İrem İYİGÜN</t>
  </si>
  <si>
    <t>“Konjenital Kalp Hastalığı Nedeniyle Opere Edilen Yenidoğanlarda Mortaliteyi Etkileyen Klinik Faktörler”</t>
  </si>
  <si>
    <t>633.</t>
  </si>
  <si>
    <t>SBA 25/704</t>
  </si>
  <si>
    <t>Prof. Dr. Filiz ÜZÜMCÜGİL</t>
  </si>
  <si>
    <t>“Pediatrik Cerrahi Hastalarında Postoperatif Ağrı Yönetimi Başarısının Değerlendirilmesi”</t>
  </si>
  <si>
    <t>634.</t>
  </si>
  <si>
    <t>SBA 25/705</t>
  </si>
  <si>
    <t>“Bilateral Sagital Split Ramus Osteotomisi ve Genioplasti ile Mandibulaya Yaptırılan Çeşitli Hareketlerin Dudak, Çene Ucu ve Angulus Estetik Bölgelerindeki Etkilerinin İncelenmesi”</t>
  </si>
  <si>
    <t>635.</t>
  </si>
  <si>
    <t>SBA 25/706</t>
  </si>
  <si>
    <t>“Üst Ekstremitede Ön Kondisyonlanma ile “Aktivasyon Sonrası Performans Artışı” mümkün mü?”</t>
  </si>
  <si>
    <t>636.</t>
  </si>
  <si>
    <t>SBA 25/707</t>
  </si>
  <si>
    <t>Prof. Dr. Gökhan ÖZYİĞİT</t>
  </si>
  <si>
    <t>“Tüm Beyin Radyoterapisi Sırasında Hipokampüsün Dentat Girus ve Cornu Ammonis Bölgelerinin Korunduğu Hastalarda Nörokognitif Fonksiyon Durumunun Değerlendirilmesi”</t>
  </si>
  <si>
    <t>637.</t>
  </si>
  <si>
    <t>SBA 25/708</t>
  </si>
  <si>
    <t>“Tek Taraflı Dudak-Damak Yarıklı Dental Modellerde Farklı Ağız İçi Tarayıcıların Karşılaştırılması: İn-vitro Çalışma”</t>
  </si>
  <si>
    <t>638.</t>
  </si>
  <si>
    <t>SBA 25/709</t>
  </si>
  <si>
    <t>Prof. Dr. A. Elif ERSON BENSAN</t>
  </si>
  <si>
    <t>“Luminal A Meme Kanseri: Genç Yaşa Özgü Kötü Prognozun Moleküler Temelleri”</t>
  </si>
  <si>
    <t>639.</t>
  </si>
  <si>
    <t>SBA 25/710</t>
  </si>
  <si>
    <t>“Sol Dal Alan Uyarım Metodu ile İmplante Edilen Kardiyak Cihazların Hastalar Üzerideki Takip Verilerinin İncelenmesi ve Konvansiyonel Metodoloji ile Karşılaştırılması”</t>
  </si>
  <si>
    <t>640.</t>
  </si>
  <si>
    <t>SBA 25/711</t>
  </si>
  <si>
    <t>Dr. Öğr. Üyesi Gözde ÖZER</t>
  </si>
  <si>
    <t>“Periferik Fasiyal Paralizili Hastalarda Kulak MRG Bulguları ve 3D-FLAIR Sekansın Tanıya Katkısının Araştırılması”</t>
  </si>
  <si>
    <t>641.</t>
  </si>
  <si>
    <t>SBA 25/712</t>
  </si>
  <si>
    <t>Dr. Öğr. Üyesi Hanife Merva PARLAK</t>
  </si>
  <si>
    <t>“İleri Derecede Kemik Kaybı Olan Lezyonlarda Oral Protozoa Varlığının Değerlendirilmesi”</t>
  </si>
  <si>
    <t>642.</t>
  </si>
  <si>
    <t>SBA 25/713</t>
  </si>
  <si>
    <t>Doç. Dr. Duygu GÜLSEREN</t>
  </si>
  <si>
    <t>“Pemfigus Vulgaris Hastalarında Rituksimab Tedavisinden Sonrası Relaps İle İlişkili Laboratuar ve Klinik Parametrelerin Araştırılması”</t>
  </si>
  <si>
    <t>643.</t>
  </si>
  <si>
    <t>SBA 25/714</t>
  </si>
  <si>
    <t>“PAX1 Gen Mutasyonunun Timus Gelişimi ve Fonksiyonu Üzerinde Etkilerinin Araştırılması”</t>
  </si>
  <si>
    <t>644.</t>
  </si>
  <si>
    <t>SBA 25/715</t>
  </si>
  <si>
    <t>Dr. Öğr. Üyesi Özay GÖKÖZ</t>
  </si>
  <si>
    <t>“Mikozis Fungoides ve Ayırıcı Tanısına Giren Lezyonlarda TRPS1, RBC1, TOX ve PDCD1 Ekspresyonlarının Karşılaştırmalı Değerlendirilmesi: Tanısal Algoritma Geliştirmeye Yönelik Klinikopatolojik Yaklaşım”</t>
  </si>
  <si>
    <t>645.</t>
  </si>
  <si>
    <t>SBA 25/716</t>
  </si>
  <si>
    <t>“Başlangıç Yaşına Göre Atopik Dermatit Olgularının Klinik ve Laboratuvar Parametrelerinin Karşılaştırılması”</t>
  </si>
  <si>
    <t>646.</t>
  </si>
  <si>
    <t>SBA 25/717</t>
  </si>
  <si>
    <t>“Metastatik Kolorektal, Over ve Serviks Hastalarında Renal Sonlanımların Değerlendirilmesi”</t>
  </si>
  <si>
    <t>647.</t>
  </si>
  <si>
    <t>SBA 25/718</t>
  </si>
  <si>
    <t>“Pediyatrik Sarkomlarda Metabolik ve Radyomik Parametreler ile Prognostik Modelleme”</t>
  </si>
  <si>
    <t>648.</t>
  </si>
  <si>
    <t>SBA 25/719</t>
  </si>
  <si>
    <t>Dr. Öğr. Üyesi Ali Can GÜNEŞ</t>
  </si>
  <si>
    <t>“Paraservikal Blok Uygulamasının Histeroskopi Sonrası Postoperatif Ağrı Üzerine Etkisi: Anket Çalışması”</t>
  </si>
  <si>
    <t>649.</t>
  </si>
  <si>
    <t>SBA 25/720</t>
  </si>
  <si>
    <t>“Jinekolojik Onkoloji Konsey Kararlarının Yapay Zekâ Destekli Kararlarla Karşılaştırılması: Over, Endometrium ve Serviks Kanseri Üzerine Retrospektif Bir Analiz”</t>
  </si>
  <si>
    <t>650.</t>
  </si>
  <si>
    <t>SBA 25/721</t>
  </si>
  <si>
    <t>“Nazal Dermoid Kistlere Multidisipliner Yaklaşım: Konjenital Vakaların Klinik, Görüntüleme ve Cerrahi Bulguları Üzerine Tek Merkezli Bir Analiz ”</t>
  </si>
  <si>
    <t>651.</t>
  </si>
  <si>
    <t>SBA 25/722</t>
  </si>
  <si>
    <t>''Besin Alerjili Çocuklarda Kazara Alerjen Maruziyeti: Sıklığı, Risk Faktörleri ve Yaşam Kalitesi Üzerindeki Etkileri''</t>
  </si>
  <si>
    <t>652.</t>
  </si>
  <si>
    <t>SBA 25/723</t>
  </si>
  <si>
    <t>“Manyetik Rezonans Görüntüleme ile Belirlenen Pankreas Yağlanmasının ERCP Sonrası Komplikasyonlarla İlişkisinin Değerlendirilmesi”</t>
  </si>
  <si>
    <t>653.</t>
  </si>
  <si>
    <t>SBA 25/724</t>
  </si>
  <si>
    <t>“Triküspid Kapak Cerrahisi Uygulanmış Hastalarda Bradikardi Tedavisinde Kalıcı Kalp Pilinin Koroner Sinüs Yoluyla Uygulanması”</t>
  </si>
  <si>
    <t>654.</t>
  </si>
  <si>
    <t>SBA 25/725</t>
  </si>
  <si>
    <t>Prof. Dr. Tuncay HAZIROLAN</t>
  </si>
  <si>
    <t>“Kardiyak Bilgisayarlı Tomografi Anjiyografi Bulguları ile Koroner Arter Hastalığının Seyri ve Stent İçi Restenoz Arasındaki İlişkinin Degerlendirilmesi”</t>
  </si>
  <si>
    <t>655.</t>
  </si>
  <si>
    <t>SBA 25/726</t>
  </si>
  <si>
    <t>“Türkiye’de 2022–2024 Yılları Arasında Gerçekleştirilen Aile Hekimliği Uyum Eğitimlerinin Etkililiğinin Değerlendirilmesi: Ön Test ve Son Test Sonuçları Üzerinden Bir Analiz”</t>
  </si>
  <si>
    <t>656.</t>
  </si>
  <si>
    <t>SBA 25/727</t>
  </si>
  <si>
    <t>Prof. Dr. Ali Rıza TÜMER</t>
  </si>
  <si>
    <t>“Yüksek Enerjili Patlayıcılara Bağlı Gelişen İşitme Kayıplarının Adli Tıbbi Değerlendirilmesi”</t>
  </si>
  <si>
    <t>657.</t>
  </si>
  <si>
    <t>SBA 25/728</t>
  </si>
  <si>
    <t>“Travma İlişkili Venöz Tromboembolizm Olgularının Medikolegal Açıdan İncelenmesi”</t>
  </si>
  <si>
    <t>658.</t>
  </si>
  <si>
    <t>SBA 25/729</t>
  </si>
  <si>
    <t>“Santral Sinir Sistemi Lenfomalarında Sentinel Lezyonların Görüntüleme Bulguları ve Tanısal Önemi”</t>
  </si>
  <si>
    <t>659.</t>
  </si>
  <si>
    <t>SBA 25/730</t>
  </si>
  <si>
    <t>Öğr. Gör. Dt. İrem SÖZEN YANIK</t>
  </si>
  <si>
    <t>"Diş Hekimliği Lisans Eğitiminde Total Protez Konulu Açık Uçlu Sınav Sorularının Büyük Dil Modelleri ve Uzman Puanlamaları ile Karşılaştırılması.”</t>
  </si>
  <si>
    <t>660.</t>
  </si>
  <si>
    <t>SBA 25/731</t>
  </si>
  <si>
    <t>“Gastrointestinal Sistem İlişkili Ani Beklenmedik Ölümler: Retrospektif Otopsi Çalışması”</t>
  </si>
  <si>
    <t>661.</t>
  </si>
  <si>
    <t>SBA 25/732</t>
  </si>
  <si>
    <t>“Çocukluk ve Ergenlik Döneminde Gerçekleşen Doğal Olmayan Ölüm Olgularının Değerlendirilmesi”</t>
  </si>
  <si>
    <t>662.</t>
  </si>
  <si>
    <t>SBA 25/733</t>
  </si>
  <si>
    <t>Doç. Dr. Fatma Gonca ELDEM</t>
  </si>
  <si>
    <t>“El Osteoartriti ve İnflamatuar Artritlerde Transarteriyel Periartiküler Embolizasyon: Teknik Uygulanabilirlik ve Klinik Sonuçları”</t>
  </si>
  <si>
    <t>663.</t>
  </si>
  <si>
    <t>SBA 25/734</t>
  </si>
  <si>
    <t>“Fankoni Anemisinde Büyüme Hormonu Eksikliği Olan Olguların Özelliklerinin İncelenmesi”</t>
  </si>
  <si>
    <t>664.</t>
  </si>
  <si>
    <t>SBA 25/735</t>
  </si>
  <si>
    <t>Dr. Öğr. Üyesi Hilal AKDEMİR AKTAŞ</t>
  </si>
  <si>
    <t>“Humerus'un Proksimal Kısmının Morfometrik Özelliklerinin Değerlendirilmesi ve Klinik Önemi"</t>
  </si>
  <si>
    <t>665.</t>
  </si>
  <si>
    <t>SBA 25/736</t>
  </si>
  <si>
    <t>Öğr. Gör. Dr. Ece ÖZOĞUL</t>
  </si>
  <si>
    <t>“Matür T Hücreli Lenfomalarda INI-1 (SMARCB1) Ekspresyon Kaybının Değerlendirilmesi”</t>
  </si>
  <si>
    <t>666.</t>
  </si>
  <si>
    <t>SBA 25/737</t>
  </si>
  <si>
    <t>Psk. Dr. Buse ŞENCAN KARAKUŞ</t>
  </si>
  <si>
    <t>“Tip-1 Diyabeti Olan Çocuklarda Sağlıkta Baba Katılımı ve İlişkili Faktörler"</t>
  </si>
  <si>
    <t>667.</t>
  </si>
  <si>
    <t>SBA 25/738</t>
  </si>
  <si>
    <t>Doç. Dr. Ferdi ÇAY</t>
  </si>
  <si>
    <t>“Kronik Oklüzif İliofemoral Hastalıkta Rekanalizasyon: Endovasküler Tedavi Sonuçları ve Venöz Giriş Akımının Asendan Venografi ile Değerlendirilmesi”</t>
  </si>
  <si>
    <t>668.</t>
  </si>
  <si>
    <t>SBA 25/739</t>
  </si>
  <si>
    <t>“Down Sendromu Tanısı Almış Çocuk Hastaların Mandibula Kemik Yapısının Fraktal Analizi”</t>
  </si>
  <si>
    <t>669.</t>
  </si>
  <si>
    <t>SBA 25/740</t>
  </si>
  <si>
    <t>“DiGeorge Sendromu Tanısı Almış Çocuk Hastaların Mandibula Kemik Yapısının Fraktal Analizi”</t>
  </si>
  <si>
    <t>670.</t>
  </si>
  <si>
    <t>SBA 25/741</t>
  </si>
  <si>
    <t>Prof. Dr. Taner YILMAZ</t>
  </si>
  <si>
    <t>“Disfonili Hastalarda Multidisipliner Ses Konseyi Kararları ile ChatGPT Yanıtlarının Karşılaştırılması”</t>
  </si>
  <si>
    <t>671.</t>
  </si>
  <si>
    <t>SBA 25/742</t>
  </si>
  <si>
    <t>Prof. Dr. Emre HURİ</t>
  </si>
  <si>
    <t>“3D Modelleme ile Cerrahi Planlama'nın Sakral Nöromodülasyon Cerrahisine ve Başarıya Olan Katkısının Değerlendirilmesi”</t>
  </si>
  <si>
    <t>672.</t>
  </si>
  <si>
    <t>SBA 25/743</t>
  </si>
  <si>
    <t>"İmmünoterapi Alan Hastalarda Serum Vitamin D Düzeylerinin Prognostik Önemi "</t>
  </si>
  <si>
    <t>673.</t>
  </si>
  <si>
    <t>SBA 25/744</t>
  </si>
  <si>
    <t>Dr. Öğr. Üyesi Murat ÇAĞAN</t>
  </si>
  <si>
    <t>“Ektopik Gebelik Tanısı Alan Hastalarda Metotreksat Tedavisinin mg/m2 veya mg/kg Dozuna Göre Uygulanıp Etkinliğin Değerlendirilmesi ve Cerrahi Müdahale Gerektiren Vakaları Retrospektif Olarak Belirlenmesi”</t>
  </si>
  <si>
    <t>674.</t>
  </si>
  <si>
    <t>SBA 25/745</t>
  </si>
  <si>
    <t>“Pediatrik Pankreas Cerrahisinde Postoperatif Komplikasyonlar: On Yılda Ne Öğrendik?”</t>
  </si>
  <si>
    <t>675.</t>
  </si>
  <si>
    <t>SBA 25/746</t>
  </si>
  <si>
    <t>“Transkateter Aort Kapak İmplantasyonu Yapılan Hastalarda Kapak Fonksiyonlarının, Kalıcı Pil İhtiyacı Prediktörlerinin, Periprosedürel Komplikasyonların ve Takip Verilerinin Retrospektif Değerlendirilmesi”</t>
  </si>
  <si>
    <t>676.</t>
  </si>
  <si>
    <t>SBA 25/747</t>
  </si>
  <si>
    <t>“Hipertrofik Kardiyomiyopati Tanılı Hastalarda Atriyal Fibrilasyon Ablasyonu Sonrası Klinik Sonlanımlar”</t>
  </si>
  <si>
    <t>677.</t>
  </si>
  <si>
    <t>SBA 25/748</t>
  </si>
  <si>
    <t>“Tropomiyozin ve Arjinin Kinaz Duyarlılıkları Arasındaki İlişkilerin İncelenmesi”</t>
  </si>
  <si>
    <t>678.</t>
  </si>
  <si>
    <t>SBA 25/749</t>
  </si>
  <si>
    <t>“CDK 4/6 İnhibitörü Kullanan Metastik Meme Kanseri Hastalarında Sağkalıma Etki Eden Faktörlerin Yapay Zeka Aracılığıy Belirlenmesi”</t>
  </si>
  <si>
    <t>679.</t>
  </si>
  <si>
    <t>SBA 25/750</t>
  </si>
  <si>
    <t>“Kas Ultrasonografisi ile Yapılan Kas Kütlesi Ölçümleri ile Geriatri Populasyonda Referans Kas Kütlesi Değerlerinin Belirlenmesi”</t>
  </si>
  <si>
    <t>680.</t>
  </si>
  <si>
    <t>SBA 25/751</t>
  </si>
  <si>
    <t>“Küçük Hücreli Dışı Akciğer Kanseri Tanılı Hastalarda Venöz Tromboembolizm Riskini Öngören Tahmin Modelinin Geliştirilmesi”</t>
  </si>
  <si>
    <t>681.</t>
  </si>
  <si>
    <t>SBA 25/752</t>
  </si>
  <si>
    <t>Doç. Dr. Zihni Ekim TAŞKIRAN</t>
  </si>
  <si>
    <t>“Sistemik Otoinflamatuvar Hastalıklarda Üçüncü Nesil Dizileme ile Genetik Etiyolojinin Belirlenmesi”</t>
  </si>
  <si>
    <t>682.</t>
  </si>
  <si>
    <t>SBA 25/753</t>
  </si>
  <si>
    <t>“Yapay Zekanın Odontojenik Olmayan Ağrı Tanısındaki Başarısının Diş Hekimleri ile Karşılaştırılması: Senaryo Temelli Bir Veri Analizi”</t>
  </si>
  <si>
    <t>683.</t>
  </si>
  <si>
    <t>SBA 25/754</t>
  </si>
  <si>
    <t>“Şok Hastalarında Mikrodolaşım ve Makrodolaşımın Eş Zamanlı Değerlendirilmesi”</t>
  </si>
  <si>
    <t>684.</t>
  </si>
  <si>
    <t>SBA 25/755</t>
  </si>
  <si>
    <t>Prof. Dr. Ramazan AKÇAN</t>
  </si>
  <si>
    <t>“Non-Metrik Kraniyal Özelliklerin Cinsiyet Ayrımında Makine Öğrenmesi ve Uzman Değerlendirmeleri”</t>
  </si>
  <si>
    <t>685.</t>
  </si>
  <si>
    <t>SBA 25/756</t>
  </si>
  <si>
    <t>Prof. Dr. Elif Nursel ÖZMERT</t>
  </si>
  <si>
    <t>"Anne ve Babaların Olumsuz Çocukluk Çağı Deneyimlerinin Erken Doğum Öyküsü Olan Çocukların Gelişimlerine Etkileri"</t>
  </si>
  <si>
    <t>686.</t>
  </si>
  <si>
    <t>SBA 25/757</t>
  </si>
  <si>
    <t>Öğr. Gör. Dr. Helin YÜCEDAĞ GÜNDOĞDU</t>
  </si>
  <si>
    <t>“Os Naviculare Cerrahi Fiksasyonu İçin İmplant Boyutlarının Optimizasyonu: Morfometrik Çalışma”</t>
  </si>
  <si>
    <t>687.</t>
  </si>
  <si>
    <t>SBA 25/758</t>
  </si>
  <si>
    <t>“Ağız Diş Ve Çene Cerrahisi Kliniğine Başvuran Hastaların Yapay Zeka Farkındalik Düzeyi İle Ağız Sağlığı ile İliskili Yaşam Kalitesi Arasındaki Korelasyonun Değerlendirilmesi”</t>
  </si>
  <si>
    <t>688.</t>
  </si>
  <si>
    <t>SBA 25/759</t>
  </si>
  <si>
    <t>Öğr. Gör. Dr. Aslı ALKAN</t>
  </si>
  <si>
    <t>“Kronik Obstrüktif Akciğer Hastalığı Tanılı İleri Yaş Hastalarda Anksiyete ve Depresyonun İnhaler Uyumuyla İlişkisinin İncelenmesi”</t>
  </si>
  <si>
    <t>689.</t>
  </si>
  <si>
    <t>SBA 25/760</t>
  </si>
  <si>
    <t>“Erişkin Kistik Fibrozis Hastalarında Modülatör Tedaviye Erişim Sürecinin Psikososyal ve Ekonomik Etkilerinin Değerlendirilmesi”</t>
  </si>
  <si>
    <t>690.</t>
  </si>
  <si>
    <t>SBA 25/761</t>
  </si>
  <si>
    <t>Dr. Öğr. Üyesi Sehend DEBBAĞ</t>
  </si>
  <si>
    <t>“Spinal Musküler Atrofi (SMA) Tip 1 ve 2 Hastalarında İntratekal Nusinersenin Ultrasonografi Eşliğinde Uygulanmasının Değerlendirilmesi”</t>
  </si>
  <si>
    <t>691.</t>
  </si>
  <si>
    <t>SBA 25/762</t>
  </si>
  <si>
    <t>“Metafizyel Displazi Olgularında Klinik Spektrumun ve Genetik Etiyolojinin İncelenmesi”</t>
  </si>
  <si>
    <t>692.</t>
  </si>
  <si>
    <t>SBA 25/763</t>
  </si>
  <si>
    <t>Doç. Dr. Galip Gencay ÜSTÜN</t>
  </si>
  <si>
    <t>“Cerrahi Zorluğu Ölçmenin Yeni Yolu: VESPA skoru ile DIEP Fleplerde Anatomik Karmaşıklığın Sayısallaştırılması”</t>
  </si>
  <si>
    <t>693.</t>
  </si>
  <si>
    <t>SBA 25/764</t>
  </si>
  <si>
    <t>Prof. Dr. Bahar DOĞAN</t>
  </si>
  <si>
    <t>“Karaciğer Hastalıkları ile İlgili Stigmatizasyon Ölçeği Geliştirme Çalışması: Metodolojik Araştırma”</t>
  </si>
  <si>
    <t>694.</t>
  </si>
  <si>
    <t>SBA 25/765</t>
  </si>
  <si>
    <t>“SLC2943 Gen Defekti Olan Hastalarda Otofajinin İncelenmesi”</t>
  </si>
  <si>
    <t>695.</t>
  </si>
  <si>
    <t>SBA 25/766</t>
  </si>
  <si>
    <t>“Cerrahi veya Perkütan Yolla Atriyal Septal Defekt Kapatılan Hastalarda Atriyal Taşikardinin Kateter Ablasyonunun Sonlanım Noktalarının İncelenmesi”</t>
  </si>
  <si>
    <t>696.</t>
  </si>
  <si>
    <t>SBA 25/767</t>
  </si>
  <si>
    <t>“Bir Kamu Hastanesinin Acil Servisinde Yalın Yönetim Uygulaması”</t>
  </si>
  <si>
    <t>697.</t>
  </si>
  <si>
    <t>SBA 25/768</t>
  </si>
  <si>
    <t>Prof. Dr. Cavit IŞIK</t>
  </si>
  <si>
    <t>“Ankara’da Bir İlçe Belediyesi Ana Hizmet Binasında Görev Yapan Belediye Çalışanlarının İklim Değişikliği Risk Algısının Değerlendirilmesi”</t>
  </si>
  <si>
    <t>698.</t>
  </si>
  <si>
    <t>SBA 25/769</t>
  </si>
  <si>
    <t>“Kalp Hastalığı Olan Çocukların Sağlık Durumları ile Ebeveynlerinin Yaşantılarının Uyum ve Mücadele Dinamiklerinin Nitel Analizi”</t>
  </si>
  <si>
    <t>699.</t>
  </si>
  <si>
    <t>SBA 25/770</t>
  </si>
  <si>
    <t>Dr. Öğr. Üyesi Büşra KAPLAN</t>
  </si>
  <si>
    <t>"Diferansiye Tiroid Kanserlerinde Tedavi Öncesi Kan Sonuçlarının Prognostik Değerlendirmesi"</t>
  </si>
  <si>
    <t>700.</t>
  </si>
  <si>
    <t>SBA 25/771</t>
  </si>
  <si>
    <t>Prof. Dr. Gülay SAİN GÜVEN</t>
  </si>
  <si>
    <t>“Hacettepe Üniversitesi Genel Dahiliye Polikliniğine Başvuran 40-65 Yaş Arası Bireylerde Kardiyovasküler Riskin Değerlendirilmesi ve Risk Farkındalığının İncelenmesi”</t>
  </si>
  <si>
    <t>701.</t>
  </si>
  <si>
    <t>SBA 25/772</t>
  </si>
  <si>
    <t>“Susam veya Kabuklu Ağaç Yemişi Alerjisi Olan Hastalarda Deri Prick Testi, Besin Spesifik IgE ve Dudak Teması Testine Dayalı Risk Skorlaması”</t>
  </si>
  <si>
    <t>702.</t>
  </si>
  <si>
    <t>SBA 25/773</t>
  </si>
  <si>
    <t>Doç. Dr. Melis PEHLİVANTÜRK KIZILKAN</t>
  </si>
  <si>
    <t>“Çocuk Acile Başvuran İdrar Toksikolojisi Gönderilen Ergenlerin Ergen Sağlığı İzlemi”</t>
  </si>
  <si>
    <t>703.</t>
  </si>
  <si>
    <t>SBA 25/774</t>
  </si>
  <si>
    <t>“Farklı Kök Kanal Dolgu Materyallerinin Devital Beyazlatma Sonrası Renk Stabilitesi ve Fraktür Direnci Üzerine Etkileri: Laboratuvar Çalışması”</t>
  </si>
  <si>
    <t>704.</t>
  </si>
  <si>
    <t>SBA 25/775</t>
  </si>
  <si>
    <t>“Bronkopulmoner Displazinin Erken Tanı ve Tedavi Sürecinin İzleminde Yapay Zeka Destekli Metabolomik Yaklaşımlar”</t>
  </si>
  <si>
    <t>705.</t>
  </si>
  <si>
    <t>SBA 25/776</t>
  </si>
  <si>
    <t>“Kök Kanal Dolgu Materyalleri ve İntraorifis Bariyer Materyali Etkileşiminin İntrakoronal Beyazlatma ve Kırılma Dayanımı Üzerindeki Etkisi: İn Vitro Çalışma”</t>
  </si>
  <si>
    <t>706.</t>
  </si>
  <si>
    <t>SBA 25/777</t>
  </si>
  <si>
    <t>Prof. Dr. Dursun ALEHAN</t>
  </si>
  <si>
    <t>“Atriyal Septal Defekt Tanısı Olan Pediatrik Hastalarda Demografik, Klinik ve Ekokardiyografik Bulguların Değerlendirilmesi ile İzlem Sürecinde Bu Parametrelerdeki Değişikliklerin Araştırılması”</t>
  </si>
  <si>
    <t>707.</t>
  </si>
  <si>
    <t>SBA 25/778</t>
  </si>
  <si>
    <t>Dr. Öğr. Üyesi Efecan ÇEKİÇ</t>
  </si>
  <si>
    <t>“Glioblastoma Multiforme Hastalarında Venöz Tromboembolizm ve Hidrosefali Risk Faktörlerinin Anlaşılması ve Rekürren Cerrahi Sonrası Komplikasyonların Belirlenmesi”</t>
  </si>
  <si>
    <t>708.</t>
  </si>
  <si>
    <t>SBA 25/779</t>
  </si>
  <si>
    <t>“Çocukluk Başlangıçlı Monogenik Sendromik Obezitenin Erişkin Dönem Klinik Seyri”</t>
  </si>
  <si>
    <t>709.</t>
  </si>
  <si>
    <t>SBA 25/780</t>
  </si>
  <si>
    <t>“Rasgrp1 Mutasyonu Olan Hastaların Klinik ve Laboratuvar Özelliklerinin Değerlendirilmesi ”</t>
  </si>
  <si>
    <t>710.</t>
  </si>
  <si>
    <t>SBA 25/781</t>
  </si>
  <si>
    <t>“İnflamatuar Barsak Hastalıklarında Komplikasyon ve Tedavi Direncinin Retrospektif Veriler Üzerinden Büyük Dil Modeli (LLM) ile Değerlendirilmesi”</t>
  </si>
  <si>
    <t>711.</t>
  </si>
  <si>
    <t>SBA 25/782</t>
  </si>
  <si>
    <t>Doç. Dr. Neyran KERTMEN</t>
  </si>
  <si>
    <t>“IDH Mutant Düşük Gradeli Gliomların Cerrahi Tedavisi Sonrasıda Kullanılan Adjuvan Tedavi Modalitelirinin Karşılaştırılması”</t>
  </si>
  <si>
    <t>712.</t>
  </si>
  <si>
    <t>SBA 25/783</t>
  </si>
  <si>
    <t>“İskelet Siliyopatisi Hastalarında Ağız Sağlığı Durumu Değerlendirilmesi”</t>
  </si>
  <si>
    <t>713.</t>
  </si>
  <si>
    <t>SBA 25/784</t>
  </si>
  <si>
    <t>Doç. Dr. Ayşegül FIRAT</t>
  </si>
  <si>
    <t>“Os Hyoideum Anatomik Değerlendirmesi: Şekil, Füzyon, Gövde Genişliği ve Bunların Birbirleriyle Olan İlişkileri, Basit Bir Sınıflandırma Önerisiyle”</t>
  </si>
  <si>
    <t>714.</t>
  </si>
  <si>
    <t>SBA 25/785</t>
  </si>
  <si>
    <t>“Klinefelter Sendromlu Hastalarda Klinik, Gelişimsel, Genetik ve Reprodüktif Özelliklerin Değerlendirilmesi”</t>
  </si>
  <si>
    <t>715.</t>
  </si>
  <si>
    <t>SBA 25/786</t>
  </si>
  <si>
    <t>“Geriatri Hekimlerinin Reçeteleme Kaskadı Hakkında Farkındalığı ve Yönetim Yaklaşımlarının Değerlendirilmesi: Ulusal Düzeyde Bir Çalışma”</t>
  </si>
  <si>
    <t>716.</t>
  </si>
  <si>
    <t>SBA 25/787</t>
  </si>
  <si>
    <t>“Çocuk Romatoloji Hastalarında Tümör Nekroz Faktör Alfa Blokör Tedavisinin Tiroid Fonksiyonu Üzerine Etkisinin Değerlendirilmesi”</t>
  </si>
  <si>
    <t>717.</t>
  </si>
  <si>
    <t>SBA 25/788</t>
  </si>
  <si>
    <t>Minimal İnvaziv Kardiyak Cerrahi Uygulanan Pediatrik Hastalarda Anestezi Yönetimi: Tek Merkezli Olgu Serisi-Bireysel Araştırma”</t>
  </si>
  <si>
    <t>718.</t>
  </si>
  <si>
    <t>SBA 25/789</t>
  </si>
  <si>
    <t>Dr. Öğr. Üyesi Mehmet YILDIRIM</t>
  </si>
  <si>
    <t>“Kritik Hastalarda Enteral Beslenme Hedeflerine Ulaşma Durumu ve Klinik Sonuçlarla İlişkisi”</t>
  </si>
  <si>
    <t>719.</t>
  </si>
  <si>
    <t>SBA 25/790</t>
  </si>
  <si>
    <t>“Mizofoninin Klinik Alt Türleri: Demografik Özellikler, Ruhsal ve Bedensel Ek Tanıların İki Aşamalı İncelenmesi”</t>
  </si>
  <si>
    <t>720.</t>
  </si>
  <si>
    <t>SBA 25/791</t>
  </si>
  <si>
    <t>“Bireysel Sodyum Sitrat Tüketiminin Kadın Futbolcularda Tekrarlı Sprint Performansına Etkisi”</t>
  </si>
  <si>
    <t>721.</t>
  </si>
  <si>
    <t>SBA 25/792</t>
  </si>
  <si>
    <t>Doç. Dr. Mesut ALTAN</t>
  </si>
  <si>
    <t>“Radikal Prostatektomiye Bağlı Erektil Disfonksiyon ve Preoperatif Hasta Bilgilendirme Düzeyinin Değerlendirilmesi”</t>
  </si>
  <si>
    <t>722.</t>
  </si>
  <si>
    <t>SBA 25/793</t>
  </si>
  <si>
    <t>Doç. Dr. Selman KESİCİ</t>
  </si>
  <si>
    <t>“Konjenital Kalp Hastalıkları Ameliyatlarından Sonra Gelişen Akut Böbrek Hasarına Etki Eden Faktörlerin İncelenmesi”</t>
  </si>
  <si>
    <t>723.</t>
  </si>
  <si>
    <t>SBA 25/794</t>
  </si>
  <si>
    <t>“Sanal Mentorluğun Dinamiklerini Keşfetmek: WONCA Araştırma Çalışma Grubu Programındaki Engeller, Kolaylaştırıcılar ve Mentor ve Danışanların Beklentileri Üzerine Betimleyici Bir Çalışma”</t>
  </si>
  <si>
    <t>724.</t>
  </si>
  <si>
    <t>SBA 25/795</t>
  </si>
  <si>
    <t>“Akromegali ve Prolaktinoma Hastalarında Hepsidin, Eritroferron, Eritropoietin, Soluble Transferrin Reseptör ve Fibroblast Growth Faktör-23 Düzeyleri İle Hematolojik Parametrelerin İlişkisi”</t>
  </si>
  <si>
    <t>725.</t>
  </si>
  <si>
    <t>SBA 25/796</t>
  </si>
  <si>
    <t>“Şeffaf Plak Ataşmanlarında Kullanılan Kompozit Rezinin Renklendirme Ajanı Uygulanması Sonrası Dayanıklılık ve Yüzey Özelliklerinin Karşılaştırılması”</t>
  </si>
  <si>
    <t>726.</t>
  </si>
  <si>
    <t>SBA 25/797</t>
  </si>
  <si>
    <t>“Multipl Skleroz (MS) Tanılı Hastalarda MS Mesane Kontrol Aracı Kullanılarak Alt Üriner Sistem Semptomlarının Ön Değerlendirmesi ve Fonksiyonel Üroloji Polikliniğine Yönlendirme Kriterlerinin Belirlenmesi”</t>
  </si>
  <si>
    <t>727.</t>
  </si>
  <si>
    <t>SBA 25/798</t>
  </si>
  <si>
    <t>“Antenatal Kortikosteroid Uygulanan Fetüslerde Fetal Pulmoner Ven Dopplerinin Longitudinal İzlemi ve Perinatal Sonuçlarla İlişkisi: Prospektif Kohort Çalışması”</t>
  </si>
  <si>
    <t>728.</t>
  </si>
  <si>
    <t>SBA 25/799</t>
  </si>
  <si>
    <t>“Tip 1 Interferonopati Tanılı Pediatrik Hastalarda Klinik ve Laboratuvar Bulguların Degerlendirilmesi”</t>
  </si>
  <si>
    <t>729.</t>
  </si>
  <si>
    <t>SBA 25/800</t>
  </si>
  <si>
    <t>“Türkiye'de Dudak ve Damak Yarıklarının Epidemiyoloji”</t>
  </si>
  <si>
    <t>730.</t>
  </si>
  <si>
    <t>SBA 25/801</t>
  </si>
  <si>
    <t>“Nadir Bir Over Tümörü: Ovaryen Fibrosarkom ve Mitotik Aktif Fibrom Olgularının Klinikopatolojik İncelemesi”</t>
  </si>
  <si>
    <t>731.</t>
  </si>
  <si>
    <t>SBA 25/802</t>
  </si>
  <si>
    <t>“Adneksiyel Torsiyon Tanısında Manyetik Rezonans Görüntülemenin Yeri”</t>
  </si>
  <si>
    <t>732.</t>
  </si>
  <si>
    <t>SBA 25/803</t>
  </si>
  <si>
    <t>“Patient Enablement Instrument (PEI)” Hasta Yetkilendirme Ölçeğinin Türkçe Geçerlilik ve Güvenilirlik Çalışması”</t>
  </si>
  <si>
    <t>733.</t>
  </si>
  <si>
    <t>SBA 25/804</t>
  </si>
  <si>
    <t>“Primer Atopik Hastalıklarda Yardımcı T Hücre 2 Yanıtının Multiomik Yaklaşımla Ayrıntılı Olarak Değerlendirilmesi”</t>
  </si>
  <si>
    <t>734.</t>
  </si>
  <si>
    <t>SBA 25/805</t>
  </si>
  <si>
    <t>“Monogenik Obezite ile İlişkili Varyant Saptanmış Erken Başlangıçlı Ciddi Obezitesi Olan Çocuklarda Klinik Ayırıcı Özelliklerin Belirlenmesi”</t>
  </si>
  <si>
    <t>735.</t>
  </si>
  <si>
    <t>SBA 25/806</t>
  </si>
  <si>
    <t>“Sağır ve İşitme Yetersizliği Olan Bireylerin Sağlıkla İlgili Bilgi Gereksinimlerini Karşılamaya Yönelik Görsel ve İşitsel Medya İçeriklerinin Geliştirilmesi Projesi”</t>
  </si>
  <si>
    <t>736.</t>
  </si>
  <si>
    <t>SBA 25/807</t>
  </si>
  <si>
    <t>“Üroloji Aalnında Çalışan Erkek Sağlık Profesyonellerinde Oturarak ve Ayakta İşeme Pozisyonlarının Üroflovmetrik Parametrelere Etkisinin Değerlendirilmesi”</t>
  </si>
  <si>
    <t>737.</t>
  </si>
  <si>
    <t>SBA 25/808</t>
  </si>
  <si>
    <t>Prof. Dr. Ali Bülent ÇANKAYA</t>
  </si>
  <si>
    <t>“Kronik Obstrüktif Akciğer Hastalığının Oküler Mikrovasküler ParametrelerÜzerine Etkilerinin Değerlendirilmesi”</t>
  </si>
  <si>
    <t>738.</t>
  </si>
  <si>
    <t>SBA 25/809</t>
  </si>
  <si>
    <t>Prof. Dr. Onur KESKİN</t>
  </si>
  <si>
    <t>“Hepatosellüler Karsinom Tanılı Hastalarda Küratif Tedavi Al(a)mamasına Rağmen Uzun Süre Sağkalım Sağlanabilmiş Hastaların Klinik Özellikleri”</t>
  </si>
  <si>
    <t>739.</t>
  </si>
  <si>
    <t>SBA 25/810</t>
  </si>
  <si>
    <t>“Çocukluk Çağında Tanı Alan Adrenokortikal Tümörlerde Mitotan Kullanımının Endokrin Yan Etkilerinin İncelenmesi”</t>
  </si>
  <si>
    <t>740.</t>
  </si>
  <si>
    <t>SBA 25/811</t>
  </si>
  <si>
    <t>“Hastanede Yatan ve Nütrisyon Tedavisi alan Hastalarda Aspirasyon Pnömonisi ile İlişkili Faktörler: Retrospektif Kohort Çalışması”</t>
  </si>
  <si>
    <t>741.</t>
  </si>
  <si>
    <t>SBA 25/812</t>
  </si>
  <si>
    <t>Prof. Dr. Bilgehan YALÇIN</t>
  </si>
  <si>
    <t>“Pediatrik AdrenokortikalTümörler İçin Avrupa-Çapında Araştırma İnisiyatifi-Hastalığı Kavrama ve Tedavi Sonuçlarını Geliştirme”</t>
  </si>
  <si>
    <t>742.</t>
  </si>
  <si>
    <t>SBA 25/813</t>
  </si>
  <si>
    <t>“Nükleer Tıp Görüntüleme Yöntemleri ile Saptanan İnsidental Papiller Tiroid Mikrokarsinomlarının Klinikopatolojik Özelliklerinin Diğer Saptanma Yöntemleriyle Karşılaştırıması”</t>
  </si>
  <si>
    <t>743.</t>
  </si>
  <si>
    <t>SBA 25/814</t>
  </si>
  <si>
    <t>“Alerjik Çocuklarda Bileşene Dayalı Moleküler Test ile Alerjene Özgü IgE Duyarlılık Profilinin İncelenmesi”</t>
  </si>
  <si>
    <t>744.</t>
  </si>
  <si>
    <t>SBA 25/815</t>
  </si>
  <si>
    <t>Prof. Dr. Meltem AKKAŞ</t>
  </si>
  <si>
    <t>“Sonografik Sol Ventrikül Çıkış Yolu Hız Zaman İntegrali Değerlendirmesi ile Hesaplanan Kalp Debisinin Akut Kalp Yetmezliği Tedavisinde Diüretik Direnci Göstergesi Olan Spot İdrar Sodyumu Ölçümü ile İlişkisinin İncelenmesi”</t>
  </si>
  <si>
    <t>745.</t>
  </si>
  <si>
    <t>SBA 25/816</t>
  </si>
  <si>
    <t>“Akut İskemik İnme Hastalarında “Genel Obezite”, “Santral Obezite” ve “Adipozite” İndekslerinin İnme Fenotipi, Aterosklerotik Arter Hastalıkları ve Prognoza Etkisi: Prospektif Çalışma”</t>
  </si>
  <si>
    <t>746.</t>
  </si>
  <si>
    <t>SBA 25/817</t>
  </si>
  <si>
    <t>“1 Ocak 2016 - 31 Temmuz 2024 Yılları Arasında Doğum Yapmış Çoğul Gebeliği Olan Hastalarda; Gebeliklerinin Spontan ve Yardımcı Üreme Teknikleri Sonrası Gelişmesi Durumuna Göre Prenatal ve Postnatal Sonuçlarının Değerlendirilmesi”</t>
  </si>
  <si>
    <t>747.</t>
  </si>
  <si>
    <t>SBA 25/818</t>
  </si>
  <si>
    <t>Prof. Dr. Nilgün KURUCU</t>
  </si>
  <si>
    <t>“Çocukluk Çağı Malign Karaciğer Tümörlü Hastalarının Retrospektif Analizi”</t>
  </si>
  <si>
    <t>748.</t>
  </si>
  <si>
    <t>SBA 25/819</t>
  </si>
  <si>
    <t>“IgE Aracılı Kabak Çekirdeği Alerjisinin Moleküler Karakterizasyonu”</t>
  </si>
  <si>
    <t>749.</t>
  </si>
  <si>
    <t>SBA 25/820</t>
  </si>
  <si>
    <t>“Atriyal Fibrilasyon Ablasyonu Planlanan Hastalarda Sol Atriyal Apendikste Trombüs Oluşumunun Öngorülmesi”</t>
  </si>
  <si>
    <t>750.</t>
  </si>
  <si>
    <t>SBA 25/821</t>
  </si>
  <si>
    <t>Prof. Dr. Sertaç AK</t>
  </si>
  <si>
    <t>“Madde Kullanım Bozukluğu Hastalarında Yaygın Tek Nükleotid Polimorfizmlerinin Sıklığının Belirlenmesi ve Bunların Madde Kullanımını Yordayan Alt Özelliklerle İlişkileri”</t>
  </si>
  <si>
    <t>751.</t>
  </si>
  <si>
    <t>SBA 25/822</t>
  </si>
  <si>
    <t>“Koklear Hipoplazili Hastalarda Fasiyal Sinir Seyrinin Değerlendirilmesi”</t>
  </si>
  <si>
    <t>752.</t>
  </si>
  <si>
    <t>SBA 25/823</t>
  </si>
  <si>
    <t>“Çocuklarda Mantar Duyarlılık Profili ve Klinik ile İlişkisi”</t>
  </si>
  <si>
    <t>753.</t>
  </si>
  <si>
    <t>SBA 25/824</t>
  </si>
  <si>
    <t>Doç. Dr. Kısmet ÇIKI</t>
  </si>
  <si>
    <t>“Molibden Kofaktor Eksikligi-Tek Merkez Deneyimi”</t>
  </si>
  <si>
    <t>754.</t>
  </si>
  <si>
    <t>SBA 25/825</t>
  </si>
  <si>
    <t>“CHARGE Sendromlu Hastalarda Kokleanın Yerleşiminin Değerlendirilmesi”</t>
  </si>
  <si>
    <t>755.</t>
  </si>
  <si>
    <t>SBA 25/826</t>
  </si>
  <si>
    <t>“Major Depresif Bozukluğu Olan Ergenlerde Kendine Zarar Verme Davranışı ile Ebeveynlerinin Duygu Düzenleme Becerileri ve Aile İşlevselliği Arasındaki İlişki”</t>
  </si>
  <si>
    <t>756.</t>
  </si>
  <si>
    <t>SBA 25/827</t>
  </si>
  <si>
    <t>“Katarakt Cerrahisinde Preoperatif Chord mu ve Chord alpha Referansı ile Yerleştirilen İntraoküler Göz İçi Mercek Santralizasyonunun Postoperatif Mikroperimetrik İki Değişkenli Eliptik Kontur Alan Sapma Açısı ile Değerlendirilmesi”</t>
  </si>
  <si>
    <t>757.</t>
  </si>
  <si>
    <t>SBA 25/828</t>
  </si>
  <si>
    <t>Dr. Öğr. Üyesi Cenk Ahmet AKCAN</t>
  </si>
  <si>
    <t>“Sınıf 3 Uzun Yüz Tipine Sahip Hastalarda Cerrahi Planlamanın Barcelona Çizgisi ve Gerçek Dikey Çizgi Açısından Karşılaştırmalı Değerlendirilmesi”</t>
  </si>
  <si>
    <t>758.</t>
  </si>
  <si>
    <t>SBA 25/829</t>
  </si>
  <si>
    <t>“Abdominal Tüberküloz Tanısı ile İzlenen Çocukların Klinik ve Laboratuar Özelliklerinin Değerlendirilmesi”</t>
  </si>
  <si>
    <t>759.</t>
  </si>
  <si>
    <t>SBA 25/830</t>
  </si>
  <si>
    <t>Prof. Dr. Devrim AKDEMİR</t>
  </si>
  <si>
    <t>“Dikkat Eksikliği Hiperaktivite Bozukluğu Olan Ergenlerde Duyusal İşlemleme Özellikleri, Zihin Kuramı Becerileri ve Bilinçli Farkındalık Düzeylerinin Akran Zorbalığı İle İlişkisi”</t>
  </si>
  <si>
    <t>760.</t>
  </si>
  <si>
    <t>SBA 25/831</t>
  </si>
  <si>
    <t>“Covid-19 Pandemisinin Toplumdan Kazanılmış Pnömoni Etkenlerinin Epidemiyolojisine Etkisi: Retrospektif Bir Gözlemsel Çalışma”</t>
  </si>
  <si>
    <t>761.</t>
  </si>
  <si>
    <t>SBA 25/832</t>
  </si>
  <si>
    <t>“Malign Potansiyeli Belirsiz Uterus Düz Kas Tümörleri ile Erken Evre Leiomyosarkomda Rekürrensi ve Prognozu Öngörmede Klinik ve Histopatolojik Prediktörler”</t>
  </si>
  <si>
    <t>762.</t>
  </si>
  <si>
    <t>SBA 25/833</t>
  </si>
  <si>
    <t>“Papivir Kullanımının HPV Pozitif Kadınlarda Viral Klirense Etkisi”</t>
  </si>
  <si>
    <t>763.</t>
  </si>
  <si>
    <t>SBA 25/834</t>
  </si>
  <si>
    <t>Doç. Dr. Zuhal AKÇÖREN</t>
  </si>
  <si>
    <t>“Pediatri Günübirlik Tedavi Servisinde İzlenen Tıbbi Olarak Karmaşık Çocukların Değerlendirilmesi”</t>
  </si>
  <si>
    <t>764.</t>
  </si>
  <si>
    <t>SBA 25/835</t>
  </si>
  <si>
    <t>“Tıp Fakültesi Öğrencilerinde İleri Kardiyak Yaşam Desteği Eğitiminde Oyun Kartları ile Öğrenmenin Değerlendirilmesi”</t>
  </si>
  <si>
    <t>765.</t>
  </si>
  <si>
    <t>SBA 25/836</t>
  </si>
  <si>
    <t>“Kistik Fibroziste Kistik Fibrozis Transmembran Regülator Modülatör Tedavinin Etkili Olmama Nedenlerinin İncelenmesi”</t>
  </si>
  <si>
    <t>766.</t>
  </si>
  <si>
    <t>SBA 25/837</t>
  </si>
  <si>
    <t>Doç. Dr. Ebru UÇAKTÜRK</t>
  </si>
  <si>
    <t>“Büyüme Hormonu Salgılama Hormonu ve Analoglarının İdrarda Nano Sıvı Kromatografisi Kuadrupol/Orbitrap Kütle Spektrometrisi Kullanılarak Analizi”</t>
  </si>
  <si>
    <t>767.</t>
  </si>
  <si>
    <t>SBA 25/838</t>
  </si>
  <si>
    <t>“Arteria Hepatica Sınıflamasının Radyolojik Olarak İncelenmesi”</t>
  </si>
  <si>
    <t>768.</t>
  </si>
  <si>
    <t>SBA 25/839</t>
  </si>
  <si>
    <t>Doç. Dr. Emre ÜNAL</t>
  </si>
  <si>
    <t>“Malign Kemik Lezyonlarının Tedavisinde Perkütan Osteosentez ve Sementoplastinin Rolü ve Tedavi Sonuçlarının Değerlendirilmesi”</t>
  </si>
  <si>
    <t>769.</t>
  </si>
  <si>
    <t>SBA 25/840</t>
  </si>
  <si>
    <t>Prof. Dr. İlkan TATAR</t>
  </si>
  <si>
    <t>“Ligamentum Falciforme Hepatis Radyolojik Anatomisi: Morfometri ve Yağ Dokusu İlişkisi”</t>
  </si>
  <si>
    <t>770.</t>
  </si>
  <si>
    <t>SBA 25/841</t>
  </si>
  <si>
    <t>Dr. Öğr. Üyesi Oğuzhan KATAR</t>
  </si>
  <si>
    <t>“Kulak Burun Boğaz Hastalarının Cerrahi Müdahaleler Hakkında Sık Sordukları Sorulara Büyük Dil Modelleri ve Uzmanlarının Verdiği Cevapların Hasta Bakış Açısından Karşılaştırılması”</t>
  </si>
  <si>
    <t>771.</t>
  </si>
  <si>
    <t>SBA 25/842</t>
  </si>
  <si>
    <t>“Farklı Büyük Dil Modellerinin Benign Larinks Patolojileri Hakkındaki Sorulara Verdiği Cevapların Doğruluklarının Araştırılması”</t>
  </si>
  <si>
    <t>772.</t>
  </si>
  <si>
    <t>SBA 25/843</t>
  </si>
  <si>
    <t>Prof. Dr Deniz DOĞRU ERSÖZ</t>
  </si>
  <si>
    <t>“Plöroparenkimal Fibroelastozis Tanılı Pediatrik Olguların Klinik, Radyolojik ve Tanı Süreçlerinin Değerlendirilmesi: Üç Olguluk Retrospektif Vaka Serisi”</t>
  </si>
  <si>
    <t>773.</t>
  </si>
  <si>
    <t>SBA 25/844</t>
  </si>
  <si>
    <t>“İlaca Dirençli Epilepsisi Olan Erişkin Hastalarda Korpus Kallozotominin Uzun Dönem Sonuçları”</t>
  </si>
  <si>
    <t>774.</t>
  </si>
  <si>
    <t>SBA 25/845</t>
  </si>
  <si>
    <t>Doç. Dr. Mehmet ÇELEĞEN</t>
  </si>
  <si>
    <t>“Çocuk Yoğun Bakım Hastalarında Ferritin Yüksekliği Tespit Edilen Olguların İncelenmesi”</t>
  </si>
  <si>
    <t>775.</t>
  </si>
  <si>
    <t>SBA 25/846</t>
  </si>
  <si>
    <t>“Hacettepe Üniversitesi Tıp Fakültesi Genel Dahiliye Bilim Dalı Polikliniklerine Başvuran Diyabet, Hipertansiyon ve Hiperlipidemi Hastalarında İlaç Uyumunun Değerlendirilmesi”</t>
  </si>
  <si>
    <t>776.</t>
  </si>
  <si>
    <t>SBA 25/847</t>
  </si>
  <si>
    <t>“Ev Tipi İnvaziv Mekanik Ventilatör ile İzlenen Hastaların Değerlendirilmesi”</t>
  </si>
  <si>
    <t>777.</t>
  </si>
  <si>
    <t>SBA 25/848</t>
  </si>
  <si>
    <t>“Çocukluk Çağı Romatolojik Hastalıkları Nedeniyle Biyolojik Ajan Kullanan Hastalarda Pnömokok ve Meningokok Taşıyıcılığı”</t>
  </si>
  <si>
    <t>778.</t>
  </si>
  <si>
    <t>SBA 25/849</t>
  </si>
  <si>
    <t>“ECMO Uygulanan Hastalarda Akut Böbrek Hasarı Açısından Risk Faktörlerinin Değerlendirilmesi”</t>
  </si>
  <si>
    <t>779.</t>
  </si>
  <si>
    <t>SBA 25/850</t>
  </si>
  <si>
    <t>“Travma Olgularının Endovasküler Tedavilerle Yönetimi; Neredeyiz?”</t>
  </si>
  <si>
    <t>780.</t>
  </si>
  <si>
    <t>SBA 25/851</t>
  </si>
  <si>
    <t>“Kanal Tedavili Dişlerin Fraktür Direncinde Servikal Bariyer ve Kroniçi Ağartma Materyallerinin Rolü: Laboratuvar Çalışması”</t>
  </si>
  <si>
    <t>781.</t>
  </si>
  <si>
    <t>SBA 25/852</t>
  </si>
  <si>
    <t>“Akçaağaç Şurubu İdrar Hastalığında Nöropsikiyatrik Özellikler”</t>
  </si>
  <si>
    <t>782.</t>
  </si>
  <si>
    <t>SBA 25/853</t>
  </si>
  <si>
    <t>“Küçük Hücreli Dışı Akciğer Kanseri Hastalannda Pulmoner Rezeksiyonu Takiben Göğüs Tüpünün Erken Dönemde Çıkanlmasının Güvenlik ve Uygulama Yönünden Değerlendirilmesi”</t>
  </si>
  <si>
    <t>783.</t>
  </si>
  <si>
    <t>SBA 25/854</t>
  </si>
  <si>
    <t>Doç. Dr. Hayriye HIZARCIOĞLU GÜLŞEN</t>
  </si>
  <si>
    <t>“Portal Hipertansiyon Tanılı Çocuk Hastaların Uzun Süreli Klinik İzlem Sonuçları”</t>
  </si>
  <si>
    <t>784.</t>
  </si>
  <si>
    <t>SBA 25/855</t>
  </si>
  <si>
    <t>Dr. Öğr. Üyesi Burcu KELLECİ ÇAKIR</t>
  </si>
  <si>
    <t>“Klinik Eczacıların Geriatrik Sendromlar Konusundaki Yaklaşımlarının Değerlendirilmesi”</t>
  </si>
  <si>
    <t>785.</t>
  </si>
  <si>
    <t>SBA 25/856</t>
  </si>
  <si>
    <t>“Primer Siliyer Diskinezi Hastalarında Beslenme Durumu ve Solunum Parametreleri İlişkisi: Kesitesel ve Takip Çalışması”</t>
  </si>
  <si>
    <t>786.</t>
  </si>
  <si>
    <t>SBA 25/857</t>
  </si>
  <si>
    <t>“2012 Revize Atlanta Sınıflamasına Göre Şiddetli Akut Pankreatitin Öngörülmesinde Ranson, BISAP ve APACHE-II Skorlarının Karşılaştırmalı Prognostik Doğruluğu: Sistematik Derleme ve Meta-Analiz”</t>
  </si>
  <si>
    <t>787.</t>
  </si>
  <si>
    <t>SBA 25/858</t>
  </si>
  <si>
    <t>“Eczacıların Farmakogenetik Testlere Yaklaşımı: Bilgi, Farkındalık ve Tutum Analizi”</t>
  </si>
  <si>
    <t>788.</t>
  </si>
  <si>
    <t>SBA 25/859</t>
  </si>
  <si>
    <t>Prof. Dr. Taylan KAV</t>
  </si>
  <si>
    <t>“Belirsiz Gastrointestinal Kanaması Olan Hastalarda Kapsül Endoskopisinin Tanısal Sensitivitesi-Kapsamlı Tek Merkez Veri Analizi”</t>
  </si>
  <si>
    <t>789.</t>
  </si>
  <si>
    <t>SBA 25/860</t>
  </si>
  <si>
    <t>“Küçük Hücreli Dışı Akciğer Kanseri Tanılı Hastalarda Cerrahi Kapsam ve Tekniğin Postoperatif Akciğer Fonksiyonları Üzerine Etkisi”</t>
  </si>
  <si>
    <t>790.</t>
  </si>
  <si>
    <t>SBA 25/861</t>
  </si>
  <si>
    <t>Dr. Öğr. Üyesi Talat DEMİRSÖZ</t>
  </si>
  <si>
    <t>“Mahrum Edilmiş Yas: Kürtaj Sonrası Kayıp Sürecinin Anlamlandırılması”</t>
  </si>
  <si>
    <t>791.</t>
  </si>
  <si>
    <t>SBA 25/862</t>
  </si>
  <si>
    <t>Doç. Dr. Koray BAŞAR</t>
  </si>
  <si>
    <t>“Cinsiyet Uyuşmazlığı Nedeniyle Başvuran Kişilerin Sosyodemografik ve Klinik Özelliklerinin Zaman İçerisindeki Değişiminin İncelenmesi”</t>
  </si>
  <si>
    <t>792.</t>
  </si>
  <si>
    <t>SBA 25/863</t>
  </si>
  <si>
    <t>“Kistik Fibrozis Hastalarında CFTR Modülatör Tedavilerine Bağlı Yan Etkilerin Değerlendirilmesi: Üçüncü Basamak Bir Merkezden Deneyimler”</t>
  </si>
  <si>
    <t>793.</t>
  </si>
  <si>
    <t>SBA 25/864</t>
  </si>
  <si>
    <t>“Koklear İmplant Cerrahisi Sonrası Revizyon Geçirmiş Olgularda Revizyon Nedenlerinin İncelenmesi”</t>
  </si>
  <si>
    <t>794.</t>
  </si>
  <si>
    <t>SBA 25/865</t>
  </si>
  <si>
    <t>“Agresif ve Metastatik Pituiter Nöroendokrin Tümör Tanısı Alan Olguların Retrospektif İncelenmesi”</t>
  </si>
  <si>
    <t>795.</t>
  </si>
  <si>
    <t>SBA 25/866</t>
  </si>
  <si>
    <t>“Kistik Fibrozisli Cocuklarda Balgam Kolonizasyonu ile Ailelerin Enfeksiyon Kontrol Bilgi Düzeyi ve Sosyoekonomik Durumu Arasindaki İlişki”</t>
  </si>
  <si>
    <t>796.</t>
  </si>
  <si>
    <t>SBA 25/867</t>
  </si>
  <si>
    <t>“Coğrafik Atrofi Tanılı Hastalarda Derin Öğrenme Tabanlı Bilgisayarlı Görü Yöntemleriyle Bölütlenmesi ve 5 Yıllık Progresyonun Kestiriminin Değerlendirilmesi”</t>
  </si>
  <si>
    <t>797.</t>
  </si>
  <si>
    <t>SBA 25/868</t>
  </si>
  <si>
    <t>Doç. Dr. Oğuz KARCIOĞLU</t>
  </si>
  <si>
    <t>“Erişkin Kistik Fibrozis ve Primer Siliyer Diskinezi Olgularında Solunum Yolu Örneklerinden Nadir Küf Türlerinin İzolasyon Sıklığının ve Klinik Yansımalarının Değerlendirilmesi ”</t>
  </si>
  <si>
    <t>798.</t>
  </si>
  <si>
    <t>SBA 25/869</t>
  </si>
  <si>
    <t>“Trakeotomi Dekanülasyonu Yapılan Hastalarda Havayolu Basınçlarındaki ve Solunum İş Yükündeki Değişimin Bilgisayar Simülasyonu ile Değerlendirilmesi”</t>
  </si>
  <si>
    <t>799.</t>
  </si>
  <si>
    <t>SBA 25/870</t>
  </si>
  <si>
    <t>“Ani İdiyopatik İşitme Kaybı ile Koklear Ossifikasyonun İlişkisinin İncelenmesi”</t>
  </si>
  <si>
    <t>800.</t>
  </si>
  <si>
    <t>SBA 25/871</t>
  </si>
  <si>
    <t>“65 Yaş Üzeri Hastalarda Gereksiz Betahistin Kullanımının Araştırılması”</t>
  </si>
  <si>
    <t>801.</t>
  </si>
  <si>
    <t>SBA 25/872</t>
  </si>
  <si>
    <t>“Kafa Tabanı Osteomyeliti Hastalığının Tedavisinin Finansal Analizi”</t>
  </si>
  <si>
    <t>802.</t>
  </si>
  <si>
    <t>SBA 25/873</t>
  </si>
  <si>
    <t>“65 Yaş ve Üzeri Hastalarda Kısa Nütrisyonel İndekslerinin Tüm Nedenlere Bağlı Mortalite ile İlişkisi”</t>
  </si>
  <si>
    <t>803.</t>
  </si>
  <si>
    <t>SBA 25/874</t>
  </si>
  <si>
    <t>“Geriatri Polikliniği Hastalarında Farklı Kırılganlık İndekslerinin Tüm Nedenlere Bağlı Mortaliteyi Öngörme Etkilerinin Karşılaştırılması”</t>
  </si>
  <si>
    <t>804.</t>
  </si>
  <si>
    <t>SBA 25/875</t>
  </si>
  <si>
    <t>“Migrende Fonksiyonel Transkranial Doppler ultrasonografi”</t>
  </si>
  <si>
    <t>805.</t>
  </si>
  <si>
    <t>SBA 25/876</t>
  </si>
  <si>
    <t>Prof. Dr. Özlem TEKŞAM</t>
  </si>
  <si>
    <t>“Avrupa Uyuşturucu Madde Acilleri İletişim Ağı Projesi - ‘European Drug Emergencies Network Plus (Euro-DEN Plus) Proiect’”</t>
  </si>
  <si>
    <t>806.</t>
  </si>
  <si>
    <t>SBA 25/877</t>
  </si>
  <si>
    <t>“D110H Mutasyonu Varhginda; Klinik Seyir Nasil Sekilleniyor?”</t>
  </si>
  <si>
    <t>807.</t>
  </si>
  <si>
    <t>SBA 25/878</t>
  </si>
  <si>
    <t>"Jak İnhibitörlerinin Labaratuvar Parametreleri Üzerindeki Etkilerinin Zaman İçindeki Değişimi: 0., 3. ve 6. Ay Değerlendirmeleri"</t>
  </si>
  <si>
    <t>808.</t>
  </si>
  <si>
    <t>SBA 25/879</t>
  </si>
  <si>
    <t>“Gebelikte Boğmaca Aşısının Uygulanma Haftası ile Doğumda Kord Kanında Anti-PT ve Anti-FHA IgG Düzeylerinin Karşılaştırılması: Prospektif Gözlemsel Çalışma”</t>
  </si>
  <si>
    <t>809.</t>
  </si>
  <si>
    <t>SBA 25/880</t>
  </si>
  <si>
    <t>“Neovasküler Yaşa Bağlı Makula Dejenerasyonunda Fibrotik Skar Özellikleri ve Tedavi Parametrelerinin Görme Keskinliği Üzerine Etkileri: Retrospektif Gözlemsel Bir Çalışma”</t>
  </si>
  <si>
    <t>810.</t>
  </si>
  <si>
    <t>SBA 25/881</t>
  </si>
  <si>
    <t>“Otoimmün Demiyelinizan Hastalıklar (MS, NMO, MOGAD)'a Bağlı Optik Nörit Geçiren Olgularda Mikroperimetri ve Patern Elektroretinografi ile Optik Sinir ile Makula Fonksiyonunun Değerlendirilmesi</t>
  </si>
  <si>
    <t>811.</t>
  </si>
  <si>
    <t>SBA 25/882</t>
  </si>
  <si>
    <t>“Doğal İmmünite Defektleri, Kombine İmmün Yetmezlikler ve İmmün Disregülasyonla Giden Primer İmmün Yetmezliklerin Genetik ve İleri İmmünolojik Yöntemlerle Araştırılması”</t>
  </si>
  <si>
    <t>812.</t>
  </si>
  <si>
    <t>SBA 25/883</t>
  </si>
  <si>
    <t>Dr. Öğr. Üyesi Cihan ASLAN</t>
  </si>
  <si>
    <t>“Otizm Spektrum Bozukluğu ve Dikkat Eksikliği Hiperaktivite Bozukluğu Tanılı Çocuklarda İnflamasyon Hipotezinin Tam Kan Sayımı Parametreleri ile İncelenmesi”</t>
  </si>
  <si>
    <t>813.</t>
  </si>
  <si>
    <t>SBA 25/884</t>
  </si>
  <si>
    <t>“Kalıtsal Metabolik Hastalıklarda 1,5 Anhidroglusitol (1,5-AG) ve 1,5-Anhidroglusitol-fosfat (1,5-AG6P) Düzeylerinin Araştırılması''</t>
  </si>
  <si>
    <t>814.</t>
  </si>
  <si>
    <t>SBA 25/885</t>
  </si>
  <si>
    <t>“AVNRT Tanısı ile Ablasyon Uygulanan Çocuklarda Transozefagial Elektrofizyolojik Çalışmanin Nüksü Belirlemedeki Rolü''</t>
  </si>
  <si>
    <t>815.</t>
  </si>
  <si>
    <t>SBA 25/886</t>
  </si>
  <si>
    <t>“Çocuk Kardiyoloji Ünitesinde Uygulanan Farmakolojik Provakasyon Testlerinin Tanı Sürecindeki Rolü"</t>
  </si>
  <si>
    <t>816.</t>
  </si>
  <si>
    <t>SBA 25/887</t>
  </si>
  <si>
    <t>Arş. Gör. Dr. Eymen YILMAZ</t>
  </si>
  <si>
    <t>“Çocuk Acil Polikliniğine Başvuran Skuter Kazalarının Retrospektif Değerlendirilmesi”</t>
  </si>
  <si>
    <t>817.</t>
  </si>
  <si>
    <t>SBA 25/888</t>
  </si>
  <si>
    <t>“Ankara Grup Başkanlığında Doğal Olmayan Yabancı Uyruklu Ölümlerin Değerlendirilmesi”</t>
  </si>
  <si>
    <t>818.</t>
  </si>
  <si>
    <t>SBA 25/889</t>
  </si>
  <si>
    <t>“Tıbbi Uygulama Hatası İddiası Bulunan Otopsi Vakalarının Medikolegal Açıdan Değerlendirilmesi”</t>
  </si>
  <si>
    <t>819.</t>
  </si>
  <si>
    <t>SBA 25/890</t>
  </si>
  <si>
    <t>“Aort Diseksiyonu ve Anevrizma Rüptürüne Bağlı Ölümler: Otopsi Çalışması”</t>
  </si>
  <si>
    <t>820.</t>
  </si>
  <si>
    <t>SBA 25/891</t>
  </si>
  <si>
    <t>“Asıya Bağlı Ölüm Olgularında Retina Kanamalarının İndirekt Fundoskopi ile Değerlendirilmesi”</t>
  </si>
  <si>
    <t>821.</t>
  </si>
  <si>
    <t>SBA 25/892</t>
  </si>
  <si>
    <t>“Boyun Diseksiyonu Yapılan Hastalarda En-Bloc Rezeksiyon Yöntemi ile Juguler Ven Split Rezeksiyon Yönteminin Karşılaştırılması”</t>
  </si>
  <si>
    <t>822.</t>
  </si>
  <si>
    <t>SBA 25/893</t>
  </si>
  <si>
    <t>“Human Papilloma Virus Aşısı Uygulanan Kadınlarda Serum Anti-Müllerian Hormon Düzeylerindeki Değişimin Değerlendirilmesi”</t>
  </si>
  <si>
    <t>823.</t>
  </si>
  <si>
    <t>SBA 25/894</t>
  </si>
  <si>
    <t>Prof. Dr. Meryem Aslı TUNCER
Dr. Öğr. Üyesi Nazire Pınar ACAR ÖZEN</t>
  </si>
  <si>
    <t>“Santral Sinir Sistemi Hastalıklarında Kappa Serbest Hafif Zincir İndeksinin Tanısal Değeri”</t>
  </si>
  <si>
    <t>824.</t>
  </si>
  <si>
    <t>SBA 25/895</t>
  </si>
  <si>
    <t>“Rotasyon Profilli Bilgisayarlı Tomografi Kullanılarak Oluşturulan Parametreler ile Radyografide Proksimal Femur Rotasyonunun Değerlendirilmesi ve Yapay Zekâ ile Analizi”</t>
  </si>
  <si>
    <t>825.</t>
  </si>
  <si>
    <t>SBA 25/896</t>
  </si>
  <si>
    <t>“Üniversite Öğrencilerinde Akıllı Telefon Bağımlılığı ile Dijital Sağlık Okuryazarlığı Arasındaki İlişkinin İncelenmesi: Tanımlayıcı Araştırma”</t>
  </si>
  <si>
    <t>826.</t>
  </si>
  <si>
    <t>SBA 25/897</t>
  </si>
  <si>
    <t>“Psikotik Bozukluklarda Tedaviye Direnç ve Klozapine Dirençle İlişkili Doğal Dil İşleme Değişkenlerinin ve Düşünce Süreci Bozukluklarının Değerlendirilmesi”</t>
  </si>
  <si>
    <t>827.</t>
  </si>
  <si>
    <t>SBA 25/898</t>
  </si>
  <si>
    <t>Doç. Dr. Bengisu AKARSU GÜVEN</t>
  </si>
  <si>
    <t>“Tek Taraflı Dudak ve Damak Yarığına Sahip Hastalarda Maksiller Ekspansiyon ve Yüz Maskesi Sonrası Oklüzyonun Değerlendirilmesinde İki Farklı İndeksin Karşılaştırılması”</t>
  </si>
  <si>
    <t>828.</t>
  </si>
  <si>
    <t>SBA 25/899</t>
  </si>
  <si>
    <t>“Relapsing Remitting Multipl Skleroz Tanılı Hastalarda Yaş Gruplarına Göre Kognitif Profil ve Görüntüleme Bulgularının Karşılaştırılması”</t>
  </si>
  <si>
    <t>829.</t>
  </si>
  <si>
    <t>SBA 25/900</t>
  </si>
  <si>
    <t>“Odontojenik Kist ve Tümörlerde Kortikal Perforasyon, Kemik Dolumu ve Rekürrens Oranlarının Volümetrik ve Kantitatif Değerlendirilmesi”</t>
  </si>
  <si>
    <t>830.</t>
  </si>
  <si>
    <t>SBA 25/901</t>
  </si>
  <si>
    <t>Prof. Dr. Ömrüm UZUN</t>
  </si>
  <si>
    <t>“Antimikrobiyal Dirençteki Değişimler: Bir Üçüncü Basamak Hastanesindeki 11 Yıllık Deneyim”</t>
  </si>
  <si>
    <t>831.</t>
  </si>
  <si>
    <t>SBA 25/902</t>
  </si>
  <si>
    <t>“Fertilite Koruyucu Tedavi Sonrası In Vitro Fertilizasyon Başarısını Etkileyen Faktörler: Endometrium Kanseri ve Endometrial Intraepitelyal Neoplazi Hastalarına Ait Retrospektif Veri Analizi”</t>
  </si>
  <si>
    <t>832.</t>
  </si>
  <si>
    <t>SBA 25/903</t>
  </si>
  <si>
    <t>“Temporomandibular Eklem Hipermobilitesinde Dekstroz Proloterapisinin Uzun Dönem Klinik Sonuçlarının Retrospektif Değerlendirilmesi”</t>
  </si>
  <si>
    <t>833.</t>
  </si>
  <si>
    <t>SBA 25/904</t>
  </si>
  <si>
    <t>“Duchenne Musküler Distrofi Tanısı ile Pediatrik Yaş Grubunda İzlenen Hastaların Solunum Bulgularının Retrospektif Olarak Değerlendirilmesi”</t>
  </si>
  <si>
    <t>834.</t>
  </si>
  <si>
    <t>SBA 25/905</t>
  </si>
  <si>
    <t>“Ergenlik Döneminde Yeme Bozukluğu Tanısı Almış Yetişkinlerde Ruhsal Hastalık Kimliği ve İyileşme: Nitel Bir Çalışma”</t>
  </si>
  <si>
    <t>835.</t>
  </si>
  <si>
    <t>SBA 25/906</t>
  </si>
  <si>
    <t>“Triple X Sendromlu Hastalarda Demografik, Fenotipik ve Gelişimsel Özelliklerin Değerlendirilmesi”</t>
  </si>
  <si>
    <t>836.</t>
  </si>
  <si>
    <t>SBA 25/907</t>
  </si>
  <si>
    <t>“Yaşlı Yetişkinlerde İnflamasyon Belirteçleri ile Bilişsel İşlevler Arasındaki İlişki”</t>
  </si>
  <si>
    <t>837.</t>
  </si>
  <si>
    <t>SBA 25/908</t>
  </si>
  <si>
    <t>“Erişkinlerde HPV Aşısına Yönelik Tutum, Okuryazarlık ve Ulusal Programa Dahil Edilmesine İlişkin Görüşler”</t>
  </si>
  <si>
    <t>838.</t>
  </si>
  <si>
    <t>SBA 25/909</t>
  </si>
  <si>
    <t>Prof. Dr. Murat AKOVA</t>
  </si>
  <si>
    <t>“.Hacettepe Üniversitesi Erişkin ve Onkoloji Hastanelerinde 2017-2025 Yılları Arasında Karbapenem Dirençli Enterobacteriacea Kolonizasyonu ve Takiben İnfeksiyonu Gelişen Hastaların Analizi”</t>
  </si>
  <si>
    <t>839.</t>
  </si>
  <si>
    <t>SBA 25/910</t>
  </si>
  <si>
    <t>"Senil Presbiakuzi ve Sarkopeni Arasındaki İlişkinin İncelenmesi”</t>
  </si>
  <si>
    <t>840.</t>
  </si>
  <si>
    <t>SBA 25/911</t>
  </si>
  <si>
    <t>“Fallot Tetralojisi Hastalarında Kardiyolojik Özellikler ve Uzun Dönem Sonuçlarının Retrospektif Değerlendirilmesi”</t>
  </si>
  <si>
    <t>841.</t>
  </si>
  <si>
    <t>SBA 25/912</t>
  </si>
  <si>
    <t>“Propionik Asidemi Tanılı Hastaların Kardiyak Özelliklerinin Retrospektif Değerlendirilmesi”</t>
  </si>
  <si>
    <t>842.</t>
  </si>
  <si>
    <t>SBA 25/913</t>
  </si>
  <si>
    <t>“Pulmoner Arter Agenezisi ve/veya Hipoplazisi Olan Hastaların Retrospektif Değerlendirilmesi”</t>
  </si>
  <si>
    <t>843.</t>
  </si>
  <si>
    <t>SBA 25/914</t>
  </si>
  <si>
    <t>“Sistemik Venöz Dönüş Anomalisi Olan Hastaların Retrospektif Değerlendirilmesi”</t>
  </si>
  <si>
    <t>844.</t>
  </si>
  <si>
    <t>SBA 25/915</t>
  </si>
  <si>
    <t>“Transkateter Pulmoner Kapak İmplantasyonunun Kardiyopulmoner Egzersiz Kapasitesi Üzerine Etkisinin Retrospektif Analizi''</t>
  </si>
  <si>
    <t>845.</t>
  </si>
  <si>
    <t>SBA 25/916</t>
  </si>
  <si>
    <t>“Kardiyovasküler-Renal-Metabolik Sendromda Malnütrisyon ve Sarkopeni”</t>
  </si>
  <si>
    <t>846.</t>
  </si>
  <si>
    <t>SBA 25/917</t>
  </si>
  <si>
    <t>"Platin Bazlı Kemoterapi Ajanları ile Hızlı İlaç Desensitizasyonuna İlişkin Tek Merkez Deneyimimiz "</t>
  </si>
  <si>
    <t>847.</t>
  </si>
  <si>
    <t>SBA 25/918</t>
  </si>
  <si>
    <t>“Bilateral Vokal Kord Paralizisi Nedeniyle Parsiyel veya Total Aritenoidektomi Yapılan Hastalarda Vücut Kitle Endeksinin Dispne Üzerine Etkisi”</t>
  </si>
  <si>
    <t>848.</t>
  </si>
  <si>
    <t>SBA 25/919</t>
  </si>
  <si>
    <t>Prof. Dr. Sibel KADAYIFÇILAR</t>
  </si>
  <si>
    <t>“Patolojik Miyopi Hastalarının Retina Bulgularının Uzun Dönem Takip Sonuçları”</t>
  </si>
  <si>
    <t>849.</t>
  </si>
  <si>
    <t>SBA 25/920</t>
  </si>
  <si>
    <t>Prof. Dr. Aytekin AKYOL</t>
  </si>
  <si>
    <t>“Kolorektal Karsinogenezde THY1 İfadesinin Patoloji Arşiv Materyallerinde Değerlendirilmesi”</t>
  </si>
  <si>
    <t>850.</t>
  </si>
  <si>
    <t>SBA 25/921</t>
  </si>
  <si>
    <t>“Çocuklarda Budd-Chiari Sendromu: Tek Merkez Deneyimi”</t>
  </si>
  <si>
    <t>851.</t>
  </si>
  <si>
    <t>SBA 25/922</t>
  </si>
  <si>
    <t>“İç Hastalıkları Servislerinde Yatan 65 Yaş ve Üstü Hastaların Yatış anında Kullandığı İlaçlar ve Taburculuk Reçetelerinin Beers (2023), Stopp/Start V3, TIME (2020) Kriterlerine Göre İncelenmesi”</t>
  </si>
  <si>
    <t>852.</t>
  </si>
  <si>
    <t>SBA 25/923</t>
  </si>
  <si>
    <t>Doç. Dr. Şükran Gülin EVİNÇ</t>
  </si>
  <si>
    <t>“Motor Beceri Zorlukları Özgül Öğrenme Bozukluğu İçin Fenotipik Bir Belirteç Olabilir mi? Motor Performansın Postürografik Analizi ve Bilişsel Becerilerle İlişkisi”</t>
  </si>
  <si>
    <t>853.</t>
  </si>
  <si>
    <t>SBA 25/924</t>
  </si>
  <si>
    <t>“Kanser Hastalarının Cepten Sağlık Harcamalarının Finansal Yükü ve Sağlık Hizmeti Kullanımı ve Sağlık Sonuçlarıyla İlişkisi”</t>
  </si>
  <si>
    <t>854.</t>
  </si>
  <si>
    <t>SBA 25/925</t>
  </si>
  <si>
    <t>“Çocukluk Çağı Vaskülitlerinde Serum/Plazma Metabolomik Profilinin İncelenmesi: Tanısal ve Klinik İlişkilerin Değerlendirilmesi”</t>
  </si>
  <si>
    <t>855.</t>
  </si>
  <si>
    <t>SBA 25/926</t>
  </si>
  <si>
    <t>“Dikkat Eksikliği ve Hiperaktivite Bozukluğu Tanılı Ergenlerde Çocukluk Çağı Olumsuz Yaşantılarının Klinik Görünüm ve İnflamatuar Biyobelirteçlerle İlişkisi”</t>
  </si>
  <si>
    <t>856.</t>
  </si>
  <si>
    <t>SBA 25/927</t>
  </si>
  <si>
    <t>“Primer Diz Artroplastisi Yapılan Hastaların VKİ Oranlarının Uzun Dönem Klinik ve Fonksiyonel Sonuçlara Etkisi”</t>
  </si>
  <si>
    <t>857.</t>
  </si>
  <si>
    <t>SBA 25/928</t>
  </si>
  <si>
    <t>“Total Diz Artroplastisinde Posterior Tibial Eğim ve Posterior Kondiler Ofset: Gerçekten Önemli Mi?”</t>
  </si>
  <si>
    <t>858.</t>
  </si>
  <si>
    <t>SBA 25/929</t>
  </si>
  <si>
    <t>“Ergenlerde Sağlık Alanında Yapay Zekâ Kullanım Ölçeği’ ve ‘Ebeveynin Çocuğunun Sağlığı ile İlgili Yapay Zekâ Kullanım Ölçeği’nin Geliştirilmesi ve Değerlendirilmesi”</t>
  </si>
  <si>
    <t>859.</t>
  </si>
  <si>
    <t>SBA 25/930</t>
  </si>
  <si>
    <t>“Hipopitüitarizmli Erişkin Hastalarda Morbidite ve Mortaliteyi Etkileyen Faktörler: Retrospektif Değerlendirme”</t>
  </si>
  <si>
    <t>860.</t>
  </si>
  <si>
    <t>SBA 25/931</t>
  </si>
  <si>
    <t>“Primer Hipofizit (Otoimmün ve IgG4 İlişkili) Olgularının Uzun Dönem Klinik Seyri”</t>
  </si>
  <si>
    <t>861.</t>
  </si>
  <si>
    <t>SBA 25/932</t>
  </si>
  <si>
    <t>Prof. Dr. Turgut Emrah BOZKURT</t>
  </si>
  <si>
    <t>“İdiopatik Pulmoner Fibrozisin Akut Alevlenmeleri için Hidrojen Sülfür Tedavisinin Etkilerinin Değerlendirilmesi"</t>
  </si>
  <si>
    <t>862.</t>
  </si>
  <si>
    <t>SBA 25/933</t>
  </si>
  <si>
    <t>“Çocukluk Çağı Poliarteritis Nodosa Hastalarının Değerlendirilmesi”</t>
  </si>
  <si>
    <t>863.</t>
  </si>
  <si>
    <t>SBA 25/934</t>
  </si>
  <si>
    <t>Prof. Dr. Hayyam KIRATLI</t>
  </si>
  <si>
    <t>“Konjonktival Melanomlarda ATRX, PDL-1 ve p16 İmmünohistokimyasal Ekspresyonlarının Klinikopatolojik Parametrelerle Korelasyonu”</t>
  </si>
  <si>
    <t>864.</t>
  </si>
  <si>
    <t>SBA 25/935</t>
  </si>
  <si>
    <t>“Geriatri Popülasyonda eGFR Tahmin Denklemleri Arasındaki Uyumun ve Tahmin Hatalarına Etki Eden Faktörlerin Değerlendirilmesi”</t>
  </si>
  <si>
    <t>865.</t>
  </si>
  <si>
    <t>SBA 25/936</t>
  </si>
  <si>
    <t>“Geriatrik Hastalarda Telefon Bağımlılığının Geriatrik Sendromlarla İlişkisi”</t>
  </si>
  <si>
    <t>866.</t>
  </si>
  <si>
    <t>SBA 25/937</t>
  </si>
  <si>
    <t>“Mekanik Ventilatörden Ayırmada T-tüp Denemesi Uygulanan Hastalarda Hemodinami Parametrelerinin Değişimlerinin Gözlenmesi”</t>
  </si>
  <si>
    <t>867.</t>
  </si>
  <si>
    <t>SBA 25/938</t>
  </si>
  <si>
    <t>“Bilateral Testis Germ Hücreli Tümörler: Hacettepe Üniversitesi Üroloji Anabilim Dalı'nın 40 Yıllık Deneyimi”</t>
  </si>
  <si>
    <t>868.</t>
  </si>
  <si>
    <t>SBA 25/939</t>
  </si>
  <si>
    <t>“Çocuklarda Fasiküler Ventriküler Aritmi ve Transkateter Ablasyon Uygulaması Deneyimlerimiz”</t>
  </si>
  <si>
    <t>869.</t>
  </si>
  <si>
    <t>SBA 25/940</t>
  </si>
  <si>
    <t>“Ventriküler Erken Vuru Olan Çocuk Hastalarda Transkateter Ablasyon Sonuçlarımız”</t>
  </si>
  <si>
    <t>870.</t>
  </si>
  <si>
    <t>SBA 25/941</t>
  </si>
  <si>
    <t>Doç. Dr. Melike OCAK</t>
  </si>
  <si>
    <t>''Buğday Alerjisi Olan Çocuklarda Oral İmmünoterapi ve Besinden Kaçınma Yaklaşımlarının Beslenme Durumu ve Yaşam Kalitesi Üzerine Etkilerinin Karşılaştırılması''</t>
  </si>
  <si>
    <t>871.</t>
  </si>
  <si>
    <t>SBA 25/942</t>
  </si>
  <si>
    <t>“Seksen Beş Yaş ve Üzeri Geriatrik Hastalarda İntrinsik Kapasite Değişimi, İyileşme Paternleri ve Klinik Sonuçları; Retrospektif Kohort Çalışması”</t>
  </si>
  <si>
    <t>872.</t>
  </si>
  <si>
    <t>SBA 25/943</t>
  </si>
  <si>
    <t>“Kanal Tedavisi Yenileme İşlemine Maruz Kalan Dişlerin Kırılma Dayanımında Ağartmanın Etkisi”</t>
  </si>
  <si>
    <t>873.</t>
  </si>
  <si>
    <t>SBA 25/944</t>
  </si>
  <si>
    <t>“DEHB Tanılı Çocuklarda KOKGB Eşlik Etme Durumuna Göre İrritabilite ve Ödül Sisteminin Fonksiyonel MRG ile İncelenmesi”</t>
  </si>
  <si>
    <t>874.</t>
  </si>
  <si>
    <t>SBA 25/945</t>
  </si>
  <si>
    <t>Öğr. Gör. Dr. Özge ÖZEN</t>
  </si>
  <si>
    <t>“Diş Hekimliği Son Sınıf Öğrencilerinin Acil Tıbbi Durumlar Bağlamında Algılanan Güven ve Bilgi Düzeylerinin Değerlendirilmesi”</t>
  </si>
  <si>
    <t>875.</t>
  </si>
  <si>
    <t>SBA 25/946</t>
  </si>
  <si>
    <t>Prof. Dr. Sibel ERSOY EVANS</t>
  </si>
  <si>
    <t>“Melanom Hastalarında Kiraz Anjiyom Sıklığının ve Kiraz Anjiyomların Gelişiminde VEGF ile VEGF Reseptörlerinin Doku ve Serum Düzeyinde Değerlendirilmesi”</t>
  </si>
  <si>
    <t>876.</t>
  </si>
  <si>
    <t>SBA 25/947</t>
  </si>
  <si>
    <t>“Takayasu Arteriti Hastalığında Oftalmolojik Bulguların Değerlendirilmesi”</t>
  </si>
  <si>
    <t>877.</t>
  </si>
  <si>
    <t>SBA 25/948</t>
  </si>
  <si>
    <t>“Hacettepe Üniversitesi Tıp Fakültesi Öğrencilerinin Geriatri Eğitim ve İlgi Düzeylerinin Değerlendirilmesi”</t>
  </si>
  <si>
    <t>878.</t>
  </si>
  <si>
    <t>SBA 25/949</t>
  </si>
  <si>
    <t>Doç. Dr. Ali BATUR</t>
  </si>
  <si>
    <t>“Acil Serviste İntrakraniyal Merkezi Sinir Sistemi Enfeksiyonu Tanısı Konulan Hastalarda Hipokampüs Hacimlerinin Klinik Seyir Tahminindeki Rolü”</t>
  </si>
  <si>
    <t>879.</t>
  </si>
  <si>
    <t>SBA 25/950</t>
  </si>
  <si>
    <t>“TRVaS Türkiye Vaskülit Çalışma Grubu Prospektif, Gözlemsel Veritabanı Devam Çalışması”</t>
  </si>
  <si>
    <t>880.</t>
  </si>
  <si>
    <t>SBA 25/951</t>
  </si>
  <si>
    <t>“Cinsiyet Uyuşmazlığı Tanısı Konulan Kişilerde Otizm Spektrumu Özelliklerinin Klinik Gereksinimler ve Psikososyal İyilik Hali ile İlişkisi”</t>
  </si>
  <si>
    <t>881.</t>
  </si>
  <si>
    <t>SBA 25/952</t>
  </si>
  <si>
    <t>“Hemodiyaliz Sırasında Gelişen İntradialitik Hipotansiyonun Klinik ve Hemodinamik Belirteçlerle İlişkisinin Retrospektif İncelenmesi”</t>
  </si>
  <si>
    <t>882.</t>
  </si>
  <si>
    <t>SBA 25/953</t>
  </si>
  <si>
    <t>“Hyalüronik Asit, ß-Glukan, Centella Asiatica, Coriolus Versicolor, Neem, BioEcolia®, Aloe Vera İçeren Doğal İçerikli Vajinal Jel Papilocare® Kullanımının HPV Pozitif Kadınlarda Viral Klirense Etkisinin Retrospektif Olarak Araştırılması”</t>
  </si>
  <si>
    <t>883.</t>
  </si>
  <si>
    <t>SBA 25/954</t>
  </si>
  <si>
    <t>“İşitme Kaybı Olan Hastalarda Hipopigmentasyon Bozukluklarının İncelenmesi”</t>
  </si>
  <si>
    <t>884.</t>
  </si>
  <si>
    <t>SBA 25/955</t>
  </si>
  <si>
    <t>“Ramus Intermedius Arteriae Hepaticae Sınıflamasının Radyolojik Olarak İncelenmesi”</t>
  </si>
  <si>
    <t>885.</t>
  </si>
  <si>
    <t>SBA 25/956</t>
  </si>
  <si>
    <t>Doç. Dr. Elifcan ALADAĞ KARAKULAK</t>
  </si>
  <si>
    <t>“Saçlı Hücreli Lösemi Hastalarının Tanı Anındaki Klinik, Laboratuvar Parametrelerinin Prognostik, Sağ Kalım ve Tedaviye Yanıt Durumları Açısından Değerlendirilmesi”</t>
  </si>
  <si>
    <t>886.</t>
  </si>
  <si>
    <t>SBA 25/957</t>
  </si>
  <si>
    <t>“Hastane Yatışının Adolesanlarda Ekran Kullanımı Üzerine Etkisi”</t>
  </si>
  <si>
    <t>887.</t>
  </si>
  <si>
    <t>SBA 25/958</t>
  </si>
  <si>
    <t>“Amiyotrofik Lateral Skleroz Hastalarında İpsilateral Transkraniyal Manyetik Uyarım Ölçütleri”</t>
  </si>
  <si>
    <t>888.</t>
  </si>
  <si>
    <t>SBA 25/959</t>
  </si>
  <si>
    <t>“Obez Hastalarda Antimikrobiyal Tedavide Terapötik İlaç Düzeyi İzlemi: Prospektif Gözlemsel Bir Çalışma”</t>
  </si>
  <si>
    <t>889.</t>
  </si>
  <si>
    <t>SBA 25/960</t>
  </si>
  <si>
    <t>“Kadınların Gebelikte Uygulanan Dental ve Radyolojik İşlemler ile Ağız Sağlığına Dair Farkındalık ve Algısı: Anket Temelli Kesitsel Bir Çalışma”</t>
  </si>
  <si>
    <t>890.</t>
  </si>
  <si>
    <t>SBA 25/961</t>
  </si>
  <si>
    <t>Doç. Dr. Gökhan SERT</t>
  </si>
  <si>
    <t>“Yeni Nesil Girişimsiz Kapiller Anjiyografi Sisteminin Tasarım Doğrulama Numunesinin Geliştirilmesi ve Sistemin İşlevsellik Değerlendirmesi”</t>
  </si>
  <si>
    <t>891.</t>
  </si>
  <si>
    <t>SBA 25/962</t>
  </si>
  <si>
    <t>"Kronik Böbrek Hastalığının Teşhisi: Bir Makine Öğrenmesi Uygulaması"</t>
  </si>
  <si>
    <t>892.</t>
  </si>
  <si>
    <t>SBA 25/963</t>
  </si>
  <si>
    <t>“Orta-Şiddetli Kronik Plak Tipi Psöriazis Nedeniyle TNF-α İnhibitörü, IL-17 İnhibitörü veya IL-23 İnhibitörü Tedavisi Kullanan Hastalarda, Aynı Grup İçindeki Biyolojik Ajan Değişiminin Değerlendirilmesi”</t>
  </si>
  <si>
    <t>893.</t>
  </si>
  <si>
    <t>SBA 25/964</t>
  </si>
  <si>
    <t>“Üniversiteler Arası Ragbi Turnuvasında Yaralanma ve Semptomların Retrospektif Analizi: Meteorolojik Veriler ile Karşılaştırmalı Değerlendirme”</t>
  </si>
  <si>
    <t>894.</t>
  </si>
  <si>
    <t>SBA 25/965</t>
  </si>
  <si>
    <t>“Hipertansiyon Tedavisine İlişkin YouTube Videolarının DISCERN Kriterleriyle Değerlendirilmesinde Manuel ve Yapay Zekâ Değerlendiricileri Arasındaki Uyum”</t>
  </si>
  <si>
    <t>895.</t>
  </si>
  <si>
    <t>SBA 25/966</t>
  </si>
  <si>
    <t>“Mesleki Kurşun İntoksikasyonu için Etilendiamintetraasetik Asit (EDTA) Şelasyon Tedavisi Alan Hastalarda Eser Element Düzeylerinin Retrospektif Değerlendirilmesi”</t>
  </si>
  <si>
    <t>896.</t>
  </si>
  <si>
    <t>SBA 25/967</t>
  </si>
  <si>
    <t>“Denosumab Alan Geriatrik Hastaların İlaç Uyumunun Değerlendirilmesi ve ilaç Uyum Sonuçlarının Osteoporoz Üzerine Olan Etkisi”</t>
  </si>
  <si>
    <t>897.</t>
  </si>
  <si>
    <t>SBA 25/968</t>
  </si>
  <si>
    <t>Dr. Öğr. Üyesi Burçin HALAÇLI</t>
  </si>
  <si>
    <t>“İç Hastalıkları Yoğun Bakım Ünitesinde İzlenen Hastaların Retrospektif Değerlendirilmesi”</t>
  </si>
  <si>
    <t>898.</t>
  </si>
  <si>
    <t>SBA 25/969</t>
  </si>
  <si>
    <t>“Borderline Over Tümörlerinde Fertilite Koruyucu Cerrahi Yaklaşımlar, İntraoperatif Frozen İncelemenin Nihai Patoloji ile Uyumluluğu ve Sağ Kalım Verilerinin Tek Merkez Çok Yönlü Retrospektif İncelenmesi”</t>
  </si>
  <si>
    <t>899.</t>
  </si>
  <si>
    <t>SBA 25/970</t>
  </si>
  <si>
    <t>“Over Kanseri Hastalarında Uygulanan Tedavi Stratejilerinin, Tedavi Yanıtı Öngörücü Parametrelerin, Sağ Kalım ve Nüks Paternlerinin Çok Yönlü Analizi”</t>
  </si>
  <si>
    <t>900.</t>
  </si>
  <si>
    <t>SBA 25/971</t>
  </si>
  <si>
    <t>Doç. Dr. Ahmet Erim PAMUL</t>
  </si>
  <si>
    <t>“MuItidisipliner KBB-Onkoloji Konseyinde Tartışılan Larinks Kanserli Hastalarda Klasifikasyon ve Sağkalım Değerlendirmede Yapay Zeka Temelli Tahmin Modeli Oluşturmak”</t>
  </si>
  <si>
    <t>901.</t>
  </si>
  <si>
    <t>SBA 25/972</t>
  </si>
  <si>
    <t>“Video-EEG Monitorizasyonunda İzlenen Status Epileptikus ve Küme Tip Nöbetlerin Elektrokli̇ni̇k Özellikleri”</t>
  </si>
  <si>
    <t>902.</t>
  </si>
  <si>
    <t>SBA 25/973</t>
  </si>
  <si>
    <t>“Sağlıkta Kalite Standartları Değerlendiricilerinin Sağlık Teknolojilerini Değerlendirme Konusundaki Tutumları”</t>
  </si>
  <si>
    <t>903.</t>
  </si>
  <si>
    <t>SBA 25/974</t>
  </si>
  <si>
    <t>“Nasal Septal Perforasyonlu Hastalarda NOSE-Perf Ölçeğinin Türkçe Uyarlamasının Geçerlilik ve Güvenilirlik Analizi”</t>
  </si>
  <si>
    <t>904.</t>
  </si>
  <si>
    <t>SBA 25/975</t>
  </si>
  <si>
    <t>Prof. Dr. İlkay Sedakat İDİLMAN</t>
  </si>
  <si>
    <t>“Sanal Karaciğer Biyopsisi- Metabolik Hastalık İlişkili Yağlı Karaciğer Hastalığında Prognoz ve İzlem”</t>
  </si>
  <si>
    <t>905.</t>
  </si>
  <si>
    <t>SBA 25/976</t>
  </si>
  <si>
    <t>“Yağlı Karaciğer Hastalığında Karaciğer Yağlanması ve Karaciğer Sertliğinin Değerlendirilmesinde Multiparametrik Ultrasonografi ve Manyetik Rezonans Elastografinin Karşılaştırılması”</t>
  </si>
  <si>
    <t>906.</t>
  </si>
  <si>
    <t>SBA 25/977</t>
  </si>
  <si>
    <t>Prof. Dr. Benan BAYRAKCİ</t>
  </si>
  <si>
    <t>“Hemşirelerin Bütünsel Sağlık, Duygusal Emek, Şefkat Yorgunluğu ve İş Doyumu Arasındaki İlişkiler: Yol Analizi”</t>
  </si>
  <si>
    <t>907.</t>
  </si>
  <si>
    <t>SBA 25/978</t>
  </si>
  <si>
    <t>Prof. Dr. Fatma YURT</t>
  </si>
  <si>
    <t>“Radyoloji Tetkiklerinde Hastalar İçin Tahmini Fetal Doz Hesaplamaları”</t>
  </si>
  <si>
    <t>908.</t>
  </si>
  <si>
    <t>SBA 25/979</t>
  </si>
  <si>
    <t>“Tıbbi Uygulama Hatası Olgularının Değerlendirilmesinde Büyük Dil Modelleri ve Adli Tıp Uzman Görüşlerinin Karşılaştırmalı Analizi”</t>
  </si>
  <si>
    <t>909.</t>
  </si>
  <si>
    <t>SBA 25/980</t>
  </si>
  <si>
    <t>Doç. Dr. Gülşen TAŞDELEN TEKER</t>
  </si>
  <si>
    <t>“Mohs Cerrahisinde Artırılmış Gerçeklik Entegrasyonlu Simülasyon Çalışması”</t>
  </si>
  <si>
    <t>910.</t>
  </si>
  <si>
    <t>SBA 25/981</t>
  </si>
  <si>
    <t>“Pediatrik Non-Hodgkin Lenfoma Tanılı Hastalarda PET-BT'den Elde Edilen Semikantitatif Parametrelerin Değerlendirilmesi”</t>
  </si>
  <si>
    <t>911.</t>
  </si>
  <si>
    <t>SBA 25/982</t>
  </si>
  <si>
    <t>“Parkinson Hastalığında Levodopa-Karbidopa İntestinal Jel Kullanan Hastalarda Periferik Nörolojik Tutulum: Elektrofizyolojik Çalışma”</t>
  </si>
  <si>
    <t>912.</t>
  </si>
  <si>
    <t>SBA 25/983</t>
  </si>
  <si>
    <t>Dr. Öğr. Gör. Buket KILIÇ</t>
  </si>
  <si>
    <t>“Özgül Öğrenme Bozukluğu Tanılı Ergenlerde Benlik Saygısı, Yeterlik Algısı ve Baskın Savunma Mekanizmalarının Annelerdeki Psikolojik Farkındalık ve Empati Düzeyi ile İlişkisi”</t>
  </si>
  <si>
    <t>913.</t>
  </si>
  <si>
    <t>SBA 25/984</t>
  </si>
  <si>
    <t>“Normal Gebeliklerde Fetal Farinks Büyüme Paternlerinin Üç Boyutlu Ultrasonografi ile Değerlendirilmesi”</t>
  </si>
  <si>
    <t>914.</t>
  </si>
  <si>
    <t>SBA 25/985</t>
  </si>
  <si>
    <t>“Multiple Skleroz (MS) Tanılı Hastalarda MS Mesane Kontrol Aracı Kullanılarak Alt Üriner Sistem Semptomlarının Ön Değerlendirilmesi ve Fonksiyonel Üroloji Polikliniğine Yönlendirme Kriterlerinin Belirlenmesi”</t>
  </si>
  <si>
    <t>915.</t>
  </si>
  <si>
    <t>SBA 25/986</t>
  </si>
  <si>
    <t>“Sirotik Hastalarda Sarkopeni ve Kognisyon Değerlendirilmesi”</t>
  </si>
  <si>
    <t>916.</t>
  </si>
  <si>
    <t>SBA 25/987</t>
  </si>
  <si>
    <t>Dr. Öğr. Üyesi Selin ARDALI DÜZEGÜN</t>
  </si>
  <si>
    <t>“Erişkinlerde Timus Boyutlarının BT ile Değerlendirilmesi, Farklı Yaş Gruplan, Cinsiyet ve Sigara Kullanımıyla İlişkisi”</t>
  </si>
  <si>
    <t>917.</t>
  </si>
  <si>
    <t>SBA 25/988</t>
  </si>
  <si>
    <t>“Onikomikoz Teşhisinde Yapay Zeka Algoritmalarının Dermatolog ve Aile Hekimleri ile Karşılatırmalı Olarak Değerlendirilmesi”</t>
  </si>
  <si>
    <t>918.</t>
  </si>
  <si>
    <t>SBA 25/989</t>
  </si>
  <si>
    <t>“Çocukluk Çağı Astımında Uzun Süreli İzlem ve Remisyon”</t>
  </si>
  <si>
    <t>919.</t>
  </si>
  <si>
    <t>SBA 25/990</t>
  </si>
  <si>
    <t>Arş. Gör. Dr. Evrim AKSU MENGEŞ</t>
  </si>
  <si>
    <t>“DJ-1 Mutasyonuna Bağlı Mitokondriyal Hasarın ve Organeller Arası Etkileşimlerin Hasta Hücrelerinde İncelenmesi”</t>
  </si>
  <si>
    <t>920.</t>
  </si>
  <si>
    <t>SBA 25/991</t>
  </si>
  <si>
    <t>“Lenfoma Hastalarında Warburg Etkisine Bağlı Tip B Laktik Asidoz ve Hipoglisemi: İki Olgu Sunumu ve Literatür Derlemesi”</t>
  </si>
  <si>
    <t>921.</t>
  </si>
  <si>
    <t>SBA 25/992</t>
  </si>
  <si>
    <t>Prof. Dr. Ömer KARADAĞ
Doç. Dr. Mesut ALTAN</t>
  </si>
  <si>
    <t>“Vaskülit Hastalarında Erektil Disfonksiyonun Yaygınlığı ve Ürolojik Değerlendirme Sıklığı: Kesitsel Bir Anket Çalışması”</t>
  </si>
  <si>
    <t>922.</t>
  </si>
  <si>
    <t>SBA 25/993</t>
  </si>
  <si>
    <t>“İntra Uterin İnseminasyon Tedavisi Öncesi Elastoscan (Shear Wave Elastografi) ile Uterusun Prospektif Olarak Değerlendirmesi ve Gebelik Sonuçları ile İlişkisinin İncelenmesi”</t>
  </si>
  <si>
    <t>923.</t>
  </si>
  <si>
    <t>SBA 25/994</t>
  </si>
  <si>
    <t>“İn Vitro Fertilizasyon Tedavisi Öncesi Elastoscan (Shear Wave Elastografi) ile Uterusun Prospektif Olarak Değerlendirmesi ve Gebelik Sonuçları ile İlişkisinin İncelenmesi”</t>
  </si>
  <si>
    <t>924.</t>
  </si>
  <si>
    <t>SBA 25/995</t>
  </si>
  <si>
    <t>“Kalp ve Beyin MRG Görüntülerinde Hareket Kaynaklı Aretfaktların Tespiti ve Düzeltilmesine Yönelik Yapay Zeka Yaklaşımı”</t>
  </si>
  <si>
    <t>925.</t>
  </si>
  <si>
    <t>SBA 25/996</t>
  </si>
  <si>
    <t>“Koroner MRA Görüntülerinde Görüntü Kalitesinin Artırılmasına ve Otomatik Değerlendirilmesine Yönelik Yapay Zeka Uygulaması”</t>
  </si>
  <si>
    <t>926.</t>
  </si>
  <si>
    <t>SBA 25/997</t>
  </si>
  <si>
    <t>“Ultrasonografi Eşliğinde Transperineal Prostat Biyopsisinin Güvenirliliği, Uygulanabilirliği ve Kanser Yakalamada Başarı Oranı”</t>
  </si>
  <si>
    <t>927.</t>
  </si>
  <si>
    <t>SBA 25/998</t>
  </si>
  <si>
    <t>“Hemodiyaliz Sürecinde Mikroplastik Varlığının ve Maruziyet Düzeyinin Değerlendirilmesi”</t>
  </si>
  <si>
    <t>928.</t>
  </si>
  <si>
    <t>SBA 25/999</t>
  </si>
  <si>
    <t>Prof. Dr. Mukaddes GÜRLER</t>
  </si>
  <si>
    <t>“Kurutulmuş İdrar Örneklerinde (DUS) Uyuşturucu-Uyarıcı Madde Analizi”</t>
  </si>
  <si>
    <t>929.</t>
  </si>
  <si>
    <t>SBA 25/1000</t>
  </si>
  <si>
    <t>“Vitiligo Tanılı Pediatrik Hastalarda Oral Mikrobiyom ve Diş Çürüğü İlişkisinin İncelenmesi ”</t>
  </si>
  <si>
    <t>930.</t>
  </si>
  <si>
    <t>SBA 25/1001</t>
  </si>
  <si>
    <t>“Agresif Başlangıçlı Tip 1 Diabetes Mellitus ile Tanınan CD70 Eksikliği Tanısı Alan Olgunun Klinik ve Laboratuvar Özelliklerinin İncelenmesi</t>
  </si>
  <si>
    <t>931.</t>
  </si>
  <si>
    <t>SBA 25/1002</t>
  </si>
  <si>
    <t>Dr. Öğr. Üyesi Elif KARAKOÇ</t>
  </si>
  <si>
    <t>“Pelargonium graveolens'in Endometriozis Hücre Hattı (12Z) Üzerindeki Etkilerinin Araştırılması”</t>
  </si>
  <si>
    <t>932.</t>
  </si>
  <si>
    <t>SBA 25/1003</t>
  </si>
  <si>
    <t>“Kas Kuvveti ve Fiziksel Performans Ölçümlerinin Yaşlılarda Düşme Riskiyle İlişkisi”</t>
  </si>
  <si>
    <t>933.</t>
  </si>
  <si>
    <t>SBA 25/1004</t>
  </si>
  <si>
    <t>“İnsan İmmün Yetmezlik Virüsü (HIV) ile Yaşayan 40 Yaş Üstü Bireylerde 7 Yıllık İzlemde Kırılganlık ve Sarkopeni Değişimi: 2018 Hacettepe Kohortunun Prospektif Yeniden Değerlendirilmesi”</t>
  </si>
  <si>
    <t>934.</t>
  </si>
  <si>
    <t>SBA 25/1005</t>
  </si>
  <si>
    <t>Doç. Dr.Utku AKGÖR</t>
  </si>
  <si>
    <t>“01/01/2015-30/09/2025 Yılları Arasında Koryokarsinom Olgularının Klinik, Patolojik ve Epidemiyolojik Verilerinin Değerlendirilmesi”</t>
  </si>
  <si>
    <t>935.</t>
  </si>
  <si>
    <t>SBA 25/1006</t>
  </si>
  <si>
    <t>“Spesifik T Hücre Reseptör Yolağı Yetmezliklerinde İmmün Repertuvar Profillerinin Belirlenmesi”</t>
  </si>
  <si>
    <t>936.</t>
  </si>
  <si>
    <t>SBA 25/1007</t>
  </si>
  <si>
    <t>“Proksimal Humerus Kırıklarında Kalkar Vidası Pozisyonunun Başarısızlık Üzerine Etkisi”</t>
  </si>
  <si>
    <t>937.</t>
  </si>
  <si>
    <t>SBA 25/1008</t>
  </si>
  <si>
    <t>“Travma Sonrası Yumuşak Doku Yönetimi Nasıl Olmalı Travma Cerrahları Ne Diyor?”</t>
  </si>
  <si>
    <t>938.</t>
  </si>
  <si>
    <t>SBA 25/1009</t>
  </si>
  <si>
    <t>“Tiroid Nodüllerinde Telomer Uzunluğunun Prediktif Değeri”</t>
  </si>
  <si>
    <t>939.</t>
  </si>
  <si>
    <t>SBA 25/1010</t>
  </si>
  <si>
    <t>“İmmünoterapiye Bağlı Tiroidit Gelişiminde KIR ve HLA Genetik Profillerinin Rolü”</t>
  </si>
  <si>
    <t>940.</t>
  </si>
  <si>
    <t>SBA 25/1011</t>
  </si>
  <si>
    <t>“Pediatrik Ürolitiazis Hastalarında Endoskopik Taş Cerrahileri Sonrası Taşsızlık ve Komplikasyon Oranını Etkileyen Faktörlerin Retrospektif İncelemesi”</t>
  </si>
  <si>
    <t>941.</t>
  </si>
  <si>
    <t>SBA 25/1012</t>
  </si>
  <si>
    <t>“TESE Başarısını Etkileyen Faktörler”</t>
  </si>
  <si>
    <t>942.</t>
  </si>
  <si>
    <t>SBA 25/1013</t>
  </si>
  <si>
    <t>“Stuve-Wiedemann Sendromu Tanısıyla İzlenen Olguların Klinik ve Moleküler Özelliklerinin Değerlendirilmesi”</t>
  </si>
  <si>
    <t>943.</t>
  </si>
  <si>
    <t>SBA 25/1014</t>
  </si>
  <si>
    <t>Öğr. Gör. Dr. Doğukan DOĞU</t>
  </si>
  <si>
    <t>“Hemoroidektomi Sonrası Kanama ve Belirleyici Faktorlerin Degerlendirilmesi: Tek Merkezli Retrospektif Analiz”</t>
  </si>
  <si>
    <t>944.</t>
  </si>
  <si>
    <t>SBA 25/1015</t>
  </si>
  <si>
    <t>Prof. Dr. Saniye EKİNCİ</t>
  </si>
  <si>
    <t>“Abdominal Nöroblastom Cerrahisinin Böbrek Hacmi Üzerine Etkisi”</t>
  </si>
  <si>
    <t>945.</t>
  </si>
  <si>
    <t>SBA 25/1016</t>
  </si>
  <si>
    <t>“Retinopati Tarama Muayenesinde İntranazal Deksmedetomidin: En Uygun Uygulama Zamanının Belirlenmesi”</t>
  </si>
  <si>
    <t>946.</t>
  </si>
  <si>
    <t>SBA 25/1017</t>
  </si>
  <si>
    <t>Prof. Dr. İbrahim ESİNLER</t>
  </si>
  <si>
    <t>“Histerosalpingografide Uterin Kavite Ölçümlerine Dayalı Uterus Morfometrisinin IVF/Embriyo Transfer Başarısı ile İlişkisinin Değerlendirilmesi”</t>
  </si>
  <si>
    <t>947.</t>
  </si>
  <si>
    <t>SBA 25/1018</t>
  </si>
  <si>
    <t>Öğr. Gör. Dr. Demet YABANOĞLU</t>
  </si>
  <si>
    <t>“Hava Kirliliğine Mesleki Maruziyetin Oküler Yüzey Sağlığına Etkisi: Ankara'da Partikül Madde Düzeyleri ile İlişkilendirilmiş Açık Alan ve Ofis Çalışanlarında Gözyaşı İnflamatuar Sitokinlerinin Karşılaştırılması”</t>
  </si>
  <si>
    <t>948.</t>
  </si>
  <si>
    <t>SBA 25/1019</t>
  </si>
  <si>
    <t>Doç. Dr. Ayşegül ERTUĞRUL</t>
  </si>
  <si>
    <t>"Astım Hastalarında Çocukluktan Erişkine Geçişin Tedavi Uyumu ve Takip Üzerine Etkisi"</t>
  </si>
  <si>
    <t>949.</t>
  </si>
  <si>
    <t>SBA 25/1020</t>
  </si>
  <si>
    <t>“Sürdürülebilirlik ve Çevre Dostu Eczacılık Uygulamaları Kapsamında Farmasötik Ayak İzi Konusunda Görüş ve Tutumların Değerlendirilmesi”</t>
  </si>
  <si>
    <t>950.</t>
  </si>
  <si>
    <t>SBA 25/1021</t>
  </si>
  <si>
    <t>“Nefrotik Sendrom Tanılı Pediatrik Hastalarda Kapsamlı İlaç Yönetimi”</t>
  </si>
  <si>
    <t>951.</t>
  </si>
  <si>
    <t>SBA 25/1022</t>
  </si>
  <si>
    <t>“Modülatör Tedavi Kullanan Kistik Fibrozis Tanılı Çocuk Hastalarımızın Özellikleri ve Mental Sağlık Durumları”</t>
  </si>
  <si>
    <t>952.</t>
  </si>
  <si>
    <t>SBA 25/1023</t>
  </si>
  <si>
    <t>“Çocuk Yoğun Bakımda Basınç Yaralanması Prevalansı ve Etkileyen Faktörlerin Analizi: Retrospektif Bir Çalışma”</t>
  </si>
  <si>
    <t>953.</t>
  </si>
  <si>
    <t>SBA 25/1024</t>
  </si>
  <si>
    <t>Öğr. Gör. Dr. Özge ÖZTÜRK AKTAŞ</t>
  </si>
  <si>
    <t>"Oral Demir Preparatı Alerjisi Şüphesi Olan Hastalarda Alternatif Demir Tuzları ile Yapılan Oral Provokasyon Sonuçlarının Değerlendirilmesi"</t>
  </si>
  <si>
    <t>954.</t>
  </si>
  <si>
    <t>SBA 25/1025</t>
  </si>
  <si>
    <t>"Erişkin Yaygın Değişken İmmün Yetmezlik Hastalarında Klinik Bulgular ve İmmünfenotipik Özelliklerin Analizi"</t>
  </si>
  <si>
    <t>955.</t>
  </si>
  <si>
    <t>SBA 25/1026</t>
  </si>
  <si>
    <t>“Vücut Yuvarlaklık İndeksi ve Vücut Şekil İndeksi ile Beyin Hacmi Arasındaki İlişkinin Hafif Bilişsel Bozukluğu veya Demansı olan Hastalarda Manyetik Rezonans Görüntüleme ile (MRG) Değerlendirilmesi”</t>
  </si>
  <si>
    <t>956.</t>
  </si>
  <si>
    <t>SBA 25/1027</t>
  </si>
  <si>
    <t>“Yapay Zeka Destekli Yüz Analizi ile Estetik Cerrahi Sonuçlarının Objektif Değerlendirilmesi: Retrospektif Görsel Veri Analizi”</t>
  </si>
  <si>
    <t>957.</t>
  </si>
  <si>
    <t>SBA 25/1028</t>
  </si>
  <si>
    <t>“Geriatrik Gastrostomi Olgularında Mortalite ve Gastroskopi Komplikasyonlarını Öngeren Faktörlerin Retrospektif Analizi”</t>
  </si>
  <si>
    <t>958.</t>
  </si>
  <si>
    <t>SBA 25/1029</t>
  </si>
  <si>
    <t>“Allojenik Kemik İliği Nakli Sonrası Nüks Hastalıkta Yapılan Tedavilerin Klinik, Laboratuvar, Prognostik, Sağ Kalım ve Yan Etkiler Açısından Değerlendirilmesi”</t>
  </si>
  <si>
    <t>959.</t>
  </si>
  <si>
    <t>SBA 25/1030</t>
  </si>
  <si>
    <t>“Menstrual Siklusun Farklı Dönemlerinde Aşil Tendon Elastisitesi ile Anterior Talofibular Ligament Kalınlığının Ultrasonografi ve Shear Wave Elastografi ile Değerlendirilmesi”</t>
  </si>
  <si>
    <t>960.</t>
  </si>
  <si>
    <t>SBA 25/1031</t>
  </si>
  <si>
    <t>“Benzotiyofen Oksabütanoik Asit'in Endometriyum Kanserinde Karboplatin Direncine Etkilerinin İn Vitro Araştırılması”</t>
  </si>
  <si>
    <t>961.</t>
  </si>
  <si>
    <t>SBA 25/1032</t>
  </si>
  <si>
    <t>“Kronik Plak Psöriazis Tanılı Hastalarda Hepatik Fibrozisin Değerlendirilmesi”</t>
  </si>
  <si>
    <t>962.</t>
  </si>
  <si>
    <t>SBA 25/1033</t>
  </si>
  <si>
    <t>“Tuberositas İnterossea Ulnaris Morfolojik ve Morfometrik Özelliklerinin Değerlendirilmesi”</t>
  </si>
  <si>
    <t>963.</t>
  </si>
  <si>
    <t>SBA 25/1034</t>
  </si>
  <si>
    <t>Prof. Dr. Tülin TANER</t>
  </si>
  <si>
    <t>“Maksiller Retrüzyon ile Birlikte Obstrüktif Uyku Apne Sendromu Olan Çocuklarda Maksiller İlerletme Tedavisinin Etkilerinin Retrospektif Değerlendirilmesi”</t>
  </si>
  <si>
    <t>964.</t>
  </si>
  <si>
    <t>SBA 25/1035</t>
  </si>
  <si>
    <t>“İnfertilitenin Psikolojik Yükü: İnfertilite Tedavisi Gören Kadınlarda Beck Umutsuzluk Ölçeği ile Umutsuzluk Düzeyinin Değerlendirilmesi”</t>
  </si>
  <si>
    <t>965.</t>
  </si>
  <si>
    <t>SBA 25/1036</t>
  </si>
  <si>
    <t>“Antenatal Kortikosteroid Uygulanan Gebeliklerde Fetal Dolaşım Dinamiklerinin Longitudinal İzlemi ve Perinatal Sonuçlarla İlişkisi: Prospektif Gözlemsel Çalışma”</t>
  </si>
  <si>
    <t>966.</t>
  </si>
  <si>
    <t>SBA 25/1037</t>
  </si>
  <si>
    <t>“Fetal Kardiyak Girişim Sonrası Fetal Hemodinamik Değişimler ve Perinatal Sonuçlar”</t>
  </si>
  <si>
    <t>967.</t>
  </si>
  <si>
    <t>SBA 25/1038</t>
  </si>
  <si>
    <t>“Psikotik Bozukluklarda Tedaviye Direnç ile İlişkili Doğal Dil İşleme Değişkenlerinin ve Düşünce Süreci Bozukluklarının Değerlendirilmesi”</t>
  </si>
  <si>
    <t>968.</t>
  </si>
  <si>
    <t>SBA 25/1039</t>
  </si>
  <si>
    <t>“Anoreksiya Nervoza ve Atipik Anoreksiya Nervoza Tanılı Ergenlerin Remisyon ve Relaps Süreçlerinin ve Yordayıcılarının Değerlendirilmesi”</t>
  </si>
  <si>
    <t>969.</t>
  </si>
  <si>
    <t>SBA 25/1040</t>
  </si>
  <si>
    <t>“Doksan Yaş ve Üzeri Bireylerde Elektrokardiyografik Bulgular ve Aritmi Gelişiminde Rol Oynayan Faktörlerin Değerlendirilmesi”</t>
  </si>
  <si>
    <t>970.</t>
  </si>
  <si>
    <t>SBA 25/1041</t>
  </si>
  <si>
    <t>, “Eczacılık Öğrencileri ve Eczacıların Mesleki İlaç Erişimine Bağlı Madde Kullanımı Niyet ve Davranışlarının İncelenmesi: Bir Anket Çalışması”</t>
  </si>
  <si>
    <t>971.</t>
  </si>
  <si>
    <t>SBA 25/1042</t>
  </si>
  <si>
    <t>Dr. Öğr. Üyesi İrem SÖZEN YANIK</t>
  </si>
  <si>
    <t>“Maksillofasiyal Protezlerde Konvansiyonel ve Dijital İş Akışlarına Yönelik Diş Hekimliği 4. ve 5. Sınıf Öğrencilerinin Bilgi Düzeyinin Değerlendirilmesi”</t>
  </si>
  <si>
    <t>972.</t>
  </si>
  <si>
    <t>SBA 25/1043</t>
  </si>
  <si>
    <t>Öğr. Gör. Dilara ŞAHİN HAZIR</t>
  </si>
  <si>
    <t>“Protetik Diş Tedavisinde Yapay Zeka Kullanımına Dair Diş Hekimliği 4. ve 5. Sınıf Öğrencilerinin Farkındalık, Tutum ve Etik Algılarının Değerlendirilmesi”</t>
  </si>
  <si>
    <t>973.</t>
  </si>
  <si>
    <t>SBA 25/1044</t>
  </si>
  <si>
    <t>“Adölesan Dönemdeki Çocuklarda Kaygı Düzeyi ve Okul Başarasının Temporomandibular Eklem Bozuklukları ile İlişkisi”</t>
  </si>
  <si>
    <t>974.</t>
  </si>
  <si>
    <t>SBA 25/1045</t>
  </si>
  <si>
    <t>Prof. Dr. Murat GÜVENER</t>
  </si>
  <si>
    <t>''Kalp Nakli Bekleyen Çocukların Ailelerinin Bilgi Düzeyi ve Eğitim İhtiyaçlarının Belirlenmesi: Tek Merkez Örneği''</t>
  </si>
  <si>
    <t>975.</t>
  </si>
  <si>
    <t>SBA 25/1046</t>
  </si>
  <si>
    <t>“Tanıdan Tedaviye Güncel Yaklaşımlar Eğitim Programlarının Memnuniyet Anket Sonuçlarının Değerlendirilmesi”</t>
  </si>
  <si>
    <t>976.</t>
  </si>
  <si>
    <t>SBA 25/1047</t>
  </si>
  <si>
    <t>“Sistemik Lupus Eritematozus Nefritinde Osteoporoz Risk Faktörlerinin ve Fibroblast Büyüme Faktörü-23 Yolağının Rolünün İncelenmesi”</t>
  </si>
  <si>
    <t>977.</t>
  </si>
  <si>
    <t>SBA 25/1048</t>
  </si>
  <si>
    <t>Dr. Öğr. Üyesi İYİGÜN</t>
  </si>
  <si>
    <t>“Term Yenidoğanlarda Kord Klempleme Süresinin Erken Metabolik ve Solunumsal Sonuçlar Üzerine Etkisi”</t>
  </si>
  <si>
    <t>978.</t>
  </si>
  <si>
    <t>SBA 25/1049</t>
  </si>
  <si>
    <t>“80 Yaş Üzeri Hastalarda Osteoporoz Bulguları ve Tedavi Yaklaşımlarının Retrospektif Analizi”</t>
  </si>
  <si>
    <t>979.</t>
  </si>
  <si>
    <t>SBA 25/1050</t>
  </si>
  <si>
    <t>Doç. Dr. Aysun ANKAY YILBAŞ</t>
  </si>
  <si>
    <t>“KBB Hava Yolu Cerrahilerinde ChatGPT’nin Preoperatif Anestezi Risk Değerlendirme Performansının İncelenmesi”</t>
  </si>
  <si>
    <t>980.</t>
  </si>
  <si>
    <t>SBA 25/1051</t>
  </si>
  <si>
    <t>“Acil Servislerin Uygunsuz Kullanımının İncelenmesi: Bir Üniversite Hastanesi Örneği”</t>
  </si>
  <si>
    <t>981.</t>
  </si>
  <si>
    <t>SBA 25/1052</t>
  </si>
  <si>
    <t>“İkili Seçim Deneyi Yöntemi Kullanılarak 60 yaş üstü Bireylerin RSV Aşısı ile Aşılanma Davranışına Etki Edebilecek Faktörlerin Değerlendirilmesi”</t>
  </si>
  <si>
    <t>982.</t>
  </si>
  <si>
    <t>SBA 25/1053</t>
  </si>
  <si>
    <t>“Kronik Spontan Ürtiker Hastalarında Nonsteroid Antiinflamatuvar İlaç (NSAİİ) Hipersensitivitesinin İncelenmesi”</t>
  </si>
  <si>
    <t>983.</t>
  </si>
  <si>
    <t>SBA 25/1054</t>
  </si>
  <si>
    <t>Arş. Gör. Dr. Oğuzhan SERİN</t>
  </si>
  <si>
    <t>“Acil Serviste Çocukluk Çağı Ekzantemlerinin Haritalanması: Bir Kesitsel Gözlemsel Çalışma”</t>
  </si>
  <si>
    <t>984.</t>
  </si>
  <si>
    <t>SBA 25/1055</t>
  </si>
  <si>
    <t>“Dermatoloji Ayaktan ve Yatan Hasta Başvurularında Yama Testi Endikasyonlarının Belirlenmesi ve Klinik ile Test Sonuçlarının Korelasyonunun İncelenmesi”</t>
  </si>
  <si>
    <t>985.</t>
  </si>
  <si>
    <t>SBA 25/1056</t>
  </si>
  <si>
    <t>Doç. Dr. Emel ISIYEL</t>
  </si>
  <si>
    <t>“Yatan Hastalarda Malnütrisyonun Sıklığı ve Kas Kütlesi ile Cilt Altı Yağ Dokusu Kalınlığının Ultrasonografik Korelasyonu”</t>
  </si>
  <si>
    <t>986.</t>
  </si>
  <si>
    <t>SBA 25/1057</t>
  </si>
  <si>
    <t>“Kornea Rejenerasyonuna Yönelik Enjekte Edilebilir Gözenekli İpek Mikrotaşıyıcıların In Vivo Çalışmalarda Kullanım Etkinliğinin Belirlenmesi”</t>
  </si>
  <si>
    <t>987.</t>
  </si>
  <si>
    <t>SBA 25/1058</t>
  </si>
  <si>
    <t>“Plastik, Rekonstrüktif ve Estetik Cerrahi Polikliniği Hastalarında Hekime Ulaşma ve Tercih Kanallarının İncelenmesi”</t>
  </si>
  <si>
    <t>988.</t>
  </si>
  <si>
    <t>SBA 25/1059</t>
  </si>
  <si>
    <t>“Non-Melanositik Deri Tümörlerinin Dermoskopik Özelliklerinin Polarize, Non-Polarize ve UV Modlar ile Karşılaştırılması”</t>
  </si>
  <si>
    <t>989.</t>
  </si>
  <si>
    <t>SBA 25/1060</t>
  </si>
  <si>
    <t>“Acil Servise Akut Ataksi Nedeniyle Başvuran Hastaların Klinik Özellikleri ve Yaklaşım Algoritması”</t>
  </si>
  <si>
    <t>990.</t>
  </si>
  <si>
    <t>SBA 25/1061</t>
  </si>
  <si>
    <t>“Yüksek Dereceli Servikal Lezyon Saptanan ve Konizasyon Uygulanan Hastalarda Cerrahi Sınır Pozitifliğinin Prognoza Olan Etkisi”</t>
  </si>
  <si>
    <t>991.</t>
  </si>
  <si>
    <t>SBA 25/1062</t>
  </si>
  <si>
    <t>Öğr. Gör. Dr. Volkan ARSLAN</t>
  </si>
  <si>
    <t>“Sepsis/Septik Şok Hastalarında PI, MEWS, qSOFA, APACHE II ve CRT Değerlerinin Analizi ve Klinik Sonuçlarla İlişkisi”</t>
  </si>
  <si>
    <t>992.</t>
  </si>
  <si>
    <t>SBA 25/1063</t>
  </si>
  <si>
    <t>“Yapay Zekâ Yardımlı Analizler ile Jinekolojik Onkoloji Konsey Karar Süreçlerinin Geliştirilmesi”</t>
  </si>
  <si>
    <t>993.</t>
  </si>
  <si>
    <t>SBA 25/1064</t>
  </si>
  <si>
    <t>“Obsesif Kompulsif Bozukluğu olan Ergenlerde Duyusal Profil ile İnteroseptif Farkındalık ve Doğruluğun İncelenmesi”</t>
  </si>
  <si>
    <t>994.</t>
  </si>
  <si>
    <t>SBA 25/1065</t>
  </si>
  <si>
    <t>“Mayer-Rokitansky-Küster-Hauser Sendromlu Hastalarda Uterin Remnant Dokuların Anterior Neovajen Duvarı Oluşturulmasında Kullanıldığı Modifiye Davydov Tekniğinin Tanımlanması ve Uzun Dönem Sonuçlarının Analizi”</t>
  </si>
  <si>
    <t>995.</t>
  </si>
  <si>
    <t>SBA 25/1066</t>
  </si>
  <si>
    <t>“Erişkin Kistik Fibrozis Hastalarında Genetik Mutasyon Kombinasyonları ile Organ Sistem Tutulumu İlişkisinin İncelenmesi ”</t>
  </si>
  <si>
    <t>996.</t>
  </si>
  <si>
    <t>SBA 25/1067</t>
  </si>
  <si>
    <t>“Mohs Cerrahisi Fellowship Eğitiminde Kullanılan Ölçme ve Değerlendirme Araçlarıyla İlgili Eğitici ve Öğrenci Görüşleri”</t>
  </si>
  <si>
    <t>997.</t>
  </si>
  <si>
    <t>SBA 25/1068</t>
  </si>
  <si>
    <t>“Bloom Sendromu Tanısı Alan Hastaların Klinik, Demografik ve İmmünolojik Özelliklerinin Değerlendirilmesi”</t>
  </si>
  <si>
    <t>998.</t>
  </si>
  <si>
    <t>SBA 25/1069</t>
  </si>
  <si>
    <t>“Tuberositas İnterossea Radii Morfolojik ve Morfometrik Özelliklerinin Değerlendirilmesi”</t>
  </si>
  <si>
    <t>999.</t>
  </si>
  <si>
    <t>SBA 25/1070</t>
  </si>
  <si>
    <t>Dr. Öğr. Üyesi Eda Ezgi ASLANTAŞ</t>
  </si>
  <si>
    <t>“Açık Apeksli Devital Dişlerde Vaka Seçimi ve Klinik Protokol Açısından Pratisyen Diş Hekimleri, Endodonti Uzmanları ve Pedodonti Uzmanlarının Tedavi Yaklaşımları”</t>
  </si>
  <si>
    <t>1000.</t>
  </si>
  <si>
    <t>SBA 25/1071</t>
  </si>
  <si>
    <t>“Beyin Omurilik Sıvısı Örneklerinde Alkol ve Psikoaktif Madde Düzeylerinin Değerlendirilmesi”</t>
  </si>
  <si>
    <t>1001.</t>
  </si>
  <si>
    <t>SBA 25/1072</t>
  </si>
  <si>
    <t>Doç. Dr. Ersin GÜMÜŞ</t>
  </si>
  <si>
    <t>“Kistik Fibrozisli Çocuklarda Kistik Fibrozis Transmembran Kondüktans Regülatör Modülatör Tedavisinin Beslenme Durumu ve Hepatobiliyer Sistem Üzerine Etkisi”</t>
  </si>
  <si>
    <t>1002.</t>
  </si>
  <si>
    <t>SBA 25/1073</t>
  </si>
  <si>
    <t>“Multisistem İnflamatuvar Sendrom (MIS-C)’da, Sistemik Siklik Dinükleotitler (CDN’ler) ve İnterferon Genlerini Uyarıcı (STING) Yolu Aktivasyonu: Hiperinflamasyona İmmünopatolojik Bakış”</t>
  </si>
  <si>
    <t>1003.</t>
  </si>
  <si>
    <t>SBA 25/1074</t>
  </si>
  <si>
    <t>“Alt Ekstremitede Pliometrik Egzersiz Şiddetinin Belirlenmesi”</t>
  </si>
  <si>
    <t>1004.</t>
  </si>
  <si>
    <t>SBA 25/1075</t>
  </si>
  <si>
    <t>“Çocuklarda Pnömokok Taşıyıcılığı: Kültürün Ötesinde Moleküler Doğruluk”</t>
  </si>
  <si>
    <t>1005.</t>
  </si>
  <si>
    <t>SBA 25/1076</t>
  </si>
  <si>
    <t>“Uzun Süreli Glukokortikoid Kullanımına Bağlı Adrenal Yetmezlikte İlaç Kesim Sürecinin İncelenmesi”</t>
  </si>
  <si>
    <t>1006.</t>
  </si>
  <si>
    <t>SBA 25/1077</t>
  </si>
  <si>
    <t>“Subkutan İmmunoglobulin Replasman Tedavisi Almış Olan Primer İmmün Yetmezlik Hastalarının Özelliklerinin Değerlendirilmesi”</t>
  </si>
  <si>
    <t>1007.</t>
  </si>
  <si>
    <t>SBA 25/1078</t>
  </si>
  <si>
    <t>“Rh Uygunsuzluğu Olan Gebeliklerde 28. Gebelik Haftasında Uygulanan Antenatal Anti-D İmmünoglobulin Profilaksisinin Neonatal Bilirubin Düzeyleri ve Erken Dönem Yenidoğan Sonuçları Üzerine Etkisinin Değerlendirilmesi: Retrospektif Kohort Çalışması”</t>
  </si>
  <si>
    <t>1008.</t>
  </si>
  <si>
    <t>SBA 25/1079</t>
  </si>
  <si>
    <t>Prof. Dr. Hatice DOĞAN BUZOĞLU</t>
  </si>
  <si>
    <t>“Geri Dönüşümsüz Pulpitislerde Makrofaj Polarizasyonunun İncelenmesi”</t>
  </si>
  <si>
    <t>1009.</t>
  </si>
  <si>
    <t>SBA 25/1080</t>
  </si>
  <si>
    <t>“El Kavrama Kuvvetinin Ölçümünde Squegg'in Geriatrik Popülasyondaki Tanısal Geçerliliği”</t>
  </si>
  <si>
    <t>1010.</t>
  </si>
  <si>
    <t>SBA 25/1081</t>
  </si>
  <si>
    <t>“MELD 3.0 ve GEMA skorlarının Siroz Hastalarında Mortalite Öngörüsünde Etkinliğinin Araştırılması”</t>
  </si>
  <si>
    <t>“Nonsteroid Anti-inflamatuar İlaçlar ile Tetiklenen Hava Yolu Hastalığı Tanısı Olan Hastalarda Çoklu İlaç Alerjilerinin Değerlendirilmesi”</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</si>
  <si>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</si>
  <si>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SBA 26/055</t>
  </si>
  <si>
    <t>SBA 26/056</t>
  </si>
  <si>
    <t>SBA 26/057</t>
  </si>
  <si>
    <t>SBA 26/058</t>
  </si>
  <si>
    <t>SBA 26/059</t>
  </si>
  <si>
    <t>SBA 26/060</t>
  </si>
  <si>
    <t>SBA 26/061</t>
  </si>
  <si>
    <t>SBA 26/062</t>
  </si>
  <si>
    <t>SBA 26/063</t>
  </si>
  <si>
    <t>SBA 26/064</t>
  </si>
  <si>
    <t>SBA 26/065</t>
  </si>
  <si>
    <t>SBA 26/066</t>
  </si>
  <si>
    <t>SBA 26/067</t>
  </si>
  <si>
    <t>SBA 26/068</t>
  </si>
  <si>
    <t>SBA 26/069</t>
  </si>
  <si>
    <t>SBA 26/070</t>
  </si>
  <si>
    <t>SBA 26/071</t>
  </si>
  <si>
    <t>SBA 26/072</t>
  </si>
  <si>
    <t>SBA 26/073</t>
  </si>
  <si>
    <t>“Tip 2 Biyolojik Ajan Endikasyonlarını Karşılamayan Hastalarda Biyolojik Tedavi Yanıtlarının ve Klinik Özelliklerin Değerlendirilmesi”</t>
  </si>
  <si>
    <t>“Kronik Ürtikerde Sistemik Semptomlarla Giden Alevlenmeler: MCAS Olabilir Mi?”</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</si>
  <si>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</si>
  <si>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“Dehidratasyonun Geritritk Klinik Göstergelerle İlişkisi:65 Yaş Üzeri Bireylerde Retrospektif Kesitsel Analiz”</t>
  </si>
  <si>
    <t>Üniversitemiz Tıp Fakültesi İç Hastalıklrı Anabilim Dalı öğretim üyelerinden Prof. Dr. Meltem Gülhan HALİL'in sorumlu araştırmacı olduğu, Arş. Gör. Dr. Özge ÖZGÜN ile birlikte çalışacakları ve Arş. Gör. Dr. Emrach CHOUSEIN'in uzmanlık tezi olan,</t>
  </si>
  <si>
    <t>SBA 25/001</t>
  </si>
  <si>
    <t>Prof. Dr. Başaran DEMİR</t>
  </si>
  <si>
    <t>“Üniversite Öğrencilerinde Ekran Zamanının ve Teknoloji Kullanımının Ruh Sağlığı Üzerindeki Etkileri”</t>
  </si>
  <si>
    <t>SBA 25/002</t>
  </si>
  <si>
    <t>“Periodontal Durum, Oral Sağlık ve Sosyal Anksiyete Düzeyi Arasındaki İlişkinin İncelenmesi”</t>
  </si>
  <si>
    <t>SBA 25/003</t>
  </si>
  <si>
    <t>“65 Yaş Üstü Hastalarda Yaşlı Ayrımcılığına Maruziyet Sıklığı, Yaşlı Ayrımcılığının İlişkili Olduğu Faktörler ve Bakım Verenlerinde Yaşlanma Anksiyetesi”</t>
  </si>
  <si>
    <t>SBA 25/004</t>
  </si>
  <si>
    <t>“Avrupa'da Geriatri Tıbbı Eğitim Programının Tamamlanması: Milenyum Kuşağı ve Z Kuşağı Geriatristlerinin Mesleki Beklentileri- Kesitsel, Avrupa Tabanlı Bir Çalışma”</t>
  </si>
  <si>
    <t>SBA 25/005</t>
  </si>
  <si>
    <t>“Sağlık Profesyonellerinin Besin ve İlaç Etkileşimleri Hakkında Bilgi ve Farkındalık Düzeylerinin Değerlendirilmesi”</t>
  </si>
  <si>
    <t>SBA 25/006</t>
  </si>
  <si>
    <t>“Çocuklarda Kedi, Köpek ve At Alerjisinde Moleküler Duyarlılık Özellikleri ve Klinik ile İlişkisi”</t>
  </si>
  <si>
    <t>SBA 25/007</t>
  </si>
  <si>
    <t>“Denosumab Tedavisinde İnterlökin-6 Düzeyi ve DEXA Yanıtı İlişkisi: Retrospektif Bir Analiz”</t>
  </si>
  <si>
    <t>SBA 25/008</t>
  </si>
  <si>
    <t>“Clostridium Difficile Enfeksiyonu Olan Hastanede Yatan 50 Yaş ve Üstü Hastaların Kapsamlı Geriatrik Değerlendirme ile Değerlendirilmesi”</t>
  </si>
  <si>
    <t>SBA 25/009</t>
  </si>
  <si>
    <t>“İlaca Dirençli Epilepside MikroRNA İfade Değişikliklerinin Değerlendirilmesi”</t>
  </si>
  <si>
    <t>SBA 25/010</t>
  </si>
  <si>
    <t>Doç. Dr. Ceren GÜNENÇ BEŞER</t>
  </si>
  <si>
    <t>“Emilebilir İp Uygulamaları ile Biyostimülan Ajanların Yüz Anatomisi Şekillendirme Kapasitesinin Değerlendirmesi: Retrospektif Gözlem Çalışması”</t>
  </si>
  <si>
    <t>SBA 25/011</t>
  </si>
  <si>
    <t>Dr. Öğr. Gör. Demet YABANOĞLU</t>
  </si>
  <si>
    <t>“Rozasea Hastalığının Bazı Alt Gruplarında Görülebilen Oküler Tutulumun Belirlenmesinde ve Takibinde Kullanılabilecek Yeni Biyobelirteçlerin Klinik Temelli Metabolomik Çalışmalarla Araştırılması”</t>
  </si>
  <si>
    <t>SBA 25/012</t>
  </si>
  <si>
    <t>“STAT1 ve STAT3 Mutasyonu olan Hastaların Klinik ve Laboratuvar Özelliklerinin Değerlendirilmesi”</t>
  </si>
  <si>
    <t>SBA 25/013</t>
  </si>
  <si>
    <t>“Emzirme Döneminde Beslenme: Annelerin İnanç ve Deneyimlerine Yönelik Kalitatif İnceleme”</t>
  </si>
  <si>
    <t>SBA 25/014</t>
  </si>
  <si>
    <t xml:space="preserve">Prof. Dr. Ebru DAMADOĞLU </t>
  </si>
  <si>
    <t>"Kadın Hastalarda Herediter Anjioödemin Seyri ve Klinik Özellikleri"</t>
  </si>
  <si>
    <t>SBA 25/015</t>
  </si>
  <si>
    <t>"Herediter Anjioödem Tanılı Hastalarda Dental İşlemlerin Klinik Sonuçları"</t>
  </si>
  <si>
    <t>SBA 25/016</t>
  </si>
  <si>
    <t>"Ağır Astımda Hedefe Yönelik Biyolojik Tedaviler: Benralizumabın Değerlendirilmesi "</t>
  </si>
  <si>
    <t>SBA 25/017</t>
  </si>
  <si>
    <t>“Şeffaf Plak Tekniğinde Ramus Plağı veya Bukkal Shelf Minividası Kullanımının Mandibular Molar Distalizasyonuna Etkisinin FEM ile İncelenmesi”</t>
  </si>
  <si>
    <t>SBA 25/018</t>
  </si>
  <si>
    <t>“Erken Dönem Yaşa Bağlı Makula Dejenerasyonunda Perimetri ile Makuler Parametrelerin İncelenmesi”</t>
  </si>
  <si>
    <t>SBA 25/019</t>
  </si>
  <si>
    <t>Doç. Dr. Gülten IŞIK KOÇ</t>
  </si>
  <si>
    <t>“Babalarda Doğum Korkusu ile Fetal Bağlanma, Depresyon, Anksiyete ve Stres Arasındaki İlişkinin Belirlenmesi”</t>
  </si>
  <si>
    <t>SBA 25/020</t>
  </si>
  <si>
    <t>“Aletli Periton Diyalizi Yapan Hastalarda Uzaktan Erişim Modüllerinin Hastanın Tedavi Uyumuna ve Diyaliz Yeterliliğine Olan Etkisinin İncelenmesi”</t>
  </si>
  <si>
    <t>SBA 25/021</t>
  </si>
  <si>
    <t>“Mandibular Tek Taraflı Kondil Hiperplazisi Olan Hastalarda Eklem Aralığı ve Gonial Açı Ölçümlerinin Retrospektif Analizi”</t>
  </si>
  <si>
    <t>SBA 25/022</t>
  </si>
  <si>
    <t>Doç. Dr. Hatice ABAOĞLU</t>
  </si>
  <si>
    <t>“Ev Hanımlarında Sosyal Medya Kullanımının Okupasyonel Denge ve Zaman Yönetimi ile İlişkisinin İncelenmesi”</t>
  </si>
  <si>
    <t>SBA 25/023</t>
  </si>
  <si>
    <t>“Yaşlı Bireylerin Yardımcı Teknoloji Kullanımına Bakış Açıları: Nitel Araştırma”</t>
  </si>
  <si>
    <t>SBA 25/024</t>
  </si>
  <si>
    <t>“AKUT Gönüllülerinde Psikolojik Sağlamlığın İş Yaşam Kalitesi ile İlişkisinin İncelenmesi”</t>
  </si>
  <si>
    <t>SBA 25/025</t>
  </si>
  <si>
    <t>“Disleksi Tanısı Alan Üniversite Öğrencilerinin Yükseköğrenim Serüveni: Nitel Bir Çalışma”</t>
  </si>
  <si>
    <t>SBA 25/026</t>
  </si>
  <si>
    <t>“Çocukluk Çağı Başlangıçlı Takayasu Arteritlerinin Romatolojik ve Kardiyolojik Değerlendirilmesi”</t>
  </si>
  <si>
    <t>SBA 25/027</t>
  </si>
  <si>
    <t>“Sigara Bırakma Polikliniğine Başvuran Bireylerde Motivasyonel Görüşmenin Sürece Etkilerinin Nitel Olarak ve Yapay Zeka Resim Analizi ile İncelenmesi”</t>
  </si>
  <si>
    <t>SBA 25/028</t>
  </si>
  <si>
    <t>“Gebelerin ve Postpartum ilk 6 Aydaki Annelerin Topuk Kanı Taraması Hakkındaki Düşünceleri: Kalitatif Çalışma”</t>
  </si>
  <si>
    <t>SBA 25/029</t>
  </si>
  <si>
    <t>“Ataksi Telanjiektazi Hastalarının Klinik Değerlendirmeleri ile Kraniyal Manyetik Rezonans Görüntüleme Bulgularının İlişkisinin Araştırılması”</t>
  </si>
  <si>
    <t>SBA 25/030</t>
  </si>
  <si>
    <t>“Pediatrik Kriptojenik Nörolojik Hastalıklarda İnsizyonel Beyin Biyopsisinin Tanıya Katkısı”</t>
  </si>
  <si>
    <t>SBA 25/031</t>
  </si>
  <si>
    <t>“Posterior Üvea Nevüsü, Üvea Melanomu ve Sınırlı Koroid Hemanjiyomu Hastalıklarının Ayırıcı Tanısında Makine Öğrenmesi Temelli Yapay Zeka Algoritması Oluşturulması”</t>
  </si>
  <si>
    <t>SBA 25/032</t>
  </si>
  <si>
    <t>" 0-48 ay Arasındaki Çocuklarının Aşılanma Durumları ile Ebeveynlerin E-sağlık Okuryazarlığı Düzeyi Arasındaki İlişkinin İncelenmesi”</t>
  </si>
  <si>
    <t>SBA 25/033</t>
  </si>
  <si>
    <t>Prof. Dr. Kerim Hakan ALTINTAŞ</t>
  </si>
  <si>
    <t>“Sele Bireysel Hazırlık Bilgi ve Davranış Ölçeklerinin Uyarlanarak, Etiyopya’nın Kelafo İlçesinde Yaşayan Risk Altı Nüfusun Hazırlık Düzeyinin ve İlişkili Faktörlerin Belirlenmesi”</t>
  </si>
  <si>
    <t>SBA 25/034</t>
  </si>
  <si>
    <t>“65 Yaş ve Üstündeki Hastalarda Kalp Yetmezliği Semptomları ile Oral Beslenme Desteği İlişkisinin Değerlendirilmesi”</t>
  </si>
  <si>
    <t>SBA 25/035</t>
  </si>
  <si>
    <t>“Alzheimer Hastalığında Disfaji ile Manyetik Rezonans Görüntülemesiyle Beyindeki Atrofi Alanları Arasındaki İlişkinin İncelenmesi”</t>
  </si>
  <si>
    <t>SBA 25/036</t>
  </si>
  <si>
    <t>Doç. Dr. Merve BATUK</t>
  </si>
  <si>
    <t>“Güncel Vestibüler Hastalıkların Tanısında Vestibüler Test Bataryaları ve Vestibüler Rehabilitasyon Yaklaşımlarının Belirlenmesi”</t>
  </si>
  <si>
    <t>SBA 25/037</t>
  </si>
  <si>
    <t>“Multipl Skleroz Hastalarında Hastalık Modifiye Edici Tedavilerin Yan Etkilerinin Yaş ve Cinsiyete Göre İncelenmesi”</t>
  </si>
  <si>
    <t>SBA 25/038</t>
  </si>
  <si>
    <t>“Rituksimabın Santral Sinir Sistemi Demiyelinizan ve Otoimmün Hastalıklarında Etkililik ve Güvenliliği: Tek Merkez Deneyimi”</t>
  </si>
  <si>
    <t>SBA 25/039</t>
  </si>
  <si>
    <t>“Onkolojik veya Hematolojik Malignitesi Olan Nötropenik Hastalarda Karbapenemaz Üreten Enterobacterales Sebepli Bakteriyemi Tedavisinde Seftazidim/Avibaktam”</t>
  </si>
  <si>
    <t>SBA 25/040</t>
  </si>
  <si>
    <t>“Karbapeneme Dirençli Klebsilla pneumoniae ile Gelişen Kan Dolaşımı Enfeksiyonlarında Risk Faktörleri, Mortalite ve Moleküler Epidemiyolojik Verilerin Araştırılması: Karşılaştırmalı Retrospektif Analiz”</t>
  </si>
  <si>
    <t>SBA 25/041</t>
  </si>
  <si>
    <t>“Tekil Gebeliklerin İlk Trimesterdeki Myometrial Kalınlık Ölçümleriyle Preterm Doğum İlişkisi”</t>
  </si>
  <si>
    <t>SBA 25/042</t>
  </si>
  <si>
    <t>“Terapötik Hikaye İçerikli Bilgilendirici İnteraktif Mobil Uygulamanın Çocuk Kalp Cerrahisi Uygulanacak Hastaların Anksiyete Seviyelerine Etkisi”</t>
  </si>
  <si>
    <t>SBA 25/043</t>
  </si>
  <si>
    <t>Prof. Dr. Naciye Vardar YAĞLI</t>
  </si>
  <si>
    <t>“Karaciğer Transplantasyonu Geçirmiş Bireylerde Kardiyovasküler ve Kassal Parametrelerin, Motor Kognitif Performansın, Bilişsel Fonksiyonun, Kinezyofobinin ve Yaşam Kalitesinin İncelenmesi”</t>
  </si>
  <si>
    <t>SBA 25/044</t>
  </si>
  <si>
    <t>“Endodontik-Periodontal Lezyonlarda Etyoloji, Prognoz ve Tedavi Yaklaşımlarının Endodontist ve Periodontist Perspektifinden Değerlendirilmesi: Gözlemsel Bir Çalışma”</t>
  </si>
  <si>
    <t>SBA 25/045</t>
  </si>
  <si>
    <t>“Artan Trichophyton İndotineae Vakalarının Retrospektif Değerlendirilmesi”</t>
  </si>
  <si>
    <t>SBA 25/046</t>
  </si>
  <si>
    <t>“Tıp Öğrencilerinde İyilik Hali Düzeyini Arttırmaya Yönelik Bir Program: Pilot Uygulama”</t>
  </si>
  <si>
    <t>SBA 25/047</t>
  </si>
  <si>
    <t>“Tıpta Yan Dal Uzmanlık Eğitimi Tercihlerini Belirleyen Etkenler”</t>
  </si>
  <si>
    <t>SBA 25/048</t>
  </si>
  <si>
    <t>“Erişkin Subklinik Hipotiroidili Hastalarda Kardiyak Fonksiyonların İncelenmesi”</t>
  </si>
  <si>
    <t>SBA 25/049</t>
  </si>
  <si>
    <t>“Oktogenarian Kolon Kanserli Hastalarda Tedavi Etkinliğinin ve Uyumunun Değerlendirilmesi</t>
  </si>
  <si>
    <t>SBA 25/050</t>
  </si>
  <si>
    <t>“Çocuklarda Antimikrobiyal İlaç Desensitizasyonlarının Etkinliği ve Güvenilirliği”</t>
  </si>
  <si>
    <t>SBA 25/051</t>
  </si>
  <si>
    <t>“Çocuklarda Kemoterapötik İlaç Desensitizasyonlarının Etkinliği ve Güvenliği”</t>
  </si>
  <si>
    <t>SBA 25/052</t>
  </si>
  <si>
    <t>“Rezin İnfiltrasyon Tekniğinde Farklı Pürüzlendirme Yöntemlerinin Renk Stabilitesine ve Yüzey Pürüzlülüğüne Etkisi”</t>
  </si>
  <si>
    <t>SBA 25/053</t>
  </si>
  <si>
    <t>Prof. Dr. Reyhan ATASÜ TOPCUOĞLU</t>
  </si>
  <si>
    <t>“İnfertil Göçmen Kadınların Aile Yaşantılarının Sosyal Hizmet Perspektifiyle İncelenmesi”</t>
  </si>
  <si>
    <t>SBA 25/054</t>
  </si>
  <si>
    <t>Prof. Dr. Sadriye Ebru ÇENGEL KÜLTÜR</t>
  </si>
  <si>
    <t>“Dikkat Eksikliği Hiperaktivite Bozukluğu olan Ergenlerde Nikotin Tüketimi, Zihin Gezinmesi, Duygu Düzenleme, Zihinselleştirme ve Yürütücü İşlevlerin İncelenmesi”</t>
  </si>
  <si>
    <t>SBA 25/055</t>
  </si>
  <si>
    <t>“Primer İmmün Yetmezlikli Hastalarda Nutrisyonel Durumun Değerlendirilmesi ve Vücut Kompozisyonu Ölçümü”</t>
  </si>
  <si>
    <t>SBA 25/056</t>
  </si>
  <si>
    <t>Prof. Dr. Selen KÜÇÜKKAYA EREN</t>
  </si>
  <si>
    <t>“Farklı Kök Kanal Doldurma Teknikleri ile Doldurulmuş Dişlerde Kanal Dolgusu Sökümü Sonrası Apikalden Taşmanın Değerlendirilmesi”</t>
  </si>
  <si>
    <t>SBA 25/057</t>
  </si>
  <si>
    <t>“Son Bir Yılda Türkiye'deki Çocuk Yoğun Bakımlarda Miyokardit”</t>
  </si>
  <si>
    <t>SBA 25/058</t>
  </si>
  <si>
    <t>Dr. Öğr. Üyesi Serdar ARITAN</t>
  </si>
  <si>
    <t>“Vücudu Dik Pozisyona Getirerek Yerden Ağırlık Kaldırışının (Deadlift) Biyomekanik Modellenmesi”</t>
  </si>
  <si>
    <t>SBA 25/059</t>
  </si>
  <si>
    <t>Prof. Dr. Sergül DUYGULU</t>
  </si>
  <si>
    <t>“Hizmet Alanların Gözünden Boşluk Modeline Dayalı Olarak Hemşirelik Mesleğinin İmajının İncelenmesi: Nöropazarlama Analizi”</t>
  </si>
  <si>
    <t>SBA 25/060</t>
  </si>
  <si>
    <t>“Astım Tanılı Ergenlerde Menstruasyonun Astım Kontrolü Üzerindeki Etkisi”</t>
  </si>
  <si>
    <t>SBA 25/061</t>
  </si>
  <si>
    <t>Prof. Dr. Şeref Rahmi YILMAZ</t>
  </si>
  <si>
    <t>“Asemptomatik Tansiyon Düşüklüğü Olan Hastalarda Endotel Disfonksiyonu ve Renin-Anjiyotensin-Aldosteron Sistem Fonksiyonlarının Değerlendirilmesi”</t>
  </si>
  <si>
    <t>SBA 25/062</t>
  </si>
  <si>
    <t>“Uyku Apnesi Olmayan Ancak Nazal Septal Deviasyonu Olan Hastalarda Septoplasti Ameliyatı Öncesi ve Sonrası Serum Melatonin Düzeylerinin Karşılaştırılması”</t>
  </si>
  <si>
    <t>SBA 25/063</t>
  </si>
  <si>
    <t>“Sekonder Hipertansiyon Klinik Özellikleri ve Tanıda Bilgisayarlı Tomografinin Rolü”</t>
  </si>
  <si>
    <t>SBA 25/064</t>
  </si>
  <si>
    <t>Arş. Gör. Dr. Tuğçe TORUN</t>
  </si>
  <si>
    <t>“Kronik Hastalığı Olan Çocukların Eğitiminde Yapay Zeka Kullanımına İlişkin Pediatri Hemşirelerinin Metaforlarının Analizi”</t>
  </si>
  <si>
    <t>SBA 25/065</t>
  </si>
  <si>
    <t>“Translasyonel Preklinik Modeller ile Pulmoner Fibrozis İçin Yeni Tedavi Yaklaşımlarının Geliştirilmesi”</t>
  </si>
  <si>
    <t>SBA 25/066</t>
  </si>
  <si>
    <t>“Kronik Spontan Ürtiker Tanılı Adölesan Hastalarda Menstrüel Siklusun Hastalık Aktiviyesi Üzerine Etkisi”</t>
  </si>
  <si>
    <t>SBA 25/067</t>
  </si>
  <si>
    <t>“Atopik Dermatit Tanılı 1-3 Yaş Arası Çocuklarda Besin Alerjisi Varlığının Lezyonel ve Non-lezyonel Deri Bölgelerindeki Sitokin ve Mikrobiyom Özelliklerine Etkisi”</t>
  </si>
  <si>
    <t>SBA 25/068</t>
  </si>
  <si>
    <t>“Septik Artrit ve Osteomyelit Tanılı 0-18 Yaş Arasındaki Hastaların Klinik, Etiyolojik ve Epidemiyolojik Açıdan İncelenmesi”</t>
  </si>
  <si>
    <t>SBA 25/069</t>
  </si>
  <si>
    <t>Prof. Dr. Zeliha Günnur DİKMEN</t>
  </si>
  <si>
    <t>“Akciğer Kanserinde Lipid Metabolizması ile İmmün Sistem İlişkisi”</t>
  </si>
  <si>
    <t>SBA 25/070</t>
  </si>
  <si>
    <t>“Farklı Ajanların İmmün Hücre Metabolizması ve Proliferasyonuna Etkileri”</t>
  </si>
  <si>
    <t>SBA 25/071</t>
  </si>
  <si>
    <t>“Baş-boyun, Beyin ve Spinal Tümörlerin CEST Görüntüleme Yöntemi ile Değerlendirilmesi”</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</si>
  <si>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</si>
  <si>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</si>
  <si>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“Beden Bağışı Başvurularında Sosyodemografik ve Zamansal Eğilimler: Hacettepe Üniversitesi Deneyimi”</t>
  </si>
  <si>
    <t>Üniversitemiz Tıp Fakültesi Anatomi Anabilim Dalı öğretim görevlilerinden Öğr. Gör. Dr. Bahattin PASLI'nın sorumlu araştırmacı olduğu, Öğr. Gör. Dr. Helin YÜCEDAĞ GÜNDOĞDU ve Uzm. Dr. Mehmet ÜLKİR ile birlikte çalışacakları,</t>
  </si>
  <si>
    <t>“Kronik Tromboembolik Pulmoner Hipertansiyonun Tanısında ve Tedavi Yanıtı Değerlendirmesinde Akciğer Ventilasyon/Perfüzyon Sintigrafisinin Prognostik Gücü”</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</si>
  <si>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</si>
  <si>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“Tıp ve Mühendislik Öğrencilerinin Yapay Zekaya Karşı Tutumu”</t>
  </si>
  <si>
    <t>Üniversitemiz Tıp Fakültesi Çocuk Sağlığı ve Hastalıkları Anabilim Dalı öğretim üyelerinden Prof. Dr. Yasemin ÖZSÜREKCİ’nin sorumlu araştırmacı olduğu, Enes Muzaffer KANDUR ve Gülsena KANDUR ile birlikte çalışacakları</t>
  </si>
  <si>
    <t>Öğr. Gör. Dr. Burçay TELLİOĞLU</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</si>
  <si>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</si>
  <si>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</si>
  <si>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“Ortodontik Tedavi Sürecinde Yapay Zekâ ve Sosyal Medya Kullanım Alışkanlıklarının Değerlendirilmesi”</t>
  </si>
  <si>
    <t>Üniversitemiz Diş Hekimliği Fakültesi Ortodonti Anabilim Dalı öğretim üyelerinden Doç. Dr. Hande GÖRÜCÜ COŞKUNER'in sorumlu araştırmacı olduğu,</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</si>
  <si>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</si>
  <si>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</si>
  <si>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</si>
  <si>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</si>
  <si>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Dr. Öğr. Üyesi Ahmet KIVRAK</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</si>
  <si>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</si>
  <si>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</si>
  <si>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“Sol Atriyal Apendiks Kapama İşlemlerinde Amulet Cihazının Kullanımının Perikardiyal Efüzyon ile İlişkisinin İncelenmesi”</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</si>
  <si>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</si>
  <si>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</si>
  <si>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“Aile Hekimliği Polikliniklerine Başvuran 18 Yaş ve Üzeri Hipertansiyon Hastalarının Hastalık Yönetim Süreçlerine Uyumları ve İlişkili Faktörler”</t>
  </si>
  <si>
    <t>Üniversitemiz Tıp Fakültesi Halk Sağlığı Anabilim öğretim üyelerinden Prof. Dr. Dilek ASLAN’ın sorumlu araştırmacı olduğu, Dr. Nur Sima SEKBAN’ın doktora tezi olan,</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</si>
  <si>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</si>
  <si>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</si>
  <si>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Prof. Dr. Ali DÜZOVA</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</si>
  <si>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</si>
  <si>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</si>
  <si>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Prof. Dr. Petek KORKUSUZ</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</si>
  <si>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</si>
  <si>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</si>
  <si>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</si>
  <si>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</si>
  <si>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Prof. Dr. Oya ÖZDEMİR</t>
  </si>
  <si>
    <t>Fiziksel Tıp ve Rehabilitasyon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</si>
  <si>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</si>
  <si>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</si>
  <si>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Prof. Dr. Bahar GÜÇİZ DOĞAN</t>
  </si>
  <si>
    <t>Sağlık Araştırmaları Anabilim Dalı</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</si>
  <si>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</si>
  <si>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</si>
  <si>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</si>
  <si>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</si>
  <si>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Nöroloji Anabilim Dalı</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</si>
  <si>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</si>
  <si>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</si>
  <si>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</si>
  <si>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</si>
  <si>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SBA 26/074</t>
  </si>
  <si>
    <t>SBA 26/075</t>
  </si>
  <si>
    <t>SBA 26/076</t>
  </si>
  <si>
    <t>SBA 26/077</t>
  </si>
  <si>
    <t>SBA 26/078</t>
  </si>
  <si>
    <t>SBA 26/079</t>
  </si>
  <si>
    <t>SBA 26/080</t>
  </si>
  <si>
    <t>SBA 26/081</t>
  </si>
  <si>
    <t>SBA 26/082</t>
  </si>
  <si>
    <t>SBA 26/083</t>
  </si>
  <si>
    <t>SBA 26/084</t>
  </si>
  <si>
    <t>SBA 26/085</t>
  </si>
  <si>
    <t>SBA 26/086</t>
  </si>
  <si>
    <t>SBA 26/087</t>
  </si>
  <si>
    <t>SBA 26/088</t>
  </si>
  <si>
    <t>SBA 26/089</t>
  </si>
  <si>
    <t>SBA 26/090</t>
  </si>
  <si>
    <t>SBA 26/091</t>
  </si>
  <si>
    <t>SBA 26/092</t>
  </si>
  <si>
    <t>SBA 26/093</t>
  </si>
  <si>
    <t>SBA 26/094</t>
  </si>
  <si>
    <t>SBA 26/095</t>
  </si>
  <si>
    <t>SBA 26/096</t>
  </si>
  <si>
    <t>SBA 26/097</t>
  </si>
  <si>
    <t>SBA 26/098</t>
  </si>
  <si>
    <t>SBA 26/099</t>
  </si>
  <si>
    <t>SBA 26/100</t>
  </si>
  <si>
    <t>SBA 26/101</t>
  </si>
  <si>
    <t>SBA 26/102</t>
  </si>
  <si>
    <t>SBA 26/103</t>
  </si>
  <si>
    <t>SBA 26/104</t>
  </si>
  <si>
    <t>SBA 26/105</t>
  </si>
  <si>
    <t>SBA 26/106</t>
  </si>
  <si>
    <t>SBA 26/107</t>
  </si>
  <si>
    <t>SBA 26/108</t>
  </si>
  <si>
    <t>SBA 26/109</t>
  </si>
  <si>
    <t>SBA 26/110</t>
  </si>
  <si>
    <t>SBA 26/111</t>
  </si>
  <si>
    <t>“.Epstein-Barr Virüs DNA Pozitifliği Saptanan Primer İmmün Yetmezlik Tanılı Hastaların İmmunofenotipik ve Genetik Özelliklerinin Araştırılması”</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</si>
  <si>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</si>
  <si>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“Koledok Kisti Nedeniyle Ameliyat Edilen Hastaların Uzun Dönemde Gastrointestinal Sistem ilişkili Hayat Kalitelerinin Değerlendirilmesi”</t>
  </si>
  <si>
    <t>Üniversitemiz Tıp Fakültesi Çocuk Cerrahisi Anabilim Dalı öğretim üyelerinden Prof. Dr. Tutku SOYER'in sorumlu araştırmacı olduğu, Prof. Dr. Özlem BOYBEYİ ve Arş. Gör. Dr. Gizem KORKMAZ ile birlikte çalışacakları,</t>
  </si>
  <si>
    <t>Çocuk Cerrahisi Anabilim Dalı</t>
  </si>
  <si>
    <t>“Ortopedik Tümör Hastalarında Büyük Dil Modellerinin MRG ve Patoloji Raporlarından Tanı Koyma Yeterliliğinin Değerlendirilmesi”</t>
  </si>
  <si>
    <t>Üniversitemiz Tıp Fakültesi Ortopedi ve Travmatoloji Anabilim Dalı öğretim üyelerinden Prof. Dr. Mehmet AYVAZ’ın sorumlu araştırmacı olduğu, Arş. Gör. Dr. Hüseyin Esat BULDUK ile birlikte çalışacakları,</t>
  </si>
  <si>
    <t>Ortopedi ve Travmatoloji Anabilim Dalı</t>
  </si>
  <si>
    <t>“Diyabetik Yaşlı Hastalarda Sarkopeni ile Kullandıkları İlaçlar Arasındaki İlişkinin Değerlendirilmesi”</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</si>
  <si>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</si>
  <si>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</si>
  <si>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</si>
  <si>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</si>
  <si>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Üroloji Anabilim Dalı</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</si>
  <si>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</si>
  <si>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</si>
  <si>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“Dijital Tam Protezlerde Yüzey Taraması ve Çene Hareket Takibi ile Tam Dijital İş Akışı: Yeni Bir Teknik"</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</si>
  <si>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</si>
  <si>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</si>
  <si>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</si>
  <si>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“Sürdürülebilir Klinik Nütrisyon Tedavisinde Sağlık Profesyonellerinin Rolü”</t>
  </si>
  <si>
    <t>Üniversitemiz Eczacılık Fakültesi Klinik Eczacılık Anabilim Dalı öğretim üyelerinden Dr. Öğr. Üyesi Burcu KELLECİ ÇAKIR’ın sorumlu araştırmacı olduğu, Ece AYDIN ile birlikte çalışacakları,</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</si>
  <si>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</si>
  <si>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</si>
  <si>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 Şubat 2023 Depremi Erişkin Depremzedelerinde Yakin Kaybı Sonucu Uzamış Yas; Koruyucu Faktörler ve Risk Faktörleri”</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</si>
  <si>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</si>
  <si>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</si>
  <si>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</si>
  <si>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</si>
  <si>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“Kalıtsal Aritmi sendromlu Çocuk Hastalarda Bilateral Kardiyak Sempatik Denervasyon: Tek Merkez Deneyimi''</t>
  </si>
  <si>
    <t>Üniversitemiz Tıp Fakültesi Göğüs Cerrahisi Anabilim Dalı öğretim üyelerinden Dr. Öğr. Üyesi Serkan UYSAL’ın sorumlu araştırmacı olduğu, Arş. Gör. Dr. Ayşe ALİ HASAN, Prof. Dr. Mustafa YILMAZ, Doç. Dr.  İlker ERTUĞRUL ile birlikte çalışacakları,</t>
  </si>
  <si>
    <t>“Kolon Obstrüksiyonu, Postoperatif Fistül ve Anastomoz Kaçaklarında Cerrahiye Köprü veya Alternatif Olarak Kolorektal Stentleme İşlemi”</t>
  </si>
  <si>
    <t>Arş. Gör. Dr. Aycan UYSAL</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</si>
  <si>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</si>
  <si>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</si>
  <si>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Üniversitemiz Tıp Fakültesi Radyoloji Anabilim Dalı öğretim elemanlarından Arş. Gör. Dr. Aycan UYSAL'ın sorumlu araştırmacı olduğu, Arş. Gör. Dr. Mert GÖL, Doç. Dr. Emre ÜNAL ve Prof. Dr. Türkmen Turan ÇİFTÇİ ile birlikte çalışacakları,</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</si>
  <si>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</si>
  <si>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</si>
  <si>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“PET Rekonstrüksiyon Algoritmalarının Karşılaştırmalı Değerlendirilmesi: OSEM, BPL, DDG”</t>
  </si>
  <si>
    <t>Prof. Dr. Ömer UĞUR</t>
  </si>
  <si>
    <t>Üniversitemiz Tıp Fakültesi Nükleer Tıp Anabilim Dalı öğretim üyelerinden Prof. Dr. Ömer UĞUR'un sorumlu araştırmacı olduğu, Prof. Dr. Murat TUNCEL ve Prof. Dr. Eser ERGÜN ile birlikte çalışacakları,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</si>
  <si>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</si>
  <si>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</si>
  <si>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</si>
  <si>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Dr. Natalia RAKİSLOVA</t>
  </si>
  <si>
    <t>Barcelona Institute for Global Health</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</si>
  <si>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</si>
  <si>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</si>
  <si>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</si>
  <si>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</si>
  <si>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</si>
  <si>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</si>
  <si>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Prof. Dr. Sıddika Songül YALÇIN</t>
  </si>
  <si>
    <t>Sosyal Pediatri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</si>
  <si>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</si>
  <si>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</si>
  <si>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Ağız, Diş ve Çene Radyolojisi Anabilim Dalı</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</si>
  <si>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</si>
  <si>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</si>
  <si>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</si>
  <si>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</si>
  <si>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</si>
  <si>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</si>
  <si>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</si>
  <si>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</si>
  <si>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Prof. Dr. Ülkü ÜNDEĞER BUCURGAT</t>
  </si>
  <si>
    <t>Farmasötik Toksikoloji Anabilim Dalı</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</si>
  <si>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</si>
  <si>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</si>
  <si>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</si>
  <si>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</si>
  <si>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</si>
  <si>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</si>
  <si>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“Demans Bilgilendirme Eğitiminin Klinik Bakım Süreçleriyle İlişkisi”</t>
  </si>
  <si>
    <t>Üniversitemiz Tıp Fakültesi İç Hastalıkları Anabilim Dalı öğretim üyelerinden Doç. Dr. Mert EŞME’nin sorumlu araştırmacı olduğu, Arş. Gör. Dr. Meryem ASLAN, Arş. Gör. Dr. Elif GECEGELEN ile birlikte çalışacakları,</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</si>
  <si>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</si>
  <si>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</si>
  <si>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</si>
  <si>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</si>
  <si>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</si>
  <si>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</si>
  <si>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Prof. Dr. Güliz Nigar GÜNCÜ</t>
  </si>
  <si>
    <t>Periodontoloji Anabilim Dalı</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</si>
  <si>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</si>
  <si>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</si>
  <si>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“Vitreoretinal Cerrahi Geçiren Koroidal Malign Melanom Hastalarında Klinik Özellikler ve Sonuçların Değerlendirilmesi”</t>
  </si>
  <si>
    <t>“Posterior Üveal Nevüslerde Oftalmolojik Muayene Bulguları ile Multimodal Görüntüleme Bulguları Arasındaki Korelasyonun Değerlendirilmesi”</t>
  </si>
  <si>
    <t>SBA 26/112</t>
  </si>
  <si>
    <t>SBA 26/113</t>
  </si>
  <si>
    <t>SBA 26/114</t>
  </si>
  <si>
    <t>SBA 26/115</t>
  </si>
  <si>
    <t>SBA 26/116</t>
  </si>
  <si>
    <t>SBA 26/117</t>
  </si>
  <si>
    <t>SBA 26/118</t>
  </si>
  <si>
    <t>SBA 26/119</t>
  </si>
  <si>
    <t>SBA 26/120</t>
  </si>
  <si>
    <t>SBA 26/121</t>
  </si>
  <si>
    <t>SBA 26/122</t>
  </si>
  <si>
    <t>SBA 26/123</t>
  </si>
  <si>
    <t>SBA 26/124</t>
  </si>
  <si>
    <t>SBA 26/125</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</si>
  <si>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</si>
  <si>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</si>
  <si>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“Böbrek Nakli Alıcılarında İşe Dönüş Durumu ile Yaşam Kalitesi ve Komorbidite İlişkisi”</t>
  </si>
  <si>
    <t>Üniversitemiz Tıp Fakültesi İç Hastalıkları Anabilim Dalı öğretim üyelerinden Doç. Dr. Hacı Hasan YETER’in sorumlu araştırmacı olduğu, Arş. Gör. Dr. Yağmur KINACI GÜMÜŞÇUBUK ile birlikte çalışacakları,</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</si>
  <si>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</si>
  <si>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</si>
  <si>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Üniversitemiz Tıp Fakültesi Göz Hastalıkları Anabilim Dalı öğretim üyelerinden Doç. Dr. İrem KOÇ'un sorumlu araştırmacı olduğu, Prof. Dr. Hayyam KIRATLI ve Arş. Gör. Dr. Kezban Azra KARGALI ile birlikte çalışacakları,</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</si>
  <si>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</si>
  <si>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</si>
  <si>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</si>
  <si>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</si>
  <si>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"Prolaktinoma ve Akromegali Hastalarında Tiroid Hastalıklarının Karşılaştırmalı Değerlendirilmesi”</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</si>
  <si>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</si>
  <si>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</si>
  <si>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</si>
  <si>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Sosyal Hizmet Anabilim Dalı</t>
  </si>
  <si>
    <t>Üniversitemiz Tıp Fakültesi İç Hastalıları Anabilim Dalı öğretim üyelerinden Prof. Dr. Meltem Gülhan HALİL’in sorumlu araştırmacı olduğu,</t>
  </si>
  <si>
    <t>“Geriatrik Hastalarda Yutma Yaşam Kalitesi Anketi ile Sarkopeni Arasındaki İlişki”</t>
  </si>
  <si>
    <t>“Yaşlı Erişkinlerde Laringofarengeal Reflü Belirtileri ile Geriatrik Sendromlar Arasındaki İlişki”</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</si>
  <si>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</si>
  <si>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</si>
  <si>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</si>
  <si>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BİRİMİ</t>
  </si>
  <si>
    <t>RAPORTÖR 1</t>
  </si>
  <si>
    <t>RAPORTÖR 2</t>
  </si>
  <si>
    <t>KURUL KARARI 1</t>
  </si>
  <si>
    <t>KURUL KARARI 2</t>
  </si>
  <si>
    <t>KURUL KARARI 3</t>
  </si>
  <si>
    <t>KURUL KARARI 4</t>
  </si>
  <si>
    <t>GÜNCEL DURUM</t>
  </si>
  <si>
    <t>NİTELİK SEÇ</t>
  </si>
  <si>
    <t>BEKLEYEN</t>
  </si>
  <si>
    <t>BİRİM</t>
  </si>
  <si>
    <t>NİTELİK TOPLAM DOSYA</t>
  </si>
  <si>
    <t>BOŞ MU</t>
  </si>
  <si>
    <t>ARAŞTIRMACI LİSTESİ</t>
  </si>
  <si>
    <t>BİRİM LİSTESİ</t>
  </si>
  <si>
    <t>GENEL ARAŞTIRMACI LİSTESİ</t>
  </si>
  <si>
    <t>GENEL BİRİM LİSTESİ</t>
  </si>
  <si>
    <t>“2023 Kahramanmaraş (Turkey–Syria) Depremlerinde Emzirme ve Beslenme Desteğinin Değerlendirilmesi ve Uygulanması"</t>
  </si>
  <si>
    <t>TOPLANTI TARİHLERİ</t>
  </si>
  <si>
    <t>TOPLAM DOSYA</t>
  </si>
  <si>
    <t>TOPLANTI TARİHİ</t>
  </si>
  <si>
    <t>RAPORTÖR SEÇİNİZ</t>
  </si>
  <si>
    <t>SBA 26/126</t>
  </si>
  <si>
    <t>SBA 26/127</t>
  </si>
  <si>
    <t>SBA 26/128</t>
  </si>
  <si>
    <t>SBA 26/129</t>
  </si>
  <si>
    <t>SBA 26/130</t>
  </si>
  <si>
    <t>SBA 26/131</t>
  </si>
  <si>
    <t>SBA 26/132</t>
  </si>
  <si>
    <t>SBA 26/133</t>
  </si>
  <si>
    <t>SBA 26/134</t>
  </si>
  <si>
    <t>SBA 26/135</t>
  </si>
  <si>
    <t>SBA 26/136</t>
  </si>
  <si>
    <t>SBA 26/137</t>
  </si>
  <si>
    <t>SBA 26/138</t>
  </si>
  <si>
    <t>SBA 26/139</t>
  </si>
  <si>
    <t>SBA 26/140</t>
  </si>
  <si>
    <t>SBA 26/141</t>
  </si>
  <si>
    <t>SBA 26/142</t>
  </si>
  <si>
    <t>SBA 26/143</t>
  </si>
  <si>
    <t>SBA 26/144</t>
  </si>
  <si>
    <t>SBA 26/145</t>
  </si>
  <si>
    <t>SBA 26/146</t>
  </si>
  <si>
    <t>SBA 26/147</t>
  </si>
  <si>
    <t>SBA 26/148</t>
  </si>
  <si>
    <t>SBA 26/149</t>
  </si>
  <si>
    <t>SBA 26/150</t>
  </si>
  <si>
    <t>SBA 26/151</t>
  </si>
  <si>
    <t>SBA 26/152</t>
  </si>
  <si>
    <t>SBA 26/153</t>
  </si>
  <si>
    <t>SBA 26/154</t>
  </si>
  <si>
    <t>SBA 26/155</t>
  </si>
  <si>
    <t>SBA 26/156</t>
  </si>
  <si>
    <t>SBA 26/157</t>
  </si>
  <si>
    <t>SBA 26/158</t>
  </si>
  <si>
    <t>SBA 26/159</t>
  </si>
  <si>
    <t>SBA 26/160</t>
  </si>
  <si>
    <t>SBA 26/161</t>
  </si>
  <si>
    <t>SBA 26/162</t>
  </si>
  <si>
    <t>SBA 26/163</t>
  </si>
  <si>
    <t>SBA 26/164</t>
  </si>
  <si>
    <t>SBA 26/165</t>
  </si>
  <si>
    <t>SBA 26/166</t>
  </si>
  <si>
    <t>SBA 26/167</t>
  </si>
  <si>
    <t>SBA 26/168</t>
  </si>
  <si>
    <t>SBA 26/169</t>
  </si>
  <si>
    <t>SBA 26/170</t>
  </si>
  <si>
    <t>SBA 26/171</t>
  </si>
  <si>
    <t>SBA 26/172</t>
  </si>
  <si>
    <t>SBA 26/173</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</si>
  <si>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</si>
  <si>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</si>
  <si>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</si>
  <si>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</si>
  <si>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Dr. Öğr. Üyesi Burkay UTKU</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</si>
  <si>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</si>
  <si>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</si>
  <si>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</si>
  <si>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</si>
  <si>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</si>
  <si>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Öğr. Gör. Dr. Aytekin İDİKUT</t>
  </si>
  <si>
    <t>“Kistik Fibrozis Hastalarında CFTR Modülatör Tedavisi Öncesi ve Sonrasında Diyabet ve Hepatobiliyer Tutulumun Değerlendirilmesi”</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</si>
  <si>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</si>
  <si>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</si>
  <si>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</si>
  <si>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</si>
  <si>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</si>
  <si>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</si>
  <si>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Arş. Gör. Dt. Dilara KARA</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</si>
  <si>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</si>
  <si>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</si>
  <si>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Arş. Gör. Dr. Sebiha Şükran GÜNDEŞLİ</t>
  </si>
  <si>
    <t>“Diyabet İlaçlarının Kilo Kaybı Amaçlı Kullanımına İlişkin Eczane Eczacılarının Bilgi, Tutum ve Davranışlarının Değerlendirilmesi"</t>
  </si>
  <si>
    <t>Üniversitemiz Eczacılık Fakültesi Klinik Eczacılık Anabilim Dalı öğretim üyelerinden Prof. Dr. Salih Kutay DEMİRKAN’ın sorumlu araştırmacı olduğu, Prof. Dr. Selçuk DAĞDELEN ve Arş. Gör. Özgenur GERİDÖNMEZ ile birlikte çalışacakları,</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</si>
  <si>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</si>
  <si>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</si>
  <si>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</si>
  <si>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</si>
  <si>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</si>
  <si>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</si>
  <si>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Hareket ve Antrenman Bilimleri Anabilim Dalı</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</si>
  <si>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</si>
  <si>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</si>
  <si>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</si>
  <si>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</si>
  <si>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</si>
  <si>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</si>
  <si>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</si>
  <si>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</si>
  <si>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</si>
  <si>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</si>
  <si>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Doç. Dr. Serra ÖRSTEN</t>
  </si>
  <si>
    <t>Tıbbi Laboratuvar Teknikleri Programı</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</si>
  <si>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</si>
  <si>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</si>
  <si>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</si>
  <si>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</si>
  <si>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Pediatrik Temel Bilimler Anabilim Dalı</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</si>
  <si>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</si>
  <si>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</si>
  <si>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</si>
  <si>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</si>
  <si>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“Diyabetik Ketoasidoz ile Başvuran Hastaların Klinik, Tedavi ve Sonlanımlarının Retrospektif Değerlendirilmesi”</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</si>
  <si>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</si>
  <si>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Doç. Dr. Süleyman Nahit ŞENDUR</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</si>
  <si>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</si>
  <si>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</si>
  <si>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</si>
  <si>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</si>
  <si>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</si>
  <si>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</si>
  <si>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Doç. Dr. Ceren ÖZKUL KOÇAK</t>
  </si>
  <si>
    <t>Farmasötik Mikrobiyoloji Anabilim Dalı</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</si>
  <si>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</si>
  <si>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</si>
  <si>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</si>
  <si>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</si>
  <si>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Dr. Öğr. Üyesi Ayşe METE YEŞİL</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</si>
  <si>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</si>
  <si>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</si>
  <si>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</si>
  <si>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</si>
  <si>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“Çölyak Hastalığında İşe Devam ve İşe Devamsızlık – Çok Merkezli Bir Çalışma”</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</si>
  <si>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</si>
  <si>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</si>
  <si>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</si>
  <si>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</si>
  <si>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</si>
  <si>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</si>
  <si>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</si>
  <si>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</si>
  <si>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</si>
  <si>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</si>
  <si>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Dr. Öğr. Üyesi Arda ÇETİNKAYA</t>
  </si>
  <si>
    <t>Biyoinformatik Anabilim Dalı</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</si>
  <si>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</si>
  <si>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</si>
  <si>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Dr. Öğr. Üyesi Ergin EROĞLU</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</si>
  <si>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</si>
  <si>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</si>
  <si>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SAYI</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</si>
  <si>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</si>
  <si>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</si>
  <si>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SEÇİLİ KURUL GENEL TOPLAMI</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</si>
  <si>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</si>
  <si>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</si>
  <si>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“Kistik Fibrozis Hastalarında Solunum Fonksiyonlarını Düzeltmeye Yönelik Kalite İyileştirme Programının Geliştirilmesi”</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</si>
  <si>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</si>
  <si>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</si>
  <si>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</si>
  <si>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</si>
  <si>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</si>
  <si>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BİRİMLER</t>
  </si>
  <si>
    <t>KARAR</t>
  </si>
  <si>
    <t>BİRİM GENEL PERFORMANSI</t>
  </si>
  <si>
    <t>ETİK KURUL TOPLANTI RAPORU</t>
  </si>
  <si>
    <t>Toplantı Tarihi:</t>
  </si>
  <si>
    <t>Toplam Dosya Sayısı:</t>
  </si>
  <si>
    <t xml:space="preserve"> </t>
  </si>
  <si>
    <t>BİRİM ADI</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</si>
  <si>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</si>
  <si>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</si>
  <si>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</si>
  <si>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</si>
  <si>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TOPLANTI
TARİHİ</t>
  </si>
  <si>
    <t>BİRİMİN 
TOPLAM DOSYASI</t>
  </si>
  <si>
    <t>GENEL TOPLAM</t>
  </si>
  <si>
    <t>TOPLAM BAŞVURU</t>
  </si>
  <si>
    <t>KURUL SAYISI</t>
  </si>
  <si>
    <t>EN ÇOK DOSYA GÖNDEREN BİRİM</t>
  </si>
  <si>
    <t>SORUMLU</t>
  </si>
  <si>
    <t>Satır Etiketleri</t>
  </si>
  <si>
    <t>(boş)</t>
  </si>
  <si>
    <t>Genel Toplam</t>
  </si>
  <si>
    <t>Say BİRİMİ</t>
  </si>
  <si>
    <t>Say SORUMLUSU</t>
  </si>
  <si>
    <t>Listeyi ikili ayırmak =İNDİS($A:$A; (SATIR()-1)*2 + SÜTUN()-1)</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</si>
  <si>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</si>
  <si>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Doç. Dr. Gölşah KÖK</t>
  </si>
  <si>
    <t>Gülhane Sağlık Bilimleri Üniversitesi
Hemşirelik Fakültesi
Doğum ve Kadın Hastalıkları Hemşireliği Anabilim Dalı</t>
  </si>
  <si>
    <t>"Multiple Skleroz Tamil Kadınların Menopoz Semptomları ile Menopoza Yönelik Yaşam Kalitelerinin İncelenmesi"</t>
  </si>
  <si>
    <t>“İntrakraniyal Kitle Tanılı Erişkin Hastalarda Preoperatif ve Postoperatif Dönemde Disfaji Varlığının Gugging Swallowing Screen (GUSS) ve Functional Oral Intake Scale (FOIS) Ölçekleri ile Değerlendirilmesi: Prospektif Gözlemsel Çalışma”</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</si>
  <si>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</si>
  <si>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</si>
  <si>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</si>
  <si>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“Diyabetik Gastroparezi Hastalarında Klinik Özellikler, Tanı Süreçleri ve Klinik Sonuçların Retrospektif Değerlendirilmesi: Tek Merkez Deneyimi”</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</si>
  <si>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</si>
  <si>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</si>
  <si>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“İntravitreal Deksametazon İmplantasyonu Sonrası Gelişen Oküler Komplikasyonların Değerlendirilmesi”</t>
  </si>
  <si>
    <t>Üniversitemiz Tıp Fakültesi Göz Hastalıkları Anabilim Dalı öğretim üyelerinden Dr. Öğr. Üyesi Figen BEZCİ AYGÜN'ün sorumlu araştırmacı olduğu, Prof. Dr. Sibel KADAYIFÇILAR ve Arş. Gör. Dr. Nargız RUSTAMOVA ile birlikte çalışacakları,</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</si>
  <si>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</si>
  <si>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</si>
  <si>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</si>
  <si>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</si>
  <si>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Dr. Öğr. Üyesi Barış KAFA</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</si>
  <si>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</si>
  <si>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</si>
  <si>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Doç. Dr. Burcu HATİBOĞLU</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</si>
  <si>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</si>
  <si>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</si>
  <si>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“Akademik Tıpta Yapay Zekâ: Benimseme, Tutum ve Niyetler”</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</si>
  <si>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</si>
  <si>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</si>
  <si>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</si>
  <si>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</si>
  <si>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</si>
  <si>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Doç. Dr. Almıla Gülsün PAMUK</t>
  </si>
  <si>
    <t>SBA 26/174</t>
  </si>
  <si>
    <t>SBA 26/175</t>
  </si>
  <si>
    <t>SBA 26/176</t>
  </si>
  <si>
    <t>SBA 26/177</t>
  </si>
  <si>
    <t>SBA 26/178</t>
  </si>
  <si>
    <t>SBA 26/179</t>
  </si>
  <si>
    <t>SBA 26/180</t>
  </si>
  <si>
    <t>SBA 26/181</t>
  </si>
  <si>
    <t>SBA 26/182</t>
  </si>
  <si>
    <t>SBA 26/183</t>
  </si>
  <si>
    <t>SBA 26/184</t>
  </si>
  <si>
    <t>SBA 26/185</t>
  </si>
  <si>
    <t>SBA 26/186</t>
  </si>
  <si>
    <t>SBA 26/187</t>
  </si>
  <si>
    <t>SBA 26/188</t>
  </si>
  <si>
    <t>SBA 26/189</t>
  </si>
  <si>
    <t>SBA 26/190</t>
  </si>
  <si>
    <t>SBA 26/191</t>
  </si>
  <si>
    <t>SBA 26/192</t>
  </si>
  <si>
    <t>SBA 26/193</t>
  </si>
  <si>
    <t>SBA 26/194</t>
  </si>
  <si>
    <t>SBA 26/195</t>
  </si>
  <si>
    <t>SBA 26/196</t>
  </si>
  <si>
    <t>SBA 26/197</t>
  </si>
  <si>
    <t>SBA 26/198</t>
  </si>
  <si>
    <t>SBA 26/199</t>
  </si>
  <si>
    <t>SBA 26/200</t>
  </si>
  <si>
    <t>SBA 26/201</t>
  </si>
  <si>
    <t>SBA 26/202</t>
  </si>
  <si>
    <t>SBA 26/203</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</si>
  <si>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</si>
  <si>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</si>
  <si>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</si>
  <si>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</si>
  <si>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</si>
  <si>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</si>
  <si>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</si>
  <si>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</si>
  <si>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Doç. Dr. Hilal KORKMAZ</t>
  </si>
  <si>
    <t>Fizyoloji Anabilim Dalı</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</si>
  <si>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</si>
  <si>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</si>
  <si>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“Uterus Elastikiyetinin İntra Uterin İnseminasyon (IUI) Sonuçları ile İlişkisinin Prospektif Olarak İncelenmesi”</t>
  </si>
  <si>
    <t>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</si>
  <si>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</si>
  <si>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</si>
  <si>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</si>
  <si>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“Elde Tendon Kılıfı Dev Hücreli Tümörlerinde Cerrahi Tedavi Sonrası Fonksiyonel ve Klinik Sonuçların Değerlendirilmesi”</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</si>
  <si>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</si>
  <si>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</si>
  <si>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</si>
  <si>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</si>
  <si>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</si>
  <si>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</si>
  <si>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</si>
  <si>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</si>
  <si>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</si>
  <si>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</si>
  <si>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</si>
  <si>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</si>
  <si>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</si>
  <si>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</si>
  <si>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</si>
  <si>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</si>
  <si>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</si>
  <si>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</si>
  <si>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Prof. Dr. Serdar TEKGÜL</t>
  </si>
  <si>
    <t>“Radikal SistoprostatektomiYapılan Hastalarda İnsidental Tespit Edlen Prostat Kanserinin Görülme Sıklığı, Klinikopatolojik Özellikleri ve Sağkalım Üzerindeki Etkisi: Tek Merkezli Bir Analiz”</t>
  </si>
  <si>
    <t>Üniversitemiz Tıp Fakültesi Üroloji Anabilim Dalı öğretim üyelerinden Doç. Dr. Mesut ALTAN’ın sorumlu araştırmacı olduğu, Arş. Gör. Dr. Rabia HİZARCİ BAL ile birlikte çalışacakları,</t>
  </si>
  <si>
    <t>“Radikal Sistektomi Operasyonu Yapılan Hastalarda Nefroüreteroileal Stentlerin Uzun Dönem Sonuçları”</t>
  </si>
  <si>
    <t>“Üniversite Öğrencilerinde Yanmalı Sigara, Elektronik Sigara ve Isıtılmış Tütün Kullanımına Göre Karbonmonoksit Düzeyleri ve Nikotin Bağımlılığı: Karma Yöntem Çalışması”</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</si>
  <si>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</si>
  <si>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</si>
  <si>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</si>
  <si>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</si>
  <si>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“Kalıtsal Metabolik Hastalıklarda İtakonatın İnflamasyondaki Rolünün Araştırılması”</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</si>
  <si>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</si>
  <si>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</si>
  <si>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</si>
  <si>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</si>
  <si>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Dr. Öğr. Üyesi Merva PARLAK</t>
  </si>
  <si>
    <t>“Tam Ark İmplant Ölçülerinde Fotogrametri ve Ağız İçi Tarama Yöntemlerinin Doğruluğunun Değerlendirilmesi”</t>
  </si>
  <si>
    <t>Üniversitemiz Diş Hekimliği Fakültesi Protetik Diş Tedavisi Anabilim Dalı öğretim üyelerinden Prof. Dr. Mustafa Barış GÜNCÜ’nün sorumlu araştırmacı olduğu, Arş. Gör. Dt. Eda Gül KAYIR'ın uzmanlık tezi olan,</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</si>
  <si>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</si>
  <si>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</si>
  <si>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Dr. Öğr. Üyesi Aybüke USLU TEKCE</t>
  </si>
  <si>
    <t>Restoratif Diş Tedavisi Anabilim Dalı</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</si>
  <si>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</si>
  <si>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</si>
  <si>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“IVF Gebeliklerinde İlk Trimester Baş Popo Mesafesi Uyumsuzluğu: Gebelik Sonuçlarının Retrospektif Değerlendirilmesi”</t>
  </si>
  <si>
    <t>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t>
  </si>
  <si>
    <t>SBA 26/204</t>
  </si>
  <si>
    <t>SBA 26/205</t>
  </si>
  <si>
    <t>SBA 26/206</t>
  </si>
  <si>
    <t>SBA 26/207</t>
  </si>
  <si>
    <t>SBA 26/208</t>
  </si>
  <si>
    <t>SBA 26/209</t>
  </si>
  <si>
    <t>SBA 26/210</t>
  </si>
  <si>
    <t>SBA 26/211</t>
  </si>
  <si>
    <t>SBA 26/212</t>
  </si>
  <si>
    <t>SBA 26/213</t>
  </si>
  <si>
    <t>SBA 26/214</t>
  </si>
  <si>
    <t>SBA 26/215</t>
  </si>
  <si>
    <t>SBA 26/216</t>
  </si>
  <si>
    <t>SBA 26/217</t>
  </si>
  <si>
    <t>SBA 26/218</t>
  </si>
  <si>
    <t>SBA 26/219</t>
  </si>
  <si>
    <t>SBA 26/220</t>
  </si>
  <si>
    <t>SBA 26/221</t>
  </si>
  <si>
    <t>SBA 26/222</t>
  </si>
  <si>
    <t>SBA 26/223</t>
  </si>
  <si>
    <t>SBA 26/224</t>
  </si>
  <si>
    <t>SBA 26/225</t>
  </si>
  <si>
    <t>SBA 26/226</t>
  </si>
  <si>
    <t>SBA 26/227</t>
  </si>
  <si>
    <t>SBA 26/228</t>
  </si>
  <si>
    <t>SBA 26/229</t>
  </si>
  <si>
    <t>SBA 26/230</t>
  </si>
  <si>
    <t>SBA 26/231</t>
  </si>
  <si>
    <t>SBA 26/232</t>
  </si>
  <si>
    <t>SBA 26/233</t>
  </si>
  <si>
    <t>SBA 26/234</t>
  </si>
  <si>
    <t>SBA 26/235</t>
  </si>
  <si>
    <t>SBA 26/236</t>
  </si>
  <si>
    <t>SBA 26/237</t>
  </si>
  <si>
    <t>SBA 26/238</t>
  </si>
  <si>
    <t>SBA 26/239</t>
  </si>
  <si>
    <t>SBA 26/240</t>
  </si>
  <si>
    <t>SBA 26/241</t>
  </si>
  <si>
    <t>SBA 26/242</t>
  </si>
  <si>
    <t>SBA 26/243</t>
  </si>
  <si>
    <t>SBA 26/244</t>
  </si>
  <si>
    <t>SBA 26/245</t>
  </si>
  <si>
    <t>SBA 26/246</t>
  </si>
  <si>
    <t>SBA 26/247</t>
  </si>
  <si>
    <t>SBA 26/248</t>
  </si>
  <si>
    <t>SBA 26/249</t>
  </si>
  <si>
    <t>SBA 26/250</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</si>
  <si>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</si>
  <si>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</si>
  <si>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Dr. Öğr. Üyesi Muhammed Çağrı KÜLEKCİ</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</si>
  <si>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</si>
  <si>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</si>
  <si>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Doç.Dr. Tekin AKSU</t>
  </si>
  <si>
    <t>“Arteria Transversa Faciei’nin BT Anjiyografi ile Görüntülenmesi: Cerrahi Planlamaya Katkılar”</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</si>
  <si>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</si>
  <si>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</si>
  <si>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</si>
  <si>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Dr. Öğr. Üyesi Özge YAVUZ SARI</t>
  </si>
  <si>
    <t>Bireysel Araştırma Onay</t>
  </si>
  <si>
    <t>Bireysel Araştırma Düzeltme</t>
  </si>
  <si>
    <t>Bireysel Araştırma KAEK</t>
  </si>
  <si>
    <t>Bireysel Araştırma Görüş</t>
  </si>
  <si>
    <t>Bireysel Araştırma Ret</t>
  </si>
  <si>
    <t>Bireysel Araştırma Kapsam Dışı</t>
  </si>
  <si>
    <t>Bireysel Araştırma Geri Çekildi</t>
  </si>
  <si>
    <t>Yüksek Lisans Tezi Onay</t>
  </si>
  <si>
    <t>Yüksek Lisans Tezi Onay Düzeltme</t>
  </si>
  <si>
    <t>Yüksek Lisans Tezi Onay KAEK</t>
  </si>
  <si>
    <t>Yüksek Lisans Tezi Onay Görüş</t>
  </si>
  <si>
    <t>Yüksek Lisans Tezi Onay Ret</t>
  </si>
  <si>
    <t>Yüksek Lisans Tezi Onay Kapsam Dışı</t>
  </si>
  <si>
    <t>Yüksek Lisans Tezi Onay Geri Çekildi</t>
  </si>
  <si>
    <t>BİREYSEL TOPLAM</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</si>
  <si>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</si>
  <si>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</si>
  <si>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</si>
  <si>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</si>
  <si>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</si>
  <si>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</si>
  <si>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</si>
  <si>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</si>
  <si>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</si>
  <si>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</si>
  <si>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</si>
  <si>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</si>
  <si>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</si>
  <si>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</si>
  <si>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</si>
  <si>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</si>
  <si>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</si>
  <si>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</si>
  <si>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KAEK  Toplam </t>
  </si>
  <si>
    <t xml:space="preserve">Düzeltme Toplam </t>
  </si>
  <si>
    <t xml:space="preserve">Görüş Toplam </t>
  </si>
  <si>
    <t xml:space="preserve">Ret Toplam </t>
  </si>
  <si>
    <t xml:space="preserve">Kapsam Dışı Toplam </t>
  </si>
  <si>
    <t xml:space="preserve">Geri Çekildi Toplam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</si>
</sst>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0;\-0;;@"/>
  </numFmts>
  <fonts count="35"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8"/>
      <name val="Calibri"/>
      <family val="2"/>
      <charset val="162"/>
      <scheme val="minor"/>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16"/>
      <color theme="1"/>
      <name val="Times New Roman"/>
      <family val="1"/>
      <charset val="162"/>
    </font>
    <font>
      <sz val="16"/>
      <color theme="1"/>
      <name val="Calibri"/>
      <family val="2"/>
      <charset val="162"/>
      <scheme val="minor"/>
    </font>
    <font>
      <sz val="16"/>
      <color rgb="FFFFFF00"/>
      <name val="Times New Roman"/>
      <family val="1"/>
      <charset val="162"/>
    </font>
    <font>
      <b/>
      <sz val="14"/>
      <color rgb="FFFFFF00"/>
      <name val="Calibri"/>
      <family val="2"/>
      <charset val="162"/>
      <scheme val="minor"/>
    </font>
    <font>
      <sz val="16"/>
      <color theme="0"/>
      <name val="Times New Roman"/>
      <family val="1"/>
      <charset val="162"/>
    </font>
    <font>
      <sz val="11"/>
      <color theme="1"/>
      <name val="Times New Roman"/>
      <family val="1"/>
      <charset val="162"/>
    </font>
    <font>
      <b/>
      <sz val="16"/>
      <color rgb="FF1F1F1F"/>
      <name val="Times New Roman"/>
      <family val="1"/>
      <charset val="162"/>
    </font>
    <font>
      <sz val="16"/>
      <color rgb="FF1F1F1F"/>
      <name val="Times New Roman"/>
      <family val="1"/>
      <charset val="162"/>
    </font>
    <font>
      <sz val="18"/>
      <color theme="1"/>
      <name val="Times New Roman"/>
      <family val="1"/>
      <charset val="162"/>
    </font>
    <font>
      <b/>
      <sz val="18"/>
      <color rgb="FFFFFF00"/>
      <name val="Times New Roman"/>
      <family val="1"/>
      <charset val="162"/>
    </font>
    <font>
      <sz val="18"/>
      <color rgb="FFFFFF00"/>
      <name val="Times New Roman"/>
      <family val="1"/>
      <charset val="162"/>
    </font>
  </fonts>
  <fills count="15">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theme="2" tint="-0.89999084444715716"/>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style="thin">
        <color rgb="FF002060"/>
      </left>
      <right style="thin">
        <color rgb="FF002060"/>
      </right>
      <top style="thin">
        <color rgb="FFFFFF00"/>
      </top>
      <bottom style="thin">
        <color rgb="FFFFFF00"/>
      </bottom>
      <diagonal/>
    </border>
    <border>
      <left style="thin">
        <color rgb="FF002060"/>
      </left>
      <right style="thin">
        <color rgb="FFFFFF0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medium">
        <color indexed="64"/>
      </left>
      <right style="medium">
        <color indexed="64"/>
      </right>
      <top style="medium">
        <color indexed="64"/>
      </top>
      <bottom style="medium">
        <color indexed="64"/>
      </bottom>
      <diagonal/>
    </border>
    <border>
      <left style="thin">
        <color rgb="FFFFFF00"/>
      </left>
      <right style="thin">
        <color rgb="FF002060"/>
      </right>
      <top style="thin">
        <color rgb="FFFFFF00"/>
      </top>
      <bottom/>
      <diagonal/>
    </border>
    <border>
      <left style="thin">
        <color rgb="FF002060"/>
      </left>
      <right style="thin">
        <color rgb="FF002060"/>
      </right>
      <top style="thin">
        <color rgb="FFFFFF00"/>
      </top>
      <bottom/>
      <diagonal/>
    </border>
    <border>
      <left style="thin">
        <color rgb="FF002060"/>
      </left>
      <right style="thin">
        <color rgb="FFFFFF00"/>
      </right>
      <top style="thin">
        <color rgb="FFFFFF00"/>
      </top>
      <bottom/>
      <diagonal/>
    </border>
    <border>
      <left/>
      <right/>
      <top style="thin">
        <color rgb="FF002060"/>
      </top>
      <bottom/>
      <diagonal/>
    </border>
    <border>
      <left/>
      <right/>
      <top style="thin">
        <color indexed="64"/>
      </top>
      <bottom/>
      <diagonal/>
    </border>
    <border>
      <left style="thin">
        <color indexed="64"/>
      </left>
      <right style="thin">
        <color rgb="FFFFFF00"/>
      </right>
      <top/>
      <bottom style="thin">
        <color rgb="FFFFFF00"/>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style="thin">
        <color indexed="64"/>
      </left>
      <right style="thin">
        <color indexed="64"/>
      </right>
      <top style="thin">
        <color indexed="64"/>
      </top>
      <bottom/>
      <diagonal/>
    </border>
    <border>
      <left/>
      <right/>
      <top style="thin">
        <color rgb="FFFFFF00"/>
      </top>
      <bottom style="thin">
        <color rgb="FFFFFF00"/>
      </bottom>
      <diagonal/>
    </border>
    <border>
      <left/>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medium">
        <color rgb="FF000000"/>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thin">
        <color rgb="FFFFFF00"/>
      </left>
      <right style="thin">
        <color indexed="64"/>
      </right>
      <top style="thin">
        <color rgb="FFFFFF00"/>
      </top>
      <bottom style="thin">
        <color rgb="FFFFFF00"/>
      </bottom>
      <diagonal/>
    </border>
    <border>
      <left style="thin">
        <color indexed="64"/>
      </left>
      <right style="thin">
        <color rgb="FFFFFF00"/>
      </right>
      <top style="thin">
        <color rgb="FFFFFF00"/>
      </top>
      <bottom style="thin">
        <color rgb="FFFFFF00"/>
      </bottom>
      <diagonal/>
    </border>
    <border>
      <left style="thin">
        <color rgb="FFFFFF00"/>
      </left>
      <right/>
      <top style="thin">
        <color rgb="FFFFFF00"/>
      </top>
      <bottom/>
      <diagonal/>
    </border>
    <border>
      <left style="thin">
        <color rgb="FFFFFF00"/>
      </left>
      <right style="thin">
        <color rgb="FFFFFF00"/>
      </right>
      <top style="thin">
        <color rgb="FFFFFF00"/>
      </top>
      <bottom/>
      <diagonal/>
    </border>
    <border>
      <left/>
      <right/>
      <top style="thin">
        <color rgb="FFFFFF00"/>
      </top>
      <bottom/>
      <diagonal/>
    </border>
  </borders>
  <cellStyleXfs count="2">
    <xf numFmtId="0" fontId="0" fillId="0" borderId="0"/>
    <xf numFmtId="0" fontId="9" fillId="0" borderId="0"/>
  </cellStyleXfs>
  <cellXfs count="192">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1" fillId="0" borderId="0" xfId="0" applyFont="1" applyAlignment="1">
      <alignment vertical="top"/>
    </xf>
    <xf numFmtId="0" fontId="7" fillId="0" borderId="1" xfId="0" applyFont="1" applyBorder="1" applyAlignment="1">
      <alignment horizontal="center" vertical="center"/>
    </xf>
    <xf numFmtId="0" fontId="1" fillId="0" borderId="1" xfId="0" applyFont="1" applyBorder="1" applyAlignment="1">
      <alignment horizontal="center" vertical="center"/>
    </xf>
    <xf numFmtId="0" fontId="8"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3" fillId="4" borderId="2" xfId="0" applyFont="1" applyFill="1" applyBorder="1" applyAlignment="1">
      <alignment horizontal="center" vertical="center"/>
    </xf>
    <xf numFmtId="0" fontId="14" fillId="0" borderId="2" xfId="0" quotePrefix="1" applyFont="1" applyBorder="1" applyAlignment="1">
      <alignment horizontal="center" vertical="center"/>
    </xf>
    <xf numFmtId="0" fontId="10" fillId="0" borderId="2" xfId="0" applyFont="1" applyBorder="1" applyAlignment="1">
      <alignment horizontal="justify" vertical="center"/>
    </xf>
    <xf numFmtId="0" fontId="10" fillId="0" borderId="2" xfId="0" applyFont="1" applyBorder="1" applyAlignment="1">
      <alignment horizontal="center" vertical="center"/>
    </xf>
    <xf numFmtId="0" fontId="8" fillId="0" borderId="0" xfId="0" quotePrefix="1" applyFont="1" applyAlignment="1">
      <alignment horizontal="center" vertical="center"/>
    </xf>
    <xf numFmtId="0" fontId="10" fillId="3" borderId="2" xfId="0" applyFont="1" applyFill="1" applyBorder="1" applyAlignment="1">
      <alignment horizontal="justify" vertical="center"/>
    </xf>
    <xf numFmtId="0" fontId="10" fillId="3" borderId="2" xfId="0" applyFont="1" applyFill="1" applyBorder="1" applyAlignment="1">
      <alignment horizontal="center" vertical="center"/>
    </xf>
    <xf numFmtId="0" fontId="10" fillId="0" borderId="2" xfId="0" applyFont="1" applyBorder="1" applyAlignment="1">
      <alignment horizontal="left" vertical="center"/>
    </xf>
    <xf numFmtId="0" fontId="1" fillId="0" borderId="0" xfId="0" applyFont="1" applyAlignment="1">
      <alignment horizontal="left" vertical="center" wrapText="1"/>
    </xf>
    <xf numFmtId="0" fontId="3" fillId="0" borderId="0" xfId="0" applyFont="1" applyAlignment="1">
      <alignment vertical="top"/>
    </xf>
    <xf numFmtId="0" fontId="3" fillId="0" borderId="13" xfId="0" applyFont="1" applyBorder="1" applyAlignment="1">
      <alignment horizontal="justify" vertical="center"/>
    </xf>
    <xf numFmtId="0" fontId="15" fillId="11" borderId="1" xfId="0" applyFont="1" applyFill="1" applyBorder="1" applyAlignment="1">
      <alignment horizontal="center" vertical="center"/>
    </xf>
    <xf numFmtId="0" fontId="13" fillId="4" borderId="5" xfId="0" applyFont="1" applyFill="1" applyBorder="1" applyAlignment="1">
      <alignment horizontal="center" textRotation="90"/>
    </xf>
    <xf numFmtId="0" fontId="13" fillId="4" borderId="9" xfId="0" applyFont="1" applyFill="1" applyBorder="1" applyAlignment="1">
      <alignment horizontal="center" textRotation="90"/>
    </xf>
    <xf numFmtId="0" fontId="14" fillId="11" borderId="1" xfId="0" applyFont="1" applyFill="1" applyBorder="1" applyAlignment="1">
      <alignment horizontal="center" textRotation="90"/>
    </xf>
    <xf numFmtId="0" fontId="17" fillId="12" borderId="0" xfId="0" applyFont="1" applyFill="1" applyAlignment="1">
      <alignment horizontal="center" vertical="center"/>
    </xf>
    <xf numFmtId="0" fontId="13" fillId="2" borderId="10" xfId="0" applyFont="1" applyFill="1" applyBorder="1" applyAlignment="1">
      <alignment horizontal="center" textRotation="90"/>
    </xf>
    <xf numFmtId="0" fontId="13" fillId="2" borderId="11" xfId="0" applyFont="1" applyFill="1" applyBorder="1" applyAlignment="1">
      <alignment horizontal="center" textRotation="90"/>
    </xf>
    <xf numFmtId="0" fontId="13" fillId="2" borderId="12"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9" fillId="13" borderId="1" xfId="0" applyFont="1" applyFill="1" applyBorder="1" applyAlignment="1">
      <alignment horizontal="center" vertical="center"/>
    </xf>
    <xf numFmtId="0" fontId="19" fillId="13" borderId="1" xfId="0" quotePrefix="1" applyFont="1" applyFill="1" applyBorder="1" applyAlignment="1">
      <alignment horizontal="center" vertical="center"/>
    </xf>
    <xf numFmtId="0" fontId="19" fillId="13" borderId="21" xfId="0" applyFont="1" applyFill="1" applyBorder="1" applyAlignment="1">
      <alignment horizontal="center" vertical="center"/>
    </xf>
    <xf numFmtId="0" fontId="19" fillId="13" borderId="22" xfId="0" applyFont="1" applyFill="1" applyBorder="1" applyAlignment="1">
      <alignment horizontal="center" vertical="center"/>
    </xf>
    <xf numFmtId="0" fontId="20" fillId="0" borderId="0" xfId="0" applyFont="1" applyAlignment="1">
      <alignment horizontal="center" vertical="center"/>
    </xf>
    <xf numFmtId="14" fontId="20" fillId="0" borderId="0" xfId="0" applyNumberFormat="1" applyFont="1" applyAlignment="1">
      <alignment horizontal="center" vertical="center"/>
    </xf>
    <xf numFmtId="0" fontId="20"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1" fillId="4" borderId="1" xfId="0" applyFont="1" applyFill="1" applyBorder="1" applyAlignment="1">
      <alignment horizontal="center" vertical="center"/>
    </xf>
    <xf numFmtId="0" fontId="22"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justify" vertical="center"/>
    </xf>
    <xf numFmtId="0" fontId="3" fillId="0" borderId="0" xfId="0" applyFont="1" applyAlignment="1">
      <alignment horizontal="center" vertical="center"/>
    </xf>
    <xf numFmtId="0" fontId="4" fillId="10" borderId="23" xfId="0" applyFont="1" applyFill="1" applyBorder="1" applyAlignment="1">
      <alignment vertical="center"/>
    </xf>
    <xf numFmtId="0" fontId="4" fillId="10" borderId="1" xfId="0" applyFont="1" applyFill="1" applyBorder="1" applyAlignment="1">
      <alignment vertical="center"/>
    </xf>
    <xf numFmtId="0" fontId="3" fillId="0" borderId="25" xfId="0" applyFont="1" applyBorder="1" applyAlignment="1">
      <alignment horizontal="left" vertical="center"/>
    </xf>
    <xf numFmtId="0" fontId="3" fillId="0" borderId="26" xfId="0" applyFont="1" applyBorder="1" applyAlignment="1">
      <alignment horizontal="left" vertical="center"/>
    </xf>
    <xf numFmtId="0" fontId="3" fillId="0" borderId="23" xfId="0" applyFont="1" applyBorder="1" applyAlignment="1">
      <alignment horizontal="left" vertical="center"/>
    </xf>
    <xf numFmtId="0" fontId="3" fillId="0" borderId="0" xfId="0" applyFont="1" applyAlignment="1">
      <alignment horizontal="left" vertical="center"/>
    </xf>
    <xf numFmtId="0" fontId="4" fillId="10" borderId="25" xfId="0" applyFont="1" applyFill="1" applyBorder="1" applyAlignment="1">
      <alignment vertical="center"/>
    </xf>
    <xf numFmtId="0" fontId="3" fillId="0" borderId="28" xfId="0" applyFont="1" applyBorder="1" applyAlignment="1">
      <alignment horizontal="left" vertical="center"/>
    </xf>
    <xf numFmtId="0" fontId="11" fillId="6" borderId="27" xfId="0" applyFont="1" applyFill="1" applyBorder="1" applyAlignment="1">
      <alignment horizontal="right" vertical="center"/>
    </xf>
    <xf numFmtId="0" fontId="11" fillId="6" borderId="29" xfId="0" applyFont="1" applyFill="1" applyBorder="1" applyAlignment="1">
      <alignment horizontal="center" vertical="center"/>
    </xf>
    <xf numFmtId="0" fontId="11" fillId="6" borderId="27" xfId="0" applyFont="1" applyFill="1" applyBorder="1" applyAlignment="1">
      <alignment horizontal="center" vertical="center"/>
    </xf>
    <xf numFmtId="0" fontId="11" fillId="5" borderId="27" xfId="0" applyFont="1" applyFill="1" applyBorder="1" applyAlignment="1">
      <alignment horizontal="right" vertical="center"/>
    </xf>
    <xf numFmtId="0" fontId="11" fillId="5" borderId="29" xfId="0" applyFont="1" applyFill="1" applyBorder="1" applyAlignment="1">
      <alignment horizontal="center" vertical="center"/>
    </xf>
    <xf numFmtId="0" fontId="11" fillId="5" borderId="27" xfId="0" applyFont="1" applyFill="1" applyBorder="1" applyAlignment="1">
      <alignment horizontal="center" vertical="center"/>
    </xf>
    <xf numFmtId="0" fontId="11" fillId="2" borderId="27" xfId="0" applyFont="1" applyFill="1" applyBorder="1" applyAlignment="1">
      <alignment horizontal="right" vertical="center"/>
    </xf>
    <xf numFmtId="0" fontId="11" fillId="2" borderId="29" xfId="0" applyFont="1" applyFill="1" applyBorder="1" applyAlignment="1">
      <alignment horizontal="center" vertical="center"/>
    </xf>
    <xf numFmtId="0" fontId="11" fillId="2" borderId="27" xfId="0" applyFont="1" applyFill="1" applyBorder="1" applyAlignment="1">
      <alignment horizontal="center" vertical="center"/>
    </xf>
    <xf numFmtId="0" fontId="11" fillId="4" borderId="27" xfId="0" applyFont="1" applyFill="1" applyBorder="1" applyAlignment="1">
      <alignment horizontal="right" vertical="center"/>
    </xf>
    <xf numFmtId="0" fontId="11" fillId="4" borderId="29" xfId="0" applyFont="1" applyFill="1" applyBorder="1" applyAlignment="1">
      <alignment horizontal="center" vertical="center"/>
    </xf>
    <xf numFmtId="0" fontId="11" fillId="4" borderId="27" xfId="0" applyFont="1" applyFill="1" applyBorder="1" applyAlignment="1">
      <alignment horizontal="center" vertical="center"/>
    </xf>
    <xf numFmtId="0" fontId="11" fillId="7" borderId="27" xfId="0" applyFont="1" applyFill="1" applyBorder="1" applyAlignment="1">
      <alignment horizontal="right" vertical="center"/>
    </xf>
    <xf numFmtId="0" fontId="11" fillId="7" borderId="29" xfId="0" applyFont="1" applyFill="1" applyBorder="1" applyAlignment="1">
      <alignment horizontal="center" vertical="center"/>
    </xf>
    <xf numFmtId="0" fontId="11" fillId="7" borderId="27" xfId="0" applyFont="1" applyFill="1" applyBorder="1" applyAlignment="1">
      <alignment horizontal="center" vertical="center"/>
    </xf>
    <xf numFmtId="0" fontId="11" fillId="8" borderId="22" xfId="0" applyFont="1" applyFill="1" applyBorder="1" applyAlignment="1">
      <alignment horizontal="right" vertical="center"/>
    </xf>
    <xf numFmtId="0" fontId="11" fillId="8" borderId="30" xfId="0" applyFont="1" applyFill="1" applyBorder="1" applyAlignment="1">
      <alignment horizontal="center" vertical="center"/>
    </xf>
    <xf numFmtId="0" fontId="11" fillId="8" borderId="22" xfId="0" applyFont="1" applyFill="1" applyBorder="1" applyAlignment="1">
      <alignment horizontal="center" vertical="center"/>
    </xf>
    <xf numFmtId="0" fontId="12" fillId="2" borderId="22" xfId="0" applyFont="1" applyFill="1" applyBorder="1" applyAlignment="1">
      <alignment horizontal="right" vertical="center"/>
    </xf>
    <xf numFmtId="0" fontId="12" fillId="2" borderId="24" xfId="0" applyFont="1" applyFill="1" applyBorder="1" applyAlignment="1">
      <alignment horizontal="center" vertical="center"/>
    </xf>
    <xf numFmtId="0" fontId="12" fillId="2" borderId="22" xfId="0" applyFont="1" applyFill="1" applyBorder="1" applyAlignment="1">
      <alignment horizontal="center" vertical="center"/>
    </xf>
    <xf numFmtId="0" fontId="11" fillId="9" borderId="27" xfId="0" applyFont="1" applyFill="1" applyBorder="1" applyAlignment="1">
      <alignment horizontal="right" vertical="center"/>
    </xf>
    <xf numFmtId="0" fontId="11" fillId="9" borderId="29" xfId="0" applyFont="1" applyFill="1" applyBorder="1" applyAlignment="1">
      <alignment horizontal="center" vertical="center"/>
    </xf>
    <xf numFmtId="0" fontId="11" fillId="9" borderId="27" xfId="0" applyFont="1" applyFill="1" applyBorder="1" applyAlignment="1">
      <alignment horizontal="center" vertical="center"/>
    </xf>
    <xf numFmtId="0" fontId="23" fillId="0" borderId="0" xfId="0" applyFont="1" applyAlignment="1">
      <alignment horizontal="center" vertical="center"/>
    </xf>
    <xf numFmtId="0" fontId="0" fillId="0" borderId="0" xfId="0" applyAlignment="1">
      <alignment horizontal="justify" vertical="top"/>
    </xf>
    <xf numFmtId="0" fontId="0" fillId="0" borderId="0" xfId="0" applyAlignment="1">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justify" vertical="center"/>
    </xf>
    <xf numFmtId="0" fontId="0" fillId="0" borderId="0" xfId="0" applyAlignment="1">
      <alignment horizontal="center"/>
    </xf>
    <xf numFmtId="0" fontId="0" fillId="0" borderId="0" xfId="0" applyAlignment="1">
      <alignment horizontal="right"/>
    </xf>
    <xf numFmtId="0" fontId="0" fillId="0" borderId="0" xfId="0" applyAlignment="1">
      <alignment horizontal="right" vertical="center"/>
    </xf>
    <xf numFmtId="14" fontId="0" fillId="0" borderId="0" xfId="0" applyNumberFormat="1"/>
    <xf numFmtId="14" fontId="4" fillId="10" borderId="1" xfId="0" applyNumberFormat="1" applyFont="1" applyFill="1" applyBorder="1" applyAlignment="1">
      <alignment horizontal="center" vertical="center"/>
    </xf>
    <xf numFmtId="0" fontId="0" fillId="0" borderId="0" xfId="0" applyAlignment="1">
      <alignment horizontal="left"/>
    </xf>
    <xf numFmtId="0" fontId="4" fillId="10" borderId="1" xfId="0" applyFont="1" applyFill="1" applyBorder="1" applyAlignment="1">
      <alignment horizontal="left" vertical="center"/>
    </xf>
    <xf numFmtId="0" fontId="5" fillId="12" borderId="1" xfId="0" applyFont="1" applyFill="1" applyBorder="1" applyAlignment="1">
      <alignment horizontal="center" vertical="center"/>
    </xf>
    <xf numFmtId="0" fontId="13" fillId="10" borderId="0" xfId="0" applyFont="1" applyFill="1" applyAlignment="1">
      <alignment horizontal="center" vertical="center"/>
    </xf>
    <xf numFmtId="14" fontId="13" fillId="10" borderId="0" xfId="0" applyNumberFormat="1" applyFont="1" applyFill="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xf>
    <xf numFmtId="14" fontId="25" fillId="0" borderId="0" xfId="0" applyNumberFormat="1" applyFont="1" applyAlignment="1">
      <alignment horizontal="center" vertical="center"/>
    </xf>
    <xf numFmtId="0" fontId="26" fillId="2" borderId="31" xfId="0" applyFont="1" applyFill="1" applyBorder="1" applyAlignment="1">
      <alignment horizontal="center" vertical="center"/>
    </xf>
    <xf numFmtId="0" fontId="26" fillId="2" borderId="32" xfId="0" applyFont="1" applyFill="1" applyBorder="1" applyAlignment="1">
      <alignment horizontal="center" vertical="center"/>
    </xf>
    <xf numFmtId="14" fontId="26" fillId="2" borderId="31" xfId="0" applyNumberFormat="1" applyFont="1" applyFill="1" applyBorder="1" applyAlignment="1">
      <alignment horizontal="center" vertical="center"/>
    </xf>
    <xf numFmtId="0" fontId="13" fillId="10" borderId="31" xfId="0" applyFont="1" applyFill="1" applyBorder="1" applyAlignment="1">
      <alignment horizontal="center" vertical="center"/>
    </xf>
    <xf numFmtId="14" fontId="13" fillId="10" borderId="31" xfId="0" applyNumberFormat="1" applyFont="1" applyFill="1" applyBorder="1" applyAlignment="1">
      <alignment horizontal="center" vertical="center" wrapText="1"/>
    </xf>
    <xf numFmtId="0" fontId="27" fillId="2" borderId="0" xfId="0" applyFont="1" applyFill="1" applyAlignment="1">
      <alignment horizontal="center"/>
    </xf>
    <xf numFmtId="0" fontId="26" fillId="2" borderId="31" xfId="0" applyFont="1" applyFill="1" applyBorder="1" applyAlignment="1">
      <alignment horizontal="left" vertical="center"/>
    </xf>
    <xf numFmtId="0" fontId="26" fillId="7" borderId="31" xfId="0" applyFont="1" applyFill="1" applyBorder="1" applyAlignment="1">
      <alignment horizontal="left" vertical="center"/>
    </xf>
    <xf numFmtId="14" fontId="26" fillId="14" borderId="31" xfId="0" applyNumberFormat="1" applyFont="1" applyFill="1" applyBorder="1" applyAlignment="1">
      <alignment horizontal="left" vertical="center"/>
    </xf>
    <xf numFmtId="0" fontId="8" fillId="6" borderId="31" xfId="0" applyFont="1" applyFill="1" applyBorder="1" applyAlignment="1">
      <alignment horizontal="left" vertical="center"/>
    </xf>
    <xf numFmtId="0" fontId="8" fillId="5" borderId="32" xfId="0" applyFont="1" applyFill="1" applyBorder="1" applyAlignment="1">
      <alignment horizontal="left" vertical="center"/>
    </xf>
    <xf numFmtId="0" fontId="8" fillId="11" borderId="31" xfId="0" applyFont="1" applyFill="1" applyBorder="1" applyAlignment="1">
      <alignment horizontal="left" vertical="center"/>
    </xf>
    <xf numFmtId="0" fontId="28" fillId="8" borderId="31" xfId="0" applyFont="1" applyFill="1" applyBorder="1" applyAlignment="1">
      <alignment horizontal="left" vertical="center"/>
    </xf>
    <xf numFmtId="0" fontId="25" fillId="0" borderId="0" xfId="0" applyFont="1" applyAlignment="1">
      <alignment vertical="center"/>
    </xf>
    <xf numFmtId="0" fontId="27" fillId="2" borderId="0" xfId="0" applyFont="1" applyFill="1" applyAlignment="1">
      <alignment horizontal="center" vertical="center"/>
    </xf>
    <xf numFmtId="0" fontId="10" fillId="6" borderId="31" xfId="0" applyFont="1" applyFill="1" applyBorder="1" applyAlignment="1">
      <alignment horizontal="center" vertical="center"/>
    </xf>
    <xf numFmtId="0" fontId="29" fillId="0" borderId="0" xfId="0" applyFont="1" applyAlignment="1">
      <alignment horizontal="center" vertical="center"/>
    </xf>
    <xf numFmtId="0" fontId="29" fillId="0" borderId="0" xfId="0" applyFont="1"/>
    <xf numFmtId="0" fontId="8" fillId="0" borderId="0" xfId="0" applyFont="1" applyAlignment="1">
      <alignment vertical="center"/>
    </xf>
    <xf numFmtId="0" fontId="31" fillId="0" borderId="0" xfId="0" applyFont="1" applyAlignment="1">
      <alignment horizontal="right" vertical="center" wrapText="1" readingOrder="1"/>
    </xf>
    <xf numFmtId="0" fontId="13" fillId="2" borderId="0" xfId="0" applyFont="1" applyFill="1" applyAlignment="1">
      <alignment horizontal="center" vertical="center"/>
    </xf>
    <xf numFmtId="14" fontId="8" fillId="0" borderId="13" xfId="0" applyNumberFormat="1" applyFont="1" applyBorder="1" applyAlignment="1">
      <alignment vertical="center"/>
    </xf>
    <xf numFmtId="0" fontId="30" fillId="0" borderId="34" xfId="0" applyFont="1" applyBorder="1" applyAlignment="1">
      <alignment vertical="center" wrapText="1" readingOrder="1"/>
    </xf>
    <xf numFmtId="0" fontId="30" fillId="0" borderId="35" xfId="0" applyFont="1" applyBorder="1" applyAlignment="1">
      <alignment vertical="center" wrapText="1" readingOrder="1"/>
    </xf>
    <xf numFmtId="0" fontId="8" fillId="0" borderId="13" xfId="0" applyFont="1" applyBorder="1" applyAlignment="1">
      <alignment vertical="center"/>
    </xf>
    <xf numFmtId="165" fontId="8" fillId="0" borderId="0" xfId="0" applyNumberFormat="1" applyFont="1" applyAlignment="1">
      <alignment vertical="center"/>
    </xf>
    <xf numFmtId="0" fontId="13" fillId="2" borderId="35" xfId="0" applyFont="1" applyFill="1" applyBorder="1" applyAlignment="1">
      <alignment horizontal="center" vertical="center"/>
    </xf>
    <xf numFmtId="0" fontId="13" fillId="2" borderId="36" xfId="0" applyFont="1" applyFill="1" applyBorder="1" applyAlignment="1">
      <alignment horizontal="center" vertical="center"/>
    </xf>
    <xf numFmtId="0" fontId="13" fillId="2" borderId="37" xfId="0" applyFont="1" applyFill="1" applyBorder="1" applyAlignment="1">
      <alignment horizontal="center" vertical="center"/>
    </xf>
    <xf numFmtId="14" fontId="13" fillId="2" borderId="38" xfId="0" applyNumberFormat="1" applyFont="1" applyFill="1" applyBorder="1" applyAlignment="1">
      <alignment horizontal="center" vertical="center"/>
    </xf>
    <xf numFmtId="14" fontId="8" fillId="0" borderId="0" xfId="0" applyNumberFormat="1" applyFont="1" applyAlignment="1">
      <alignment vertical="center"/>
    </xf>
    <xf numFmtId="0" fontId="13" fillId="2" borderId="0" xfId="0" applyFont="1" applyFill="1" applyAlignment="1">
      <alignment horizontal="center" vertical="center" wrapText="1"/>
    </xf>
    <xf numFmtId="0" fontId="29" fillId="0" borderId="0" xfId="0" applyFont="1" applyAlignment="1">
      <alignment vertical="center"/>
    </xf>
    <xf numFmtId="14" fontId="29" fillId="0" borderId="0" xfId="0" applyNumberFormat="1" applyFont="1" applyAlignment="1">
      <alignment vertical="center"/>
    </xf>
    <xf numFmtId="165" fontId="0" fillId="0" borderId="0" xfId="0" applyNumberFormat="1"/>
    <xf numFmtId="0" fontId="32" fillId="0" borderId="0" xfId="0" applyFont="1" applyAlignment="1">
      <alignment horizontal="center" vertical="center"/>
    </xf>
    <xf numFmtId="0" fontId="32" fillId="0" borderId="0" xfId="0" applyFont="1"/>
    <xf numFmtId="0" fontId="1" fillId="0" borderId="0" xfId="0" applyFont="1"/>
    <xf numFmtId="0" fontId="1" fillId="0" borderId="0" xfId="0" applyFont="1" applyAlignment="1">
      <alignment horizontal="justify" vertical="center" wrapText="1"/>
    </xf>
    <xf numFmtId="0" fontId="0" fillId="0" borderId="0" xfId="0" pivotButton="1"/>
    <xf numFmtId="0" fontId="26" fillId="2" borderId="29" xfId="0" applyFont="1" applyFill="1" applyBorder="1" applyAlignment="1">
      <alignment horizontal="left" vertical="center"/>
    </xf>
    <xf numFmtId="0" fontId="33" fillId="10" borderId="41" xfId="0" applyFont="1" applyFill="1" applyBorder="1" applyAlignment="1">
      <alignment horizontal="center" vertical="center"/>
    </xf>
    <xf numFmtId="0" fontId="33" fillId="10" borderId="42" xfId="0" applyFont="1" applyFill="1" applyBorder="1" applyAlignment="1">
      <alignment horizontal="center" vertical="center"/>
    </xf>
    <xf numFmtId="0" fontId="34" fillId="2" borderId="27" xfId="0" applyFont="1" applyFill="1" applyBorder="1" applyAlignment="1">
      <alignment horizontal="center" vertical="center"/>
    </xf>
    <xf numFmtId="0" fontId="33" fillId="10" borderId="43" xfId="0" applyFont="1" applyFill="1" applyBorder="1" applyAlignment="1">
      <alignment horizontal="center" vertical="center"/>
    </xf>
    <xf numFmtId="0" fontId="33" fillId="10" borderId="27" xfId="0" applyFont="1" applyFill="1" applyBorder="1" applyAlignment="1">
      <alignment horizontal="center" vertical="center"/>
    </xf>
    <xf numFmtId="0" fontId="26" fillId="2" borderId="22" xfId="0" applyFont="1" applyFill="1" applyBorder="1" applyAlignment="1">
      <alignment horizontal="center" vertical="center"/>
    </xf>
    <xf numFmtId="0" fontId="26" fillId="2" borderId="27" xfId="0" applyFont="1" applyFill="1" applyBorder="1" applyAlignment="1">
      <alignment horizontal="center" vertical="center"/>
    </xf>
    <xf numFmtId="0" fontId="19" fillId="13" borderId="20" xfId="0" applyFont="1" applyFill="1" applyBorder="1" applyAlignment="1">
      <alignment horizontal="center" vertical="center"/>
    </xf>
    <xf numFmtId="0" fontId="19" fillId="13" borderId="19" xfId="0" applyFont="1" applyFill="1" applyBorder="1" applyAlignment="1">
      <alignment horizontal="center" vertical="center"/>
    </xf>
    <xf numFmtId="0" fontId="1" fillId="0" borderId="0" xfId="0" applyFont="1" applyAlignment="1">
      <alignment horizontal="center" vertical="center"/>
    </xf>
    <xf numFmtId="0" fontId="19" fillId="13" borderId="0" xfId="0" applyFont="1" applyFill="1" applyAlignment="1">
      <alignment horizontal="center" vertical="center"/>
    </xf>
    <xf numFmtId="0" fontId="19" fillId="13" borderId="18" xfId="0" applyFont="1" applyFill="1" applyBorder="1" applyAlignment="1">
      <alignment horizontal="right" vertical="center"/>
    </xf>
    <xf numFmtId="0" fontId="13" fillId="2" borderId="6" xfId="0" applyFont="1" applyFill="1" applyBorder="1" applyAlignment="1">
      <alignment horizontal="center" vertical="center"/>
    </xf>
    <xf numFmtId="0" fontId="13" fillId="2" borderId="7" xfId="0" applyFont="1" applyFill="1" applyBorder="1" applyAlignment="1">
      <alignment horizontal="center" vertical="center"/>
    </xf>
    <xf numFmtId="0" fontId="13" fillId="2" borderId="8" xfId="0" applyFont="1" applyFill="1" applyBorder="1" applyAlignment="1">
      <alignment horizontal="center" vertical="center"/>
    </xf>
    <xf numFmtId="0" fontId="18" fillId="2" borderId="0" xfId="0" applyFont="1" applyFill="1" applyAlignment="1">
      <alignment horizontal="center" vertical="center"/>
    </xf>
    <xf numFmtId="0" fontId="13" fillId="2" borderId="14" xfId="0" applyFont="1" applyFill="1" applyBorder="1" applyAlignment="1">
      <alignment horizontal="center" vertical="center"/>
    </xf>
    <xf numFmtId="0" fontId="13" fillId="2" borderId="15" xfId="0" applyFont="1" applyFill="1" applyBorder="1" applyAlignment="1">
      <alignment horizontal="center" vertical="center"/>
    </xf>
    <xf numFmtId="0" fontId="13" fillId="2" borderId="16" xfId="0" applyFont="1" applyFill="1" applyBorder="1" applyAlignment="1">
      <alignment horizontal="center" vertical="center"/>
    </xf>
    <xf numFmtId="0" fontId="13" fillId="4" borderId="17" xfId="0" applyFont="1" applyFill="1" applyBorder="1" applyAlignment="1">
      <alignment horizontal="center" vertical="center"/>
    </xf>
    <xf numFmtId="0" fontId="13" fillId="4" borderId="0" xfId="0" applyFont="1" applyFill="1" applyAlignment="1">
      <alignment horizontal="center" vertical="center"/>
    </xf>
    <xf numFmtId="0" fontId="13" fillId="2" borderId="0" xfId="0" applyFont="1" applyFill="1" applyAlignment="1">
      <alignment horizontal="center" vertical="center"/>
    </xf>
    <xf numFmtId="0" fontId="4" fillId="4" borderId="3" xfId="0" applyFont="1" applyFill="1" applyBorder="1" applyAlignment="1">
      <alignment horizontal="right" vertical="center"/>
    </xf>
    <xf numFmtId="0" fontId="4" fillId="4" borderId="4" xfId="0" applyFont="1" applyFill="1" applyBorder="1" applyAlignment="1">
      <alignment horizontal="right" vertical="center"/>
    </xf>
    <xf numFmtId="0" fontId="16" fillId="11" borderId="0" xfId="0" applyFont="1" applyFill="1" applyAlignment="1">
      <alignment horizontal="center" vertical="center"/>
    </xf>
    <xf numFmtId="0" fontId="13" fillId="4" borderId="2" xfId="0" applyFont="1" applyFill="1" applyBorder="1" applyAlignment="1">
      <alignment horizontal="center" vertical="center"/>
    </xf>
    <xf numFmtId="0" fontId="13" fillId="4" borderId="3" xfId="0" applyFont="1" applyFill="1" applyBorder="1" applyAlignment="1">
      <alignment horizontal="center" vertical="center"/>
    </xf>
    <xf numFmtId="0" fontId="13" fillId="4" borderId="2" xfId="0" applyFont="1" applyFill="1" applyBorder="1" applyAlignment="1">
      <alignment horizontal="right" vertical="center"/>
    </xf>
    <xf numFmtId="0" fontId="30" fillId="0" borderId="33" xfId="0" applyFont="1" applyBorder="1" applyAlignment="1">
      <alignment horizontal="center" vertical="center" wrapText="1" readingOrder="1"/>
    </xf>
    <xf numFmtId="0" fontId="30" fillId="0" borderId="0" xfId="0" applyFont="1" applyAlignment="1">
      <alignment horizontal="center" vertical="center" wrapText="1" readingOrder="1"/>
    </xf>
    <xf numFmtId="0" fontId="33" fillId="10" borderId="39" xfId="0" applyFont="1" applyFill="1" applyBorder="1" applyAlignment="1">
      <alignment horizontal="center" vertical="center"/>
    </xf>
    <xf numFmtId="0" fontId="33" fillId="10" borderId="40" xfId="0" applyFont="1" applyFill="1" applyBorder="1" applyAlignment="1">
      <alignment horizontal="center" vertical="center"/>
    </xf>
    <xf numFmtId="0" fontId="0" fillId="0" borderId="0" xfId="0" applyNumberFormat="1"/>
    <xf numFmtId="0" fontId="13" fillId="4" borderId="2" xfId="0" applyFont="1" applyFill="1" applyBorder="1" applyAlignment="1">
      <alignment vertical="center"/>
    </xf>
    <xf numFmtId="0" fontId="13" fillId="4" borderId="3" xfId="0" applyFont="1" applyFill="1" applyBorder="1" applyAlignment="1">
      <alignment vertical="center"/>
    </xf>
  </cellXfs>
  <cellStyles count="2">
    <cellStyle name="Normal" xfId="0" builtinId="0"/>
    <cellStyle name="Normal 2" xfId="1" xr:uid="{41E63873-3F6E-4A70-B909-3992DE0AF51F}"/>
  </cellStyles>
  <dxfs count="48">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7" tint="0.39994506668294322"/>
        </patternFill>
      </fill>
    </dxf>
    <dxf>
      <fill>
        <patternFill>
          <bgColor rgb="FFFFFF00"/>
        </patternFill>
      </fill>
    </dxf>
    <dxf>
      <fill>
        <patternFill patternType="none">
          <bgColor auto="1"/>
        </patternFill>
      </fill>
      <border>
        <left style="thin">
          <color auto="1"/>
        </left>
        <right style="thin">
          <color auto="1"/>
        </right>
        <top style="thin">
          <color auto="1"/>
        </top>
        <bottom style="thin">
          <color auto="1"/>
        </bottom>
      </border>
    </dxf>
    <dxf>
      <fill>
        <patternFill>
          <bgColor theme="4" tint="0.59996337778862885"/>
        </patternFill>
      </fill>
    </dxf>
    <dxf>
      <fill>
        <patternFill>
          <bgColor rgb="FF00B050"/>
        </patternFill>
      </fill>
    </dxf>
    <dxf>
      <fill>
        <patternFill>
          <bgColor theme="5" tint="0.39994506668294322"/>
        </patternFill>
      </fill>
    </dxf>
    <dxf>
      <fill>
        <patternFill>
          <bgColor theme="4"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rgb="FFFFFF00"/>
        </patternFill>
      </fill>
    </dxf>
    <dxf>
      <fill>
        <patternFill>
          <bgColor rgb="FFFFFF00"/>
        </patternFill>
      </fill>
    </dxf>
    <dxf>
      <fill>
        <patternFill>
          <bgColor rgb="FF00B050"/>
        </patternFill>
      </fill>
    </dxf>
    <dxf>
      <fill>
        <patternFill>
          <bgColor theme="5" tint="0.39994506668294322"/>
        </patternFill>
      </fill>
    </dxf>
    <dxf>
      <fill>
        <patternFill>
          <bgColor rgb="FF002060"/>
        </patternFill>
      </fill>
    </dxf>
    <dxf>
      <fill>
        <patternFill>
          <bgColor theme="4" tint="0.39994506668294322"/>
        </patternFill>
      </fill>
    </dxf>
    <dxf>
      <fill>
        <patternFill>
          <bgColor rgb="FF00B050"/>
        </patternFill>
      </fill>
    </dxf>
    <dxf>
      <fill>
        <patternFill>
          <bgColor theme="5"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colors>
    <mruColors>
      <color rgb="FF660033"/>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ÜYE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İstatistik!$AU$1</c:f>
              <c:strCache>
                <c:ptCount val="1"/>
                <c:pt idx="0">
                  <c:v>SAYI</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58EB-46C8-A302-0EE9C7FDD5FC}"/>
              </c:ext>
            </c:extLst>
          </c:dPt>
          <c:dPt>
            <c:idx val="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3-58EB-46C8-A302-0EE9C7FDD5F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EB-46C8-A302-0EE9C7FDD5FC}"/>
              </c:ext>
            </c:extLst>
          </c:dPt>
          <c:dPt>
            <c:idx val="3"/>
            <c:bubble3D val="0"/>
            <c:spPr>
              <a:solidFill>
                <a:srgbClr val="002060"/>
              </a:solidFill>
              <a:ln w="19050">
                <a:solidFill>
                  <a:schemeClr val="lt1"/>
                </a:solidFill>
              </a:ln>
              <a:effectLst/>
            </c:spPr>
            <c:extLst>
              <c:ext xmlns:c16="http://schemas.microsoft.com/office/drawing/2014/chart" uri="{C3380CC4-5D6E-409C-BE32-E72D297353CC}">
                <c16:uniqueId val="{00000007-58EB-46C8-A302-0EE9C7FDD5F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8EB-46C8-A302-0EE9C7FDD5F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58EB-46C8-A302-0EE9C7FDD5F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58EB-46C8-A302-0EE9C7FDD5FC}"/>
              </c:ext>
            </c:extLst>
          </c:dPt>
          <c:dLbls>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schemeClr>
                      </a:solidFill>
                      <a:latin typeface="+mn-lt"/>
                      <a:ea typeface="+mn-ea"/>
                      <a:cs typeface="+mn-cs"/>
                    </a:defRPr>
                  </a:pPr>
                  <a:endParaRPr lang="tr-TR"/>
                </a:p>
              </c:txPr>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8EB-46C8-A302-0EE9C7FDD5F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İstatistik!$AT$2:$AT$8</c:f>
              <c:strCache>
                <c:ptCount val="7"/>
                <c:pt idx="0">
                  <c:v>ONAY</c:v>
                </c:pt>
                <c:pt idx="1">
                  <c:v>DÜZELTME</c:v>
                </c:pt>
                <c:pt idx="2">
                  <c:v>KAEK</c:v>
                </c:pt>
                <c:pt idx="3">
                  <c:v>GÖRÜŞ</c:v>
                </c:pt>
                <c:pt idx="4">
                  <c:v>KAPSAM DIŞI</c:v>
                </c:pt>
                <c:pt idx="5">
                  <c:v>RET</c:v>
                </c:pt>
                <c:pt idx="6">
                  <c:v>GERİ ÇEKİLDİ</c:v>
                </c:pt>
              </c:strCache>
            </c:strRef>
          </c:cat>
          <c:val>
            <c:numRef>
              <c:f>İstatistik!$AU$2:$AU$8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E-58EB-46C8-A302-0EE9C7FDD5F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Genel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88D-4AEA-A6C4-FD5A90268D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88D-4AEA-A6C4-FD5A90268DB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88D-4AEA-A6C4-FD5A90268DB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88D-4AEA-A6C4-FD5A90268DB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88D-4AEA-A6C4-FD5A90268DB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88D-4AEA-A6C4-FD5A90268DB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İstatistik!$AT$11:$AT$16</c:f>
              <c:strCache>
                <c:ptCount val="6"/>
                <c:pt idx="0">
                  <c:v>ONAY</c:v>
                </c:pt>
                <c:pt idx="1">
                  <c:v>DÜZELTME</c:v>
                </c:pt>
                <c:pt idx="2">
                  <c:v>KAEK</c:v>
                </c:pt>
                <c:pt idx="3">
                  <c:v>GÖRÜŞ</c:v>
                </c:pt>
                <c:pt idx="4">
                  <c:v>KAPSAM DIŞI</c:v>
                </c:pt>
                <c:pt idx="5">
                  <c:v>RET</c:v>
                </c:pt>
              </c:strCache>
            </c:strRef>
          </c:cat>
          <c:val>
            <c:numRef>
              <c:f>İstatistik!$AU$11:$AU$16</c:f>
              <c:numCache>
                <c:formatCode>General</c:formatCode>
                <c:ptCount val="6"/>
                <c:pt idx="0">
                  <c:v>1</c:v>
                </c:pt>
                <c:pt idx="1">
                  <c:v>1</c:v>
                </c:pt>
                <c:pt idx="2">
                  <c:v>0</c:v>
                </c:pt>
                <c:pt idx="3">
                  <c:v>0</c:v>
                </c:pt>
                <c:pt idx="4">
                  <c:v>0</c:v>
                </c:pt>
                <c:pt idx="5">
                  <c:v>0</c:v>
                </c:pt>
              </c:numCache>
            </c:numRef>
          </c:val>
          <c:extLst>
            <c:ext xmlns:c16="http://schemas.microsoft.com/office/drawing/2014/chart" uri="{C3380CC4-5D6E-409C-BE32-E72D297353CC}">
              <c16:uniqueId val="{0000000C-788D-4AEA-A6C4-FD5A90268DB0}"/>
            </c:ext>
          </c:extLst>
        </c:ser>
        <c:dLbls>
          <c:dLblPos val="bestFit"/>
          <c:showLegendKey val="0"/>
          <c:showVal val="1"/>
          <c:showCatName val="0"/>
          <c:showSerName val="0"/>
          <c:showPercent val="0"/>
          <c:showBubbleSize val="0"/>
          <c:showLeaderLines val="1"/>
        </c:dLbls>
        <c:firstSliceAng val="0"/>
      </c:pieChart>
      <c:spPr>
        <a:noFill/>
        <a:ln w="25400">
          <a:noFill/>
        </a:ln>
        <a:effectLst/>
      </c:spPr>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BİRİM GRAFİK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22-44D7-A436-8BD4E8DA9B3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22-44D7-A436-8BD4E8DA9B3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22-44D7-A436-8BD4E8DA9B3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622-44D7-A436-8BD4E8DA9B3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622-44D7-A436-8BD4E8DA9B3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622-44D7-A436-8BD4E8DA9B30}"/>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622-44D7-A436-8BD4E8DA9B3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İstatistik!$AY$2:$AY$8</c:f>
              <c:strCache>
                <c:ptCount val="7"/>
                <c:pt idx="0">
                  <c:v>ONAY</c:v>
                </c:pt>
                <c:pt idx="1">
                  <c:v>DÜZELTME</c:v>
                </c:pt>
                <c:pt idx="2">
                  <c:v>KAEK</c:v>
                </c:pt>
                <c:pt idx="3">
                  <c:v>GÖRÜŞ</c:v>
                </c:pt>
                <c:pt idx="4">
                  <c:v>KAPSAM DIŞI</c:v>
                </c:pt>
                <c:pt idx="5">
                  <c:v>RET</c:v>
                </c:pt>
                <c:pt idx="6">
                  <c:v>GERİ ÇEKİLDİ</c:v>
                </c:pt>
              </c:strCache>
            </c:strRef>
          </c:cat>
          <c:val>
            <c:numRef>
              <c:f>İstatistik!$AZ$2:$AZ$8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E-F622-44D7-A436-8BD4E8DA9B3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Kurul Raporu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C7C-4F6F-8B72-DCBA3231260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153-4C8C-ABF4-344DE42DCC4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153-4C8C-ABF4-344DE42DCC4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153-4C8C-ABF4-344DE42DCC4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153-4C8C-ABF4-344DE42DCC4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153-4C8C-ABF4-344DE42DCC4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153-4C8C-ABF4-344DE42DCC4E}"/>
              </c:ext>
            </c:extLst>
          </c:dPt>
          <c:dLbls>
            <c:dLbl>
              <c:idx val="0"/>
              <c:dLblPos val="bestFi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CC7C-4F6F-8B72-DCBA3231260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Kurul_Raporu!$C$44:$I$44</c:f>
              <c:strCache>
                <c:ptCount val="7"/>
                <c:pt idx="0">
                  <c:v>ONAY</c:v>
                </c:pt>
                <c:pt idx="1">
                  <c:v>DÜZELTME</c:v>
                </c:pt>
                <c:pt idx="2">
                  <c:v>KAEK</c:v>
                </c:pt>
                <c:pt idx="3">
                  <c:v>GÖRÜŞ</c:v>
                </c:pt>
                <c:pt idx="4">
                  <c:v>KAPSAM DIŞI</c:v>
                </c:pt>
                <c:pt idx="5">
                  <c:v>RET</c:v>
                </c:pt>
                <c:pt idx="6">
                  <c:v>GERİ ÇEKİLDİ</c:v>
                </c:pt>
              </c:strCache>
            </c:strRef>
          </c:cat>
          <c:val>
            <c:numRef>
              <c:f>Kurul_Raporu!$C$45:$I$45</c:f>
              <c:numCache>
                <c:formatCode>0;\-0;;@</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CC7C-4F6F-8B72-DCBA3231260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hyperlink" Target="#Pivot!A1"/><Relationship Id="rId1" Type="http://schemas.openxmlformats.org/officeDocument/2006/relationships/hyperlink" Target="#Kurul_Raporu!A1"/></Relationships>
</file>

<file path=xl/drawings/drawing1.xml><?xml version="1.0" encoding="utf-8"?>
<xdr:wsDr xmlns:xdr="http://schemas.openxmlformats.org/drawingml/2006/spreadsheetDrawing" xmlns:a="http://schemas.openxmlformats.org/drawingml/2006/main">
  <xdr:twoCellAnchor>
    <xdr:from>
      <xdr:col>9</xdr:col>
      <xdr:colOff>0</xdr:colOff>
      <xdr:row>0</xdr:row>
      <xdr:rowOff>0</xdr:rowOff>
    </xdr:from>
    <xdr:to>
      <xdr:col>11</xdr:col>
      <xdr:colOff>1800225</xdr:colOff>
      <xdr:row>3</xdr:row>
      <xdr:rowOff>209550</xdr:rowOff>
    </xdr:to>
    <xdr:graphicFrame macro="">
      <xdr:nvGraphicFramePr>
        <xdr:cNvPr id="2" name="Grafik 1">
          <a:extLst>
            <a:ext uri="{FF2B5EF4-FFF2-40B4-BE49-F238E27FC236}">
              <a16:creationId xmlns:a16="http://schemas.microsoft.com/office/drawing/2014/main" id="{B039B4C4-093F-4534-810D-4F236777C6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0</xdr:row>
      <xdr:rowOff>0</xdr:rowOff>
    </xdr:from>
    <xdr:to>
      <xdr:col>14</xdr:col>
      <xdr:colOff>876300</xdr:colOff>
      <xdr:row>3</xdr:row>
      <xdr:rowOff>200025</xdr:rowOff>
    </xdr:to>
    <xdr:graphicFrame macro="">
      <xdr:nvGraphicFramePr>
        <xdr:cNvPr id="3" name="Grafik 2">
          <a:extLst>
            <a:ext uri="{FF2B5EF4-FFF2-40B4-BE49-F238E27FC236}">
              <a16:creationId xmlns:a16="http://schemas.microsoft.com/office/drawing/2014/main" id="{9FBB70DE-A7FE-4A1C-8DDA-A15273717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9525</xdr:colOff>
      <xdr:row>0</xdr:row>
      <xdr:rowOff>9525</xdr:rowOff>
    </xdr:from>
    <xdr:to>
      <xdr:col>23</xdr:col>
      <xdr:colOff>314325</xdr:colOff>
      <xdr:row>8</xdr:row>
      <xdr:rowOff>180975</xdr:rowOff>
    </xdr:to>
    <xdr:graphicFrame macro="">
      <xdr:nvGraphicFramePr>
        <xdr:cNvPr id="3" name="Grafik 2">
          <a:extLst>
            <a:ext uri="{FF2B5EF4-FFF2-40B4-BE49-F238E27FC236}">
              <a16:creationId xmlns:a16="http://schemas.microsoft.com/office/drawing/2014/main" id="{8417D648-A4EC-4D9A-9953-C1C9A98BAB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314325</xdr:colOff>
      <xdr:row>45</xdr:row>
      <xdr:rowOff>123825</xdr:rowOff>
    </xdr:from>
    <xdr:to>
      <xdr:col>8</xdr:col>
      <xdr:colOff>285750</xdr:colOff>
      <xdr:row>56</xdr:row>
      <xdr:rowOff>38100</xdr:rowOff>
    </xdr:to>
    <xdr:graphicFrame macro="">
      <xdr:nvGraphicFramePr>
        <xdr:cNvPr id="2" name="Grafik 1">
          <a:extLst>
            <a:ext uri="{FF2B5EF4-FFF2-40B4-BE49-F238E27FC236}">
              <a16:creationId xmlns:a16="http://schemas.microsoft.com/office/drawing/2014/main" id="{6C55B3A7-47BF-93D5-E924-68B34F1B31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2238375</xdr:colOff>
      <xdr:row>10</xdr:row>
      <xdr:rowOff>9525</xdr:rowOff>
    </xdr:from>
    <xdr:to>
      <xdr:col>2</xdr:col>
      <xdr:colOff>57150</xdr:colOff>
      <xdr:row>11</xdr:row>
      <xdr:rowOff>161925</xdr:rowOff>
    </xdr:to>
    <xdr:sp macro="" textlink="">
      <xdr:nvSpPr>
        <xdr:cNvPr id="2" name="Dikdörtgen: Köşeleri Yuvarlatılmış 1">
          <a:hlinkClick xmlns:r="http://schemas.openxmlformats.org/officeDocument/2006/relationships" r:id="rId1"/>
          <a:extLst>
            <a:ext uri="{FF2B5EF4-FFF2-40B4-BE49-F238E27FC236}">
              <a16:creationId xmlns:a16="http://schemas.microsoft.com/office/drawing/2014/main" id="{2A02A413-77CB-EA45-CAA6-AC999A533462}"/>
            </a:ext>
          </a:extLst>
        </xdr:cNvPr>
        <xdr:cNvSpPr/>
      </xdr:nvSpPr>
      <xdr:spPr>
        <a:xfrm>
          <a:off x="2238375" y="2181225"/>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KURUL RAPORU</a:t>
          </a:r>
        </a:p>
      </xdr:txBody>
    </xdr:sp>
    <xdr:clientData/>
  </xdr:twoCellAnchor>
  <xdr:twoCellAnchor>
    <xdr:from>
      <xdr:col>0</xdr:col>
      <xdr:colOff>342900</xdr:colOff>
      <xdr:row>5</xdr:row>
      <xdr:rowOff>180975</xdr:rowOff>
    </xdr:from>
    <xdr:to>
      <xdr:col>0</xdr:col>
      <xdr:colOff>2190750</xdr:colOff>
      <xdr:row>7</xdr:row>
      <xdr:rowOff>133350</xdr:rowOff>
    </xdr:to>
    <xdr:sp macro="" textlink="">
      <xdr:nvSpPr>
        <xdr:cNvPr id="4" name="Dikdörtgen: Köşeleri Yuvarlatılmış 3">
          <a:hlinkClick xmlns:r="http://schemas.openxmlformats.org/officeDocument/2006/relationships" r:id="rId2"/>
          <a:extLst>
            <a:ext uri="{FF2B5EF4-FFF2-40B4-BE49-F238E27FC236}">
              <a16:creationId xmlns:a16="http://schemas.microsoft.com/office/drawing/2014/main" id="{8B69623B-6BFA-4386-8CDD-6C234274AF5E}"/>
            </a:ext>
          </a:extLst>
        </xdr:cNvPr>
        <xdr:cNvSpPr/>
      </xdr:nvSpPr>
      <xdr:spPr>
        <a:xfrm>
          <a:off x="342900" y="1352550"/>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PİVOT</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070.590480787039" createdVersion="8" refreshedVersion="8" minRefreshableVersion="3" recordCount="1333" xr:uid="{2FEA118A-1AA2-4248-9C0D-35EA38B198C2}">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136">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m/>
      </sharedItems>
    </cacheField>
    <cacheField name="BİRİMİ" numFmtId="0">
      <sharedItems containsBlank="1" count="52">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2-12T00:00:00"/>
    </cacheField>
    <cacheField name="KURUL TARİHİ" numFmtId="0">
      <sharedItems containsNonDate="0" containsDate="1" containsString="0" containsBlank="1" minDate="2026-01-06T00:00:00" maxDate="2026-02-18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143"/>
    </cacheField>
    <cacheField name="KURUL KARARI 2" numFmtId="0">
      <sharedItems containsBlank="1" containsMixedTypes="1" containsNumber="1" containsInteger="1" minValue="0" maxValue="17"/>
    </cacheField>
    <cacheField name="KURUL KARARI 3" numFmtId="0">
      <sharedItems containsBlank="1" containsMixedTypes="1" containsNumber="1" containsInteger="1" minValue="0" maxValue="4"/>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1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3">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m/>
    <m/>
    <m/>
    <s v="DÜZELTME"/>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m/>
    <m/>
    <m/>
    <s v="RET"/>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s v="KAEK"/>
    <m/>
    <s v="KAEK"/>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m/>
    <m/>
    <s v="GÖRÜŞ"/>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m/>
    <m/>
    <m/>
    <s v="RET"/>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m/>
    <m/>
    <m/>
    <s v="DÜZELTME"/>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m/>
    <m/>
    <s v="GÖRÜŞ"/>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m/>
    <m/>
    <m/>
    <s v="DÜZELTME"/>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m/>
    <m/>
    <m/>
    <s v="DÜZELTME"/>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m/>
    <m/>
    <m/>
    <s v="DÜZELTME"/>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m/>
    <m/>
    <m/>
    <m/>
    <n v="0"/>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m/>
    <m/>
    <m/>
    <s v="DÜZELTME"/>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m/>
    <m/>
    <m/>
    <s v="DÜZELTME"/>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m/>
    <m/>
    <m/>
    <s v="DÜZELTME"/>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m/>
    <m/>
    <m/>
    <s v="DÜZELTME"/>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m/>
    <m/>
    <m/>
    <s v="DÜZELTME"/>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m/>
    <m/>
    <m/>
    <s v="DÜZELTME"/>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m/>
    <m/>
    <m/>
    <m/>
    <n v="0"/>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m/>
    <m/>
    <m/>
    <s v="DÜZELTME"/>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m/>
    <m/>
    <m/>
    <s v="DÜZELTME"/>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m/>
    <m/>
    <m/>
    <s v="DÜZELTME"/>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m/>
    <m/>
    <m/>
    <s v="GÖRÜŞ"/>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m/>
    <m/>
    <m/>
    <s v="GÖRÜŞ"/>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m/>
    <m/>
    <m/>
    <s v="DÜZELTME"/>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m/>
    <m/>
    <m/>
    <s v="DÜZELTME"/>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m/>
    <m/>
    <m/>
    <s v="DÜZELTME"/>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m/>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m/>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m/>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m/>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m/>
    <m/>
    <m/>
    <m/>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m/>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m/>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m/>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m/>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m/>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m/>
    <m/>
    <m/>
    <m/>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m/>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m/>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m/>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m/>
    <m/>
    <m/>
    <m/>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m/>
    <m/>
    <m/>
    <m/>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m/>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m/>
    <m/>
    <m/>
    <m/>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m/>
    <m/>
    <m/>
    <m/>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m/>
    <m/>
    <m/>
    <m/>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m/>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m/>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m/>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m/>
    <m/>
    <m/>
    <m/>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m/>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m/>
    <m/>
    <m/>
    <m/>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m/>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m/>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m/>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m/>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m/>
    <m/>
    <m/>
    <m/>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m/>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m/>
    <m/>
    <m/>
    <m/>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m/>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m/>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m/>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m/>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m/>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m/>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m/>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m/>
    <m/>
    <m/>
    <m/>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m/>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m/>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m/>
    <m/>
    <m/>
    <m/>
    <m/>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m/>
    <m/>
    <m/>
    <m/>
    <m/>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m/>
    <m/>
    <m/>
    <m/>
    <m/>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m/>
    <m/>
    <m/>
    <m/>
    <n v="0"/>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m/>
    <m/>
    <m/>
    <m/>
    <n v="0"/>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m/>
    <m/>
    <m/>
    <m/>
    <n v="0"/>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m/>
    <m/>
    <m/>
    <m/>
    <n v="0"/>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m/>
    <m/>
    <m/>
    <m/>
    <n v="0"/>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m/>
    <m/>
    <m/>
    <m/>
    <n v="0"/>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m/>
    <m/>
    <m/>
    <m/>
    <n v="0"/>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m/>
    <m/>
    <m/>
    <m/>
    <n v="0"/>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m/>
    <m/>
    <m/>
    <m/>
    <n v="0"/>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m/>
    <m/>
    <m/>
    <m/>
    <n v="0"/>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m/>
    <m/>
    <m/>
    <m/>
    <m/>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m/>
    <m/>
    <m/>
    <m/>
    <m/>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m/>
    <m/>
    <m/>
    <m/>
    <m/>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m/>
    <m/>
    <m/>
    <m/>
    <m/>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m/>
    <m/>
    <m/>
    <m/>
    <m/>
  </r>
  <r>
    <s v="164."/>
    <s v="SBA 26/164"/>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m/>
    <m/>
    <m/>
    <m/>
    <m/>
  </r>
  <r>
    <s v="165."/>
    <s v="SBA 26/165"/>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m/>
    <m/>
    <m/>
    <m/>
    <m/>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m/>
    <m/>
    <m/>
    <m/>
    <m/>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m/>
    <m/>
    <m/>
    <m/>
    <m/>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m/>
    <m/>
    <m/>
    <m/>
    <m/>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m/>
    <m/>
    <m/>
    <m/>
    <m/>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m/>
    <m/>
    <m/>
    <m/>
    <m/>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m/>
    <m/>
    <m/>
    <m/>
    <m/>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m/>
    <m/>
    <m/>
    <m/>
    <m/>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m/>
    <m/>
    <m/>
    <m/>
    <m/>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m/>
    <m/>
    <m/>
    <m/>
    <m/>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m/>
    <m/>
    <m/>
    <m/>
    <m/>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m/>
    <m/>
    <m/>
    <m/>
    <m/>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m/>
    <m/>
    <m/>
    <m/>
    <m/>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m/>
    <m/>
    <m/>
    <m/>
    <m/>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m/>
    <m/>
    <m/>
    <m/>
    <m/>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m/>
    <m/>
    <m/>
    <m/>
    <m/>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m/>
    <m/>
    <m/>
    <m/>
    <m/>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m/>
    <m/>
    <m/>
    <m/>
    <m/>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m/>
    <m/>
    <m/>
    <m/>
    <m/>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m/>
    <m/>
    <m/>
    <m/>
    <m/>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m/>
    <m/>
    <m/>
    <m/>
    <m/>
  </r>
  <r>
    <s v="186."/>
    <s v="SBA 26/186"/>
    <x v="23"/>
    <x v="19"/>
    <s v="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m/>
    <m/>
    <m/>
    <m/>
    <m/>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m/>
    <m/>
    <m/>
    <m/>
    <m/>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m/>
    <m/>
    <m/>
    <m/>
    <m/>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m/>
    <m/>
    <m/>
    <m/>
    <m/>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m/>
    <m/>
    <m/>
    <m/>
    <m/>
  </r>
  <r>
    <s v="191."/>
    <s v="SBA 26/191"/>
    <x v="135"/>
    <x v="51"/>
    <m/>
    <m/>
    <m/>
    <m/>
    <m/>
    <m/>
    <m/>
    <m/>
    <m/>
    <m/>
    <m/>
    <m/>
  </r>
  <r>
    <s v="192."/>
    <s v="SBA 26/192"/>
    <x v="135"/>
    <x v="51"/>
    <m/>
    <m/>
    <m/>
    <m/>
    <m/>
    <m/>
    <m/>
    <m/>
    <m/>
    <m/>
    <m/>
    <m/>
  </r>
  <r>
    <s v="193."/>
    <s v="SBA 26/193"/>
    <x v="135"/>
    <x v="51"/>
    <m/>
    <m/>
    <m/>
    <m/>
    <m/>
    <m/>
    <m/>
    <m/>
    <m/>
    <m/>
    <m/>
    <m/>
  </r>
  <r>
    <s v="194."/>
    <s v="SBA 26/194"/>
    <x v="135"/>
    <x v="51"/>
    <m/>
    <m/>
    <m/>
    <m/>
    <m/>
    <m/>
    <m/>
    <m/>
    <m/>
    <m/>
    <m/>
    <m/>
  </r>
  <r>
    <s v="195."/>
    <s v="SBA 26/195"/>
    <x v="135"/>
    <x v="51"/>
    <m/>
    <m/>
    <m/>
    <m/>
    <m/>
    <m/>
    <m/>
    <m/>
    <m/>
    <m/>
    <m/>
    <m/>
  </r>
  <r>
    <s v="196."/>
    <s v="SBA 26/196"/>
    <x v="135"/>
    <x v="51"/>
    <m/>
    <m/>
    <m/>
    <m/>
    <m/>
    <m/>
    <m/>
    <m/>
    <m/>
    <m/>
    <m/>
    <m/>
  </r>
  <r>
    <s v="197."/>
    <s v="SBA 26/197"/>
    <x v="135"/>
    <x v="51"/>
    <m/>
    <m/>
    <m/>
    <m/>
    <m/>
    <m/>
    <m/>
    <m/>
    <m/>
    <m/>
    <m/>
    <m/>
  </r>
  <r>
    <s v="198."/>
    <s v="SBA 26/198"/>
    <x v="135"/>
    <x v="51"/>
    <m/>
    <m/>
    <m/>
    <m/>
    <m/>
    <m/>
    <m/>
    <m/>
    <m/>
    <m/>
    <m/>
    <m/>
  </r>
  <r>
    <s v="199."/>
    <s v="SBA 26/199"/>
    <x v="135"/>
    <x v="51"/>
    <m/>
    <m/>
    <m/>
    <m/>
    <m/>
    <m/>
    <m/>
    <m/>
    <m/>
    <m/>
    <m/>
    <m/>
  </r>
  <r>
    <s v="200."/>
    <s v="SBA 26/200"/>
    <x v="135"/>
    <x v="51"/>
    <m/>
    <m/>
    <m/>
    <m/>
    <m/>
    <m/>
    <m/>
    <m/>
    <m/>
    <m/>
    <m/>
    <m/>
  </r>
  <r>
    <s v="201."/>
    <s v="SBA 26/201"/>
    <x v="135"/>
    <x v="51"/>
    <m/>
    <m/>
    <m/>
    <m/>
    <m/>
    <m/>
    <m/>
    <m/>
    <m/>
    <m/>
    <m/>
    <m/>
  </r>
  <r>
    <s v="202."/>
    <s v="SBA 26/202"/>
    <x v="135"/>
    <x v="51"/>
    <m/>
    <m/>
    <m/>
    <m/>
    <m/>
    <m/>
    <m/>
    <m/>
    <m/>
    <m/>
    <m/>
    <m/>
  </r>
  <r>
    <s v="203."/>
    <s v="SBA 26/203"/>
    <x v="135"/>
    <x v="51"/>
    <m/>
    <m/>
    <m/>
    <m/>
    <m/>
    <m/>
    <m/>
    <m/>
    <m/>
    <m/>
    <m/>
    <m/>
  </r>
  <r>
    <s v="204."/>
    <s v="SBA 26/204"/>
    <x v="135"/>
    <x v="51"/>
    <m/>
    <m/>
    <m/>
    <m/>
    <m/>
    <m/>
    <m/>
    <m/>
    <m/>
    <m/>
    <m/>
    <m/>
  </r>
  <r>
    <s v="205."/>
    <s v="SBA 26/205"/>
    <x v="135"/>
    <x v="51"/>
    <m/>
    <m/>
    <m/>
    <m/>
    <m/>
    <m/>
    <m/>
    <m/>
    <m/>
    <m/>
    <m/>
    <m/>
  </r>
  <r>
    <s v="206."/>
    <s v="SBA 26/206"/>
    <x v="135"/>
    <x v="51"/>
    <m/>
    <m/>
    <m/>
    <m/>
    <m/>
    <m/>
    <m/>
    <m/>
    <m/>
    <m/>
    <m/>
    <m/>
  </r>
  <r>
    <s v="207."/>
    <s v="SBA 26/207"/>
    <x v="135"/>
    <x v="51"/>
    <m/>
    <m/>
    <m/>
    <m/>
    <m/>
    <m/>
    <m/>
    <m/>
    <m/>
    <m/>
    <m/>
    <m/>
  </r>
  <r>
    <s v="208."/>
    <s v="SBA 26/208"/>
    <x v="135"/>
    <x v="51"/>
    <m/>
    <m/>
    <m/>
    <m/>
    <m/>
    <m/>
    <m/>
    <m/>
    <m/>
    <m/>
    <m/>
    <m/>
  </r>
  <r>
    <s v="209."/>
    <s v="SBA 26/209"/>
    <x v="135"/>
    <x v="51"/>
    <m/>
    <m/>
    <m/>
    <m/>
    <m/>
    <m/>
    <m/>
    <m/>
    <m/>
    <m/>
    <m/>
    <m/>
  </r>
  <r>
    <s v="210."/>
    <s v="SBA 26/210"/>
    <x v="135"/>
    <x v="51"/>
    <m/>
    <m/>
    <m/>
    <m/>
    <m/>
    <m/>
    <m/>
    <m/>
    <m/>
    <m/>
    <m/>
    <m/>
  </r>
  <r>
    <s v="211."/>
    <s v="SBA 26/211"/>
    <x v="135"/>
    <x v="51"/>
    <m/>
    <m/>
    <m/>
    <m/>
    <m/>
    <m/>
    <m/>
    <m/>
    <m/>
    <m/>
    <m/>
    <m/>
  </r>
  <r>
    <s v="212."/>
    <s v="SBA 26/212"/>
    <x v="135"/>
    <x v="51"/>
    <m/>
    <m/>
    <m/>
    <m/>
    <m/>
    <m/>
    <m/>
    <m/>
    <m/>
    <m/>
    <m/>
    <m/>
  </r>
  <r>
    <s v="213."/>
    <s v="SBA 26/213"/>
    <x v="135"/>
    <x v="51"/>
    <m/>
    <m/>
    <m/>
    <m/>
    <m/>
    <m/>
    <m/>
    <m/>
    <m/>
    <m/>
    <m/>
    <m/>
  </r>
  <r>
    <s v="214."/>
    <s v="SBA 26/214"/>
    <x v="135"/>
    <x v="51"/>
    <m/>
    <m/>
    <m/>
    <m/>
    <m/>
    <m/>
    <m/>
    <m/>
    <m/>
    <m/>
    <m/>
    <m/>
  </r>
  <r>
    <s v="215."/>
    <s v="SBA 26/215"/>
    <x v="135"/>
    <x v="51"/>
    <m/>
    <m/>
    <m/>
    <m/>
    <m/>
    <m/>
    <m/>
    <m/>
    <m/>
    <m/>
    <m/>
    <m/>
  </r>
  <r>
    <s v="216."/>
    <s v="SBA 26/216"/>
    <x v="135"/>
    <x v="51"/>
    <m/>
    <m/>
    <m/>
    <m/>
    <m/>
    <m/>
    <m/>
    <m/>
    <m/>
    <m/>
    <m/>
    <m/>
  </r>
  <r>
    <s v="217."/>
    <s v="SBA 26/217"/>
    <x v="135"/>
    <x v="51"/>
    <m/>
    <m/>
    <m/>
    <m/>
    <m/>
    <m/>
    <m/>
    <m/>
    <m/>
    <m/>
    <m/>
    <m/>
  </r>
  <r>
    <s v="218."/>
    <s v="SBA 26/218"/>
    <x v="135"/>
    <x v="51"/>
    <m/>
    <m/>
    <m/>
    <m/>
    <m/>
    <m/>
    <m/>
    <m/>
    <m/>
    <m/>
    <m/>
    <m/>
  </r>
  <r>
    <s v="219."/>
    <s v="SBA 26/219"/>
    <x v="135"/>
    <x v="51"/>
    <m/>
    <m/>
    <m/>
    <m/>
    <m/>
    <m/>
    <m/>
    <m/>
    <m/>
    <m/>
    <m/>
    <m/>
  </r>
  <r>
    <s v="220."/>
    <s v="SBA 26/220"/>
    <x v="135"/>
    <x v="51"/>
    <m/>
    <m/>
    <m/>
    <m/>
    <m/>
    <m/>
    <m/>
    <m/>
    <m/>
    <m/>
    <m/>
    <m/>
  </r>
  <r>
    <s v="221."/>
    <s v="SBA 26/221"/>
    <x v="135"/>
    <x v="51"/>
    <m/>
    <m/>
    <m/>
    <m/>
    <m/>
    <m/>
    <m/>
    <m/>
    <m/>
    <m/>
    <m/>
    <m/>
  </r>
  <r>
    <s v="222."/>
    <s v="SBA 26/222"/>
    <x v="135"/>
    <x v="51"/>
    <m/>
    <m/>
    <m/>
    <m/>
    <m/>
    <m/>
    <m/>
    <m/>
    <m/>
    <m/>
    <m/>
    <m/>
  </r>
  <r>
    <s v="223."/>
    <s v="SBA 26/223"/>
    <x v="135"/>
    <x v="51"/>
    <m/>
    <m/>
    <m/>
    <m/>
    <m/>
    <m/>
    <m/>
    <m/>
    <m/>
    <m/>
    <m/>
    <n v="0"/>
  </r>
  <r>
    <s v="224."/>
    <s v="SBA 26/224"/>
    <x v="135"/>
    <x v="51"/>
    <m/>
    <m/>
    <m/>
    <m/>
    <m/>
    <m/>
    <m/>
    <m/>
    <m/>
    <m/>
    <m/>
    <m/>
  </r>
  <r>
    <s v="225."/>
    <s v="SBA 26/225"/>
    <x v="135"/>
    <x v="51"/>
    <m/>
    <m/>
    <m/>
    <m/>
    <m/>
    <m/>
    <m/>
    <m/>
    <m/>
    <m/>
    <m/>
    <m/>
  </r>
  <r>
    <s v="226."/>
    <s v="SBA 26/226"/>
    <x v="135"/>
    <x v="51"/>
    <m/>
    <m/>
    <m/>
    <m/>
    <m/>
    <m/>
    <m/>
    <m/>
    <m/>
    <m/>
    <m/>
    <m/>
  </r>
  <r>
    <s v="227."/>
    <s v="SBA 26/227"/>
    <x v="135"/>
    <x v="51"/>
    <m/>
    <m/>
    <m/>
    <m/>
    <m/>
    <m/>
    <m/>
    <m/>
    <m/>
    <m/>
    <m/>
    <m/>
  </r>
  <r>
    <s v="228."/>
    <s v="SBA 26/228"/>
    <x v="135"/>
    <x v="51"/>
    <m/>
    <m/>
    <m/>
    <m/>
    <m/>
    <m/>
    <m/>
    <m/>
    <m/>
    <m/>
    <m/>
    <m/>
  </r>
  <r>
    <s v="229."/>
    <s v="SBA 26/229"/>
    <x v="135"/>
    <x v="51"/>
    <m/>
    <m/>
    <m/>
    <m/>
    <m/>
    <m/>
    <m/>
    <m/>
    <m/>
    <m/>
    <m/>
    <m/>
  </r>
  <r>
    <s v="230."/>
    <s v="SBA 26/230"/>
    <x v="135"/>
    <x v="51"/>
    <m/>
    <m/>
    <m/>
    <m/>
    <m/>
    <m/>
    <m/>
    <m/>
    <m/>
    <m/>
    <m/>
    <m/>
  </r>
  <r>
    <s v="231."/>
    <s v="SBA 26/231"/>
    <x v="135"/>
    <x v="51"/>
    <m/>
    <m/>
    <m/>
    <m/>
    <m/>
    <m/>
    <m/>
    <m/>
    <m/>
    <m/>
    <m/>
    <m/>
  </r>
  <r>
    <s v="232."/>
    <s v="SBA 26/232"/>
    <x v="135"/>
    <x v="51"/>
    <m/>
    <m/>
    <m/>
    <m/>
    <m/>
    <m/>
    <m/>
    <m/>
    <m/>
    <m/>
    <m/>
    <m/>
  </r>
  <r>
    <s v="233."/>
    <s v="SBA 26/233"/>
    <x v="135"/>
    <x v="51"/>
    <m/>
    <m/>
    <m/>
    <m/>
    <m/>
    <m/>
    <m/>
    <m/>
    <m/>
    <m/>
    <m/>
    <m/>
  </r>
  <r>
    <s v="234."/>
    <s v="SBA 26/234"/>
    <x v="135"/>
    <x v="51"/>
    <m/>
    <m/>
    <m/>
    <m/>
    <m/>
    <m/>
    <m/>
    <m/>
    <m/>
    <m/>
    <m/>
    <m/>
  </r>
  <r>
    <s v="235."/>
    <s v="SBA 26/235"/>
    <x v="135"/>
    <x v="51"/>
    <m/>
    <m/>
    <m/>
    <m/>
    <m/>
    <m/>
    <m/>
    <m/>
    <m/>
    <m/>
    <m/>
    <m/>
  </r>
  <r>
    <s v="236."/>
    <s v="SBA 26/236"/>
    <x v="135"/>
    <x v="51"/>
    <m/>
    <m/>
    <m/>
    <m/>
    <m/>
    <m/>
    <m/>
    <m/>
    <m/>
    <m/>
    <m/>
    <m/>
  </r>
  <r>
    <s v="237."/>
    <s v="SBA 26/237"/>
    <x v="135"/>
    <x v="51"/>
    <m/>
    <m/>
    <m/>
    <m/>
    <m/>
    <m/>
    <m/>
    <m/>
    <m/>
    <m/>
    <m/>
    <n v="0"/>
  </r>
  <r>
    <s v="238."/>
    <s v="SBA 26/238"/>
    <x v="135"/>
    <x v="51"/>
    <m/>
    <m/>
    <m/>
    <m/>
    <m/>
    <m/>
    <m/>
    <m/>
    <m/>
    <m/>
    <m/>
    <n v="0"/>
  </r>
  <r>
    <s v="239."/>
    <s v="SBA 26/239"/>
    <x v="135"/>
    <x v="51"/>
    <m/>
    <m/>
    <m/>
    <m/>
    <m/>
    <m/>
    <m/>
    <m/>
    <m/>
    <m/>
    <m/>
    <n v="0"/>
  </r>
  <r>
    <s v="240."/>
    <s v="SBA 26/240"/>
    <x v="135"/>
    <x v="51"/>
    <m/>
    <m/>
    <m/>
    <m/>
    <m/>
    <m/>
    <m/>
    <m/>
    <m/>
    <m/>
    <m/>
    <n v="0"/>
  </r>
  <r>
    <s v="241."/>
    <s v="SBA 26/241"/>
    <x v="135"/>
    <x v="51"/>
    <m/>
    <m/>
    <m/>
    <m/>
    <m/>
    <m/>
    <m/>
    <m/>
    <m/>
    <m/>
    <m/>
    <n v="0"/>
  </r>
  <r>
    <s v="242."/>
    <s v="SBA 26/242"/>
    <x v="135"/>
    <x v="51"/>
    <m/>
    <m/>
    <m/>
    <m/>
    <m/>
    <m/>
    <m/>
    <m/>
    <m/>
    <m/>
    <m/>
    <n v="0"/>
  </r>
  <r>
    <s v="243."/>
    <s v="SBA 26/243"/>
    <x v="135"/>
    <x v="51"/>
    <m/>
    <m/>
    <m/>
    <m/>
    <m/>
    <m/>
    <m/>
    <m/>
    <m/>
    <m/>
    <m/>
    <n v="0"/>
  </r>
  <r>
    <s v="244."/>
    <s v="SBA 26/244"/>
    <x v="135"/>
    <x v="51"/>
    <m/>
    <m/>
    <m/>
    <m/>
    <m/>
    <m/>
    <m/>
    <m/>
    <m/>
    <m/>
    <m/>
    <n v="0"/>
  </r>
  <r>
    <s v="245."/>
    <s v="SBA 26/245"/>
    <x v="135"/>
    <x v="51"/>
    <m/>
    <m/>
    <m/>
    <m/>
    <m/>
    <m/>
    <m/>
    <m/>
    <m/>
    <m/>
    <m/>
    <n v="0"/>
  </r>
  <r>
    <s v="246."/>
    <s v="SBA 26/246"/>
    <x v="135"/>
    <x v="51"/>
    <m/>
    <m/>
    <m/>
    <m/>
    <m/>
    <m/>
    <m/>
    <m/>
    <m/>
    <m/>
    <m/>
    <n v="0"/>
  </r>
  <r>
    <s v="247."/>
    <s v="SBA 26/247"/>
    <x v="135"/>
    <x v="51"/>
    <m/>
    <m/>
    <m/>
    <m/>
    <m/>
    <m/>
    <m/>
    <m/>
    <m/>
    <m/>
    <m/>
    <n v="0"/>
  </r>
  <r>
    <s v="248."/>
    <s v="SBA 26/248"/>
    <x v="135"/>
    <x v="51"/>
    <m/>
    <m/>
    <m/>
    <m/>
    <m/>
    <m/>
    <m/>
    <m/>
    <m/>
    <m/>
    <m/>
    <n v="0"/>
  </r>
  <r>
    <s v="249."/>
    <s v="SBA 26/249"/>
    <x v="135"/>
    <x v="51"/>
    <m/>
    <m/>
    <m/>
    <m/>
    <m/>
    <m/>
    <m/>
    <m/>
    <m/>
    <m/>
    <m/>
    <n v="0"/>
  </r>
  <r>
    <s v="250."/>
    <s v="SBA 26/250"/>
    <x v="135"/>
    <x v="51"/>
    <m/>
    <m/>
    <m/>
    <m/>
    <m/>
    <m/>
    <m/>
    <m/>
    <m/>
    <m/>
    <m/>
    <n v="0"/>
  </r>
  <r>
    <m/>
    <m/>
    <x v="135"/>
    <x v="51"/>
    <m/>
    <m/>
    <m/>
    <m/>
    <m/>
    <m/>
    <m/>
    <m/>
    <m/>
    <m/>
    <m/>
    <m/>
  </r>
  <r>
    <m/>
    <m/>
    <x v="135"/>
    <x v="51"/>
    <m/>
    <s v="“Üniversite Öğrencilerinde Ekran Zamanının ve Teknoloji Kullanımının Ruh Sağlığı Üzerindeki Etkileri”"/>
    <m/>
    <m/>
    <m/>
    <m/>
    <s v="ONAY"/>
    <n v="83"/>
    <n v="10"/>
    <n v="3"/>
    <n v="0"/>
    <n v="72"/>
  </r>
  <r>
    <m/>
    <m/>
    <x v="135"/>
    <x v="51"/>
    <m/>
    <s v="“Periodontal Durum, Oral Sağlık ve Sosyal Anksiyete Düzeyi Arasındaki İlişkinin İncelenmesi”"/>
    <m/>
    <m/>
    <m/>
    <m/>
    <s v="DÜZELTME"/>
    <n v="52"/>
    <n v="0"/>
    <n v="0"/>
    <n v="0"/>
    <n v="18"/>
  </r>
  <r>
    <m/>
    <m/>
    <x v="135"/>
    <x v="51"/>
    <m/>
    <s v="“65 Yaş Üstü Hastalarda Yaşlı Ayrımcılığına Maruziyet Sıklığı, Yaşlı Ayrımcılığının İlişkili Olduğu Faktörler ve Bakım Verenlerinde Yaşlanma Anksiyetesi”"/>
    <m/>
    <m/>
    <m/>
    <m/>
    <s v="KAEK"/>
    <n v="3"/>
    <n v="0"/>
    <n v="1"/>
    <n v="0"/>
    <n v="2"/>
  </r>
  <r>
    <m/>
    <m/>
    <x v="135"/>
    <x v="51"/>
    <m/>
    <s v="“Avrupa'da Geriatri Tıbbı Eğitim Programının Tamamlanması: Milenyum Kuşağı ve Z Kuşağı Geriatristlerinin Mesleki Beklentileri- Kesitsel, Avrupa Tabanlı Bir Çalışma”"/>
    <m/>
    <m/>
    <m/>
    <m/>
    <s v="GÖRÜŞ"/>
    <n v="2"/>
    <n v="7"/>
    <n v="0"/>
    <n v="0"/>
    <n v="5"/>
  </r>
  <r>
    <m/>
    <m/>
    <x v="135"/>
    <x v="51"/>
    <m/>
    <s v="“Sağlık Profesyonellerinin Besin ve İlaç Etkileşimleri Hakkında Bilgi ve Farkındalık Düzeylerinin Değerlendirilmesi”"/>
    <m/>
    <m/>
    <m/>
    <m/>
    <s v="KAPSAM DIŞI"/>
    <n v="1"/>
    <n v="0"/>
    <n v="0"/>
    <n v="0"/>
    <n v="1"/>
  </r>
  <r>
    <m/>
    <m/>
    <x v="135"/>
    <x v="51"/>
    <m/>
    <s v="“Çocuklarda Kedi, Köpek ve At Alerjisinde Moleküler Duyarlılık Özellikleri ve Klinik ile İlişkisi”"/>
    <m/>
    <m/>
    <m/>
    <m/>
    <s v="RET"/>
    <n v="2"/>
    <n v="0"/>
    <n v="0"/>
    <n v="0"/>
    <n v="2"/>
  </r>
  <r>
    <m/>
    <m/>
    <x v="135"/>
    <x v="51"/>
    <m/>
    <s v="“Denosumab Tedavisinde İnterlökin-6 Düzeyi ve DEXA Yanıtı İlişkisi: Retrospektif Bir Analiz”"/>
    <m/>
    <m/>
    <m/>
    <m/>
    <s v="GERİ ÇEKİLDİ"/>
    <n v="0"/>
    <n v="0"/>
    <n v="0"/>
    <n v="0"/>
    <n v="0"/>
  </r>
  <r>
    <m/>
    <m/>
    <x v="135"/>
    <x v="51"/>
    <m/>
    <s v="“Clostridium Difficile Enfeksiyonu Olan Hastanede Yatan 50 Yaş ve Üstü Hastaların Kapsamlı Geriatrik Değerlendirme ile Değerlendirilmesi”"/>
    <m/>
    <m/>
    <m/>
    <m/>
    <s v="TOPLAM"/>
    <n v="143"/>
    <n v="17"/>
    <n v="4"/>
    <n v="0"/>
    <n v="100"/>
  </r>
  <r>
    <m/>
    <m/>
    <x v="135"/>
    <x v="51"/>
    <m/>
    <s v="“İlaca Dirençli Epilepside MikroRNA İfade Değişikliklerinin Değerlendirilmesi”"/>
    <m/>
    <m/>
    <m/>
    <m/>
    <m/>
    <m/>
    <m/>
    <m/>
    <m/>
    <m/>
  </r>
  <r>
    <m/>
    <m/>
    <x v="135"/>
    <x v="51"/>
    <m/>
    <s v="“Emilebilir İp Uygulamaları ile Biyostimülan Ajanların Yüz Anatomisi Şekillendirme Kapasitesinin Değerlendirmesi: Retrospektif Gözlem Çalışması”"/>
    <m/>
    <m/>
    <m/>
    <m/>
    <m/>
    <m/>
    <m/>
    <m/>
    <m/>
    <m/>
  </r>
  <r>
    <m/>
    <m/>
    <x v="135"/>
    <x v="51"/>
    <m/>
    <s v="“Rozasea Hastalığının Bazı Alt Gruplarında Görülebilen Oküler Tutulumun Belirlenmesinde ve Takibinde Kullanılabilecek Yeni Biyobelirteçlerin Klinik Temelli Metabolomik Çalışmalarla Araştırılması”"/>
    <m/>
    <m/>
    <m/>
    <m/>
    <m/>
    <n v="107"/>
    <m/>
    <m/>
    <m/>
    <m/>
  </r>
  <r>
    <m/>
    <m/>
    <x v="135"/>
    <x v="51"/>
    <m/>
    <s v="“STAT1 ve STAT3 Mutasyonu olan Hastaların Klinik ve Laboratuvar Özelliklerinin Değerlendirilmesi”"/>
    <m/>
    <m/>
    <m/>
    <m/>
    <m/>
    <n v="107"/>
    <m/>
    <m/>
    <m/>
    <m/>
  </r>
  <r>
    <m/>
    <m/>
    <x v="135"/>
    <x v="51"/>
    <m/>
    <s v="“Emzirme Döneminde Beslenme: Annelerin İnanç ve Deneyimlerine Yönelik Kalitatif İnceleme”"/>
    <m/>
    <m/>
    <m/>
    <m/>
    <m/>
    <s v="⚠ DİKKAT: Boş bırakılan alanlar var!"/>
    <m/>
    <m/>
    <m/>
    <m/>
  </r>
  <r>
    <m/>
    <m/>
    <x v="135"/>
    <x v="51"/>
    <m/>
    <s v="&quot;Kadın Hastalarda Herediter Anjioödemin Seyri ve Klinik Özellikleri&quot;"/>
    <m/>
    <m/>
    <m/>
    <m/>
    <m/>
    <s v="⚠ DİKKAT: Boş bırakılan alanlar var!"/>
    <m/>
    <m/>
    <m/>
    <m/>
  </r>
  <r>
    <m/>
    <m/>
    <x v="135"/>
    <x v="51"/>
    <m/>
    <s v="&quot;Herediter Anjioödem Tanılı Hastalarda Dental İşlemlerin Klinik Sonuçları&quot;"/>
    <m/>
    <m/>
    <m/>
    <m/>
    <m/>
    <m/>
    <m/>
    <m/>
    <m/>
    <m/>
  </r>
  <r>
    <m/>
    <m/>
    <x v="135"/>
    <x v="51"/>
    <m/>
    <s v="&quot;Ağır Astımda Hedefe Yönelik Biyolojik Tedaviler: Benralizumabın Değerlendirilmesi &quot;"/>
    <m/>
    <m/>
    <m/>
    <m/>
    <m/>
    <m/>
    <m/>
    <m/>
    <m/>
    <m/>
  </r>
  <r>
    <m/>
    <m/>
    <x v="135"/>
    <x v="51"/>
    <m/>
    <s v="“Şeffaf Plak Tekniğinde Ramus Plağı veya Bukkal Shelf Minividası Kullanımının Mandibular Molar Distalizasyonuna Etkisinin FEM ile İncelenmesi”"/>
    <m/>
    <m/>
    <m/>
    <m/>
    <m/>
    <s v="L59"/>
    <m/>
    <m/>
    <m/>
    <m/>
  </r>
  <r>
    <m/>
    <m/>
    <x v="135"/>
    <x v="51"/>
    <m/>
    <s v="“Erken Dönem Yaşa Bağlı Makula Dejenerasyonunda Perimetri ile Makuler Parametrelerin İncelenmesi”"/>
    <m/>
    <m/>
    <m/>
    <m/>
    <m/>
    <s v="L73"/>
    <m/>
    <m/>
    <m/>
    <m/>
  </r>
  <r>
    <m/>
    <m/>
    <x v="135"/>
    <x v="51"/>
    <m/>
    <s v="“Babalarda Doğum Korkusu ile Fetal Bağlanma, Depresyon, Anksiyete ve Stres Arasındaki İlişkinin Belirlenmesi”"/>
    <m/>
    <m/>
    <m/>
    <m/>
    <m/>
    <s v="L147"/>
    <m/>
    <m/>
    <m/>
    <m/>
  </r>
  <r>
    <m/>
    <m/>
    <x v="135"/>
    <x v="51"/>
    <m/>
    <s v="“Aletli Periton Diyalizi Yapan Hastalarda Uzaktan Erişim Modüllerinin Hastanın Tedavi Uyumuna ve Diyaliz Yeterliliğine Olan Etkisinin İncelenmesi”"/>
    <m/>
    <m/>
    <m/>
    <m/>
    <m/>
    <s v="L148"/>
    <m/>
    <m/>
    <m/>
    <m/>
  </r>
  <r>
    <m/>
    <m/>
    <x v="135"/>
    <x v="51"/>
    <m/>
    <s v="“Mandibular Tek Taraflı Kondil Hiperplazisi Olan Hastalarda Eklem Aralığı ve Gonial Açı Ölçümlerinin Retrospektif Analizi”"/>
    <m/>
    <m/>
    <m/>
    <m/>
    <m/>
    <s v="L149"/>
    <m/>
    <m/>
    <m/>
    <m/>
  </r>
  <r>
    <m/>
    <m/>
    <x v="135"/>
    <x v="51"/>
    <m/>
    <s v="“Ev Hanımlarında Sosyal Medya Kullanımının Okupasyonel Denge ve Zaman Yönetimi ile İlişkisinin İncelenmesi”"/>
    <m/>
    <m/>
    <m/>
    <m/>
    <m/>
    <s v="L150"/>
    <m/>
    <m/>
    <m/>
    <m/>
  </r>
  <r>
    <m/>
    <m/>
    <x v="135"/>
    <x v="51"/>
    <m/>
    <s v="“Yaşlı Bireylerin Yardımcı Teknoloji Kullanımına Bakış Açıları: Nitel Araştırma”"/>
    <m/>
    <m/>
    <m/>
    <m/>
    <m/>
    <s v="L151"/>
    <m/>
    <m/>
    <m/>
    <m/>
  </r>
  <r>
    <m/>
    <m/>
    <x v="135"/>
    <x v="51"/>
    <m/>
    <s v="“AKUT Gönüllülerinde Psikolojik Sağlamlığın İş Yaşam Kalitesi ile İlişkisinin İncelenmesi”"/>
    <m/>
    <m/>
    <m/>
    <m/>
    <m/>
    <s v="L152"/>
    <m/>
    <m/>
    <m/>
    <m/>
  </r>
  <r>
    <m/>
    <m/>
    <x v="135"/>
    <x v="51"/>
    <m/>
    <s v="“Disleksi Tanısı Alan Üniversite Öğrencilerinin Yükseköğrenim Serüveni: Nitel Bir Çalışma”"/>
    <m/>
    <m/>
    <m/>
    <m/>
    <m/>
    <s v="L153"/>
    <m/>
    <m/>
    <m/>
    <m/>
  </r>
  <r>
    <m/>
    <m/>
    <x v="135"/>
    <x v="51"/>
    <m/>
    <s v="“Çocukluk Çağı Başlangıçlı Takayasu Arteritlerinin Romatolojik ve Kardiyolojik Değerlendirilmesi”"/>
    <m/>
    <m/>
    <m/>
    <m/>
    <m/>
    <s v="L154"/>
    <m/>
    <m/>
    <m/>
    <m/>
  </r>
  <r>
    <m/>
    <m/>
    <x v="135"/>
    <x v="51"/>
    <m/>
    <s v="“Sigara Bırakma Polikliniğine Başvuran Bireylerde Motivasyonel Görüşmenin Sürece Etkilerinin Nitel Olarak ve Yapay Zeka Resim Analizi ile İncelenmesi”"/>
    <m/>
    <m/>
    <m/>
    <m/>
    <m/>
    <s v="L155"/>
    <m/>
    <m/>
    <m/>
    <m/>
  </r>
  <r>
    <m/>
    <m/>
    <x v="135"/>
    <x v="51"/>
    <m/>
    <s v="“Gebelerin ve Postpartum ilk 6 Aydaki Annelerin Topuk Kanı Taraması Hakkındaki Düşünceleri: Kalitatif Çalışma”"/>
    <m/>
    <m/>
    <m/>
    <m/>
    <m/>
    <s v="L156"/>
    <m/>
    <m/>
    <m/>
    <m/>
  </r>
  <r>
    <m/>
    <m/>
    <x v="135"/>
    <x v="51"/>
    <m/>
    <s v="“Ataksi Telanjiektazi Hastalarının Klinik Değerlendirmeleri ile Kraniyal Manyetik Rezonans Görüntüleme Bulgularının İlişkisinin Araştırılması”"/>
    <m/>
    <m/>
    <m/>
    <m/>
    <m/>
    <s v="L157"/>
    <m/>
    <m/>
    <m/>
    <m/>
  </r>
  <r>
    <m/>
    <m/>
    <x v="135"/>
    <x v="51"/>
    <m/>
    <s v="“Pediatrik Kriptojenik Nörolojik Hastalıklarda İnsizyonel Beyin Biyopsisinin Tanıya Katkısı”"/>
    <m/>
    <m/>
    <m/>
    <m/>
    <m/>
    <s v="L158"/>
    <m/>
    <m/>
    <m/>
    <m/>
  </r>
  <r>
    <m/>
    <m/>
    <x v="135"/>
    <x v="51"/>
    <m/>
    <s v="“Posterior Üvea Nevüsü, Üvea Melanomu ve Sınırlı Koroid Hemanjiyomu Hastalıklarının Ayırıcı Tanısında Makine Öğrenmesi Temelli Yapay Zeka Algoritması Oluşturulması”"/>
    <m/>
    <m/>
    <m/>
    <m/>
    <m/>
    <s v="L159"/>
    <m/>
    <m/>
    <m/>
    <m/>
  </r>
  <r>
    <m/>
    <m/>
    <x v="135"/>
    <x v="51"/>
    <m/>
    <s v="&quot; 0-48 ay Arasındaki Çocuklarının Aşılanma Durumları ile Ebeveynlerin E-sağlık Okuryazarlığı Düzeyi Arasındaki İlişkinin İncelenmesi”"/>
    <m/>
    <m/>
    <m/>
    <m/>
    <m/>
    <s v="L160"/>
    <m/>
    <m/>
    <m/>
    <m/>
  </r>
  <r>
    <m/>
    <m/>
    <x v="135"/>
    <x v="51"/>
    <m/>
    <s v="“Sele Bireysel Hazırlık Bilgi ve Davranış Ölçeklerinin Uyarlanarak, Etiyopya’nın Kelafo İlçesinde Yaşayan Risk Altı Nüfusun Hazırlık Düzeyinin ve İlişkili Faktörlerin Belirlenmesi”"/>
    <m/>
    <m/>
    <m/>
    <m/>
    <m/>
    <s v="L161"/>
    <m/>
    <m/>
    <m/>
    <m/>
  </r>
  <r>
    <m/>
    <m/>
    <x v="135"/>
    <x v="51"/>
    <m/>
    <s v="“65 Yaş ve Üstündeki Hastalarda Kalp Yetmezliği Semptomları ile Oral Beslenme Desteği İlişkisinin Değerlendirilmesi”"/>
    <m/>
    <m/>
    <m/>
    <m/>
    <m/>
    <s v="L162"/>
    <m/>
    <m/>
    <m/>
    <m/>
  </r>
  <r>
    <m/>
    <m/>
    <x v="135"/>
    <x v="51"/>
    <m/>
    <s v="“Alzheimer Hastalığında Disfaji ile Manyetik Rezonans Görüntülemesiyle Beyindeki Atrofi Alanları Arasındaki İlişkinin İncelenmesi”"/>
    <m/>
    <m/>
    <m/>
    <m/>
    <m/>
    <s v="L163"/>
    <m/>
    <m/>
    <m/>
    <m/>
  </r>
  <r>
    <m/>
    <m/>
    <x v="135"/>
    <x v="51"/>
    <m/>
    <s v="“Güncel Vestibüler Hastalıkların Tanısında Vestibüler Test Bataryaları ve Vestibüler Rehabilitasyon Yaklaşımlarının Belirlenmesi”"/>
    <m/>
    <m/>
    <m/>
    <m/>
    <m/>
    <s v="L164"/>
    <m/>
    <m/>
    <m/>
    <m/>
  </r>
  <r>
    <m/>
    <m/>
    <x v="135"/>
    <x v="51"/>
    <m/>
    <s v="“Multipl Skleroz Hastalarında Hastalık Modifiye Edici Tedavilerin Yan Etkilerinin Yaş ve Cinsiyete Göre İncelenmesi”"/>
    <m/>
    <m/>
    <m/>
    <m/>
    <m/>
    <s v="L165"/>
    <m/>
    <m/>
    <m/>
    <m/>
  </r>
  <r>
    <m/>
    <m/>
    <x v="135"/>
    <x v="51"/>
    <m/>
    <s v="“Rituksimabın Santral Sinir Sistemi Demiyelinizan ve Otoimmün Hastalıklarında Etkililik ve Güvenliliği: Tek Merkez Deneyimi”"/>
    <m/>
    <m/>
    <m/>
    <m/>
    <m/>
    <s v="L166"/>
    <m/>
    <m/>
    <m/>
    <m/>
  </r>
  <r>
    <m/>
    <m/>
    <x v="135"/>
    <x v="51"/>
    <m/>
    <s v="“Onkolojik veya Hematolojik Malignitesi Olan Nötropenik Hastalarda Karbapenemaz Üreten Enterobacterales Sebepli Bakteriyemi Tedavisinde Seftazidim/Avibaktam”"/>
    <m/>
    <m/>
    <m/>
    <m/>
    <m/>
    <s v="L167"/>
    <m/>
    <m/>
    <m/>
    <m/>
  </r>
  <r>
    <m/>
    <m/>
    <x v="135"/>
    <x v="51"/>
    <m/>
    <s v="“Karbapeneme Dirençli Klebsilla pneumoniae ile Gelişen Kan Dolaşımı Enfeksiyonlarında Risk Faktörleri, Mortalite ve Moleküler Epidemiyolojik Verilerin Araştırılması: Karşılaştırmalı Retrospektif Analiz”"/>
    <m/>
    <m/>
    <m/>
    <m/>
    <m/>
    <s v="L168"/>
    <m/>
    <m/>
    <m/>
    <m/>
  </r>
  <r>
    <m/>
    <m/>
    <x v="135"/>
    <x v="51"/>
    <m/>
    <s v="“Tekil Gebeliklerin İlk Trimesterdeki Myometrial Kalınlık Ölçümleriyle Preterm Doğum İlişkisi”"/>
    <m/>
    <m/>
    <m/>
    <m/>
    <m/>
    <s v="L169"/>
    <m/>
    <m/>
    <m/>
    <m/>
  </r>
  <r>
    <m/>
    <m/>
    <x v="135"/>
    <x v="51"/>
    <m/>
    <s v="“Terapötik Hikaye İçerikli Bilgilendirici İnteraktif Mobil Uygulamanın Çocuk Kalp Cerrahisi Uygulanacak Hastaların Anksiyete Seviyelerine Etkisi”"/>
    <m/>
    <m/>
    <m/>
    <m/>
    <m/>
    <s v="L170"/>
    <m/>
    <m/>
    <m/>
    <m/>
  </r>
  <r>
    <m/>
    <m/>
    <x v="135"/>
    <x v="51"/>
    <m/>
    <s v="“Karaciğer Transplantasyonu Geçirmiş Bireylerde Kardiyovasküler ve Kassal Parametrelerin, Motor Kognitif Performansın, Bilişsel Fonksiyonun, Kinezyofobinin ve Yaşam Kalitesinin İncelenmesi”"/>
    <m/>
    <m/>
    <m/>
    <m/>
    <m/>
    <s v="L171"/>
    <m/>
    <m/>
    <m/>
    <m/>
  </r>
  <r>
    <m/>
    <m/>
    <x v="135"/>
    <x v="51"/>
    <m/>
    <s v="“Endodontik-Periodontal Lezyonlarda Etyoloji, Prognoz ve Tedavi Yaklaşımlarının Endodontist ve Periodontist Perspektifinden Değerlendirilmesi: Gözlemsel Bir Çalışma”"/>
    <m/>
    <m/>
    <m/>
    <m/>
    <m/>
    <s v="L172"/>
    <m/>
    <m/>
    <m/>
    <m/>
  </r>
  <r>
    <m/>
    <m/>
    <x v="135"/>
    <x v="51"/>
    <m/>
    <s v="“Artan Trichophyton İndotineae Vakalarının Retrospektif Değerlendirilmesi”"/>
    <m/>
    <m/>
    <m/>
    <m/>
    <m/>
    <s v="L173"/>
    <m/>
    <m/>
    <m/>
    <m/>
  </r>
  <r>
    <m/>
    <m/>
    <x v="135"/>
    <x v="51"/>
    <m/>
    <s v="“Tıp Öğrencilerinde İyilik Hali Düzeyini Arttırmaya Yönelik Bir Program: Pilot Uygulama”"/>
    <m/>
    <m/>
    <m/>
    <m/>
    <m/>
    <s v="L174"/>
    <m/>
    <m/>
    <m/>
    <m/>
  </r>
  <r>
    <m/>
    <m/>
    <x v="135"/>
    <x v="51"/>
    <m/>
    <s v="“Tıpta Yan Dal Uzmanlık Eğitimi Tercihlerini Belirleyen Etkenler”"/>
    <m/>
    <m/>
    <m/>
    <m/>
    <m/>
    <s v="L175"/>
    <m/>
    <m/>
    <m/>
    <m/>
  </r>
  <r>
    <m/>
    <m/>
    <x v="135"/>
    <x v="51"/>
    <m/>
    <s v="“Erişkin Subklinik Hipotiroidili Hastalarda Kardiyak Fonksiyonların İncelenmesi”"/>
    <m/>
    <m/>
    <m/>
    <m/>
    <m/>
    <s v="L176"/>
    <m/>
    <m/>
    <m/>
    <m/>
  </r>
  <r>
    <m/>
    <m/>
    <x v="135"/>
    <x v="51"/>
    <m/>
    <s v="“Oktogenarian Kolon Kanserli Hastalarda Tedavi Etkinliğinin ve Uyumunun Değerlendirilmesi"/>
    <m/>
    <m/>
    <m/>
    <m/>
    <m/>
    <s v="L177"/>
    <m/>
    <m/>
    <m/>
    <m/>
  </r>
  <r>
    <m/>
    <m/>
    <x v="135"/>
    <x v="51"/>
    <m/>
    <s v="“Çocuklarda Antimikrobiyal İlaç Desensitizasyonlarının Etkinliği ve Güvenilirliği”"/>
    <m/>
    <m/>
    <m/>
    <m/>
    <m/>
    <s v="L178"/>
    <m/>
    <m/>
    <m/>
    <m/>
  </r>
  <r>
    <m/>
    <m/>
    <x v="135"/>
    <x v="51"/>
    <m/>
    <s v="“Çocuklarda Kemoterapötik İlaç Desensitizasyonlarının Etkinliği ve Güvenliği”"/>
    <m/>
    <m/>
    <m/>
    <m/>
    <m/>
    <s v="L179"/>
    <m/>
    <m/>
    <m/>
    <m/>
  </r>
  <r>
    <m/>
    <m/>
    <x v="135"/>
    <x v="51"/>
    <m/>
    <s v="“Rezin İnfiltrasyon Tekniğinde Farklı Pürüzlendirme Yöntemlerinin Renk Stabilitesine ve Yüzey Pürüzlülüğüne Etkisi”"/>
    <m/>
    <m/>
    <m/>
    <m/>
    <m/>
    <s v="L180"/>
    <m/>
    <m/>
    <m/>
    <m/>
  </r>
  <r>
    <m/>
    <m/>
    <x v="135"/>
    <x v="51"/>
    <m/>
    <s v="“İnfertil Göçmen Kadınların Aile Yaşantılarının Sosyal Hizmet Perspektifiyle İncelenmesi”"/>
    <m/>
    <m/>
    <m/>
    <m/>
    <m/>
    <s v="L181"/>
    <m/>
    <m/>
    <m/>
    <m/>
  </r>
  <r>
    <m/>
    <m/>
    <x v="135"/>
    <x v="51"/>
    <m/>
    <s v="“Dikkat Eksikliği Hiperaktivite Bozukluğu olan Ergenlerde Nikotin Tüketimi, Zihin Gezinmesi, Duygu Düzenleme, Zihinselleştirme ve Yürütücü İşlevlerin İncelenmesi”"/>
    <m/>
    <m/>
    <m/>
    <m/>
    <m/>
    <s v="L182"/>
    <m/>
    <m/>
    <m/>
    <m/>
  </r>
  <r>
    <m/>
    <m/>
    <x v="135"/>
    <x v="51"/>
    <m/>
    <s v="“Primer İmmün Yetmezlikli Hastalarda Nutrisyonel Durumun Değerlendirilmesi ve Vücut Kompozisyonu Ölçümü”"/>
    <m/>
    <m/>
    <m/>
    <m/>
    <m/>
    <s v="L183"/>
    <m/>
    <m/>
    <m/>
    <m/>
  </r>
  <r>
    <m/>
    <m/>
    <x v="135"/>
    <x v="51"/>
    <m/>
    <s v="“Farklı Kök Kanal Doldurma Teknikleri ile Doldurulmuş Dişlerde Kanal Dolgusu Sökümü Sonrası Apikalden Taşmanın Değerlendirilmesi”"/>
    <m/>
    <m/>
    <m/>
    <m/>
    <m/>
    <s v="L184"/>
    <m/>
    <m/>
    <m/>
    <m/>
  </r>
  <r>
    <m/>
    <m/>
    <x v="135"/>
    <x v="51"/>
    <m/>
    <s v="“Son Bir Yılda Türkiye'deki Çocuk Yoğun Bakımlarda Miyokardit”"/>
    <m/>
    <m/>
    <m/>
    <m/>
    <m/>
    <s v="L185"/>
    <m/>
    <m/>
    <m/>
    <m/>
  </r>
  <r>
    <m/>
    <m/>
    <x v="135"/>
    <x v="51"/>
    <m/>
    <s v="“Vücudu Dik Pozisyona Getirerek Yerden Ağırlık Kaldırışının (Deadlift) Biyomekanik Modellenmesi”"/>
    <m/>
    <m/>
    <m/>
    <m/>
    <m/>
    <s v="L186"/>
    <m/>
    <m/>
    <m/>
    <m/>
  </r>
  <r>
    <m/>
    <m/>
    <x v="135"/>
    <x v="51"/>
    <m/>
    <s v="“Hizmet Alanların Gözünden Boşluk Modeline Dayalı Olarak Hemşirelik Mesleğinin İmajının İncelenmesi: Nöropazarlama Analizi”"/>
    <m/>
    <m/>
    <m/>
    <m/>
    <m/>
    <s v="L187"/>
    <m/>
    <m/>
    <m/>
    <m/>
  </r>
  <r>
    <m/>
    <m/>
    <x v="135"/>
    <x v="51"/>
    <m/>
    <s v="“Astım Tanılı Ergenlerde Menstruasyonun Astım Kontrolü Üzerindeki Etkisi”"/>
    <m/>
    <m/>
    <m/>
    <m/>
    <m/>
    <s v="L188"/>
    <m/>
    <m/>
    <m/>
    <m/>
  </r>
  <r>
    <m/>
    <m/>
    <x v="135"/>
    <x v="51"/>
    <m/>
    <s v="“Asemptomatik Tansiyon Düşüklüğü Olan Hastalarda Endotel Disfonksiyonu ve Renin-Anjiyotensin-Aldosteron Sistem Fonksiyonlarının Değerlendirilmesi”"/>
    <m/>
    <m/>
    <m/>
    <m/>
    <m/>
    <s v="L189"/>
    <m/>
    <m/>
    <m/>
    <m/>
  </r>
  <r>
    <m/>
    <m/>
    <x v="135"/>
    <x v="51"/>
    <m/>
    <s v="“Uyku Apnesi Olmayan Ancak Nazal Septal Deviasyonu Olan Hastalarda Septoplasti Ameliyatı Öncesi ve Sonrası Serum Melatonin Düzeylerinin Karşılaştırılması”"/>
    <m/>
    <m/>
    <m/>
    <m/>
    <m/>
    <s v="L190"/>
    <m/>
    <m/>
    <m/>
    <m/>
  </r>
  <r>
    <m/>
    <m/>
    <x v="135"/>
    <x v="51"/>
    <m/>
    <s v="“Sekonder Hipertansiyon Klinik Özellikleri ve Tanıda Bilgisayarlı Tomografinin Rolü”"/>
    <m/>
    <m/>
    <m/>
    <m/>
    <m/>
    <s v="L191"/>
    <m/>
    <m/>
    <m/>
    <m/>
  </r>
  <r>
    <m/>
    <m/>
    <x v="135"/>
    <x v="51"/>
    <m/>
    <s v="“Kronik Hastalığı Olan Çocukların Eğitiminde Yapay Zeka Kullanımına İlişkin Pediatri Hemşirelerinin Metaforlarının Analizi”"/>
    <m/>
    <m/>
    <m/>
    <m/>
    <m/>
    <s v="L192"/>
    <m/>
    <m/>
    <m/>
    <m/>
  </r>
  <r>
    <m/>
    <m/>
    <x v="135"/>
    <x v="51"/>
    <m/>
    <s v="“Translasyonel Preklinik Modeller ile Pulmoner Fibrozis İçin Yeni Tedavi Yaklaşımlarının Geliştirilmesi”"/>
    <m/>
    <m/>
    <m/>
    <m/>
    <m/>
    <s v="L193"/>
    <m/>
    <m/>
    <m/>
    <m/>
  </r>
  <r>
    <m/>
    <m/>
    <x v="135"/>
    <x v="51"/>
    <m/>
    <s v="“Kronik Spontan Ürtiker Tanılı Adölesan Hastalarda Menstrüel Siklusun Hastalık Aktiviyesi Üzerine Etkisi”"/>
    <m/>
    <m/>
    <m/>
    <m/>
    <m/>
    <s v="L194"/>
    <m/>
    <m/>
    <m/>
    <m/>
  </r>
  <r>
    <m/>
    <m/>
    <x v="135"/>
    <x v="51"/>
    <m/>
    <s v="“Atopik Dermatit Tanılı 1-3 Yaş Arası Çocuklarda Besin Alerjisi Varlığının Lezyonel ve Non-lezyonel Deri Bölgelerindeki Sitokin ve Mikrobiyom Özelliklerine Etkisi”"/>
    <m/>
    <m/>
    <m/>
    <m/>
    <m/>
    <s v="L195"/>
    <m/>
    <m/>
    <m/>
    <m/>
  </r>
  <r>
    <m/>
    <m/>
    <x v="135"/>
    <x v="51"/>
    <m/>
    <s v="“Septik Artrit ve Osteomyelit Tanılı 0-18 Yaş Arasındaki Hastaların Klinik, Etiyolojik ve Epidemiyolojik Açıdan İncelenmesi”"/>
    <m/>
    <m/>
    <m/>
    <m/>
    <m/>
    <s v="L196"/>
    <m/>
    <m/>
    <m/>
    <m/>
  </r>
  <r>
    <m/>
    <m/>
    <x v="135"/>
    <x v="51"/>
    <m/>
    <s v="“Akciğer Kanserinde Lipid Metabolizması ile İmmün Sistem İlişkisi”"/>
    <m/>
    <m/>
    <m/>
    <m/>
    <m/>
    <s v="L197"/>
    <m/>
    <m/>
    <m/>
    <m/>
  </r>
  <r>
    <m/>
    <m/>
    <x v="135"/>
    <x v="51"/>
    <m/>
    <s v="“Farklı Ajanların İmmün Hücre Metabolizması ve Proliferasyonuna Etkileri”"/>
    <m/>
    <m/>
    <m/>
    <m/>
    <m/>
    <s v="L198"/>
    <m/>
    <m/>
    <m/>
    <m/>
  </r>
  <r>
    <m/>
    <m/>
    <x v="135"/>
    <x v="51"/>
    <m/>
    <s v="“Baş-boyun, Beyin ve Spinal Tümörlerin CEST Görüntüleme Yöntemi ile Değerlendirilmesi”"/>
    <m/>
    <m/>
    <m/>
    <m/>
    <m/>
    <s v="L199"/>
    <m/>
    <m/>
    <m/>
    <m/>
  </r>
  <r>
    <m/>
    <m/>
    <x v="135"/>
    <x v="51"/>
    <m/>
    <s v="“Midpalatal Sütur Olgunlaşmasının Değerlendirilmesinde Yeni Bir Metot”"/>
    <m/>
    <m/>
    <m/>
    <m/>
    <m/>
    <s v="L200"/>
    <m/>
    <m/>
    <m/>
    <m/>
  </r>
  <r>
    <m/>
    <m/>
    <x v="135"/>
    <x v="51"/>
    <m/>
    <s v="“Beyin Tümörünün Postoperatif Tedavisinde Antikanser/Antianjiogenik İlaç ve Kök Hücre İçeren, 3B Yazıcı ile Kişiselleştirilebilir İmplantların Geliştirilmesi ve İnvitro/İnvivo Değerlendirilmesi”"/>
    <m/>
    <m/>
    <m/>
    <m/>
    <m/>
    <s v="L201"/>
    <m/>
    <m/>
    <m/>
    <m/>
  </r>
  <r>
    <m/>
    <m/>
    <x v="135"/>
    <x v="51"/>
    <m/>
    <s v="“Multipl Skleroz Tanılı Hastalarda Telomer Uzunluğu Analizi: Prognoz, Klinik Fenotip, Dizabilite ve Manyetik Rezonans Görüntüleme Beyin Volüm Değişiklikleri ile İlişkisi”"/>
    <m/>
    <m/>
    <m/>
    <m/>
    <m/>
    <s v="L202"/>
    <m/>
    <m/>
    <m/>
    <m/>
  </r>
  <r>
    <m/>
    <m/>
    <x v="135"/>
    <x v="51"/>
    <m/>
    <s v="“Psoriatik Tırnak Bulgularının İncelenmesi ve Psoriatik Artrit ile İlişkisi”"/>
    <m/>
    <m/>
    <m/>
    <m/>
    <m/>
    <s v="L203"/>
    <m/>
    <m/>
    <m/>
    <m/>
  </r>
  <r>
    <m/>
    <m/>
    <x v="135"/>
    <x v="51"/>
    <m/>
    <s v="“IL-1 İnhibitörü Tedavisi ve Kolşisin Tedavisi Alan Ailevi Akdeniz Ateşi Hastalarında Kemik Dönüşüm Belirteçlerinin Karşılaştırılması”"/>
    <m/>
    <m/>
    <m/>
    <m/>
    <m/>
    <s v="L204"/>
    <m/>
    <m/>
    <m/>
    <m/>
  </r>
  <r>
    <m/>
    <m/>
    <x v="135"/>
    <x v="51"/>
    <m/>
    <s v="“Triple Negatif Meme Kanseri Tanılı Hastaların Klinik Özellikleri ve Tedavi Sonuçlarının İncelenmesi”"/>
    <m/>
    <m/>
    <m/>
    <m/>
    <m/>
    <s v="L205"/>
    <m/>
    <m/>
    <m/>
    <m/>
  </r>
  <r>
    <m/>
    <m/>
    <x v="135"/>
    <x v="51"/>
    <m/>
    <s v="“WaLIDD Skorunun Türkçe Geçerlik ve Güvenirlik Çalışması”"/>
    <m/>
    <m/>
    <m/>
    <m/>
    <m/>
    <s v="L206"/>
    <m/>
    <m/>
    <m/>
    <m/>
  </r>
  <r>
    <m/>
    <m/>
    <x v="135"/>
    <x v="51"/>
    <m/>
    <s v="“Ulusal Yenidoğan Tarama Programı ile Konjenital Hipotiroidi Tanısı Alarak İzlemde Geçici ve Kalıcı Konjenital Hipotiroidi Tanımlanan Olguların Retrospektif Değerlendirmesi&quot;"/>
    <m/>
    <m/>
    <m/>
    <m/>
    <m/>
    <s v="L207"/>
    <m/>
    <m/>
    <m/>
    <m/>
  </r>
  <r>
    <m/>
    <m/>
    <x v="135"/>
    <x v="51"/>
    <m/>
    <s v="“Fibromiyalji Tanılı Hastalarda İstenilen Görüntüleme Yöntemleri ile Geçirilmiş Cerrahi Operasyonların Sıklığı&quot;"/>
    <m/>
    <m/>
    <m/>
    <m/>
    <m/>
    <s v="L208"/>
    <m/>
    <m/>
    <m/>
    <m/>
  </r>
  <r>
    <m/>
    <m/>
    <x v="135"/>
    <x v="51"/>
    <m/>
    <s v="“Üçüncü Basamak Sağlık Merkezinde Pediatrik Osteoporoz Olgularının Etiyolojik Dağılımı, Klinik ve Laboratuvar Özellikleri”"/>
    <m/>
    <m/>
    <m/>
    <m/>
    <m/>
    <s v="L209"/>
    <m/>
    <m/>
    <m/>
    <m/>
  </r>
  <r>
    <m/>
    <m/>
    <x v="135"/>
    <x v="51"/>
    <m/>
    <s v="“Pediatrik Brakiosefalik Ven Kateterizasyonlarının Komplikasyonlar Açısından Retrospektif Olarak İncelenmesi”"/>
    <m/>
    <m/>
    <m/>
    <m/>
    <m/>
    <s v="L210"/>
    <m/>
    <m/>
    <m/>
    <m/>
  </r>
  <r>
    <m/>
    <m/>
    <x v="135"/>
    <x v="51"/>
    <m/>
    <s v="“İyon Salan Restoratif Dental Malzemelerin Bazı Mekanik Özellikler ve Mikrosızıntı Açısından İn-Vitro Olarak Değerlendirilmesi”"/>
    <m/>
    <m/>
    <m/>
    <m/>
    <m/>
    <s v="L211"/>
    <m/>
    <m/>
    <m/>
    <m/>
  </r>
  <r>
    <m/>
    <m/>
    <x v="135"/>
    <x v="51"/>
    <m/>
    <s v="“Glutatyon S Transferaz P1 Enziminin Triple-Negatif Meme Kanser Hücrelerinde Ferroptoz Üzerindeki Rolünün İncelenmesi”"/>
    <m/>
    <m/>
    <m/>
    <m/>
    <m/>
    <s v="L212"/>
    <m/>
    <m/>
    <m/>
    <m/>
  </r>
  <r>
    <m/>
    <m/>
    <x v="135"/>
    <x v="51"/>
    <m/>
    <s v="&quot;Tip I Diyabet Tanısı Olan Çocukların Sağlıkta Baba Katılımlarının Değerlendirilmesi&quot;"/>
    <m/>
    <m/>
    <m/>
    <m/>
    <m/>
    <s v="L213"/>
    <m/>
    <m/>
    <m/>
    <m/>
  </r>
  <r>
    <m/>
    <m/>
    <x v="135"/>
    <x v="51"/>
    <m/>
    <s v="“Kronik Myeloid Lösemi Blastik Faz Hastalarının Tek Merkezden Gerçek Yaşam Verileriyle Retrospektif İncelenmesi”"/>
    <m/>
    <m/>
    <m/>
    <m/>
    <m/>
    <s v="L214"/>
    <m/>
    <m/>
    <m/>
    <m/>
  </r>
  <r>
    <m/>
    <m/>
    <x v="135"/>
    <x v="51"/>
    <m/>
    <s v="“Çocukluk Çağı Eksojen Obezite Tedavisinde Yaşam Tarzı Değişikliği Önerilerinin Etkinliğinin İncelenmesi”"/>
    <m/>
    <m/>
    <m/>
    <m/>
    <m/>
    <s v="L215"/>
    <m/>
    <m/>
    <m/>
    <m/>
  </r>
  <r>
    <m/>
    <m/>
    <x v="135"/>
    <x v="51"/>
    <m/>
    <s v="“Bifosfonat Kullanan Hastalarda İlaca Bağlı Olarak Çenelerde Görülen Osteonekrozun Etyopatogenezinde Otofaji, Apoptoz ve Nekrozun Rolü”"/>
    <m/>
    <m/>
    <m/>
    <m/>
    <m/>
    <s v="L216"/>
    <m/>
    <m/>
    <m/>
    <m/>
  </r>
  <r>
    <m/>
    <m/>
    <x v="135"/>
    <x v="51"/>
    <m/>
    <s v="&quot;Kronik Lenfositik Lösemi Hastalarında Ekstrameduller Tutulumunun Prognostik, Klinik, Laboratuvar, Tedavi Yanıtı Açısından Değerlendirmesi&quot;"/>
    <m/>
    <m/>
    <m/>
    <m/>
    <m/>
    <s v="L217"/>
    <m/>
    <m/>
    <m/>
    <m/>
  </r>
  <r>
    <m/>
    <m/>
    <x v="135"/>
    <x v="51"/>
    <m/>
    <s v="“Kronik Myeloid Lösemi Hastalarının Klinik, Prognostik, Sağkalım ve Tedavilerinin Değerlendirilmesi”"/>
    <m/>
    <m/>
    <m/>
    <m/>
    <m/>
    <s v="L218"/>
    <m/>
    <m/>
    <m/>
    <m/>
  </r>
  <r>
    <m/>
    <m/>
    <x v="135"/>
    <x v="51"/>
    <m/>
    <s v="“Akut Myeloid Lösemi Hastalarında Konsolidasyon Tedavisinde Kullanılan Sitarabin Doz Yoğunluğunun Hastalığın Prognozu ve Sağkalımı Üzerine Etkisi”"/>
    <m/>
    <m/>
    <m/>
    <m/>
    <m/>
    <s v="L219"/>
    <m/>
    <m/>
    <m/>
    <m/>
  </r>
  <r>
    <m/>
    <m/>
    <x v="135"/>
    <x v="51"/>
    <m/>
    <s v="“Fertilite Koruyucu Tedavi Uygulanan Endometrium Kanseri ve Endometrial İntraepitelyal Neoplazi Tanılı Hastalarda Moleküler Sınıflandırmanın Prognoza Etkisi”"/>
    <m/>
    <m/>
    <m/>
    <m/>
    <m/>
    <s v="L220"/>
    <m/>
    <m/>
    <m/>
    <m/>
  </r>
  <r>
    <m/>
    <m/>
    <x v="135"/>
    <x v="51"/>
    <m/>
    <s v="“Özgül Öğrenme Bozukluğu ve Dikkat Eksikliği Hiperaktivite Bozukluğu Komorbiditesi Olan Çocuklarda Okuma-Yazma Performansının Yönetici İşlevler, Nörobilişsel Profil ve İşlevsellik ile İlişkisinin İncelenmesi”"/>
    <m/>
    <m/>
    <m/>
    <m/>
    <m/>
    <s v="L221"/>
    <m/>
    <m/>
    <m/>
    <m/>
  </r>
  <r>
    <m/>
    <m/>
    <x v="135"/>
    <x v="51"/>
    <m/>
    <s v="“Pediatrik Akciğer Enfeksiyonlarında Toraks BT Bulgularının Klinik Verilerle Birleştirilmesi Sonucunda Mantar ve Diğer Etkenlerin Derin Öğrenme ve Makine Öğrenmesi Yöntemleriyle Erken Dönemde Ayırt Edilmesi”"/>
    <m/>
    <m/>
    <m/>
    <m/>
    <m/>
    <s v="L222"/>
    <m/>
    <m/>
    <m/>
    <m/>
  </r>
  <r>
    <m/>
    <m/>
    <x v="135"/>
    <x v="51"/>
    <m/>
    <s v="“İnsan Hareketinin Biyomekanik Analizi İçin Bilgisayar Benzeşim Modeli Geliştirilmesi”"/>
    <m/>
    <m/>
    <m/>
    <m/>
    <m/>
    <s v="L223"/>
    <m/>
    <m/>
    <m/>
    <m/>
  </r>
  <r>
    <m/>
    <m/>
    <x v="135"/>
    <x v="51"/>
    <m/>
    <s v="“Amelogenezis İmperfectalı Hastaların Mandibula Kemik Yapısının Fraktal Analizi”"/>
    <m/>
    <m/>
    <m/>
    <m/>
    <m/>
    <s v="L224"/>
    <m/>
    <m/>
    <m/>
    <m/>
  </r>
  <r>
    <m/>
    <m/>
    <x v="135"/>
    <x v="51"/>
    <m/>
    <s v="“Göğüs Hastalıkları Hekimlerinin Kistik Fibrozis Transmembran Düzenleyici (KFTR) Modülatör Tedaviler-İlaç Etkileşimleri Hakkında Bilgi ve Tutumlarının Değerlendirilmesi&quot;"/>
    <m/>
    <m/>
    <m/>
    <m/>
    <m/>
    <s v="L225"/>
    <m/>
    <m/>
    <m/>
    <m/>
  </r>
  <r>
    <m/>
    <m/>
    <x v="135"/>
    <x v="51"/>
    <m/>
    <s v="Osteogenezis İmperfekta Hastalarında Ağız Diş Sağlığı Durumunun Değerlendirilmesi"/>
    <m/>
    <m/>
    <m/>
    <m/>
    <m/>
    <s v="L226"/>
    <m/>
    <m/>
    <m/>
    <m/>
  </r>
  <r>
    <m/>
    <m/>
    <x v="135"/>
    <x v="51"/>
    <m/>
    <s v="“Çalışan Kadın Sağlığı: Genel Sağlık, Koruyucu Sağlık Hizmetlerinden Faydalanma ve İş-Yaşam Dengesi Durumları”"/>
    <m/>
    <m/>
    <m/>
    <m/>
    <m/>
    <s v="L227"/>
    <m/>
    <m/>
    <m/>
    <m/>
  </r>
  <r>
    <m/>
    <m/>
    <x v="135"/>
    <x v="51"/>
    <m/>
    <s v="“65 Yaş ve Üzeri Tip 2 Diabetes Mellituslu Bireylerde İlaç Kullanım Uygunluğunun Retrospektif Değerlendirilmesi”"/>
    <m/>
    <m/>
    <m/>
    <m/>
    <m/>
    <s v="L228"/>
    <m/>
    <m/>
    <m/>
    <m/>
  </r>
  <r>
    <m/>
    <m/>
    <x v="135"/>
    <x v="51"/>
    <m/>
    <s v="“Hacettepe Üniversitesi Erişkin Hastanesi İç Hastalıkları Servislerinde İstem Dışı Kilo Kaybı Nedeni ile Yatırılmış Hastalarda Tetkik Süreçlerinin ve Etiyoloji Dağılımlarının Retrospektif İncelenmesi”"/>
    <m/>
    <m/>
    <m/>
    <m/>
    <m/>
    <s v="L229"/>
    <m/>
    <m/>
    <m/>
    <m/>
  </r>
  <r>
    <m/>
    <m/>
    <x v="135"/>
    <x v="51"/>
    <m/>
    <s v="“Akut Lösemi Hastalarında Tanı Öncesi Kan Değerlerinin Etkinliği”"/>
    <m/>
    <m/>
    <m/>
    <m/>
    <m/>
    <s v="L230"/>
    <m/>
    <m/>
    <m/>
    <m/>
  </r>
  <r>
    <m/>
    <m/>
    <x v="135"/>
    <x v="51"/>
    <m/>
    <s v="“Relaps/ Refrakter Akut Myeloid Lösemi Hastalarında Reindüksiyonda Venetoklaks İçeren Tedavi Rejimlerinin Diğer Tedavilerle Karşılaştırılması”"/>
    <m/>
    <m/>
    <m/>
    <m/>
    <m/>
    <s v="L231"/>
    <m/>
    <m/>
    <m/>
    <m/>
  </r>
  <r>
    <m/>
    <m/>
    <x v="135"/>
    <x v="51"/>
    <m/>
    <s v="“Distal-Orta Yerleşimli Lokal İleri Evre Rektum Adenokanser Tanılı Hastalarda Radyoterapi Müdahalelerinin Patolojik ve Klinik Tümör Yanıt Oranlarına Etkisinin Araştırılması”"/>
    <m/>
    <m/>
    <m/>
    <m/>
    <m/>
    <s v="L232"/>
    <m/>
    <m/>
    <m/>
    <m/>
  </r>
  <r>
    <m/>
    <m/>
    <x v="135"/>
    <x v="51"/>
    <m/>
    <s v="''Kawasaki Hastalığı Tanısı Koymaya Yardımcı Yapay Zeka Modeli 'Galadriel'in Tanı Koyma Başarısının Retrospektif Değerlendirilmesi''"/>
    <m/>
    <m/>
    <m/>
    <m/>
    <m/>
    <s v="L233"/>
    <m/>
    <m/>
    <m/>
    <m/>
  </r>
  <r>
    <m/>
    <m/>
    <x v="135"/>
    <x v="51"/>
    <m/>
    <s v="''Çocukluk Çağı Sistemik Lupus Eritematozus Tanısı Koymaya Yardımcı Yapay Zeka Modeli 'Morgaf''ın Tanı Koyma Başarısının Retrospektif Değerlendirilmesi''"/>
    <m/>
    <m/>
    <m/>
    <m/>
    <m/>
    <s v="L234"/>
    <m/>
    <m/>
    <m/>
    <m/>
  </r>
  <r>
    <m/>
    <m/>
    <x v="135"/>
    <x v="51"/>
    <m/>
    <s v="“Çocukluk Çağı İnflamatuvar Doku Hastalıkları Tanılı Çocuk ve Ergenlerde Yaşam Kalitesi ve İlişkili Faktörlerin Değerlendirilmesi”"/>
    <m/>
    <m/>
    <m/>
    <m/>
    <m/>
    <s v="L235"/>
    <m/>
    <m/>
    <m/>
    <m/>
  </r>
  <r>
    <m/>
    <m/>
    <x v="135"/>
    <x v="51"/>
    <m/>
    <s v="“Çocukluk Çağı Otoimmün Romatolojik Hastalıklar Tanılı Çocuk ve Ergenlerde Yaşam Kalitesi ve İlişkili Faktörlerin Değerlendirilmesi”"/>
    <m/>
    <m/>
    <m/>
    <m/>
    <m/>
    <s v="L236"/>
    <m/>
    <m/>
    <m/>
    <m/>
  </r>
  <r>
    <m/>
    <m/>
    <x v="135"/>
    <x v="51"/>
    <m/>
    <s v="“Ergenlerde Dijital Bağımlılık Düzeyleri ile Yaşam Tarzı İnancı Arasındaki İlişkinin İncelenmesi: Bir Aile Sağlığı Merkezi Örneği”"/>
    <m/>
    <m/>
    <m/>
    <m/>
    <m/>
    <s v="L237"/>
    <m/>
    <m/>
    <m/>
    <m/>
  </r>
  <r>
    <m/>
    <m/>
    <x v="135"/>
    <x v="51"/>
    <m/>
    <s v="&quot;Referans Merkezi Servikal Distoni Botulinum Toksin Uygulamaları Değerlendirmesi&quot;"/>
    <m/>
    <m/>
    <m/>
    <m/>
    <m/>
    <s v="L238"/>
    <m/>
    <m/>
    <m/>
    <m/>
  </r>
  <r>
    <m/>
    <m/>
    <x v="135"/>
    <x v="51"/>
    <m/>
    <s v="&quot;Motor İletim Blokları Parametrelerinin Retrospektif Olarak Analizi&quot;"/>
    <m/>
    <m/>
    <m/>
    <m/>
    <m/>
    <s v="L239"/>
    <m/>
    <m/>
    <m/>
    <m/>
  </r>
  <r>
    <m/>
    <m/>
    <x v="135"/>
    <x v="51"/>
    <m/>
    <s v="“Geriatri Eğitimi, Uzmanlık Alanı ve Sosyo-Demografik Faktörlerin Geriatrik Hasta Yaklaşımına Etkisi:Türkiye'deki Uzman Doktorlar Arasında Çok Yönlü Bir Analiz”"/>
    <m/>
    <m/>
    <m/>
    <m/>
    <m/>
    <s v="L240"/>
    <m/>
    <m/>
    <m/>
    <m/>
  </r>
  <r>
    <m/>
    <m/>
    <x v="135"/>
    <x v="51"/>
    <m/>
    <s v="“Sınıf II Malokluzyona Sahip Bireylerde Temporomandibular Eklem Bozukluklarının Panoramik Radyografiler Kullanılarak Yapay Zeka ile Teşhisi”"/>
    <m/>
    <m/>
    <m/>
    <m/>
    <m/>
    <s v="L241"/>
    <m/>
    <m/>
    <m/>
    <m/>
  </r>
  <r>
    <m/>
    <m/>
    <x v="135"/>
    <x v="51"/>
    <m/>
    <s v="“Mesleksel ve Çevresel İç Ortam Hava Kirleticileri ile Akciğer Adenokarsinomu Arasındaki İlişkinin Biyolojik Kanıtlar ile Değerlendirilmesi”"/>
    <m/>
    <m/>
    <m/>
    <m/>
    <m/>
    <s v="L242"/>
    <m/>
    <m/>
    <m/>
    <m/>
  </r>
  <r>
    <m/>
    <m/>
    <x v="135"/>
    <x v="51"/>
    <m/>
    <s v="“Kronik Karaciğer Hastalarında Sarkopeninin Non-İnvaziv Yöntemlerle Değerlendirilmesi ve Sarkopenin Uzun Dönem Morbidite ve Mortaliteye Etkisi”"/>
    <m/>
    <m/>
    <m/>
    <m/>
    <m/>
    <s v="L243"/>
    <m/>
    <m/>
    <m/>
    <m/>
  </r>
  <r>
    <m/>
    <m/>
    <x v="135"/>
    <x v="51"/>
    <m/>
    <s v="“Noninvazif Pulmoner Aspergillozis ve Allerjik Bronkopulmoner Aspergillozis Tanılı Kistik Fibrozis Hastalarında Vorikonazol Serum Düzeyi Ölçümünün Tedaviye Katkısı”"/>
    <m/>
    <m/>
    <m/>
    <m/>
    <m/>
    <s v="L244"/>
    <m/>
    <m/>
    <m/>
    <m/>
  </r>
  <r>
    <m/>
    <m/>
    <x v="135"/>
    <x v="51"/>
    <m/>
    <s v="“Primer İntratorasik Nörojenik Tümörlere Multidisipliner Yaklaşım”"/>
    <m/>
    <m/>
    <m/>
    <m/>
    <m/>
    <s v="L245"/>
    <m/>
    <m/>
    <m/>
    <m/>
  </r>
  <r>
    <m/>
    <m/>
    <x v="135"/>
    <x v="51"/>
    <m/>
    <s v="“Papiller Tiroid Kanseri Tanısında Prediktif Değeri Olan Moleküllerin Tespit Edilmesi”"/>
    <m/>
    <m/>
    <m/>
    <m/>
    <m/>
    <s v="L246"/>
    <m/>
    <m/>
    <m/>
    <m/>
  </r>
  <r>
    <m/>
    <m/>
    <x v="135"/>
    <x v="51"/>
    <m/>
    <s v="“Allojenik Kök Hücre Nakli Yapılan Hastalarda Sitomegalovirüs Reaktivasyonu Sıklığının Risk Faktörlerinin ve Sağ Kalıma Etkisinin Retrospektif Değerlendirilmesi”"/>
    <m/>
    <m/>
    <m/>
    <m/>
    <m/>
    <s v="L247"/>
    <m/>
    <m/>
    <m/>
    <m/>
  </r>
  <r>
    <m/>
    <m/>
    <x v="135"/>
    <x v="51"/>
    <m/>
    <s v="“Hız Temelli Antrenmanın Aktivasyon Sonrası Performans Artışına Etkisinin Sirkadiyen Ritme göre İncelenmesi”"/>
    <m/>
    <m/>
    <m/>
    <m/>
    <m/>
    <s v="L248"/>
    <m/>
    <m/>
    <m/>
    <m/>
  </r>
  <r>
    <m/>
    <m/>
    <x v="135"/>
    <x v="51"/>
    <m/>
    <s v="“Oral İmmunoglobulin Replasmanı Almış Olan Primer İmmün Yetmezlik Hastalarının Demografik, Klinik ve Laboratuvar Özelliklerinin Değerlendirilmesi”"/>
    <m/>
    <m/>
    <m/>
    <m/>
    <m/>
    <s v="L249"/>
    <m/>
    <m/>
    <m/>
    <m/>
  </r>
  <r>
    <m/>
    <m/>
    <x v="135"/>
    <x v="51"/>
    <m/>
    <s v="“Antimikrobiyal Dirençle Mücadeleye Yönelik Nanopartiküler Aşı Formülasyonlarının Geliştirilmesi”"/>
    <m/>
    <m/>
    <m/>
    <m/>
    <m/>
    <s v="L250"/>
    <m/>
    <m/>
    <m/>
    <m/>
  </r>
  <r>
    <m/>
    <m/>
    <x v="135"/>
    <x v="51"/>
    <m/>
    <s v="“Polikistik Over Sendromlu Hastaların Açlık ve Tokluk Durumunda Beyin Fonksiyonel Durum Değişiminin İnkretin Hormonlarla İlişkisinin İncelenmesi ve Sağlıklı Gönüllüler ile Karşılaştırılması”"/>
    <m/>
    <m/>
    <m/>
    <m/>
    <m/>
    <s v="L251"/>
    <m/>
    <m/>
    <m/>
    <m/>
  </r>
  <r>
    <m/>
    <m/>
    <x v="135"/>
    <x v="51"/>
    <m/>
    <s v="“Kritik Hastalarda Yatak Başında Nabız Basıncı Değerlendirmesi Strok Volümdeki Düşük Değerleri Tespit Edebilir mi veya Değişiklikleri Takip Edebilir mi? Çok Merkezli, Kesitsel, Gözlemsel ANDROMEDA-PEGASUS Çalışması”"/>
    <m/>
    <m/>
    <m/>
    <m/>
    <m/>
    <m/>
    <m/>
    <m/>
    <m/>
    <m/>
  </r>
  <r>
    <m/>
    <m/>
    <x v="135"/>
    <x v="51"/>
    <m/>
    <s v="“Preseptal, Orbital ve Bukkal Sellülit Nedeniyle Hastanede Yatan Çocukların Değerlendirilmesi”"/>
    <m/>
    <m/>
    <m/>
    <m/>
    <m/>
    <m/>
    <m/>
    <m/>
    <m/>
    <m/>
  </r>
  <r>
    <m/>
    <m/>
    <x v="135"/>
    <x v="51"/>
    <m/>
    <s v="“Çocuk Hastalarda Kombine Antibiyotik Tedavilerinin Yan Etkilerinin Retrospektif Olarak İncelenmesi”"/>
    <m/>
    <m/>
    <m/>
    <m/>
    <m/>
    <m/>
    <m/>
    <m/>
    <m/>
    <m/>
  </r>
  <r>
    <m/>
    <m/>
    <x v="135"/>
    <x v="51"/>
    <m/>
    <s v="“Kistik Hava Boşlukları ile İlişkili Akciğer Kanseri: Klinik, RadyolojikVe Patolojik Özellikler”"/>
    <m/>
    <m/>
    <m/>
    <m/>
    <m/>
    <m/>
    <m/>
    <m/>
    <m/>
    <m/>
  </r>
  <r>
    <m/>
    <m/>
    <x v="135"/>
    <x v="51"/>
    <m/>
    <s v="“Artistik Buz Pateninde Başarılı ve Başarısız Salchow Sıçrayışlarının Kinematik Analizi”"/>
    <m/>
    <m/>
    <m/>
    <m/>
    <m/>
    <m/>
    <m/>
    <m/>
    <m/>
    <m/>
  </r>
  <r>
    <m/>
    <m/>
    <x v="135"/>
    <x v="51"/>
    <m/>
    <s v="“Yön Değiştirme Mesafesine Göre 5-0-5 Testinin Geçerliliği ve Alt Ekstremite Kuvveti ile İlişkisi”"/>
    <m/>
    <m/>
    <m/>
    <m/>
    <m/>
    <m/>
    <m/>
    <m/>
    <m/>
    <m/>
  </r>
  <r>
    <m/>
    <m/>
    <x v="135"/>
    <x v="51"/>
    <m/>
    <s v="“Ataksi-Telanjiektazi Hastalığının Patogenezinin Moleküler Boyutta Sistemik Analizi”"/>
    <m/>
    <m/>
    <m/>
    <m/>
    <m/>
    <m/>
    <m/>
    <m/>
    <m/>
    <m/>
  </r>
  <r>
    <m/>
    <m/>
    <x v="135"/>
    <x v="51"/>
    <m/>
    <s v="&quot;Adipozite İlişkili Ateroskleroz Patogenezinde Rol Oynayan Periferik Mononükleer Hücrelerdeki İnflamasyon Yolaklarının Belirlenmesi&quot;"/>
    <m/>
    <m/>
    <m/>
    <m/>
    <m/>
    <m/>
    <m/>
    <m/>
    <m/>
    <m/>
  </r>
  <r>
    <m/>
    <m/>
    <x v="135"/>
    <x v="51"/>
    <m/>
    <s v="“Yenidoğan Yoğun Bakım Ünitesinde Sürekli Elektroensefalografi ile Değerlendirilmiş Olan Kritik Hastaların Sonuçlarının İncelenmesi”"/>
    <m/>
    <m/>
    <m/>
    <m/>
    <m/>
    <m/>
    <m/>
    <m/>
    <m/>
    <m/>
  </r>
  <r>
    <m/>
    <m/>
    <x v="135"/>
    <x v="51"/>
    <m/>
    <s v="“Çocuk Yoğun Bakım Servisinde Sürekli Elektroensefalografi ile Değerlendirilmiş Olan Kritik Hastaların Sonuçlarının İncelenmesi”"/>
    <m/>
    <m/>
    <m/>
    <m/>
    <m/>
    <m/>
    <m/>
    <m/>
    <m/>
    <m/>
  </r>
  <r>
    <m/>
    <m/>
    <x v="135"/>
    <x v="51"/>
    <m/>
    <s v="“Konservatif Tedaviye Dirençli Periartiküler Kas İskelet Sistemi Hastalıklarında Fonksiyon Kısıtlayıcı Semptomların Transarteryal Periartiküler Embolizasyonu (TAPE) Tedavisi Sonrası Yanıt Değerlendirilmesi”"/>
    <m/>
    <m/>
    <m/>
    <m/>
    <m/>
    <m/>
    <m/>
    <m/>
    <m/>
    <m/>
  </r>
  <r>
    <m/>
    <m/>
    <x v="135"/>
    <x v="51"/>
    <m/>
    <s v="“ALL BFM IC 2009 Protokolü ile Tedavi Edilen Akut Lenfoblastik Lösemili Çocuk Hastalarda Yaşam Süresi Analizi&quot;"/>
    <m/>
    <m/>
    <m/>
    <m/>
    <m/>
    <m/>
    <m/>
    <m/>
    <m/>
    <m/>
  </r>
  <r>
    <m/>
    <m/>
    <x v="135"/>
    <x v="51"/>
    <m/>
    <s v="“Yoğun Bakmda Hizmet veren Hekim Hemşire ve Klinik Eczacıların İntravenöz Sıvı Tedavisi Hakkında Bilgi ve Tutumlarının Değerlendirilmesi”"/>
    <m/>
    <m/>
    <m/>
    <m/>
    <m/>
    <m/>
    <m/>
    <m/>
    <m/>
    <m/>
  </r>
  <r>
    <m/>
    <m/>
    <x v="135"/>
    <x v="51"/>
    <m/>
    <s v="“Hastalarda Var Olan Uyku Bozukluklarının Diş Çekimi Sonrası Rahatsızlıklara Olan Etkisinin İncelenmesi”"/>
    <m/>
    <m/>
    <m/>
    <m/>
    <m/>
    <m/>
    <m/>
    <m/>
    <m/>
    <m/>
  </r>
  <r>
    <m/>
    <m/>
    <x v="135"/>
    <x v="51"/>
    <m/>
    <s v="“Ağız, Diş ve Çene Cerrahisi Alanında Yapay Zekâ Destekli Teknolojilere Yönelik Hasta İlgi ve Bilgi Seviyesi: Anket Çalışması”"/>
    <m/>
    <m/>
    <m/>
    <m/>
    <m/>
    <m/>
    <m/>
    <m/>
    <m/>
    <m/>
  </r>
  <r>
    <m/>
    <m/>
    <x v="135"/>
    <x v="51"/>
    <m/>
    <s v="“Demiryolu ile İlişkili Ölümlerin Değerlendirilmesi: Bölgesel Bir Otopsi Çalışması”"/>
    <m/>
    <m/>
    <m/>
    <m/>
    <m/>
    <m/>
    <m/>
    <m/>
    <m/>
    <m/>
  </r>
  <r>
    <m/>
    <m/>
    <x v="135"/>
    <x v="51"/>
    <m/>
    <s v="“Ankara Bölgesinde 2014-2023 Yılları Arasında Otopsisi Yapılmış Elektrik Akımına Bağlı Ölüm Olgularının Değerlendirilmesi”"/>
    <m/>
    <m/>
    <m/>
    <m/>
    <m/>
    <m/>
    <m/>
    <m/>
    <m/>
    <m/>
  </r>
  <r>
    <m/>
    <m/>
    <x v="135"/>
    <x v="51"/>
    <m/>
    <s v="“Ankara Bölgesinde Otopsisi Yapılmış İkili Ölüm Olgularının Değerlendirilmesi”"/>
    <m/>
    <m/>
    <m/>
    <m/>
    <m/>
    <m/>
    <m/>
    <m/>
    <m/>
    <m/>
  </r>
  <r>
    <m/>
    <m/>
    <x v="135"/>
    <x v="51"/>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135"/>
    <x v="51"/>
    <m/>
    <s v="“Teikoplanin Terapötik İlaç Düzey İzlemi: Tek Merkezli Retrospektif Analiz”"/>
    <m/>
    <m/>
    <m/>
    <m/>
    <m/>
    <m/>
    <m/>
    <m/>
    <m/>
    <m/>
  </r>
  <r>
    <m/>
    <m/>
    <x v="135"/>
    <x v="51"/>
    <m/>
    <s v="“Uzun Süren Nötropeniye Bağlı Ciddi Enfeksiyon Olan Hastalarda Granülosit Transfüzyonu Tedavisinin Değerlendirilmesi”"/>
    <m/>
    <m/>
    <m/>
    <m/>
    <m/>
    <m/>
    <m/>
    <m/>
    <m/>
    <m/>
  </r>
  <r>
    <m/>
    <m/>
    <x v="135"/>
    <x v="51"/>
    <m/>
    <s v="“Yetişkin Hemofili A ve B Hastaları ile Aile Üyesi Bakım Verenlerde Yaşam Kalitesi ve Bakım Yükü”"/>
    <m/>
    <m/>
    <m/>
    <m/>
    <m/>
    <m/>
    <m/>
    <m/>
    <m/>
    <m/>
  </r>
  <r>
    <m/>
    <m/>
    <x v="135"/>
    <x v="51"/>
    <m/>
    <s v="“Orak Hücreli Anemi Hastalarının Kanama ve Tromboz Sıklıkları ile Klinik Özelliklerinin ve Tedavi Yöntemlerinin İncelenmesi”"/>
    <m/>
    <m/>
    <m/>
    <m/>
    <m/>
    <m/>
    <m/>
    <m/>
    <m/>
    <m/>
  </r>
  <r>
    <m/>
    <m/>
    <x v="135"/>
    <x v="51"/>
    <m/>
    <s v="“Mitokondriyal Hastalıklarda Mitokondri Fonksiyon Bozukluğunun Çoklu-Omik Platformları ile Değerlendirilmesi ve Girişimsel Olmayan Yeni Tanı ve İzlem Yöntemlerinin Geliştirilmesi”"/>
    <m/>
    <m/>
    <m/>
    <m/>
    <m/>
    <m/>
    <m/>
    <m/>
    <m/>
    <m/>
  </r>
  <r>
    <m/>
    <m/>
    <x v="135"/>
    <x v="51"/>
    <m/>
    <s v="“Mekanik Aort ve Mitral Kapak Protezi Bulunan Hastalarda Ventriküler Taşikardi Ablasyonunda Sol Ventriküle Transapikal ve Trans-Sağ Atriyal Erişimin Etkinliği ve Sonuçları”"/>
    <m/>
    <m/>
    <m/>
    <m/>
    <m/>
    <m/>
    <m/>
    <m/>
    <m/>
    <m/>
  </r>
  <r>
    <m/>
    <m/>
    <x v="135"/>
    <x v="51"/>
    <m/>
    <s v="“Subkortikal Bant Heterotopisi: Klinik Özellikler ve Epilepsi Yükü”"/>
    <m/>
    <m/>
    <m/>
    <m/>
    <m/>
    <m/>
    <m/>
    <m/>
    <m/>
    <m/>
  </r>
  <r>
    <m/>
    <m/>
    <x v="135"/>
    <x v="51"/>
    <m/>
    <s v="“Standart AP ve Lateral Diz Grafilerinin Değerlendirilmesi ve Radyolojik Ölçümlerin Yapay Zeka ile Analizi”"/>
    <m/>
    <m/>
    <m/>
    <m/>
    <m/>
    <m/>
    <m/>
    <m/>
    <m/>
    <m/>
  </r>
  <r>
    <m/>
    <m/>
    <x v="135"/>
    <x v="51"/>
    <m/>
    <s v="“6 Şubat 2023 Depremzedelerinde Uzun Dönemdeki Ruhsal Sorunları Belirleyen Faktörler: Bölge Dışına Göçün Etkileri”"/>
    <m/>
    <m/>
    <m/>
    <m/>
    <m/>
    <m/>
    <m/>
    <m/>
    <m/>
    <m/>
  </r>
  <r>
    <m/>
    <m/>
    <x v="135"/>
    <x v="51"/>
    <m/>
    <s v="“Akromegali Hastalarında Serebral Küçük Damar Hastalığı ve Vasküler Kognitif Bozuklukların Değerlendirilmesi”"/>
    <m/>
    <m/>
    <m/>
    <m/>
    <m/>
    <m/>
    <m/>
    <m/>
    <m/>
    <m/>
  </r>
  <r>
    <m/>
    <m/>
    <x v="135"/>
    <x v="51"/>
    <m/>
    <s v="“Omuz Yaralanması Geçiren Sporcularda Spora Dönüş Evrelerinde Psikolojik Hazıroluşluğun İncelenmesi: Boylamsal Karma Desen Çalışması”"/>
    <m/>
    <m/>
    <m/>
    <m/>
    <m/>
    <m/>
    <m/>
    <m/>
    <m/>
    <m/>
  </r>
  <r>
    <m/>
    <m/>
    <x v="135"/>
    <x v="51"/>
    <m/>
    <s v="“Diyabet Dışı Kronik Böbrek Hastalığında Sodyum-Glukoz Kotransporter 2 İnhibitörünün Proteinüri Üzerine Etkisi”"/>
    <m/>
    <m/>
    <m/>
    <m/>
    <m/>
    <m/>
    <m/>
    <m/>
    <m/>
    <m/>
  </r>
  <r>
    <m/>
    <m/>
    <x v="135"/>
    <x v="51"/>
    <m/>
    <s v="“Gordon Sendromu Tanılı Bir Çocukta Saptanan Yeni WNK1 Varyantının Aile İçi Hastalıkla Segregasyonunun Araştırılması”"/>
    <m/>
    <m/>
    <m/>
    <m/>
    <m/>
    <m/>
    <m/>
    <m/>
    <m/>
    <m/>
  </r>
  <r>
    <m/>
    <m/>
    <x v="135"/>
    <x v="51"/>
    <m/>
    <s v="“Malignite Nedeniyle Yapılan Gastrointestinal Sistem Cerrahisi Sonrası Görülen İntraabdominal Kanamaların Tedavisinde Cerrahi ve Vasküler Girişimsel Radyolojik Yöntem Sonuçlarının Karşılaştırılması”"/>
    <m/>
    <m/>
    <m/>
    <m/>
    <m/>
    <m/>
    <m/>
    <m/>
    <m/>
    <m/>
  </r>
  <r>
    <m/>
    <m/>
    <x v="135"/>
    <x v="51"/>
    <m/>
    <s v="“Konjenital Hipotiroidi İçin Ulusal Ölçekli Yenidoğan Tarama Testi Sonucuyla Çocuk Endokrinoloji Bölümüne Yönlendirilen Olguların Klinik, Laboratuvar, Radyolojik Özelliklerinin İncelenmesi”"/>
    <m/>
    <m/>
    <m/>
    <m/>
    <m/>
    <m/>
    <m/>
    <m/>
    <m/>
    <m/>
  </r>
  <r>
    <m/>
    <m/>
    <x v="135"/>
    <x v="51"/>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135"/>
    <x v="51"/>
    <m/>
    <s v="“Manyetik Rezonans Görüntüleme ile Serebellum, Beyin Sapı, Bazal Gangliyon ve Talamusta Saptanan Insidentalomaların Görüntüleme Bulguları”"/>
    <m/>
    <m/>
    <m/>
    <m/>
    <m/>
    <m/>
    <m/>
    <m/>
    <m/>
    <m/>
  </r>
  <r>
    <m/>
    <m/>
    <x v="135"/>
    <x v="51"/>
    <m/>
    <s v="&quot;Alt Premolar Dişlere Ait Gubernakular Kanalın Konik Işınlı Bilgisayarlı Tomografi Görüntülerinde İncelenmesi&quot;"/>
    <m/>
    <m/>
    <m/>
    <m/>
    <m/>
    <m/>
    <m/>
    <m/>
    <m/>
    <m/>
  </r>
  <r>
    <m/>
    <m/>
    <x v="135"/>
    <x v="51"/>
    <m/>
    <s v="“PIK3CG Eksikliğinin Doğal ve Kazanılmış Bağışıklık Sistemi Üzerindeki Etkilerinin Araştırılması”"/>
    <m/>
    <m/>
    <m/>
    <m/>
    <m/>
    <m/>
    <m/>
    <m/>
    <m/>
    <m/>
  </r>
  <r>
    <m/>
    <m/>
    <x v="135"/>
    <x v="51"/>
    <m/>
    <s v="“GPT-4 ile Patoloji Raporlarında Veri Analizi”"/>
    <m/>
    <m/>
    <m/>
    <m/>
    <m/>
    <m/>
    <m/>
    <m/>
    <m/>
    <m/>
  </r>
  <r>
    <m/>
    <m/>
    <x v="135"/>
    <x v="51"/>
    <m/>
    <s v="“Geçirilmiş Oral Cerrahi İşlemlerin Hastaların Dental Anksiyete ve Ağrı Üzerine Etkisinin Değerlendirilmesi”"/>
    <m/>
    <m/>
    <m/>
    <m/>
    <m/>
    <m/>
    <m/>
    <m/>
    <m/>
    <m/>
  </r>
  <r>
    <m/>
    <m/>
    <x v="135"/>
    <x v="51"/>
    <m/>
    <s v="“Temporomandibular Eklem Bozukluklarında Çene Fonksiyon Kısıtlanmasının ve Yaşam Kalitesinin Değerlendirilmesi”"/>
    <m/>
    <m/>
    <m/>
    <m/>
    <m/>
    <m/>
    <m/>
    <m/>
    <m/>
    <m/>
  </r>
  <r>
    <m/>
    <m/>
    <x v="135"/>
    <x v="51"/>
    <m/>
    <s v="“Endometrium Adenokarsinom Hastalarında Retrospektif Yetersiz ve Negatif Biyopsilerinin Klinikopatolojik Açıdan Değerlendirilmesi”"/>
    <m/>
    <m/>
    <m/>
    <m/>
    <m/>
    <m/>
    <m/>
    <m/>
    <m/>
    <m/>
  </r>
  <r>
    <m/>
    <m/>
    <x v="135"/>
    <x v="51"/>
    <m/>
    <s v="“Çocuk Kalp Cerrahisi Uygulanan Hastalarda Postoperatif İntraabdominal Hipertansiyonun Cerrahi Sonuçlara Etkisinin İncelenmesi”"/>
    <m/>
    <m/>
    <m/>
    <m/>
    <m/>
    <m/>
    <m/>
    <m/>
    <m/>
    <m/>
  </r>
  <r>
    <m/>
    <m/>
    <x v="135"/>
    <x v="51"/>
    <m/>
    <s v="“Aort Kapak Protezi olan Hastalarda Transtorasik Ekokardiyografik ve İnvaziv Ölçümlerle Transvalvüler Aort Gradientlerinin Karşılaştırılması”"/>
    <m/>
    <m/>
    <m/>
    <m/>
    <m/>
    <m/>
    <m/>
    <m/>
    <m/>
    <m/>
  </r>
  <r>
    <m/>
    <m/>
    <x v="135"/>
    <x v="51"/>
    <m/>
    <s v="“Body Roundness Index ve Body Shape Index'in Sarkopenik Obezite ile Yaşayanlarda Geriatrik Sendromlar ve Kognitif Fonksiyonlarla İlişkisi"/>
    <m/>
    <m/>
    <m/>
    <m/>
    <m/>
    <m/>
    <m/>
    <m/>
    <m/>
    <m/>
  </r>
  <r>
    <m/>
    <m/>
    <x v="135"/>
    <x v="51"/>
    <m/>
    <s v="“Primer Dismenoreden Etkilenme Düzeyine Göre Başvurulan Tamamlayıcı ve Alternatif Tedavi Yöntemlerinin Değerlendirilmesi”"/>
    <m/>
    <m/>
    <m/>
    <m/>
    <m/>
    <m/>
    <m/>
    <m/>
    <m/>
    <m/>
  </r>
  <r>
    <m/>
    <m/>
    <x v="135"/>
    <x v="51"/>
    <m/>
    <s v="“Kullanılmayan İlaçların İadesi ve İmhası Anketinin Türkçe Geçerlik ve Güvenirlik Çalışması"/>
    <m/>
    <m/>
    <m/>
    <m/>
    <m/>
    <m/>
    <m/>
    <m/>
    <m/>
    <m/>
  </r>
  <r>
    <m/>
    <m/>
    <x v="135"/>
    <x v="51"/>
    <m/>
    <s v="“Nörofibromatozis Tip 1 Hastalarının Beyin Manyetik Rezonans Görüntüleme Bulgularının Retrospektif Degerlendirilmesi”"/>
    <m/>
    <m/>
    <m/>
    <m/>
    <m/>
    <m/>
    <m/>
    <m/>
    <m/>
    <m/>
  </r>
  <r>
    <m/>
    <m/>
    <x v="135"/>
    <x v="51"/>
    <m/>
    <s v="“Kalıtsal Metabolik Hastalıklar ile ROS-Aracılı Hücresel Stres Arasındaki İlişkinin Metabolizma Açısından Değerlendirilmesi”"/>
    <m/>
    <m/>
    <m/>
    <m/>
    <m/>
    <m/>
    <m/>
    <m/>
    <m/>
    <m/>
  </r>
  <r>
    <m/>
    <m/>
    <x v="135"/>
    <x v="51"/>
    <m/>
    <s v="“İmmün Trombositopeni Hastalarında Splenektomi ile Alternatif Tedaviler Arasında Tedavi Etkinliği ve Trombositk Olay Sıklığının Karşılaştırılması”"/>
    <m/>
    <m/>
    <m/>
    <m/>
    <m/>
    <m/>
    <m/>
    <m/>
    <m/>
    <m/>
  </r>
  <r>
    <m/>
    <m/>
    <x v="135"/>
    <x v="51"/>
    <m/>
    <s v="“İnflamatuar Bağırsak Hastalığında Sarkopeni Değerlendirmesinde Optimal Yönteminin Belirlenmesi ve Nütrisyonel Değerlendirme”"/>
    <m/>
    <m/>
    <m/>
    <m/>
    <m/>
    <m/>
    <m/>
    <m/>
    <m/>
    <m/>
  </r>
  <r>
    <m/>
    <m/>
    <x v="135"/>
    <x v="51"/>
    <m/>
    <s v="“Hipertrofik Kardiyomiyopati Hastalarında Ventriküler Taşikardi Ablasyonunun Etkinliği ve Sonuçları”"/>
    <m/>
    <m/>
    <m/>
    <m/>
    <m/>
    <m/>
    <m/>
    <m/>
    <m/>
    <m/>
  </r>
  <r>
    <m/>
    <m/>
    <x v="135"/>
    <x v="51"/>
    <m/>
    <s v="“Statin Tedavisi Altındaki Pediatrik Hiperlipidemi Hastalarında Glikolizasyon Profili Karşılaştırması”"/>
    <m/>
    <m/>
    <m/>
    <m/>
    <m/>
    <m/>
    <m/>
    <m/>
    <m/>
    <m/>
  </r>
  <r>
    <m/>
    <m/>
    <x v="135"/>
    <x v="51"/>
    <m/>
    <s v="“Gecikmiş Kord Klemplenmesinin Erken Dönem Yenidoğan Komplikasyonları Üzerine Etkisinin Değerlendirilmesi”"/>
    <m/>
    <m/>
    <m/>
    <m/>
    <m/>
    <m/>
    <m/>
    <m/>
    <m/>
    <m/>
  </r>
  <r>
    <m/>
    <m/>
    <x v="135"/>
    <x v="51"/>
    <m/>
    <s v="“Tirozinemi Tip 1 Tanılı Pediatrik Yaş Grubu Hastalarda Metabolomik Profilin Hastalığın Klinik ve Laboratuvar Bulguları ve Tedavisi ile İlişkisinin Değerlendirilmesi”"/>
    <m/>
    <m/>
    <m/>
    <m/>
    <m/>
    <m/>
    <m/>
    <m/>
    <m/>
    <m/>
  </r>
  <r>
    <m/>
    <m/>
    <x v="135"/>
    <x v="51"/>
    <m/>
    <s v="“Amyotrofik Lateral Skleroz Hastalarının MRG ile Degerlendirilmesi”"/>
    <m/>
    <m/>
    <m/>
    <m/>
    <m/>
    <m/>
    <m/>
    <m/>
    <m/>
    <m/>
  </r>
  <r>
    <m/>
    <m/>
    <x v="135"/>
    <x v="51"/>
    <m/>
    <s v="“Benign Paroksizimal Pozisyonel Vertigo Hastalarında Klinik Tecrübemiz”"/>
    <m/>
    <m/>
    <m/>
    <m/>
    <m/>
    <m/>
    <m/>
    <m/>
    <m/>
    <m/>
  </r>
  <r>
    <m/>
    <m/>
    <x v="135"/>
    <x v="51"/>
    <m/>
    <s v="“Acil Servise Başvuran Febril Nötropeni Hastalarında MASCC Skorlaması ile Yapılan Hasta Yönetiminin FRAİL Kırılganlık İndeksi Skorları ile Karşılaştırılması ve Değerlendirilmesi: Gözlemsel Çalışma”"/>
    <m/>
    <m/>
    <m/>
    <m/>
    <m/>
    <m/>
    <m/>
    <m/>
    <m/>
    <m/>
  </r>
  <r>
    <m/>
    <m/>
    <x v="135"/>
    <x v="51"/>
    <m/>
    <s v="“Erişkin Hastalarda Glenoid Versiyonlarının ve Morfolojilerinin Bilgisayarlı Tomografi (BT) ile Değerlendirilmesi”"/>
    <m/>
    <m/>
    <m/>
    <m/>
    <m/>
    <m/>
    <m/>
    <m/>
    <m/>
    <m/>
  </r>
  <r>
    <m/>
    <m/>
    <x v="135"/>
    <x v="51"/>
    <m/>
    <s v="“Dirsek Lateral Epikondilit Tanılı Hastalarda Uyku Kalitesinin Değerlendirilmesi”"/>
    <m/>
    <m/>
    <m/>
    <m/>
    <m/>
    <m/>
    <m/>
    <m/>
    <m/>
    <m/>
  </r>
  <r>
    <m/>
    <m/>
    <x v="135"/>
    <x v="51"/>
    <m/>
    <s v="“Ulusal Kistik Fibrozis Hasta Kayıt Sisteminde Kayıtlı Hastalarda Kistik Fibrozis İlişkili Karaciğer Hastalığının Bağımsız Belirleyicilerinin Saptanması”"/>
    <m/>
    <m/>
    <m/>
    <m/>
    <m/>
    <m/>
    <m/>
    <m/>
    <m/>
    <m/>
  </r>
  <r>
    <m/>
    <m/>
    <x v="135"/>
    <x v="51"/>
    <m/>
    <s v="“Yoğun Bakım Ünitelerinde Endotrakeal Tüp İlişkili Oral Mukoz Membran Basınç Yaralanması: Tek Merkezde Boylamsal Bir Nokta Prevalans Çalışması”"/>
    <m/>
    <m/>
    <m/>
    <m/>
    <m/>
    <m/>
    <m/>
    <m/>
    <m/>
    <m/>
  </r>
  <r>
    <m/>
    <m/>
    <x v="135"/>
    <x v="51"/>
    <m/>
    <s v="“HPV Aşısının Sosyal Medyadaki İnfodemisi: Nitel Çalışma”"/>
    <m/>
    <m/>
    <m/>
    <m/>
    <m/>
    <m/>
    <m/>
    <m/>
    <m/>
    <m/>
  </r>
  <r>
    <m/>
    <m/>
    <x v="135"/>
    <x v="51"/>
    <m/>
    <s v="“X, Y ve Z Kuşağında Beslenme Alışkanlıklarındaki Farklılıkların Araştırılması”"/>
    <m/>
    <m/>
    <m/>
    <m/>
    <m/>
    <m/>
    <m/>
    <m/>
    <m/>
    <m/>
  </r>
  <r>
    <m/>
    <m/>
    <x v="135"/>
    <x v="51"/>
    <m/>
    <s v="“Ameliyathane Dışı İrreversible Elektroporasyon Uygulanan Onkolojik Hastalarda Anestezi Yönetimi ve Komplikasyonların İncelenmesi: Retrospektif Gözlemsel Çalışma”"/>
    <m/>
    <m/>
    <m/>
    <m/>
    <m/>
    <m/>
    <m/>
    <m/>
    <m/>
    <m/>
  </r>
  <r>
    <m/>
    <m/>
    <x v="135"/>
    <x v="51"/>
    <m/>
    <s v="“Kalça Artroplastisinde Constrained Asetabular İnsertlerin Uzun Dönem Sonuçları”"/>
    <m/>
    <m/>
    <m/>
    <m/>
    <m/>
    <m/>
    <m/>
    <m/>
    <m/>
    <m/>
  </r>
  <r>
    <m/>
    <m/>
    <x v="135"/>
    <x v="51"/>
    <m/>
    <s v="“Tıp Fakültesi Öğrencileri İçin Geliştirilen Bir Elektronik Performans Destek Sisteminin Akademik Başarı ve Performansa Etkisi”"/>
    <m/>
    <m/>
    <m/>
    <m/>
    <m/>
    <m/>
    <m/>
    <m/>
    <m/>
    <m/>
  </r>
  <r>
    <m/>
    <m/>
    <x v="135"/>
    <x v="51"/>
    <m/>
    <s v="“Mikozis Fungoides, Psöriasis ve Atopik Dermatit Hastalarında Dermoskopik Bulguların İncelenmesi”"/>
    <m/>
    <m/>
    <m/>
    <m/>
    <m/>
    <m/>
    <m/>
    <m/>
    <m/>
    <m/>
  </r>
  <r>
    <m/>
    <m/>
    <x v="135"/>
    <x v="51"/>
    <m/>
    <s v="“Kistik Nötrofilik Granülomatöz Mastit ve İdiopatik Granülomatöz Mastitin Radyolojik Görüntüleme Bulgularının Klinik ve Patolojik Veriler Eşliğinde Karşılaştırılması”"/>
    <m/>
    <m/>
    <m/>
    <m/>
    <m/>
    <m/>
    <m/>
    <m/>
    <m/>
    <m/>
  </r>
  <r>
    <m/>
    <m/>
    <x v="135"/>
    <x v="51"/>
    <m/>
    <s v="“Baş Boyun Kanserli Olgularda European Organisation for Research and Treatment of Cancer (EORTC) H&amp;N43 Modülünün Türkçe Validasyonu, Kronoradyoterapinin Hayat Kalitesi ve Akut Toksisiteler Üzerine Etkisi”"/>
    <m/>
    <m/>
    <m/>
    <m/>
    <m/>
    <m/>
    <m/>
    <m/>
    <m/>
    <m/>
  </r>
  <r>
    <m/>
    <m/>
    <x v="135"/>
    <x v="51"/>
    <m/>
    <s v="“Tendon Transferi Uygulanan Hastalarda Etiyolojik Faktörlerin Retrospektif Analizi”"/>
    <m/>
    <m/>
    <m/>
    <m/>
    <m/>
    <m/>
    <m/>
    <m/>
    <m/>
    <m/>
  </r>
  <r>
    <m/>
    <m/>
    <x v="135"/>
    <x v="51"/>
    <m/>
    <s v="&quot;Nonsteroid Anti-İnflamatuar İlaçlar ile Alevlenen Hava Yolu Hastalığında Aspirin Kullanımının Kardiyovasküler Olaylar ve Kanama ile İlişkisini Değerlendirmek&quot;"/>
    <m/>
    <m/>
    <m/>
    <m/>
    <m/>
    <m/>
    <m/>
    <m/>
    <m/>
    <m/>
  </r>
  <r>
    <m/>
    <m/>
    <x v="135"/>
    <x v="51"/>
    <m/>
    <s v="&quot;Nonsteroidal Anti-İnflamatuar ilaçlarla Alevlenen Solunum Yolu Hastalığında (N-ERD) Biyolojik ve Aspirin Tedavilerinin Karşılaştırmalı Etkileri &quot;"/>
    <m/>
    <m/>
    <m/>
    <m/>
    <m/>
    <m/>
    <m/>
    <m/>
    <m/>
    <m/>
  </r>
  <r>
    <m/>
    <m/>
    <x v="135"/>
    <x v="51"/>
    <m/>
    <s v="“Proteinüri Nedeniyle Çocuk Nefrolojisi Bilim Dalı'nda Değerlendirilen Diabetes Mellitus Tanılı Çocuk Hastaların Retrospektif Değerlendirilmesi”"/>
    <m/>
    <m/>
    <m/>
    <m/>
    <m/>
    <m/>
    <m/>
    <m/>
    <m/>
    <m/>
  </r>
  <r>
    <m/>
    <m/>
    <x v="135"/>
    <x v="51"/>
    <m/>
    <s v="“Türk Erişkinlerde El Sıkma Kuvveti Referans Değerlerinin Belirlenmesi”"/>
    <m/>
    <m/>
    <m/>
    <m/>
    <m/>
    <m/>
    <m/>
    <m/>
    <m/>
    <m/>
  </r>
  <r>
    <m/>
    <m/>
    <x v="135"/>
    <x v="51"/>
    <m/>
    <s v="“Çocuk ve Adolesan Tüberküloz Vakalarında Göçün Etkisi”"/>
    <m/>
    <m/>
    <m/>
    <m/>
    <m/>
    <m/>
    <m/>
    <m/>
    <m/>
    <m/>
  </r>
  <r>
    <m/>
    <m/>
    <x v="135"/>
    <x v="51"/>
    <m/>
    <s v="“Erişkinlerin Aromaterapi Hakkında Bilgi, Tutum ve Davranışlarının Araştırılması: Kesitsel Çalışma”"/>
    <m/>
    <m/>
    <m/>
    <m/>
    <m/>
    <m/>
    <m/>
    <m/>
    <m/>
    <m/>
  </r>
  <r>
    <m/>
    <m/>
    <x v="135"/>
    <x v="51"/>
    <m/>
    <s v="“Nörofibromatosis Tip 1 Vakalarında Gebelik Öncesi Dönemden Çocukluk Dönemine Çevresel Etkilenimler”"/>
    <m/>
    <m/>
    <m/>
    <m/>
    <m/>
    <m/>
    <m/>
    <m/>
    <m/>
    <m/>
  </r>
  <r>
    <m/>
    <m/>
    <x v="135"/>
    <x v="51"/>
    <m/>
    <s v="“Sıfır Eko Zamanlı Manyetik Rezonans Görüntüleme ile Ölçülen Kritik Omuz Açısının Rotator Kılıf Anormallikleri ve Glenohumeral Osteoartrit ile İlişkisi”"/>
    <m/>
    <m/>
    <m/>
    <m/>
    <m/>
    <m/>
    <m/>
    <m/>
    <m/>
    <m/>
  </r>
  <r>
    <m/>
    <m/>
    <x v="135"/>
    <x v="51"/>
    <m/>
    <s v="“Küçük/Orta Damar Vaskülitli Hastaların Kutanöz Prezentasyonları: Dermoskopik ve Histopatolojik Benzerlik ve Farklılıkların İncelenmesi”"/>
    <m/>
    <m/>
    <m/>
    <m/>
    <m/>
    <m/>
    <m/>
    <m/>
    <m/>
    <m/>
  </r>
  <r>
    <m/>
    <m/>
    <x v="135"/>
    <x v="51"/>
    <m/>
    <s v="“Fonksiyonel Nöbet ve Epilepsi Hastalarında Faillik ve Sahiplik Hissi Parametrelerinin Değerlendirilmesi, Epilepsi Hastalarında Fonksiyonel Nöbet Gelişimini Yordayan Etmenlerin İncelenmesi”"/>
    <m/>
    <m/>
    <m/>
    <m/>
    <m/>
    <m/>
    <m/>
    <m/>
    <m/>
    <m/>
  </r>
  <r>
    <m/>
    <m/>
    <x v="135"/>
    <x v="51"/>
    <m/>
    <s v="“Yoğun Bakımda Takip Edilen Geriatrik Hasta Grubunun Klinik Özellikleri ve Klinik Skorların Yoğun Bakım Sonuçlarına Etkisi: Çok Merkezli Prospektif Çalışma”"/>
    <m/>
    <m/>
    <m/>
    <m/>
    <m/>
    <m/>
    <m/>
    <m/>
    <m/>
    <m/>
  </r>
  <r>
    <m/>
    <m/>
    <x v="135"/>
    <x v="51"/>
    <m/>
    <s v="&quot;Preterm Doğum Öyküsü Olan Çocukların Okula Hazır Bulunuşluklarının Değerlendirilmesi&quot;"/>
    <m/>
    <m/>
    <m/>
    <m/>
    <m/>
    <m/>
    <m/>
    <m/>
    <m/>
    <m/>
  </r>
  <r>
    <m/>
    <m/>
    <x v="135"/>
    <x v="51"/>
    <m/>
    <s v="“Hastaneye Yatan Ergenlerde Hastalıkların Siberkondri Üzerindeki Etkisi”"/>
    <m/>
    <m/>
    <m/>
    <m/>
    <m/>
    <m/>
    <m/>
    <m/>
    <m/>
    <m/>
  </r>
  <r>
    <m/>
    <m/>
    <x v="135"/>
    <x v="51"/>
    <m/>
    <s v="“Türkiye’de Aile Sağlığı Merkezlerinde Yapılan Okul Sağlık Taramalarına Yönelik Öğretmenlerin Farkındalık ve Tutumlarının Araştırılması: Nitel Çalışma”"/>
    <m/>
    <m/>
    <m/>
    <m/>
    <m/>
    <m/>
    <m/>
    <m/>
    <m/>
    <m/>
  </r>
  <r>
    <m/>
    <m/>
    <x v="135"/>
    <x v="51"/>
    <m/>
    <s v="“Bilgisayarlı Tomografi Anjiyografide Hepatik Arter Aterosklerozu Prevalansının Araştırılması”"/>
    <m/>
    <m/>
    <m/>
    <m/>
    <m/>
    <m/>
    <m/>
    <m/>
    <m/>
    <m/>
  </r>
  <r>
    <m/>
    <m/>
    <x v="135"/>
    <x v="51"/>
    <m/>
    <s v="“Farklı Diş Macunları ve Er,Cr:YSGG Lazerin Süt Dişi Remineralizasyonuna Etkisi”"/>
    <m/>
    <m/>
    <m/>
    <m/>
    <m/>
    <m/>
    <m/>
    <m/>
    <m/>
    <m/>
  </r>
  <r>
    <m/>
    <m/>
    <x v="135"/>
    <x v="51"/>
    <m/>
    <s v="“Biyoprostetik Kalp Kapağı İmplantasyonu Geçiren Hastalarda Trombo-profilaksi İçin Warfarin ile Non–Vitamin K Oral Antikoagülanların Karşılaştırılması”"/>
    <m/>
    <m/>
    <m/>
    <m/>
    <m/>
    <m/>
    <m/>
    <m/>
    <m/>
    <m/>
  </r>
  <r>
    <m/>
    <m/>
    <x v="135"/>
    <x v="51"/>
    <m/>
    <s v="“Farklı Miyeloid Neoplazilerde Tanı ve İzlemde İnflamasyon Parametreleri”"/>
    <m/>
    <m/>
    <m/>
    <m/>
    <m/>
    <m/>
    <m/>
    <m/>
    <m/>
    <m/>
  </r>
  <r>
    <m/>
    <m/>
    <x v="135"/>
    <x v="51"/>
    <m/>
    <s v="“Erken Evre Glottik Kanserlerde Radyoterapi Sonuçları ve Ön Komissür Tutulumunun Radyoterapi Tekniği ile İlişkisi”"/>
    <m/>
    <m/>
    <m/>
    <m/>
    <m/>
    <m/>
    <m/>
    <m/>
    <m/>
    <m/>
  </r>
  <r>
    <m/>
    <m/>
    <x v="135"/>
    <x v="51"/>
    <m/>
    <s v="&quot;IKZF1 Gen Varyantı Saptanan Primer İmmün Yetmezlik Hastalarının Demografik, Klinik ve Laboratuvar Özelliklerinin Değerlendirilmesi&quot;"/>
    <m/>
    <m/>
    <m/>
    <m/>
    <m/>
    <m/>
    <m/>
    <m/>
    <m/>
    <m/>
  </r>
  <r>
    <m/>
    <m/>
    <x v="135"/>
    <x v="51"/>
    <m/>
    <s v="“Kardiyopulmoner Bypass Sırasında Hemadsorbsiyon Uygulamasının Pediyatrik Hastaların Mortalite ve Morbiditesi Üzerine Etkileri”"/>
    <m/>
    <m/>
    <m/>
    <m/>
    <m/>
    <m/>
    <m/>
    <m/>
    <m/>
    <m/>
  </r>
  <r>
    <m/>
    <m/>
    <x v="135"/>
    <x v="51"/>
    <m/>
    <s v="“İleri Blefaropitoz Olgularında Yeni Bir Cerrahi Yaklaşım: Kontralateral Corrugatör Supercilii Kas Transpozisyonu ve Topografik-Mikroskopik Analizi”"/>
    <m/>
    <m/>
    <m/>
    <m/>
    <m/>
    <m/>
    <m/>
    <m/>
    <m/>
    <m/>
  </r>
  <r>
    <m/>
    <m/>
    <x v="135"/>
    <x v="51"/>
    <m/>
    <s v="“Kan Akımı Kısıtlanmasına Bağlı Aerobik Egzersizin Metabolik Değişiklikler Üzerindeki Etkisinin Çoklu Omiks Teknikler ile Belirlenmesi”"/>
    <m/>
    <m/>
    <m/>
    <m/>
    <m/>
    <m/>
    <m/>
    <m/>
    <m/>
    <m/>
  </r>
  <r>
    <m/>
    <m/>
    <x v="135"/>
    <x v="51"/>
    <m/>
    <s v="“Toplumda Tarama İçin Risk Aracının (RISC) Hospitalize Yaşlı Hastada Geçerlik ve Güvenirliğinin Değerlendirilmesi”"/>
    <m/>
    <m/>
    <m/>
    <m/>
    <m/>
    <m/>
    <m/>
    <m/>
    <m/>
    <m/>
  </r>
  <r>
    <m/>
    <m/>
    <x v="135"/>
    <x v="51"/>
    <m/>
    <s v="“Osteoporozu Olan Geriatrik Hastalarda Kırık Riskinin FI-Lab Skoru ve Kapsamlı Geriatrik Değerlendirme ile Değerlendirilmesi”"/>
    <m/>
    <m/>
    <m/>
    <m/>
    <m/>
    <m/>
    <m/>
    <m/>
    <m/>
    <m/>
  </r>
  <r>
    <m/>
    <m/>
    <x v="135"/>
    <x v="51"/>
    <m/>
    <s v="&quot;İşitsel Üçlü Sessiz Harf Sıralaması Testi’nin Hafif Bilişsel Bozukluk ve Alzheimer Hastalarında Psikometrik Özelliklerinin Belirlenmesi: Ayırtedicilik, Geçerlik ve Güvenirlik Çalışması”"/>
    <m/>
    <m/>
    <m/>
    <m/>
    <m/>
    <m/>
    <m/>
    <m/>
    <m/>
    <m/>
  </r>
  <r>
    <m/>
    <m/>
    <x v="135"/>
    <x v="51"/>
    <m/>
    <s v="“Çocuk Acil Servise İlaç İntoksikasyonu ile Başvuran ve Çocuk ve Ergen Ruh Sağlığı Tarafından Takip Edilen Bireylerin Geriye Dönük Değerlendirilmesi”"/>
    <m/>
    <m/>
    <m/>
    <m/>
    <m/>
    <m/>
    <m/>
    <m/>
    <m/>
    <m/>
  </r>
  <r>
    <m/>
    <m/>
    <x v="135"/>
    <x v="51"/>
    <m/>
    <s v="“Palyatif Bakım Hastalarına Bakım Verenlerin Deneyimlerinde Cinsiyet Rollerinin Etkilerinin İncelenmesi”"/>
    <m/>
    <m/>
    <m/>
    <m/>
    <m/>
    <m/>
    <m/>
    <m/>
    <m/>
    <m/>
  </r>
  <r>
    <m/>
    <m/>
    <x v="135"/>
    <x v="51"/>
    <m/>
    <s v="“Brakial Pleksus Doğum Paralizisi Olan Hastalarda Gövde ve Alt Ekstremite Dengesinin Değerlendirilmesi”"/>
    <m/>
    <m/>
    <m/>
    <m/>
    <m/>
    <m/>
    <m/>
    <m/>
    <m/>
    <m/>
  </r>
  <r>
    <m/>
    <m/>
    <x v="135"/>
    <x v="51"/>
    <m/>
    <s v="“Ergen ve Genç Yetişkinlerde Menstrüasyon Farkındalığı”"/>
    <m/>
    <m/>
    <m/>
    <m/>
    <m/>
    <m/>
    <m/>
    <m/>
    <m/>
    <m/>
  </r>
  <r>
    <m/>
    <m/>
    <x v="135"/>
    <x v="51"/>
    <m/>
    <s v="“Viral Solunum Yolu Enfeksiyonu Tanısı ile Takip Edilen Çocuk Hastaların Klinik Verilerinin Retrospektif Olarak İncelenmesi”"/>
    <m/>
    <m/>
    <m/>
    <m/>
    <m/>
    <m/>
    <m/>
    <m/>
    <m/>
    <m/>
  </r>
  <r>
    <m/>
    <m/>
    <x v="135"/>
    <x v="51"/>
    <m/>
    <s v="“Astım Tanılı Çocuklarda Çekirdek Aile ve Çekirdek Aile Dışı Akrabalarda Alerjik Hastalık Sıklığının Belirlenmesi&quot;"/>
    <m/>
    <m/>
    <m/>
    <m/>
    <m/>
    <m/>
    <m/>
    <m/>
    <m/>
    <m/>
  </r>
  <r>
    <m/>
    <m/>
    <x v="135"/>
    <x v="51"/>
    <m/>
    <s v="“Proksimal Tibia Rekonstrüksiyonu ile Tedavi Edilen Hastaların Klinik Sonuçları”"/>
    <m/>
    <m/>
    <m/>
    <m/>
    <m/>
    <m/>
    <m/>
    <m/>
    <m/>
    <m/>
  </r>
  <r>
    <m/>
    <m/>
    <x v="135"/>
    <x v="51"/>
    <m/>
    <s v="&quot;Diş Hekimliğinde Yapay Zeka Destekli Teşhis ve Tedavilere Güven: Hasta Perspektifinden Bir Analiz&quot;"/>
    <m/>
    <m/>
    <m/>
    <m/>
    <m/>
    <m/>
    <m/>
    <m/>
    <m/>
    <m/>
  </r>
  <r>
    <m/>
    <m/>
    <x v="135"/>
    <x v="51"/>
    <m/>
    <s v="&quot;Akut Poststreptokoksik Glomerulonefrit Tanılı Hastaların Retrospektif Olarak İncelenmesi&quot;"/>
    <m/>
    <m/>
    <m/>
    <m/>
    <m/>
    <m/>
    <m/>
    <m/>
    <m/>
    <m/>
  </r>
  <r>
    <m/>
    <m/>
    <x v="135"/>
    <x v="51"/>
    <m/>
    <s v="“İnsan Göbek Kordonu Temelli Yapay Timüs Organoidlerinin Geliştirilmesi ve Karakterize Edilmesi”"/>
    <m/>
    <m/>
    <m/>
    <m/>
    <m/>
    <m/>
    <m/>
    <m/>
    <m/>
    <m/>
  </r>
  <r>
    <m/>
    <m/>
    <x v="135"/>
    <x v="51"/>
    <m/>
    <s v="“Wilms Tümörü ve Nefrojenik Artıklardaki Moleküler Değişiklikler”"/>
    <m/>
    <m/>
    <m/>
    <m/>
    <m/>
    <m/>
    <m/>
    <m/>
    <m/>
    <m/>
  </r>
  <r>
    <m/>
    <m/>
    <x v="135"/>
    <x v="51"/>
    <m/>
    <s v="“Erişkin Popülasyonda Ayak Bileği Kırıklarının Deplasman ve Yumuşak Doku Hasarlarının ZTE sekanslı MRG ile Değerlendirilmesi ve BT ile Karşılaştırılması”"/>
    <m/>
    <m/>
    <m/>
    <m/>
    <m/>
    <m/>
    <m/>
    <m/>
    <m/>
    <m/>
  </r>
  <r>
    <m/>
    <m/>
    <x v="135"/>
    <x v="51"/>
    <m/>
    <s v="“Yeni Nesil Antikoagülan İlaçların İlaç Etkileşimleri Hakkında Farkındalık Düzeyinin Ölçülmesi”"/>
    <m/>
    <m/>
    <m/>
    <m/>
    <m/>
    <m/>
    <m/>
    <m/>
    <m/>
    <m/>
  </r>
  <r>
    <m/>
    <m/>
    <x v="135"/>
    <x v="51"/>
    <m/>
    <s v="“Dental Tedavi Sırasında veya Reçetelendirmede Gelişebilecek İlaç Etkileşimleri Hakkında Farkındalık Düzeyinin Ölçülmesi”"/>
    <m/>
    <m/>
    <m/>
    <m/>
    <m/>
    <m/>
    <m/>
    <m/>
    <m/>
    <m/>
  </r>
  <r>
    <m/>
    <m/>
    <x v="135"/>
    <x v="51"/>
    <m/>
    <s v="&quot;İmmünoterapi ile Tedavi Edilen Kanser Hastalarında Tedavi Öncesi Serbest T3/T4 Oranı ile Sağkalım İlişkisi”"/>
    <m/>
    <m/>
    <m/>
    <m/>
    <m/>
    <m/>
    <m/>
    <m/>
    <m/>
    <m/>
  </r>
  <r>
    <m/>
    <m/>
    <x v="135"/>
    <x v="51"/>
    <m/>
    <s v="“Rotasyon Profilli Bilgisayarlı Tomografi Kullanılarak Oluşturulan Parametreler ile Radyografide Proksimal Femur Rotasyonunun Değerlendirilmesi”"/>
    <m/>
    <m/>
    <m/>
    <m/>
    <m/>
    <m/>
    <m/>
    <m/>
    <m/>
    <m/>
  </r>
  <r>
    <m/>
    <m/>
    <x v="135"/>
    <x v="51"/>
    <m/>
    <s v="&quot;Vegan Beslenmenin Oral Mukoza Üzerindeki Sitolojik, Genotoksik ve Antioksidan Etkilerinin İncelenmesi”"/>
    <m/>
    <m/>
    <m/>
    <m/>
    <m/>
    <m/>
    <m/>
    <m/>
    <m/>
    <m/>
  </r>
  <r>
    <m/>
    <m/>
    <x v="135"/>
    <x v="51"/>
    <m/>
    <s v="&quot;Hospitalize Edilen Kanser Hastalarında Mortaliteye ve Hastanede Yeniden Yatışa Etki Eden Klinik Faktörlerin İncelenmesi&quot;"/>
    <m/>
    <m/>
    <m/>
    <m/>
    <m/>
    <m/>
    <m/>
    <m/>
    <m/>
    <m/>
  </r>
  <r>
    <m/>
    <m/>
    <x v="135"/>
    <x v="51"/>
    <m/>
    <s v="&quot;BRCA Mutant Meme ve Over Kanseri Hastaların Birinci Derece Erkek ve Kadın Yakınlarında Genetik Test Oranlarının ve Sonuçlarının Değerlendirilmesi&quot;"/>
    <m/>
    <m/>
    <m/>
    <m/>
    <m/>
    <m/>
    <m/>
    <m/>
    <m/>
    <m/>
  </r>
  <r>
    <m/>
    <m/>
    <x v="135"/>
    <x v="51"/>
    <m/>
    <s v="“Çocuklarda Doğal İmmünite Kaynaklı Santral Sinir Sistemi İnflamasyonunda Beyin Büyümesini ve Sağlığını Haritalama”"/>
    <m/>
    <m/>
    <m/>
    <m/>
    <m/>
    <m/>
    <m/>
    <m/>
    <m/>
    <m/>
  </r>
  <r>
    <m/>
    <m/>
    <x v="135"/>
    <x v="51"/>
    <m/>
    <s v="“Geriatrik Sendromlarla C Reaktif-Albumin-Lenfosit İndeksinin İlişkisinin İncelenmesi”"/>
    <m/>
    <m/>
    <m/>
    <m/>
    <m/>
    <m/>
    <m/>
    <m/>
    <m/>
    <m/>
  </r>
  <r>
    <m/>
    <m/>
    <x v="135"/>
    <x v="51"/>
    <m/>
    <s v="&quot;Kristal Artropatilerde Klinik ve Radyolojik Değerlendirmenin İncelenmesi&quot;"/>
    <m/>
    <m/>
    <m/>
    <m/>
    <m/>
    <m/>
    <m/>
    <m/>
    <m/>
    <m/>
  </r>
  <r>
    <m/>
    <m/>
    <x v="135"/>
    <x v="51"/>
    <m/>
    <s v="&quot;Bakteriyel Enfeksiyon Tanısı ile Yatarak Tedavi Olan Çocuk Hastaların Verilerinin Retrospektif Olarak İncelenmesi&quot;"/>
    <m/>
    <m/>
    <m/>
    <m/>
    <m/>
    <m/>
    <m/>
    <m/>
    <m/>
    <m/>
  </r>
  <r>
    <m/>
    <m/>
    <x v="135"/>
    <x v="51"/>
    <m/>
    <s v="“Genç Yetişkin Erkeklerde Cinsiyet Rolü Gerilimi ve Problemli Kumar Oynama”"/>
    <m/>
    <m/>
    <m/>
    <m/>
    <m/>
    <m/>
    <m/>
    <m/>
    <m/>
    <m/>
  </r>
  <r>
    <m/>
    <m/>
    <x v="135"/>
    <x v="51"/>
    <m/>
    <s v="“Koroner Arter Hastalığı Tanılı Geriatrik Hastalarda Elektif Perkütan Koroner Girişiminin Geriatrik Sendromlarla İlişkisi”"/>
    <m/>
    <m/>
    <m/>
    <m/>
    <m/>
    <m/>
    <m/>
    <m/>
    <m/>
    <m/>
  </r>
  <r>
    <m/>
    <m/>
    <x v="135"/>
    <x v="51"/>
    <m/>
    <s v="“Rinoplasti Ameliyatlarında Piezoelektrik Yardımlı Osteotomi ve Konvansiyonel Osteotomilerin Periorbital Ödem ve Ekimoz Üzerine Etkisi”"/>
    <m/>
    <m/>
    <m/>
    <m/>
    <m/>
    <m/>
    <m/>
    <m/>
    <m/>
    <m/>
  </r>
  <r>
    <m/>
    <m/>
    <x v="135"/>
    <x v="51"/>
    <m/>
    <s v="“Yeme Bozukluğu Olan Ergenlerde Ebeveyn-Ergen Sınırlarının İncelenmesi”"/>
    <m/>
    <m/>
    <m/>
    <m/>
    <m/>
    <m/>
    <m/>
    <m/>
    <m/>
    <m/>
  </r>
  <r>
    <m/>
    <m/>
    <x v="135"/>
    <x v="51"/>
    <m/>
    <s v="“Ciddi Pnömokokkal Enfeksiyon Geçiren Hastaların Retrospektif Olarak İmmün Yetmezlik Açısından Değerlendirilmesi”"/>
    <m/>
    <m/>
    <m/>
    <m/>
    <m/>
    <m/>
    <m/>
    <m/>
    <m/>
    <m/>
  </r>
  <r>
    <m/>
    <m/>
    <x v="135"/>
    <x v="51"/>
    <m/>
    <s v="“Borderline Kişilik Özellikleri ve Çocuklukta Onaylamayan Çevre Arasındaki İlişki: Bir Model Testi”"/>
    <m/>
    <m/>
    <m/>
    <m/>
    <m/>
    <m/>
    <m/>
    <m/>
    <m/>
    <m/>
  </r>
  <r>
    <m/>
    <m/>
    <x v="135"/>
    <x v="51"/>
    <m/>
    <s v="“Serbest Dişeti Grefti Alınan Lateral Damak Bölgesine Farklı Ajanlar Uygulanarak Yara İyileşmesinin Karşılaştırılması”"/>
    <m/>
    <m/>
    <m/>
    <m/>
    <m/>
    <m/>
    <m/>
    <m/>
    <m/>
    <m/>
  </r>
  <r>
    <m/>
    <m/>
    <x v="135"/>
    <x v="51"/>
    <m/>
    <s v="“Heterozigot FMF Hastalarının Tedavi Kesildikten Sonraki İzleminin Değerlendirilmesi”"/>
    <m/>
    <m/>
    <m/>
    <m/>
    <m/>
    <m/>
    <m/>
    <m/>
    <m/>
    <m/>
  </r>
  <r>
    <m/>
    <m/>
    <x v="135"/>
    <x v="51"/>
    <m/>
    <s v="“PFAPA Tanılı Hastalarda Kullanılan Tedavilerin Retrospektif Olarak Değerlendirilmesi”"/>
    <m/>
    <m/>
    <m/>
    <m/>
    <m/>
    <m/>
    <m/>
    <m/>
    <m/>
    <m/>
  </r>
  <r>
    <m/>
    <m/>
    <x v="135"/>
    <x v="51"/>
    <m/>
    <s v="“Geriatrik Popülasyonda Prurigo Nodülaris Hastalarında Etyolojik Faktörlerin Araştırılması”"/>
    <m/>
    <m/>
    <m/>
    <m/>
    <m/>
    <m/>
    <m/>
    <m/>
    <m/>
    <m/>
  </r>
  <r>
    <m/>
    <m/>
    <x v="135"/>
    <x v="51"/>
    <m/>
    <s v="“İntravitreal Enjeksiyon Yapılan Yaşa Bağlı Makula Dejenerasyonuna Sahip Olan Hastalarda Non Kontakt Speküler Konfokal Mikroskopi İle Korneal Parametrelerin Değerlendirilmesi”"/>
    <m/>
    <m/>
    <m/>
    <m/>
    <m/>
    <m/>
    <m/>
    <m/>
    <m/>
    <m/>
  </r>
  <r>
    <m/>
    <m/>
    <x v="135"/>
    <x v="51"/>
    <m/>
    <s v="“Çocuklarda Post Enfeksiyöz Bronşiolitis Obliterans Gelişmesinin Genetik Temellerinin Belirlenmesi”"/>
    <m/>
    <m/>
    <m/>
    <m/>
    <m/>
    <m/>
    <m/>
    <m/>
    <m/>
    <m/>
  </r>
  <r>
    <m/>
    <m/>
    <x v="135"/>
    <x v="51"/>
    <m/>
    <s v="“Kemoterapötik İlaç Hazırlayan ve Uygulayan Hemşirelerde Olası Toksik Etkilerin Değerlendirilmesi”"/>
    <m/>
    <m/>
    <m/>
    <m/>
    <m/>
    <m/>
    <m/>
    <m/>
    <m/>
    <m/>
  </r>
  <r>
    <m/>
    <m/>
    <x v="135"/>
    <x v="51"/>
    <m/>
    <s v="“Metastatik Kolorektal Adenokarsinomunda Karaciğer Metastazektomisi Sonrası Adjuvan Tedavilerin Etkinliğinin Değerlendirilmesi”"/>
    <m/>
    <m/>
    <m/>
    <m/>
    <m/>
    <m/>
    <m/>
    <m/>
    <m/>
    <m/>
  </r>
  <r>
    <m/>
    <m/>
    <x v="135"/>
    <x v="51"/>
    <m/>
    <s v="&quot;Çocukluk Çağı Aşılarına Karşı Antikor Düzeylerinin Değerlendirilmesi&quot;"/>
    <m/>
    <m/>
    <m/>
    <m/>
    <m/>
    <m/>
    <m/>
    <m/>
    <m/>
    <m/>
  </r>
  <r>
    <m/>
    <m/>
    <x v="135"/>
    <x v="51"/>
    <m/>
    <s v="“Pediatrik Ampiyemde Streptococcus Pneumoniae’nin Rolü: Tanıdaki Gelişmeler ve Epidemiyolojik Bulgular”"/>
    <m/>
    <m/>
    <m/>
    <m/>
    <m/>
    <m/>
    <m/>
    <m/>
    <m/>
    <m/>
  </r>
  <r>
    <m/>
    <m/>
    <x v="135"/>
    <x v="51"/>
    <m/>
    <s v="“Superior Mezenter Arter Sendromu Tedavisinde Beslenme Desteği ve Sonuçları”"/>
    <m/>
    <m/>
    <m/>
    <m/>
    <m/>
    <m/>
    <m/>
    <m/>
    <m/>
    <m/>
  </r>
  <r>
    <m/>
    <m/>
    <x v="135"/>
    <x v="51"/>
    <m/>
    <s v="“Eozinofilik Özofajit Gelişen Özofagus Atrezili Olgularda Oral Mikrobiyom ve Metabolomik Profillerinin İncelenmesi”"/>
    <m/>
    <m/>
    <m/>
    <m/>
    <m/>
    <m/>
    <m/>
    <m/>
    <m/>
    <m/>
  </r>
  <r>
    <m/>
    <m/>
    <x v="135"/>
    <x v="51"/>
    <m/>
    <s v="“Septal Perforasyon Onarımı Sonrası Mukosiliyer Klirens değerlendirilmesi: Rinosintigrafi ve Sakkarin Testi ile Karşılaştırmalı Analiz”"/>
    <m/>
    <m/>
    <m/>
    <m/>
    <m/>
    <m/>
    <m/>
    <m/>
    <m/>
    <m/>
  </r>
  <r>
    <m/>
    <m/>
    <x v="135"/>
    <x v="51"/>
    <m/>
    <s v="“Ortognatik Cerrahi Takiplerinde Karşılaşılan Nörosensoriyel Bozuklukların Klinik Testler ile Değerlendirilmesi ve Yaşam Kalitesi Üzerine Etkisi”"/>
    <m/>
    <m/>
    <m/>
    <m/>
    <m/>
    <m/>
    <m/>
    <m/>
    <m/>
    <m/>
  </r>
  <r>
    <m/>
    <m/>
    <x v="135"/>
    <x v="51"/>
    <m/>
    <s v="“Cinsiyet Olumlayıcı Hormon Tedavisi Alan Transgender Erkekler ve Endojen Hiperandrojenizmi Olan Polikistik Over Sendromlu Kadınlarda İnsülin Direnci ile İlişkili Laboratuvar ve Vücut Kompozisyon Parametrelerinin Karşılaştırılması”"/>
    <m/>
    <m/>
    <m/>
    <m/>
    <m/>
    <m/>
    <m/>
    <m/>
    <m/>
    <m/>
  </r>
  <r>
    <m/>
    <m/>
    <x v="135"/>
    <x v="51"/>
    <m/>
    <s v="“Sarkoidoz Hastalarının İmmünolojik Açıdan Değerlendirilmesi”"/>
    <m/>
    <m/>
    <m/>
    <m/>
    <m/>
    <m/>
    <m/>
    <m/>
    <m/>
    <m/>
  </r>
  <r>
    <m/>
    <m/>
    <x v="135"/>
    <x v="51"/>
    <m/>
    <s v="“Rejeneratif Endodontik Tedavide Kullanılan Materyallerin Simüle Dişlerin Kırılma Dayanımına Etkisi: Laboratuvar Çalışması”"/>
    <m/>
    <m/>
    <m/>
    <m/>
    <m/>
    <m/>
    <m/>
    <m/>
    <m/>
    <m/>
  </r>
  <r>
    <m/>
    <m/>
    <x v="135"/>
    <x v="51"/>
    <m/>
    <s v="“Fertil Yaş Grubunda Myomektomi Sonrası Gerçekleşen Gebeliklerin Myomektomi Zamanı ile Gebelik Zamanı Arasında Geçen Sürelerin ve Gebelik Sonuçlarının Retrospektif Olarak Araştırılması”"/>
    <m/>
    <m/>
    <m/>
    <m/>
    <m/>
    <m/>
    <m/>
    <m/>
    <m/>
    <m/>
  </r>
  <r>
    <m/>
    <m/>
    <x v="135"/>
    <x v="51"/>
    <m/>
    <s v="“Titanyum Tabanlı Monolitik Zirkonya Köprülerin Klinik Değerlendirmesi: Bir Retrospektif Takip Çalışması”"/>
    <m/>
    <m/>
    <m/>
    <m/>
    <m/>
    <m/>
    <m/>
    <m/>
    <m/>
    <m/>
  </r>
  <r>
    <m/>
    <m/>
    <x v="135"/>
    <x v="51"/>
    <m/>
    <s v="“Testiküler Germ Hücreli Tümörlerde Tedavi Yanıtı ve Prognoz ile İlişkilendirilebilecek Biyobelirteçlerin Araştırılması”"/>
    <m/>
    <m/>
    <m/>
    <m/>
    <m/>
    <m/>
    <m/>
    <m/>
    <m/>
    <m/>
  </r>
  <r>
    <m/>
    <m/>
    <x v="135"/>
    <x v="51"/>
    <m/>
    <s v="“Anoreksiya Nervoza Hastalarında Solunum Fonksiyonları ile Kas Kalınlığı ve Kuvveti Arasındaki İlişkinin Araştırılması: Vaka-Kontrol ve İzlem Çalışması”"/>
    <m/>
    <m/>
    <m/>
    <m/>
    <m/>
    <m/>
    <m/>
    <m/>
    <m/>
    <m/>
  </r>
  <r>
    <m/>
    <m/>
    <x v="135"/>
    <x v="51"/>
    <m/>
    <s v="“Kalsiyum Silikat ve Kalsiyum Hidroksit Kontaminasyonunun Universal Adezivlerin Dentin Yüzeylerine Bağlanma Dayanımı Üzerindeki Etkisi”"/>
    <m/>
    <m/>
    <m/>
    <m/>
    <m/>
    <m/>
    <m/>
    <m/>
    <m/>
    <m/>
  </r>
  <r>
    <m/>
    <m/>
    <x v="135"/>
    <x v="51"/>
    <m/>
    <s v="“Pediatrik Hiperlipidemi Hastalarında Glikolizasyon Profil  Karşılaştırması”"/>
    <m/>
    <m/>
    <m/>
    <m/>
    <m/>
    <m/>
    <m/>
    <m/>
    <m/>
    <m/>
  </r>
  <r>
    <m/>
    <m/>
    <x v="135"/>
    <x v="51"/>
    <m/>
    <s v="“Türkiye'de Steril Vücut Sıvılarında Streptococcus Pneumoniae Serogruplarının Prevalansı: Çok Merkezli, Prospektif Çalışma”"/>
    <m/>
    <m/>
    <m/>
    <m/>
    <m/>
    <m/>
    <m/>
    <m/>
    <m/>
    <m/>
  </r>
  <r>
    <m/>
    <m/>
    <x v="135"/>
    <x v="51"/>
    <m/>
    <s v="“Kullanılmış İnsülin İğnelerinin İmha Yöntemlerinin Tespiti: Türkiye’de Bir Aile Sağlığı Merkezi’nde Yapılandırılmış Hasta Eğitimi Müdahalesinin Sürdürülebilir Evsel Tıbbi Atık Yönetimine Etkisinin Değerlendirilmesi”"/>
    <m/>
    <m/>
    <m/>
    <m/>
    <m/>
    <m/>
    <m/>
    <m/>
    <m/>
    <m/>
  </r>
  <r>
    <m/>
    <m/>
    <x v="135"/>
    <x v="51"/>
    <m/>
    <s v="“Ambulans Çağrısı Sonrası Hastaneye Nakledilmeyen Hasta Özelliklerinin İncelenmesi ve Alternatif Bakım Önerilerinin Değerlendirilmesi”"/>
    <m/>
    <m/>
    <m/>
    <m/>
    <m/>
    <m/>
    <m/>
    <m/>
    <m/>
    <m/>
  </r>
  <r>
    <m/>
    <m/>
    <x v="135"/>
    <x v="51"/>
    <m/>
    <s v="“Orta Dönemde Bakılan Serum ve İdrar Metal İyon Seviyeleri, Metal-Metal Kalça Artroplastisinin On İki Yıllık Sağkalımım Öngörebilir mi?”"/>
    <m/>
    <m/>
    <m/>
    <m/>
    <m/>
    <m/>
    <m/>
    <m/>
    <m/>
    <m/>
  </r>
  <r>
    <m/>
    <m/>
    <x v="135"/>
    <x v="51"/>
    <m/>
    <s v="&quot;Rekreasyonel Sporcuların Maksimal Oksijen Tüketim Düzeyleri ile Vücut Kompozisyonu Arasındaki İlişkinin Belirlenmesi&quot;"/>
    <m/>
    <m/>
    <m/>
    <m/>
    <m/>
    <m/>
    <m/>
    <m/>
    <m/>
    <m/>
  </r>
  <r>
    <m/>
    <m/>
    <x v="135"/>
    <x v="51"/>
    <m/>
    <s v="“Uyku Sağlığı Okuryazarlığı Ölçeğinin Türkçe Geçerlik ve Güvenirlik Çalışması&quot;"/>
    <m/>
    <m/>
    <m/>
    <m/>
    <m/>
    <m/>
    <m/>
    <m/>
    <m/>
    <m/>
  </r>
  <r>
    <m/>
    <m/>
    <x v="135"/>
    <x v="51"/>
    <m/>
    <s v="“Videoürodinami Tetkiki Öncesi Hastanın Skopi İşlemi Sırasında Maruz Kalacağı Radyasyon Miktarını Öngörücü Faktörlerin ve Videoürodinami Tetkiki ile Kadın İşeme Fonksiyonun Tanımlanması”"/>
    <m/>
    <m/>
    <m/>
    <m/>
    <m/>
    <m/>
    <m/>
    <m/>
    <m/>
    <m/>
  </r>
  <r>
    <m/>
    <m/>
    <x v="135"/>
    <x v="51"/>
    <m/>
    <s v="“Rekürren Glial Tümörlerde Robotik Jiroskopik Lattice Tedavisi ile Reirradyasyon: Klinik Sonuçlar ve Yaşam Kalitesinin Değerlendirilmesi”"/>
    <m/>
    <m/>
    <m/>
    <m/>
    <m/>
    <m/>
    <m/>
    <m/>
    <m/>
    <m/>
  </r>
  <r>
    <m/>
    <m/>
    <x v="135"/>
    <x v="51"/>
    <m/>
    <s v="“Total Kalça Protezi Yapılan Hastalarda Gelişen Periprostetik Kırıkların Uzun Dönem Sonuçları ve Sağkalım Analizi”"/>
    <m/>
    <m/>
    <m/>
    <m/>
    <m/>
    <m/>
    <m/>
    <m/>
    <m/>
    <m/>
  </r>
  <r>
    <m/>
    <m/>
    <x v="135"/>
    <x v="51"/>
    <m/>
    <s v="“Acil Serviste Fraktür Şüphesi Taşıyan Hastalara Çekilen Pelvis Bilgisayarlı              Tomografi Görüntülerinin Yapay Zeka ile Değerlendirilmesi”"/>
    <m/>
    <m/>
    <m/>
    <m/>
    <m/>
    <m/>
    <m/>
    <m/>
    <m/>
    <m/>
  </r>
  <r>
    <m/>
    <m/>
    <x v="135"/>
    <x v="51"/>
    <m/>
    <s v="“Bir Aile Sağlığı Merkezi’ne Başvuran Erişkin Bireylerin Hipnoterapi Konusundaki Bilgi ve Tutumlarının İncelenmesi”"/>
    <m/>
    <m/>
    <m/>
    <m/>
    <m/>
    <m/>
    <m/>
    <m/>
    <m/>
    <m/>
  </r>
  <r>
    <m/>
    <m/>
    <x v="135"/>
    <x v="51"/>
    <m/>
    <s v="“Otoinflamatuvar Hastalıklarda Akciğer Tutulumunun Değerlendirilmesi”"/>
    <m/>
    <m/>
    <m/>
    <m/>
    <m/>
    <m/>
    <m/>
    <m/>
    <m/>
    <m/>
  </r>
  <r>
    <m/>
    <m/>
    <x v="135"/>
    <x v="51"/>
    <m/>
    <s v="“Psöriatik Artrit ve Psöriasis Tanılı Hastaların Tırnak Yatağı Kapilleroskopi Değerlendirmesi”"/>
    <m/>
    <m/>
    <m/>
    <m/>
    <m/>
    <m/>
    <m/>
    <m/>
    <m/>
    <m/>
  </r>
  <r>
    <m/>
    <m/>
    <x v="135"/>
    <x v="51"/>
    <m/>
    <s v="“Otoimmün Hastalıklarda Eşlik Eden Ek Otoimmün Hastalıkların İncelenmesi”"/>
    <m/>
    <m/>
    <m/>
    <m/>
    <m/>
    <m/>
    <m/>
    <m/>
    <m/>
    <m/>
  </r>
  <r>
    <m/>
    <m/>
    <x v="135"/>
    <x v="51"/>
    <m/>
    <s v="“Juvenil İdiyopatik Artritte Hastalık Gidişatının Değerlendirilmesinde Kalprotektinin Yeri”"/>
    <m/>
    <m/>
    <m/>
    <m/>
    <m/>
    <m/>
    <m/>
    <m/>
    <m/>
    <m/>
  </r>
  <r>
    <m/>
    <m/>
    <x v="135"/>
    <x v="51"/>
    <m/>
    <s v="“6-18 Yaş Arası Besin İlişkili IgE Aracılı Reaksiyonu Olan Hastaların Değerlendirilmesi”"/>
    <m/>
    <m/>
    <m/>
    <m/>
    <m/>
    <m/>
    <m/>
    <m/>
    <m/>
    <m/>
  </r>
  <r>
    <m/>
    <m/>
    <x v="135"/>
    <x v="51"/>
    <m/>
    <s v="“Astım Hastalarında Yorgunluk Düzeyinin Astım Kontrol Durumu ile İlişkisinin Değerlendirilmesi”"/>
    <m/>
    <m/>
    <m/>
    <m/>
    <m/>
    <m/>
    <m/>
    <m/>
    <m/>
    <m/>
  </r>
  <r>
    <m/>
    <m/>
    <x v="135"/>
    <x v="51"/>
    <m/>
    <s v="“Antiepileptik İlaç Aşırı Duyarlılık Reaksiyonlarının Klinik ve Laboratuvar Özelliklerinin Risk Analizi ile Değerlendirilmesi”"/>
    <m/>
    <m/>
    <m/>
    <m/>
    <m/>
    <m/>
    <m/>
    <m/>
    <m/>
    <m/>
  </r>
  <r>
    <m/>
    <m/>
    <x v="135"/>
    <x v="51"/>
    <m/>
    <s v="“Çocukluk Çağı IgG4 İlişkili Hastalık: Çok Merkezli Uluslararası Çalışma”"/>
    <m/>
    <m/>
    <m/>
    <m/>
    <m/>
    <m/>
    <m/>
    <m/>
    <m/>
    <m/>
  </r>
  <r>
    <m/>
    <m/>
    <x v="135"/>
    <x v="51"/>
    <m/>
    <s v="“Kronik Böbrek Hastalarında Glisemik Değişkenlik ve Metabolik Profilin İncelenmesi”"/>
    <m/>
    <m/>
    <m/>
    <m/>
    <m/>
    <m/>
    <m/>
    <m/>
    <m/>
    <m/>
  </r>
  <r>
    <m/>
    <m/>
    <x v="135"/>
    <x v="51"/>
    <m/>
    <s v="“Adli Tıp Araştırma Görevlilerinin İstifalarına Yönelik Değerlendirme: Bir Anket Çalışması”"/>
    <m/>
    <m/>
    <m/>
    <m/>
    <m/>
    <m/>
    <m/>
    <m/>
    <m/>
    <m/>
  </r>
  <r>
    <m/>
    <m/>
    <x v="135"/>
    <x v="51"/>
    <m/>
    <s v="“Abdominal ve Torasik Aort Anevrizma Olgularında Endovasküler Onarım Sırasındaki Anestezi Yaklaşımının Klinik Sonuçlar Üzerine Etkilerinin Retrospektif Olarak İncelenmesi”"/>
    <m/>
    <m/>
    <m/>
    <m/>
    <m/>
    <m/>
    <m/>
    <m/>
    <m/>
    <m/>
  </r>
  <r>
    <m/>
    <m/>
    <x v="135"/>
    <x v="51"/>
    <m/>
    <s v="“Ortodontik Tedavi Sürecinin Keratinize Diş Eti Özellikleri Üzerine Etkisinin İncelenmesi”"/>
    <m/>
    <m/>
    <m/>
    <m/>
    <m/>
    <m/>
    <m/>
    <m/>
    <m/>
    <m/>
  </r>
  <r>
    <m/>
    <m/>
    <x v="135"/>
    <x v="51"/>
    <m/>
    <s v="“Ankara’da Çalışan Aile Hekimlerinin Çalıştıkları İlçenin Sosyo-Ekonomik Gelişmişlik Düzeyi ile Tükenmişlik Durumları Arasındaki İlişkinin Değerlendirilmesi”"/>
    <m/>
    <m/>
    <m/>
    <m/>
    <m/>
    <m/>
    <m/>
    <m/>
    <m/>
    <m/>
  </r>
  <r>
    <m/>
    <m/>
    <x v="135"/>
    <x v="51"/>
    <m/>
    <s v="“Ankilozan Spondiliti Olan ve Olmayan Bireylerde Aşil, Plantar Fasya, Supraspinatus Entez Bölgelerinin Shear Wave Elastografi ile Değerlendirilmesi”"/>
    <m/>
    <m/>
    <m/>
    <m/>
    <m/>
    <m/>
    <m/>
    <m/>
    <m/>
    <m/>
  </r>
  <r>
    <m/>
    <m/>
    <x v="135"/>
    <x v="51"/>
    <m/>
    <s v="“Erken Başlangıçlı Skolyozda Tweener Grubunun Cerrahi Tedavisinde Büyüyen Rod Uygulamaları ile Posterior Spinal Füzyonun Orta-Uzun Dönem Sonuçlarının Karşılaştırılması”"/>
    <m/>
    <m/>
    <m/>
    <m/>
    <m/>
    <m/>
    <m/>
    <m/>
    <m/>
    <m/>
  </r>
  <r>
    <m/>
    <m/>
    <x v="135"/>
    <x v="51"/>
    <m/>
    <s v="“Serebral Palsili Çocuklarda Kalça Cerrahisi Sonrası Tekrar Çıkık Gelişimini Etkileyen Faktörler”"/>
    <m/>
    <m/>
    <m/>
    <m/>
    <m/>
    <m/>
    <m/>
    <m/>
    <m/>
    <m/>
  </r>
  <r>
    <m/>
    <m/>
    <x v="135"/>
    <x v="51"/>
    <m/>
    <s v="“Pediatrik Popülasyonda Pelvik BT ile Asetabular Sektör Açıları ve Femoroasetabular Parametreler Arasındaki Korelasyonun Değerlendirilmesi ve Normatif Referans Değerlerin Belirlenmesi”"/>
    <m/>
    <m/>
    <m/>
    <m/>
    <m/>
    <m/>
    <m/>
    <m/>
    <m/>
    <m/>
  </r>
  <r>
    <m/>
    <m/>
    <x v="135"/>
    <x v="51"/>
    <m/>
    <s v="“Panoramik Radyograflarda Derin Öğrenme Yöntemiyle Gelistirilen Yapay Zeka Algoritmasıyla Mandibulada Idiyopatik Osteoskleroz ile Kondensing Osteitisin Tespitinin ve Ayrımının Yapılması”"/>
    <m/>
    <m/>
    <m/>
    <m/>
    <m/>
    <m/>
    <m/>
    <m/>
    <m/>
    <m/>
  </r>
  <r>
    <m/>
    <m/>
    <x v="135"/>
    <x v="51"/>
    <m/>
    <s v="“Geriatrik Jinekolojik Hastalarda Cerrahi Morbiditenin İncelenmesi”"/>
    <m/>
    <m/>
    <m/>
    <m/>
    <m/>
    <m/>
    <m/>
    <m/>
    <m/>
    <m/>
  </r>
  <r>
    <m/>
    <m/>
    <x v="135"/>
    <x v="51"/>
    <m/>
    <s v="“İzole Humerus Kırığı İle Prezente Olan Endometrium Kanseri Vaka Raporu”"/>
    <m/>
    <m/>
    <m/>
    <m/>
    <m/>
    <m/>
    <m/>
    <m/>
    <m/>
    <m/>
  </r>
  <r>
    <m/>
    <m/>
    <x v="135"/>
    <x v="51"/>
    <m/>
    <s v="“Kanıta Dayalı Eğitim Müdahaleleri ile Lipid Profili Test İstemlerinin Optimizasyonu: Kalite Geliştirme Çalışması”"/>
    <m/>
    <m/>
    <m/>
    <m/>
    <m/>
    <m/>
    <m/>
    <m/>
    <m/>
    <m/>
  </r>
  <r>
    <m/>
    <m/>
    <x v="135"/>
    <x v="51"/>
    <m/>
    <s v="“Aile Sağlığı Merkezlerinde Aile Hekimleri Tarafından Yapılacak Bakım Noktası Ultrasonografisi: Erişkin Bireylerin Tutum ve Güveni”"/>
    <m/>
    <m/>
    <m/>
    <m/>
    <m/>
    <m/>
    <m/>
    <m/>
    <m/>
    <m/>
  </r>
  <r>
    <m/>
    <m/>
    <x v="135"/>
    <x v="51"/>
    <m/>
    <s v="“Borderline Over Tümörlerinde Histerektominin Prognoza Etkisi”"/>
    <m/>
    <m/>
    <m/>
    <m/>
    <m/>
    <m/>
    <m/>
    <m/>
    <m/>
    <m/>
  </r>
  <r>
    <m/>
    <m/>
    <x v="135"/>
    <x v="51"/>
    <m/>
    <s v="“IL-23 İnhibitörü Kullanan Hastalarda Üçüncü Ay Yanıtlarının Birinci Yıl Yanıtlarıyla Korelasyonu”"/>
    <m/>
    <m/>
    <m/>
    <m/>
    <m/>
    <m/>
    <m/>
    <m/>
    <m/>
    <m/>
  </r>
  <r>
    <m/>
    <m/>
    <x v="135"/>
    <x v="51"/>
    <m/>
    <s v="“Kol Salınımının Derinlik Sıçraması Optimal Düşüş Yüksekliğine Etkisinin İncelenmesi”"/>
    <m/>
    <m/>
    <m/>
    <m/>
    <m/>
    <m/>
    <m/>
    <m/>
    <m/>
    <m/>
  </r>
  <r>
    <m/>
    <m/>
    <x v="135"/>
    <x v="51"/>
    <m/>
    <s v="“Yardımcı Üreme Tekniklerine Başvuran Kadınlarla Güçlendirme Odaklı Sosyal Hizmet Grup Müdahalesi”"/>
    <m/>
    <m/>
    <m/>
    <m/>
    <m/>
    <m/>
    <m/>
    <m/>
    <m/>
    <m/>
  </r>
  <r>
    <m/>
    <m/>
    <x v="135"/>
    <x v="51"/>
    <m/>
    <s v="“Kalsiyum Silikat Esaslı Kök Kanal Dolgu Maddelerinin Kanal Tedavili Dişlerin Kırılma Dayanımına Etkisinde Kalsiyum Hidroksitin Rolü”"/>
    <m/>
    <m/>
    <m/>
    <m/>
    <m/>
    <m/>
    <m/>
    <m/>
    <m/>
    <m/>
  </r>
  <r>
    <m/>
    <m/>
    <x v="135"/>
    <x v="51"/>
    <m/>
    <s v="“Kök Kanalında Kırılan Farklı Döner Eğelerin Kanaldan Uzaklaştırılması Sırasındaki Dentin Kalınlığındaki Değişimin ve Apikalden Taşan Debrisin Değerlendirilmesi”"/>
    <m/>
    <m/>
    <m/>
    <m/>
    <m/>
    <m/>
    <m/>
    <m/>
    <m/>
    <m/>
  </r>
  <r>
    <m/>
    <m/>
    <x v="135"/>
    <x v="51"/>
    <m/>
    <s v="“Retroperitoneal Fibrozisli IgG4 İlişkili Hastalığı Bulunan Hastaların Romatolojik ve Ürolojik Açıdan Mortalite, Morbitide, Prognozlarının ve Tedavi Yaklaşımlarının Değerlendirilendirilmesi”"/>
    <m/>
    <m/>
    <m/>
    <m/>
    <m/>
    <m/>
    <m/>
    <m/>
    <m/>
    <m/>
  </r>
  <r>
    <m/>
    <m/>
    <x v="135"/>
    <x v="51"/>
    <m/>
    <s v="&quot;Fertilite Koruyucu Tedavi Uygulanan Endometrium Kanseri ve Endometrial İntraepitelyal Neoplazi Tanılı Hastalarda Moleküler Sınıflandırmanın Prognoza Etkisi”"/>
    <m/>
    <m/>
    <m/>
    <m/>
    <m/>
    <m/>
    <m/>
    <m/>
    <m/>
    <m/>
  </r>
  <r>
    <m/>
    <m/>
    <x v="135"/>
    <x v="51"/>
    <m/>
    <s v="“Mandibuler Distraktör Takılan Pediatrik Hastalarda Perioperatif Komlikasyonların Retrospektrif İncelenmesi”"/>
    <m/>
    <m/>
    <m/>
    <m/>
    <m/>
    <m/>
    <m/>
    <m/>
    <m/>
    <m/>
  </r>
  <r>
    <m/>
    <m/>
    <x v="135"/>
    <x v="51"/>
    <m/>
    <s v="“Pnömosistis Jirovecii Pnömonisi Tanısı Koyulan Hastalarda Risk Faktörleri ve Tedavi Yanıtlarının Değerlendirilmesi”"/>
    <m/>
    <m/>
    <m/>
    <m/>
    <m/>
    <m/>
    <m/>
    <m/>
    <m/>
    <m/>
  </r>
  <r>
    <m/>
    <m/>
    <x v="135"/>
    <x v="51"/>
    <m/>
    <s v="“Kök Kanal Tedavili Dişlerin Kırılma Dayanımında Gütaperkanın Tavsiye Edilen Tüketim Tarihinin Rolü”"/>
    <m/>
    <m/>
    <m/>
    <m/>
    <m/>
    <m/>
    <m/>
    <m/>
    <m/>
    <m/>
  </r>
  <r>
    <m/>
    <m/>
    <x v="135"/>
    <x v="51"/>
    <m/>
    <s v="“Cinsel Yolla Bulaşan Enfeksiyonlarda Risk Paternlerinin Veri Odaklı Keşfi: Makine Öğrenimi Yaklaşımı”"/>
    <m/>
    <m/>
    <m/>
    <m/>
    <m/>
    <m/>
    <m/>
    <m/>
    <m/>
    <m/>
  </r>
  <r>
    <m/>
    <m/>
    <x v="135"/>
    <x v="51"/>
    <m/>
    <s v="“Adipozite İndeksleri İle Geriatrik Sendromlar Arasındaki İlişki”"/>
    <m/>
    <m/>
    <m/>
    <m/>
    <m/>
    <m/>
    <m/>
    <m/>
    <m/>
    <m/>
  </r>
  <r>
    <m/>
    <m/>
    <x v="135"/>
    <x v="51"/>
    <m/>
    <s v="“Kişiye Özel İmplantlar İle Yapılan Le Fort 1 Cerrahisinde Maksilla Pozisyonunun Doğruluğunun İncelenmesi”"/>
    <m/>
    <m/>
    <m/>
    <m/>
    <m/>
    <m/>
    <m/>
    <m/>
    <m/>
    <m/>
  </r>
  <r>
    <m/>
    <m/>
    <x v="135"/>
    <x v="51"/>
    <m/>
    <s v="“Migren Tedavisi Optimizasyon Anketi (MTOQ)-4&quot;ün Türkçe Geçerlik ve Güvenirlik Çalışması”"/>
    <m/>
    <m/>
    <m/>
    <m/>
    <m/>
    <m/>
    <m/>
    <m/>
    <m/>
    <m/>
  </r>
  <r>
    <m/>
    <m/>
    <x v="135"/>
    <x v="51"/>
    <m/>
    <s v="“Kronik Hastalıklarda Doktor-Hasta İlişkisi Ölçeği’nin Türkçe Geçerlik ve Güvenirlik Çalışması”"/>
    <m/>
    <m/>
    <m/>
    <m/>
    <m/>
    <m/>
    <m/>
    <m/>
    <m/>
    <m/>
  </r>
  <r>
    <m/>
    <m/>
    <x v="135"/>
    <x v="51"/>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135"/>
    <x v="51"/>
    <m/>
    <s v="“Prostat ve Mesane Kanserlerinde DNA Hasar Yanıtının Hedeflenmesi: Preklinik Modelleme&quot;"/>
    <m/>
    <m/>
    <m/>
    <m/>
    <m/>
    <m/>
    <m/>
    <m/>
    <m/>
    <m/>
  </r>
  <r>
    <m/>
    <m/>
    <x v="135"/>
    <x v="51"/>
    <m/>
    <s v="“Leiomyoma Tanısıyla Opere Edilen Ve Fumarat Hidrataz Eksikliği Saptanan Hastaların Klinik Sonuçlarının Değerlendirilmesi”"/>
    <m/>
    <m/>
    <m/>
    <m/>
    <m/>
    <m/>
    <m/>
    <m/>
    <m/>
    <m/>
  </r>
  <r>
    <m/>
    <m/>
    <x v="135"/>
    <x v="51"/>
    <m/>
    <s v="“Bir Üniversite Hastanesindeki Diş Hekimlerinin Dental Anksiyete Konusundaki Bilgi, Farkındalık ve Yönetim Stratejilerinin Değerlendirilmesi”"/>
    <m/>
    <m/>
    <m/>
    <m/>
    <m/>
    <m/>
    <m/>
    <m/>
    <m/>
    <m/>
  </r>
  <r>
    <m/>
    <m/>
    <x v="135"/>
    <x v="51"/>
    <m/>
    <s v="“Aktive Fosfoinositid 3-Kinaz Delta| Sendromu Tanısında Laboratuvar Testlerinin Karşılaştırılması”"/>
    <m/>
    <m/>
    <m/>
    <m/>
    <m/>
    <m/>
    <m/>
    <m/>
    <m/>
    <m/>
  </r>
  <r>
    <m/>
    <m/>
    <x v="135"/>
    <x v="51"/>
    <m/>
    <s v="“Kistik Fibrozisli Çocuklarda İlk Asemptomatik Metisilin Dirençli Staphylococcus aureus Üremesine Yönelik Antibiyotik Tedavisi Verilmesinin Klinik Duruma Etkisi”"/>
    <m/>
    <m/>
    <m/>
    <m/>
    <m/>
    <m/>
    <m/>
    <m/>
    <m/>
    <m/>
  </r>
  <r>
    <m/>
    <m/>
    <x v="135"/>
    <x v="51"/>
    <m/>
    <s v="“46,XY Cinsiyet Gelişim Bozukluğu Tanılı Hastalarda Moleküler Etiyolojinin Araştırılması”"/>
    <m/>
    <m/>
    <m/>
    <m/>
    <m/>
    <m/>
    <m/>
    <m/>
    <m/>
    <m/>
  </r>
  <r>
    <m/>
    <m/>
    <x v="135"/>
    <x v="51"/>
    <m/>
    <s v="“İnek Sütü Alerjisi Olan Çocuklarda Serum Albümin Duyarlılığı ve Sığır Eti Alerjisi Birlikteliğinin Değerlendirilmesi”"/>
    <m/>
    <m/>
    <m/>
    <m/>
    <m/>
    <m/>
    <m/>
    <m/>
    <m/>
    <m/>
  </r>
  <r>
    <m/>
    <m/>
    <x v="135"/>
    <x v="51"/>
    <m/>
    <s v="“Psödohipoparatiroidizmin Klinik ve Laboratuvar Özellikleri ile Genotip-Fenotip İlişkisi”"/>
    <m/>
    <m/>
    <m/>
    <m/>
    <m/>
    <m/>
    <m/>
    <m/>
    <m/>
    <m/>
  </r>
  <r>
    <m/>
    <m/>
    <x v="135"/>
    <x v="51"/>
    <m/>
    <s v="“Fossa Vermiana’nın Morfolojik ve Morfometrik Olarak İncelenmesi”"/>
    <m/>
    <m/>
    <m/>
    <m/>
    <m/>
    <m/>
    <m/>
    <m/>
    <m/>
    <m/>
  </r>
  <r>
    <m/>
    <m/>
    <x v="135"/>
    <x v="51"/>
    <m/>
    <s v="“Çocukluk Çağında Dirençli Epilepside Uyku Bozuklukları ve Diğer Komorbid Durumların Değerlendirilmesi”"/>
    <m/>
    <m/>
    <m/>
    <m/>
    <m/>
    <m/>
    <m/>
    <m/>
    <m/>
    <m/>
  </r>
  <r>
    <m/>
    <m/>
    <x v="135"/>
    <x v="51"/>
    <m/>
    <s v="“Kornea Endotelini Etkileyen Hastalıklarda İnvivo Konfokal Mikroskopi Görüntülerinin Derin Öğrenme Tabanlı Bilgisayarlı Görü Yöntemleriyle Sınıflandırılması”"/>
    <m/>
    <m/>
    <m/>
    <m/>
    <m/>
    <m/>
    <m/>
    <m/>
    <m/>
    <m/>
  </r>
  <r>
    <m/>
    <m/>
    <x v="135"/>
    <x v="51"/>
    <m/>
    <s v="“Yaşlı Bireylerde Farklı Formüllerle Hesaplanan Glomerüler Filtrasyon Hızı ile Kognitif Fonksiyonların ilişkisi”"/>
    <m/>
    <m/>
    <m/>
    <m/>
    <m/>
    <m/>
    <m/>
    <m/>
    <m/>
    <m/>
  </r>
  <r>
    <m/>
    <m/>
    <x v="135"/>
    <x v="51"/>
    <m/>
    <s v="“Kök Kanalında Farklı Uzunluklarda Kırılan Nikel-Titanyum Eğelerin Farklı Yöntemler ile Uzaklaştırılmasının Apikalden Taşan Debrise Etkisi”"/>
    <m/>
    <m/>
    <m/>
    <m/>
    <m/>
    <m/>
    <m/>
    <m/>
    <m/>
    <m/>
  </r>
  <r>
    <m/>
    <m/>
    <x v="135"/>
    <x v="51"/>
    <m/>
    <s v="“Türkiye 65 Yaş Üstü Popülasyonunda Yaşa ve Cinsiyete Göre Baldır Çevresi Persentil Eğrilerinin Oluşturulması: Tek Merkezli Kesitsel Bir Çalışma”"/>
    <m/>
    <m/>
    <m/>
    <m/>
    <m/>
    <m/>
    <m/>
    <m/>
    <m/>
    <m/>
  </r>
  <r>
    <m/>
    <m/>
    <x v="135"/>
    <x v="51"/>
    <m/>
    <s v="“Kartilaj Slop ve Ön Çapraz Bağı Rüptürü Risk Faktörlerinin Merge MRG ile Değerlendirilmesi”"/>
    <m/>
    <m/>
    <m/>
    <m/>
    <m/>
    <m/>
    <m/>
    <m/>
    <m/>
    <m/>
  </r>
  <r>
    <m/>
    <m/>
    <x v="135"/>
    <x v="51"/>
    <m/>
    <s v="“Sigara İçen ve İçmeyen Bireylerde D Vitamini Seviyeleri ile İnflamatuar Biyobelirteçler (CRP, IL-17, IL-19) Arasındaki İlişkinin Değerlendirilmesi”"/>
    <m/>
    <m/>
    <m/>
    <m/>
    <m/>
    <m/>
    <m/>
    <m/>
    <m/>
    <m/>
  </r>
  <r>
    <m/>
    <m/>
    <x v="135"/>
    <x v="51"/>
    <m/>
    <s v="“Farklı Konsantrasyonlarda ve Taşıyıcılarla Hazırlanan Kalsiyum Hidroksitin Apikalden Taşma Miktarının İn Vitro Değerlendirilmesi”"/>
    <m/>
    <m/>
    <m/>
    <m/>
    <m/>
    <m/>
    <m/>
    <m/>
    <m/>
    <m/>
  </r>
  <r>
    <m/>
    <m/>
    <x v="135"/>
    <x v="51"/>
    <m/>
    <s v="“Çocuklarda Duodenogastrik Reflü Hastalığı: Bu Bir Fonksiyonel Gastrointestinal Hastalık mıdır?”"/>
    <m/>
    <m/>
    <m/>
    <m/>
    <m/>
    <m/>
    <m/>
    <m/>
    <m/>
    <m/>
  </r>
  <r>
    <m/>
    <m/>
    <x v="135"/>
    <x v="51"/>
    <m/>
    <s v="“AtopikDermatit Tanılı Adölesan Hastalarda Uyku ve Yasam Kalitesinin Değerlendirilmesi”"/>
    <m/>
    <m/>
    <m/>
    <m/>
    <m/>
    <m/>
    <m/>
    <m/>
    <m/>
    <m/>
  </r>
  <r>
    <m/>
    <m/>
    <x v="135"/>
    <x v="51"/>
    <m/>
    <s v="“Schwartz Jampel Sendromunda Metabolik Yolakların Araştırılması ve Terapötik Yaklaşım Hedefleri”"/>
    <m/>
    <m/>
    <m/>
    <m/>
    <m/>
    <m/>
    <m/>
    <m/>
    <m/>
    <m/>
  </r>
  <r>
    <m/>
    <m/>
    <x v="135"/>
    <x v="51"/>
    <m/>
    <s v="&quot;Erişkinlerde Yaş Tayini İçin Pulpanın Radyolojik Değişikliklerinin İncelendiği Yeni Bir Yöntemin Değerlendirilmesi&quot;"/>
    <m/>
    <m/>
    <m/>
    <m/>
    <m/>
    <m/>
    <m/>
    <m/>
    <m/>
    <m/>
  </r>
  <r>
    <m/>
    <m/>
    <x v="135"/>
    <x v="51"/>
    <m/>
    <s v="“Elektrofizyoloji Laboratuvarında Miyotonik Boşalımlar: Tanı, Klinik ve Elektrofizyoloji”"/>
    <m/>
    <m/>
    <m/>
    <m/>
    <m/>
    <m/>
    <m/>
    <m/>
    <m/>
    <m/>
  </r>
  <r>
    <m/>
    <m/>
    <x v="135"/>
    <x v="51"/>
    <m/>
    <s v="“Herediter Miyelin Hastalıklarında Periferik Sinir Sistemi Tutulumunun Elektrofizyolojik Özellikleri”"/>
    <m/>
    <m/>
    <m/>
    <m/>
    <m/>
    <m/>
    <m/>
    <m/>
    <m/>
    <m/>
  </r>
  <r>
    <m/>
    <m/>
    <x v="135"/>
    <x v="51"/>
    <m/>
    <s v="“Dudak Damak Yarığı Hastalarında Temporomandibuler Eklem Patolojilerinin Konik Işınlı Bilgisayarlı Tomografi (KIBT) Görüntüleri Üzerinden Araştırılması”"/>
    <m/>
    <m/>
    <m/>
    <m/>
    <m/>
    <m/>
    <m/>
    <m/>
    <m/>
    <m/>
  </r>
  <r>
    <m/>
    <m/>
    <x v="135"/>
    <x v="51"/>
    <m/>
    <s v="“Baş Boyun Yassı Hücreli Kanserlerinde DNA Metilasyonunun Gen Ekspresyonu Üzerinden Prognoza Etkisi”"/>
    <m/>
    <m/>
    <m/>
    <m/>
    <m/>
    <m/>
    <m/>
    <m/>
    <m/>
    <m/>
  </r>
  <r>
    <m/>
    <m/>
    <x v="135"/>
    <x v="51"/>
    <m/>
    <s v="“Radyasyon Yönetim Sistemleri ile Bilgisayarlı Tomografi Tetkiklerinin Lokal Tanısal Referans Seviyelerinin Belirlenmesi”"/>
    <m/>
    <m/>
    <m/>
    <m/>
    <m/>
    <m/>
    <m/>
    <m/>
    <m/>
    <m/>
  </r>
  <r>
    <m/>
    <m/>
    <x v="135"/>
    <x v="51"/>
    <m/>
    <s v="“Primer Hiperparatiroidi Hastalarında Cerrahi Tedavi ile Sağlanan Kürün Miyokin Profili Üzerindeki Etkilerinin İncelenmesi”"/>
    <m/>
    <m/>
    <m/>
    <m/>
    <m/>
    <m/>
    <m/>
    <m/>
    <m/>
    <m/>
  </r>
  <r>
    <m/>
    <m/>
    <x v="135"/>
    <x v="51"/>
    <m/>
    <s v="“Lateral Epikondilit Tedavisinde Steroid Enjeksiyonu ile Kombine Lateral Antebrakial Kutanöz Sinir Pulsed Radyofrekans Tedavisinin Etkinliğinin Değerlendirilmesi”"/>
    <m/>
    <m/>
    <m/>
    <m/>
    <m/>
    <m/>
    <m/>
    <m/>
    <m/>
    <m/>
  </r>
  <r>
    <m/>
    <m/>
    <x v="135"/>
    <x v="51"/>
    <m/>
    <s v="“Medial Diz Ağrısı Olan Diz Osteoartritli Hastalarda Safen ve Medial Geniküler Sinirlerin Pulsed Radyofrekans Tedavilerinin Etkinliklerinin Karşılaştırılması”"/>
    <m/>
    <m/>
    <m/>
    <m/>
    <m/>
    <m/>
    <m/>
    <m/>
    <m/>
    <m/>
  </r>
  <r>
    <m/>
    <m/>
    <x v="135"/>
    <x v="51"/>
    <m/>
    <s v="“Küresel Bir Halk Sağlığı Problemi Olan Antibiyotik Direncini Aşmak için Antisense Oligonükleotit Temelli Yenilikçi Formülasyonların Geliştirilmesi ve Değerlendirilmesi”"/>
    <m/>
    <m/>
    <m/>
    <m/>
    <m/>
    <m/>
    <m/>
    <m/>
    <m/>
    <m/>
  </r>
  <r>
    <m/>
    <m/>
    <x v="135"/>
    <x v="51"/>
    <m/>
    <s v="“Multiple Miyelom Etiyolojisinde Kopya Sayısı Değişikliklerinin Dijital Multipleks Ligasyon Bağımlı Prob Amplifikasyonu (MLPA) ile Araştırılması”"/>
    <m/>
    <m/>
    <m/>
    <m/>
    <m/>
    <m/>
    <m/>
    <m/>
    <m/>
    <m/>
  </r>
  <r>
    <m/>
    <m/>
    <x v="135"/>
    <x v="51"/>
    <m/>
    <s v="“Çocuklarda Laparoskopik Kolesistektomilerde İndosiyaninyeşil (ICG) destekli Floresan Görüntülemenin Cerrahi Sonuçlara Etkisinin Belirlenmesi”"/>
    <m/>
    <m/>
    <m/>
    <m/>
    <m/>
    <m/>
    <m/>
    <m/>
    <m/>
    <m/>
  </r>
  <r>
    <m/>
    <m/>
    <x v="135"/>
    <x v="51"/>
    <m/>
    <s v="“Maksiller Darlığa Sahip İleri Sutural Maturasyon Evresinde Olan Hastalarda Modifiye Glassman Tekniği ile Cortico-Puncture Tekniği Uygulanarak Yapılan Mini Vida Destekli Genişletme Tedavisinin Etkilerinin Karşılaştırılması”"/>
    <m/>
    <m/>
    <m/>
    <m/>
    <m/>
    <m/>
    <m/>
    <m/>
    <m/>
    <m/>
  </r>
  <r>
    <m/>
    <m/>
    <x v="135"/>
    <x v="51"/>
    <m/>
    <s v="&quot;İntraoküler Retinoblastomun Geç Nükslerinin Retrospektif Olarak Değerlendirilmesi&quot;"/>
    <m/>
    <m/>
    <m/>
    <m/>
    <m/>
    <m/>
    <m/>
    <m/>
    <m/>
    <m/>
  </r>
  <r>
    <m/>
    <m/>
    <x v="135"/>
    <x v="51"/>
    <m/>
    <s v="“Temporomandibular Eklem Bozukluklarında Ağız Açma Sırasında Disk Morfolojisinde Meydana Gelen Pozisyonel Transformasyonun Klinik Bulgular ve Manyetik Rezonans Görüntüleme Parametreleri ile İlişkisinin Değerlendirilmesi”"/>
    <m/>
    <m/>
    <m/>
    <m/>
    <m/>
    <m/>
    <m/>
    <m/>
    <m/>
    <m/>
  </r>
  <r>
    <m/>
    <m/>
    <x v="135"/>
    <x v="51"/>
    <m/>
    <s v="“Nörodejeneratif Hastalıkların Erken Tanısında Göz Hareketleri Kullanılabilir mi?: Yapay Zeka Aracılıklı Vaka-Kontrol Çalışması”"/>
    <m/>
    <m/>
    <m/>
    <m/>
    <m/>
    <m/>
    <m/>
    <m/>
    <m/>
    <m/>
  </r>
  <r>
    <m/>
    <m/>
    <x v="135"/>
    <x v="51"/>
    <m/>
    <s v="“Kritik Hastalarda Rutin Mikrodolaşım Değerlendirmesinin Şok Erken Tanısına Etkisi”"/>
    <m/>
    <m/>
    <m/>
    <m/>
    <m/>
    <m/>
    <m/>
    <m/>
    <m/>
    <m/>
  </r>
  <r>
    <m/>
    <m/>
    <x v="135"/>
    <x v="51"/>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135"/>
    <x v="51"/>
    <m/>
    <s v="“Şiddetli Ülseratif Kolit Hastalarında Aleksitimi Varlığının Değerlendirilmesi”"/>
    <m/>
    <m/>
    <m/>
    <m/>
    <m/>
    <m/>
    <m/>
    <m/>
    <m/>
    <m/>
  </r>
  <r>
    <m/>
    <m/>
    <x v="135"/>
    <x v="51"/>
    <m/>
    <s v="“İnflamatuar Bağırsak Hastalıklarında Kullanılan Biyolojik Ajanlarda Tedavi Persistensinin Değerlendirilmesi ”"/>
    <m/>
    <m/>
    <m/>
    <m/>
    <m/>
    <m/>
    <m/>
    <m/>
    <m/>
    <m/>
  </r>
  <r>
    <m/>
    <m/>
    <x v="135"/>
    <x v="51"/>
    <m/>
    <s v="“Meme Kanseri Hastalarında Gustave Roussy İmmün Skorunun Sağ Kalım ile İlişkisi”"/>
    <m/>
    <m/>
    <m/>
    <m/>
    <m/>
    <m/>
    <m/>
    <m/>
    <m/>
    <m/>
  </r>
  <r>
    <m/>
    <m/>
    <x v="135"/>
    <x v="51"/>
    <m/>
    <s v="“Endometrioma Nedeniyle Skleroterapi Uygulanan Hastalarda Over Rezervi, Fertilite, Gebelik Sonuçları ve Endometrioma Prognozu Üzerine Etkisinin Retrospektif Analizi”"/>
    <m/>
    <m/>
    <m/>
    <m/>
    <m/>
    <m/>
    <m/>
    <m/>
    <m/>
    <m/>
  </r>
  <r>
    <m/>
    <m/>
    <x v="135"/>
    <x v="51"/>
    <m/>
    <s v="&quot;Steroid Olmayan Anti-İnflamatuar İlaçlarla Alevlenen Hava Yolu Hastalığı (NERD) Hastalarında Aspirin Desensitizasyonu Sonrası Düzenli Aspirin Tedavisinin (ATAD) Serum Lipit Mediyatörleri Üzerine Etkilerinin Araştırılması&quot;"/>
    <m/>
    <m/>
    <m/>
    <m/>
    <m/>
    <m/>
    <m/>
    <m/>
    <m/>
    <m/>
  </r>
  <r>
    <m/>
    <m/>
    <x v="135"/>
    <x v="51"/>
    <m/>
    <s v="“Keratokonus Evresi ile Retina Sinir Lifi Tabakası, Makula Kalınlığı, Ganglion Hücre Tabakası Parametrelerindeki Değişikliklerin İlişkisinin Optik Koherens Tomografi Kullanarak İncelenmesi”"/>
    <m/>
    <m/>
    <m/>
    <m/>
    <m/>
    <m/>
    <m/>
    <m/>
    <m/>
    <m/>
  </r>
  <r>
    <m/>
    <m/>
    <x v="135"/>
    <x v="51"/>
    <m/>
    <s v="“Yeni Hepatit B Biyobelirteçlerinin Kronik Hepatit B Hastalığının Fazlarındaki Değişiminin İncelenmesi”"/>
    <m/>
    <m/>
    <m/>
    <m/>
    <m/>
    <m/>
    <m/>
    <m/>
    <m/>
    <m/>
  </r>
  <r>
    <m/>
    <m/>
    <x v="135"/>
    <x v="51"/>
    <m/>
    <s v="“Rekreasyonel ve Elit Kadın Sporcularda İnkontinans Sıklığının ve Etiyolojisinin Belirlenmesi”"/>
    <m/>
    <m/>
    <m/>
    <m/>
    <m/>
    <m/>
    <m/>
    <m/>
    <m/>
    <m/>
  </r>
  <r>
    <m/>
    <m/>
    <x v="135"/>
    <x v="51"/>
    <m/>
    <s v="“Eklem İçi Ortobiyolojik Uygulanmış Diz Osteoartritli Hastaların Hareket Analizi”"/>
    <m/>
    <m/>
    <m/>
    <m/>
    <m/>
    <m/>
    <m/>
    <m/>
    <m/>
    <m/>
  </r>
  <r>
    <m/>
    <m/>
    <x v="135"/>
    <x v="51"/>
    <m/>
    <s v="''Tam Çift Sistemler İçin Yapılan Üst Kutuplu Heminefrektomi Sonrası Hasta Takiplerinde Alt Üriner Sistem Cerrahisi Gerekliliğinin Değerlendirilmesi”"/>
    <m/>
    <m/>
    <m/>
    <m/>
    <m/>
    <m/>
    <m/>
    <m/>
    <m/>
    <m/>
  </r>
  <r>
    <m/>
    <m/>
    <x v="135"/>
    <x v="51"/>
    <m/>
    <s v="“Farklı Cinsteki Üriner Sistem Taşlarının Evriminin Cerrahi Bulgular ve Laboratuar Tetkikleri ile Araştırılması”"/>
    <m/>
    <m/>
    <m/>
    <m/>
    <m/>
    <m/>
    <m/>
    <m/>
    <m/>
    <m/>
  </r>
  <r>
    <m/>
    <m/>
    <x v="135"/>
    <x v="51"/>
    <m/>
    <s v="“Post-travmatik Epilepsi: Hastaların Klinik Özellikleri, MRGve EEG Bulgularının Prognozla İlişkisi”"/>
    <m/>
    <m/>
    <m/>
    <m/>
    <m/>
    <m/>
    <m/>
    <m/>
    <m/>
    <m/>
  </r>
  <r>
    <m/>
    <m/>
    <x v="135"/>
    <x v="51"/>
    <m/>
    <s v="“Mikrosatellit İnstabilitesi Yüksek Olan Mide Kanseri Olgularında Tedavi Yaklaşımı ve Prognoz İncelenmesi”"/>
    <m/>
    <m/>
    <m/>
    <m/>
    <m/>
    <m/>
    <m/>
    <m/>
    <m/>
    <m/>
  </r>
  <r>
    <m/>
    <m/>
    <x v="135"/>
    <x v="51"/>
    <m/>
    <s v="“Elektrofizyoloji Laboratuvannda Pleksus Hasarı Tanısı”"/>
    <m/>
    <m/>
    <m/>
    <m/>
    <m/>
    <m/>
    <m/>
    <m/>
    <m/>
    <m/>
  </r>
  <r>
    <m/>
    <m/>
    <x v="135"/>
    <x v="51"/>
    <m/>
    <s v="“Yoğun Bakım Hastalarında Vücut Yağ ve Kas Dağılımının Organ Sonlanımı ve Mortaliteye Etkisi”"/>
    <m/>
    <m/>
    <m/>
    <m/>
    <m/>
    <m/>
    <m/>
    <m/>
    <m/>
    <m/>
  </r>
  <r>
    <m/>
    <m/>
    <x v="135"/>
    <x v="51"/>
    <m/>
    <s v="“Kalıtsal Kanser Sendromlarında Gelişmiş Genomik Yaklaşımlarla Yeni Genetik Faktörlerin Tanımlanması”"/>
    <m/>
    <m/>
    <m/>
    <m/>
    <m/>
    <m/>
    <m/>
    <m/>
    <m/>
    <m/>
  </r>
  <r>
    <m/>
    <m/>
    <x v="135"/>
    <x v="51"/>
    <m/>
    <s v="“Opere Temporal Lob Epilepsili Hastalarda Jeneralize İnteriktal Epileptiform Deşarj Varlığı ve Önemi”"/>
    <m/>
    <m/>
    <m/>
    <m/>
    <m/>
    <m/>
    <m/>
    <m/>
    <m/>
    <m/>
  </r>
  <r>
    <m/>
    <m/>
    <x v="135"/>
    <x v="51"/>
    <m/>
    <s v="&quot;Üniversite Öğrencileri Arasında Sosyal Medyada Karşılaştıkları Beslenme ve Gıda ile İlgili İçeriklerin Öğrencilerin Beslenme Davranışlarını Etkileme Durumlarına İlişkin Görüşlerinin Belirlenmesi&quot;"/>
    <m/>
    <m/>
    <m/>
    <m/>
    <m/>
    <m/>
    <m/>
    <m/>
    <m/>
    <m/>
  </r>
  <r>
    <m/>
    <m/>
    <x v="135"/>
    <x v="51"/>
    <m/>
    <s v="“Üçüncü Molar Dişlerle İlişkili Perikoronal Foliküllerin Radyografik ve Patolojik Özelliklerinin Retrospektif İncelenmesi”"/>
    <m/>
    <m/>
    <m/>
    <m/>
    <m/>
    <m/>
    <m/>
    <m/>
    <m/>
    <m/>
  </r>
  <r>
    <m/>
    <m/>
    <x v="135"/>
    <x v="51"/>
    <m/>
    <s v="“İç Hastalıkları Uzmanları ve Araştırma Görevlilerinde Obezite Farkındalığı ve Bilgi Düzeyi ile Eğitim İhtiyacının Belirlenmesi”"/>
    <m/>
    <m/>
    <m/>
    <m/>
    <m/>
    <m/>
    <m/>
    <m/>
    <m/>
    <m/>
  </r>
  <r>
    <m/>
    <m/>
    <x v="135"/>
    <x v="51"/>
    <m/>
    <s v="“Mitral Anüler Disjunction Saptanan Hastalarda Genetik Etiyolojinin Araştırılması ”"/>
    <m/>
    <m/>
    <m/>
    <m/>
    <m/>
    <m/>
    <m/>
    <m/>
    <m/>
    <m/>
  </r>
  <r>
    <m/>
    <m/>
    <x v="135"/>
    <x v="51"/>
    <m/>
    <s v="“POS-VAP: Sürekli Gözlemsel Çalışma- Ventilatör İlişkili Pnömoni”"/>
    <m/>
    <m/>
    <m/>
    <m/>
    <m/>
    <m/>
    <m/>
    <m/>
    <m/>
    <m/>
  </r>
  <r>
    <m/>
    <m/>
    <x v="135"/>
    <x v="51"/>
    <m/>
    <s v="“Dahiliye Servislerinde İlaç Uygulama Zamanlarının Değerlendirilmesi ve Klinik Eczacının Rolü”"/>
    <m/>
    <m/>
    <m/>
    <m/>
    <m/>
    <m/>
    <m/>
    <m/>
    <m/>
    <m/>
  </r>
  <r>
    <m/>
    <m/>
    <x v="135"/>
    <x v="51"/>
    <m/>
    <s v="“Kalça Osteoartritli Hastalarda Floroskopi ve Ultrasonografi Kılavuzluğunda İntraartiküler Kalça Enjeksiyonlarının Etkinliklerinin Karşılaştırılması”"/>
    <m/>
    <m/>
    <m/>
    <m/>
    <m/>
    <m/>
    <m/>
    <m/>
    <m/>
    <m/>
  </r>
  <r>
    <m/>
    <m/>
    <x v="135"/>
    <x v="51"/>
    <m/>
    <s v="“Diz Osteoartritli Hastalarda Floroskopi ve Ultrasonografi Kılavuzluğunda İntraartiküler Diz Enjeksiyonlarının Etkinliklerinin Karşılaştırılması&quot;"/>
    <m/>
    <m/>
    <m/>
    <m/>
    <m/>
    <m/>
    <m/>
    <m/>
    <m/>
    <m/>
  </r>
  <r>
    <m/>
    <m/>
    <x v="135"/>
    <x v="51"/>
    <m/>
    <s v="“Laringotrakeal Stenoz Cerrahi Tedavisinde Uzun Dönem Sonuçlarımız: 15 Yıllık Hacettepe Tecrübesi”"/>
    <m/>
    <m/>
    <m/>
    <m/>
    <m/>
    <m/>
    <m/>
    <m/>
    <m/>
    <m/>
  </r>
  <r>
    <m/>
    <m/>
    <x v="135"/>
    <x v="51"/>
    <m/>
    <s v="“Soliter Fibröz Tümör/Hemanjioperisitoma Tanılı Hastaların Demografik, Klinikopatolojik, Prognostik Özelliklerinin ve Tedavi Yanıtlarının Değerlendirilmesi”"/>
    <m/>
    <m/>
    <m/>
    <m/>
    <m/>
    <m/>
    <m/>
    <m/>
    <m/>
    <m/>
  </r>
  <r>
    <m/>
    <m/>
    <x v="135"/>
    <x v="51"/>
    <m/>
    <s v="“B12 Vitamini Eksikliği Tedavisinin Kılavuza Uygunluğunun Değerlendirilmes”"/>
    <m/>
    <m/>
    <m/>
    <m/>
    <m/>
    <m/>
    <m/>
    <m/>
    <m/>
    <m/>
  </r>
  <r>
    <m/>
    <m/>
    <x v="135"/>
    <x v="51"/>
    <m/>
    <s v="“Obez Hastalarda Meropenem ve Vankomisin Terapötik İlaç Düzeyi İzlemi: Retrospektif Bir Kohort Çalışması”"/>
    <m/>
    <m/>
    <m/>
    <m/>
    <m/>
    <m/>
    <m/>
    <m/>
    <m/>
    <m/>
  </r>
  <r>
    <m/>
    <m/>
    <x v="135"/>
    <x v="51"/>
    <m/>
    <s v="“İlaca Dirençli Fokal Epilepsili Çocuklarda İktal Otonomik Bulguların Değerlendirilmesi”"/>
    <m/>
    <m/>
    <m/>
    <m/>
    <m/>
    <m/>
    <m/>
    <m/>
    <m/>
    <m/>
  </r>
  <r>
    <m/>
    <m/>
    <x v="135"/>
    <x v="51"/>
    <m/>
    <s v="“Türkiye’de Deri ve Zührevi Hastalıklar Uzmanları ve Uzmanlık Öğrencilerinin Hekimlik Uygulamalarında Chat GPT Kullanımını ve Bu Uygulamaya Güvenini Değerlendiren Anket Çalışması”"/>
    <m/>
    <m/>
    <m/>
    <m/>
    <m/>
    <m/>
    <m/>
    <m/>
    <m/>
    <m/>
  </r>
  <r>
    <m/>
    <m/>
    <x v="135"/>
    <x v="51"/>
    <m/>
    <s v="&quot;Biyolojik Tedavilerin Otoenjektor ve Kullanıma Hazır Enjektörler Formlarının Evde Kullanımının Degerlendirilmesi&quot;"/>
    <m/>
    <m/>
    <m/>
    <m/>
    <m/>
    <m/>
    <m/>
    <m/>
    <m/>
    <m/>
  </r>
  <r>
    <m/>
    <m/>
    <x v="135"/>
    <x v="51"/>
    <m/>
    <s v="“Paranazal Sinüs Pnömotizasyonu ile Nazal Muayene Bulguları ve Rinomanometrik Parametreler Arasındaki İlişkinin Değerlendirilmesi”"/>
    <m/>
    <m/>
    <m/>
    <m/>
    <m/>
    <m/>
    <m/>
    <m/>
    <m/>
    <m/>
  </r>
  <r>
    <m/>
    <m/>
    <x v="135"/>
    <x v="51"/>
    <m/>
    <s v="“Ortognatik Cerrahide ERAS Yaklaşımının Operatif Parametreler ve Nörosensoryel İyileşmeye Etkisi”"/>
    <m/>
    <m/>
    <m/>
    <m/>
    <m/>
    <m/>
    <m/>
    <m/>
    <m/>
    <m/>
  </r>
  <r>
    <m/>
    <m/>
    <x v="135"/>
    <x v="51"/>
    <m/>
    <s v="“Tıp Fakültesi Öğrencilerinin Zona Hastalığı ve Zona Aşısıyla İlgili Bilgi Düzeyinin Değerlendirilmesi: Tanımlayıcı Kesitsel Çalışma”"/>
    <m/>
    <m/>
    <m/>
    <m/>
    <m/>
    <m/>
    <m/>
    <m/>
    <m/>
    <m/>
  </r>
  <r>
    <m/>
    <m/>
    <x v="135"/>
    <x v="51"/>
    <m/>
    <s v="“Yumurta Alerjisi Olan Çocuk Hastalarda Yumurta Merdiveninin Güvenlik ve Etkinliğinin Değerlendirilmesi”"/>
    <m/>
    <m/>
    <m/>
    <m/>
    <m/>
    <m/>
    <m/>
    <m/>
    <m/>
    <m/>
  </r>
  <r>
    <m/>
    <m/>
    <x v="135"/>
    <x v="51"/>
    <m/>
    <s v="“Ön Çapraz Bağ Rekonstrüksiyonu Yapılan Hastalarda Kemik Tünel Genişliklerinin Zero Time Echo Sekans Manyetik Rezonans Görüntülemeve Bilgisayarlı Tomografi ile Karşılaştırılması”"/>
    <m/>
    <m/>
    <m/>
    <m/>
    <m/>
    <m/>
    <m/>
    <m/>
    <m/>
    <m/>
  </r>
  <r>
    <m/>
    <m/>
    <x v="135"/>
    <x v="51"/>
    <m/>
    <s v="“Aril Hidrokarbon Reseptör (AhR) Yolağının Mezenkimal Kök Hücreden İn Vitro Adiposit Farklılaşmasındaki ve Olgun Adipositlerdeki Rolünün İncelenmesi”"/>
    <m/>
    <m/>
    <m/>
    <m/>
    <m/>
    <m/>
    <m/>
    <m/>
    <m/>
    <m/>
  </r>
  <r>
    <m/>
    <m/>
    <x v="135"/>
    <x v="51"/>
    <m/>
    <s v="“Metabolik Disfonsiyon ile İlişkili Steatotik Karaciğer Hastalığında Serum ve İdrar Uromodulin Düzeylerinin Böbrek Fonksiyonlarıyla İlişkisi”"/>
    <m/>
    <m/>
    <m/>
    <m/>
    <m/>
    <m/>
    <m/>
    <m/>
    <m/>
    <m/>
  </r>
  <r>
    <m/>
    <m/>
    <x v="135"/>
    <x v="51"/>
    <m/>
    <s v="“Kırım- Kongo Kanamalı Ateşi Olan Çocuk Hastaların Klinik Verilerinin Retrospektif Değerlendirilmesi”"/>
    <m/>
    <m/>
    <m/>
    <m/>
    <m/>
    <m/>
    <m/>
    <m/>
    <m/>
    <m/>
  </r>
  <r>
    <m/>
    <m/>
    <x v="135"/>
    <x v="51"/>
    <m/>
    <s v="“Kalıcı Kalp Pili İmplantasyonunda Venöz Oklüzyon İzlenen Hastalarda Venoplasti Sonuçlarının Değerlendirilmesi”"/>
    <m/>
    <m/>
    <m/>
    <m/>
    <m/>
    <m/>
    <m/>
    <m/>
    <m/>
    <m/>
  </r>
  <r>
    <m/>
    <m/>
    <x v="135"/>
    <x v="51"/>
    <m/>
    <s v="“Transfemoral Yol ile Yapılan Girişimsel İşlemlerde Yüzeyel Ultrasonografinin Prognoz ve Mortaliteye Etkisinin Değerlendirilmesi”"/>
    <m/>
    <m/>
    <m/>
    <m/>
    <m/>
    <m/>
    <m/>
    <m/>
    <m/>
    <m/>
  </r>
  <r>
    <m/>
    <m/>
    <x v="135"/>
    <x v="51"/>
    <m/>
    <s v="“Yapay Zekanın Ventriküler Ekstrasistollerin Elektrokardiyografik Özelliklerine Göre Anatomik Lokalizasyonlarının Değerlendirilmesindeki Rolünün İncelenmesi”"/>
    <m/>
    <m/>
    <m/>
    <m/>
    <m/>
    <m/>
    <m/>
    <m/>
    <m/>
    <m/>
  </r>
  <r>
    <m/>
    <m/>
    <x v="135"/>
    <x v="51"/>
    <m/>
    <s v="“Hastanede Yatan 65 Yaş ve Üstü Bireylerde Sosyal Kırılganlığın Değerlendirilmesi ve Geriatrik Sendromlarla İlişkisi”"/>
    <m/>
    <m/>
    <m/>
    <m/>
    <m/>
    <m/>
    <m/>
    <m/>
    <m/>
    <m/>
  </r>
  <r>
    <m/>
    <m/>
    <x v="135"/>
    <x v="51"/>
    <m/>
    <s v="“Polikistik Over Sendromuna İlişkin Bilgi ve Algının Çok Dilli Video Tabanlı Eğitim ile Değerlendirilmesi”"/>
    <m/>
    <m/>
    <m/>
    <m/>
    <m/>
    <m/>
    <m/>
    <m/>
    <m/>
    <m/>
  </r>
  <r>
    <m/>
    <m/>
    <x v="135"/>
    <x v="51"/>
    <m/>
    <s v="“Periapikal Patolojisi Bulunan Dişlerde Primer Endodontik Tedavinin Başarısızlık Nedenlerinin İncelenmesi”"/>
    <m/>
    <m/>
    <m/>
    <m/>
    <m/>
    <m/>
    <m/>
    <m/>
    <m/>
    <m/>
  </r>
  <r>
    <m/>
    <m/>
    <x v="135"/>
    <x v="51"/>
    <m/>
    <s v="“Morganellaceae Ailesinde Antibiyotik Direnç Mekanizmalarının ve Virülans Faktörlerinin Fenotipik ve Genotipik Yöntemlerle İncelenmesi”"/>
    <m/>
    <m/>
    <m/>
    <m/>
    <m/>
    <m/>
    <m/>
    <m/>
    <m/>
    <m/>
  </r>
  <r>
    <m/>
    <m/>
    <x v="135"/>
    <x v="51"/>
    <m/>
    <s v="“Güncel Üniversal Kompozit Rezinlerin Polimerizasyon Büzülmesi ve Mikrosızıntı Açısından Karşılaştırılması”"/>
    <m/>
    <m/>
    <m/>
    <m/>
    <m/>
    <m/>
    <m/>
    <m/>
    <m/>
    <m/>
  </r>
  <r>
    <m/>
    <m/>
    <x v="135"/>
    <x v="51"/>
    <m/>
    <s v="“Peri-implantitis ve Periodontitiste İnflamatuvar ve Koruyucu Yanıt: Dişeti Islaklığı, Dişeti Oluğu Sıvısı ve Peri-implant Oluk Sıvısının TNF-α, IL-10, MUC4 Düzeylerinin İncelenmesi”"/>
    <m/>
    <m/>
    <m/>
    <m/>
    <m/>
    <m/>
    <m/>
    <m/>
    <m/>
    <m/>
  </r>
  <r>
    <m/>
    <m/>
    <x v="135"/>
    <x v="51"/>
    <m/>
    <s v="“Fasiyal Reanimasyonda Yeni Bir Donör Sinir: Servikal Sinirin Topografik ve Mikroanatomik Özelliklerinin İncelenmesi, Kadavra Çalışması”"/>
    <m/>
    <m/>
    <m/>
    <m/>
    <m/>
    <m/>
    <m/>
    <m/>
    <m/>
    <m/>
  </r>
  <r>
    <m/>
    <m/>
    <x v="135"/>
    <x v="51"/>
    <m/>
    <s v="“Sezon Öncesi Antrenman Yükü, Kuvvet Parametreleri ve Performans İlişkisinin Antrenman Takibi Yöntemleri ile Değerlendirmesi”"/>
    <m/>
    <m/>
    <m/>
    <m/>
    <m/>
    <m/>
    <m/>
    <m/>
    <m/>
    <m/>
  </r>
  <r>
    <m/>
    <m/>
    <x v="135"/>
    <x v="51"/>
    <m/>
    <s v="“Multipıl Skleroz Hastalarındaki Demiyelinizan Lezyonların, Non-demiyelinizan Lezyonlardan Duyarlılık Ağırlıklı MR Görüntüleme ile Ayrımı”"/>
    <m/>
    <m/>
    <m/>
    <m/>
    <m/>
    <m/>
    <m/>
    <m/>
    <m/>
    <m/>
  </r>
  <r>
    <m/>
    <m/>
    <x v="135"/>
    <x v="51"/>
    <m/>
    <s v="&quot;Santral Sinir Sistemi’nde T Hücreli Lenfomaların Görüntüleme Bulguları&quot;"/>
    <m/>
    <m/>
    <m/>
    <m/>
    <m/>
    <m/>
    <m/>
    <m/>
    <m/>
    <m/>
  </r>
  <r>
    <m/>
    <m/>
    <x v="135"/>
    <x v="51"/>
    <m/>
    <s v="“Torasik Outlet Sendromu Hastalarında Stellat Ganglion Bloğu ile Torasik Sempatik Bloğun Ağrı Yönetimindeki Etkinliğinin Karşılaştırılması”"/>
    <m/>
    <m/>
    <m/>
    <m/>
    <m/>
    <m/>
    <m/>
    <m/>
    <m/>
    <m/>
  </r>
  <r>
    <m/>
    <m/>
    <x v="135"/>
    <x v="51"/>
    <m/>
    <s v="“Türkiye'de Aile Hekimlerinin Kronik Ağrısı Olan Hastalara Yaklaşımı: Tanımlayıcı Çalışma”"/>
    <m/>
    <m/>
    <m/>
    <m/>
    <m/>
    <m/>
    <m/>
    <m/>
    <m/>
    <m/>
  </r>
  <r>
    <m/>
    <m/>
    <x v="135"/>
    <x v="51"/>
    <m/>
    <s v="“Koroner Arteriovenöz Fistül Hastalarının Tanı, Tedavi ve Takip Süreçlerinin Retrospektif Değerlendirilmesi”"/>
    <m/>
    <m/>
    <m/>
    <m/>
    <m/>
    <m/>
    <m/>
    <m/>
    <m/>
    <m/>
  </r>
  <r>
    <m/>
    <m/>
    <x v="135"/>
    <x v="51"/>
    <m/>
    <s v="“Yaş ve Cinsiyete Özgü Baldır Çevresi Persentilleri ile Geriatri Polikliniği Hastalarında Olası Sarkopeni Arasındaki İlişki”"/>
    <m/>
    <m/>
    <m/>
    <m/>
    <m/>
    <m/>
    <m/>
    <m/>
    <m/>
    <m/>
  </r>
  <r>
    <m/>
    <m/>
    <x v="135"/>
    <x v="51"/>
    <m/>
    <s v="“Aril Hidrokarbon Reseptörü İnhibisyonunun Kemik İliği Yağ Mezenkimal Kök Hücreleri Kaynaklı Ekstraselüler Veziküller Aracılığıyla Kemik İliği Nişine Olan Etkilerinin Araştırılması”"/>
    <m/>
    <m/>
    <m/>
    <m/>
    <m/>
    <m/>
    <m/>
    <m/>
    <m/>
    <m/>
  </r>
  <r>
    <m/>
    <m/>
    <x v="135"/>
    <x v="51"/>
    <m/>
    <s v="“Femoral ve Karotis Plak Yükünün Uzun Dönem Takipte Aterosklerotik Vasküler Olaylar ile İlişkisinin Değerlendirilmesi”"/>
    <m/>
    <m/>
    <m/>
    <m/>
    <m/>
    <m/>
    <m/>
    <m/>
    <m/>
    <m/>
  </r>
  <r>
    <m/>
    <m/>
    <x v="135"/>
    <x v="51"/>
    <m/>
    <s v="“Düşük İmmün Reaktif Tripsinojen (IRT) Değerleri Nedeniyle Yenidoğan Taramasından Kaçan Kistik Fibrozisli Çocukların Özellikleri ve Taramada Yakalanan Hasta Grubu ile Karşılaştırılması”"/>
    <m/>
    <m/>
    <m/>
    <m/>
    <m/>
    <m/>
    <m/>
    <m/>
    <m/>
    <m/>
  </r>
  <r>
    <m/>
    <m/>
    <x v="135"/>
    <x v="51"/>
    <m/>
    <s v="“Kafein ve L-Karnitin Takviyesinin Koşucularda Substrat Oksidasyonu ve Solunumsal Eşik Şiddeti Üzerindeki Koşu Performansýna Etkisi”"/>
    <m/>
    <m/>
    <m/>
    <m/>
    <m/>
    <m/>
    <m/>
    <m/>
    <m/>
    <m/>
  </r>
  <r>
    <m/>
    <m/>
    <x v="135"/>
    <x v="51"/>
    <m/>
    <s v="“Psöriazis Tanılı Biyolojik Tedavi Alan Kronik Hepatit B Enfeksiyonu Olan Hastalarda Hepatik Fibrozisin Transient Elastografi ile Değerlendirilmesi”"/>
    <m/>
    <m/>
    <m/>
    <m/>
    <m/>
    <m/>
    <m/>
    <m/>
    <m/>
    <m/>
  </r>
  <r>
    <m/>
    <m/>
    <x v="135"/>
    <x v="51"/>
    <m/>
    <s v="“Kolşisin Dirençli Ailevi Akdeniz Ateşinin Yönetiminde Klinisyen Yaklaşımlarının Anket ile Araştırılması”"/>
    <m/>
    <m/>
    <m/>
    <m/>
    <m/>
    <m/>
    <m/>
    <m/>
    <m/>
    <m/>
  </r>
  <r>
    <m/>
    <m/>
    <x v="135"/>
    <x v="51"/>
    <m/>
    <s v="&quot;Ankilozan Spondiliti Olan ve Olmayan Bireylerde Asil ve Supraspinatus Entez Bölgelerinin Karşılaştırılması ve Ankilozan Spondilit Hastalik Aktivitesi ve Fonksiyonel Durumu ile İlişkilendirilmesi&quot;"/>
    <m/>
    <m/>
    <m/>
    <m/>
    <m/>
    <m/>
    <m/>
    <m/>
    <m/>
    <m/>
  </r>
  <r>
    <m/>
    <m/>
    <x v="135"/>
    <x v="51"/>
    <m/>
    <s v="“Juvenil Skleroderma Tanılı Hastaların Özelliklerinin Belirlenmesi”"/>
    <m/>
    <m/>
    <m/>
    <m/>
    <m/>
    <m/>
    <m/>
    <m/>
    <m/>
    <m/>
  </r>
  <r>
    <m/>
    <m/>
    <x v="135"/>
    <x v="51"/>
    <m/>
    <s v="“Major Depresyon Bozukluğunda SSRI Tedavisinin Başarısını Öngören, Emosyonel EEG Tabanlı, Çizge Kuramsal ve Nedensel Bir Prognostik Belirteç Araştırması”"/>
    <m/>
    <m/>
    <m/>
    <m/>
    <m/>
    <m/>
    <m/>
    <m/>
    <m/>
    <m/>
  </r>
  <r>
    <m/>
    <m/>
    <x v="135"/>
    <x v="51"/>
    <m/>
    <s v="“İskelet Displazili Çocuklarda Geçici Hemiepifizyodez Cerrahisi Sonrası Radyolojik Sonuçlar ve Rekürrens Eğilimleri”"/>
    <m/>
    <m/>
    <m/>
    <m/>
    <m/>
    <m/>
    <m/>
    <m/>
    <m/>
    <m/>
  </r>
  <r>
    <m/>
    <m/>
    <x v="135"/>
    <x v="51"/>
    <m/>
    <s v="“Pierre Robin Sekanslı Hastalarda Distraksiyon Osteogenezis Uygulamasının Dentofasiyal Yapılara Uzun Dönemdeki Etkisi”"/>
    <m/>
    <m/>
    <m/>
    <m/>
    <m/>
    <m/>
    <m/>
    <m/>
    <m/>
    <m/>
  </r>
  <r>
    <m/>
    <m/>
    <x v="135"/>
    <x v="51"/>
    <m/>
    <s v="&quot;Şeffaf Plak Tedavilerinde Kullanılan Ataşmanların Hastaların Estetik ve Fonksiyon Algılarının Üzerine Etkisinin Değerlendirilmesi&quot;"/>
    <m/>
    <m/>
    <m/>
    <m/>
    <m/>
    <m/>
    <m/>
    <m/>
    <m/>
    <m/>
  </r>
  <r>
    <m/>
    <m/>
    <x v="135"/>
    <x v="51"/>
    <m/>
    <s v="&quot;Yüz Dikey Yüksekliği Farklı Olan Kadınlarda Degişen Üst Lateral Diş Boyutlarınım Gülümseme Estetiğine Etkisi”"/>
    <m/>
    <m/>
    <m/>
    <m/>
    <m/>
    <m/>
    <m/>
    <m/>
    <m/>
    <m/>
  </r>
  <r>
    <m/>
    <m/>
    <x v="135"/>
    <x v="51"/>
    <m/>
    <s v="“Neoadjuvan Kemoterapi, Cerrahi ve Adjuvan Radyoterapi Uygulanan Meme Kanserli Olgularda HER2- Düzeyi ile Sağkalım İlişkisi ”"/>
    <m/>
    <m/>
    <m/>
    <m/>
    <m/>
    <m/>
    <m/>
    <m/>
    <m/>
    <m/>
  </r>
  <r>
    <m/>
    <m/>
    <x v="135"/>
    <x v="51"/>
    <m/>
    <s v="“İnvaziv Lobüler Meme Kanserinde Pozitron Emisyon Tomografisi / Bilgisayarlı Tomografi Görüntüleme Yöntemi ile Hastalık Heterojenitesinin Değerlendirmesi”"/>
    <m/>
    <m/>
    <m/>
    <m/>
    <m/>
    <m/>
    <m/>
    <m/>
    <m/>
    <m/>
  </r>
  <r>
    <m/>
    <m/>
    <x v="135"/>
    <x v="51"/>
    <m/>
    <s v="“Cerrahi Olarak Tedavi Edilen Pelvik Fragilite Kırığı Olan Hastaların Retrospektif Olarak Değerlendirilmesi: Fonksiyonel ve Radyolojik Bulgular”"/>
    <m/>
    <m/>
    <m/>
    <m/>
    <m/>
    <m/>
    <m/>
    <m/>
    <m/>
    <m/>
  </r>
  <r>
    <m/>
    <m/>
    <x v="135"/>
    <x v="51"/>
    <m/>
    <s v="“ICIQ-FLUTS ve ICIQ-MLUTS Skorlarının Ürodinamik Tanılarla İlişkisi: Retrospektif Bir Analiz”"/>
    <m/>
    <m/>
    <m/>
    <m/>
    <m/>
    <m/>
    <m/>
    <m/>
    <m/>
    <m/>
  </r>
  <r>
    <m/>
    <m/>
    <x v="135"/>
    <x v="51"/>
    <m/>
    <s v="“Nöroloji ve Çocuk Nöroloji Bölümlerinden Çocuk İmmünoloji Bölümüne Konsulte Edilen ve Primer İmmün Yetmezlik Tanısı Konulan Hastaların İncelenmesi”"/>
    <m/>
    <m/>
    <m/>
    <m/>
    <m/>
    <m/>
    <m/>
    <m/>
    <m/>
    <m/>
  </r>
  <r>
    <m/>
    <m/>
    <x v="135"/>
    <x v="51"/>
    <m/>
    <s v="“2500 Hastalık Vaka Serisiyle Primer Dudak ve Damak Yarıkları: Epidemiyolojik, Cerrahi ve Postoperatif Komplikasyonların Erken ve Geç Dönem İlişkisinin Analizi”"/>
    <m/>
    <m/>
    <m/>
    <m/>
    <m/>
    <m/>
    <m/>
    <m/>
    <m/>
    <m/>
  </r>
  <r>
    <m/>
    <m/>
    <x v="135"/>
    <x v="51"/>
    <m/>
    <s v="&quot;Manyetik Rezonans Görüntülemede Difüzyon Ağırlıklı Görüntüleme Ovaryan ve Adneksal Lezyonları Raporlama ve Veri Sistemi– Manyetik Rezonans Skorlama Skalasının İsabetine Katkısı&quot;"/>
    <m/>
    <m/>
    <m/>
    <m/>
    <m/>
    <m/>
    <m/>
    <m/>
    <m/>
    <m/>
  </r>
  <r>
    <m/>
    <m/>
    <x v="135"/>
    <x v="51"/>
    <m/>
    <s v="“Yenidoğan Taraması ile Tanı Alan Spinal Musküler Atrofili Çocukların Tedavi Altında +2. Yıl Fonksiyonel İzlem Sonuçları: Hacettepe Örneği”"/>
    <m/>
    <m/>
    <m/>
    <m/>
    <m/>
    <m/>
    <m/>
    <m/>
    <m/>
    <m/>
  </r>
  <r>
    <m/>
    <m/>
    <x v="135"/>
    <x v="51"/>
    <m/>
    <s v="“Çocukluk Çağı Tümörleri İlişkili Trombüslerde Cerrahi Tedavi Yöntemleri”"/>
    <m/>
    <m/>
    <m/>
    <m/>
    <m/>
    <m/>
    <m/>
    <m/>
    <m/>
    <m/>
  </r>
  <r>
    <m/>
    <m/>
    <x v="135"/>
    <x v="51"/>
    <m/>
    <s v="“Çocuk Hastalarda Ekstragonadal Germ Hücreli Tümörlerin Klinik, Patolojik Özellikleri ve LIN28 ile İmmunohistokimyasal Analizi”"/>
    <m/>
    <m/>
    <m/>
    <m/>
    <m/>
    <m/>
    <m/>
    <m/>
    <m/>
    <m/>
  </r>
  <r>
    <m/>
    <m/>
    <x v="135"/>
    <x v="51"/>
    <m/>
    <s v="“Primer Dudak Damak Yarıklı Hastalarda Eşlik Eden Anomalilerin Operasyon Yaşı ve Erken Dönem Postoperatif Komplikasyonlarla İlişkisi"/>
    <m/>
    <m/>
    <m/>
    <m/>
    <m/>
    <m/>
    <m/>
    <m/>
    <m/>
    <m/>
  </r>
  <r>
    <m/>
    <m/>
    <x v="135"/>
    <x v="51"/>
    <m/>
    <s v="“Erişkin Kistik Fibrozis Hastalarında Genotiplere Göre Modülatör Tedavi Etkinliğinin Değerlendirilmesi”"/>
    <m/>
    <m/>
    <m/>
    <m/>
    <m/>
    <m/>
    <m/>
    <m/>
    <m/>
    <m/>
  </r>
  <r>
    <m/>
    <m/>
    <x v="135"/>
    <x v="51"/>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135"/>
    <x v="51"/>
    <m/>
    <s v="“Pediatrik Wilson Hastalarında Nörotoksisitenin Değerlendirilmesi”"/>
    <m/>
    <m/>
    <m/>
    <m/>
    <m/>
    <m/>
    <m/>
    <m/>
    <m/>
    <m/>
  </r>
  <r>
    <m/>
    <m/>
    <x v="135"/>
    <x v="51"/>
    <m/>
    <s v="“Abdominal Patolojilerin Radyolojik Tanısına Yönelik Derin Öğrenme Modeli Geliştirilmesi.”"/>
    <m/>
    <m/>
    <m/>
    <m/>
    <m/>
    <m/>
    <m/>
    <m/>
    <m/>
    <m/>
  </r>
  <r>
    <m/>
    <m/>
    <x v="135"/>
    <x v="51"/>
    <m/>
    <s v="“Çocukluk Çağında Pankreatit”"/>
    <m/>
    <m/>
    <m/>
    <m/>
    <m/>
    <m/>
    <m/>
    <m/>
    <m/>
    <m/>
  </r>
  <r>
    <m/>
    <m/>
    <x v="135"/>
    <x v="51"/>
    <m/>
    <s v="“Farklı Materyaller ve Kalınlıklar ile Taklit Edilen Periodontal Ligamentin Kök Kanal Tedavili Dişlerde Kırılma Dayanımı Üzerindeki Etkisi: İn Vitro Çalışma”"/>
    <m/>
    <m/>
    <m/>
    <m/>
    <m/>
    <m/>
    <m/>
    <m/>
    <m/>
    <m/>
  </r>
  <r>
    <m/>
    <m/>
    <x v="135"/>
    <x v="51"/>
    <m/>
    <s v="“İmmünoterapi Alan Hastalarda İmmün Yan Etki Gelişimini Predikte Eden Klinik ve Genetik Belirteçler”"/>
    <m/>
    <m/>
    <m/>
    <m/>
    <m/>
    <m/>
    <m/>
    <m/>
    <m/>
    <m/>
  </r>
  <r>
    <m/>
    <m/>
    <x v="135"/>
    <x v="51"/>
    <m/>
    <s v="“Üst Aerodigestif Sistem Mukozal Lezyonların Analizinde Dar Bant Görüntülemenin Yeri, Verilerin Histopatolojik İnceleme ile Karşılaştırılması”"/>
    <m/>
    <m/>
    <m/>
    <m/>
    <m/>
    <m/>
    <m/>
    <m/>
    <m/>
    <m/>
  </r>
  <r>
    <m/>
    <m/>
    <x v="135"/>
    <x v="51"/>
    <m/>
    <s v="“Çocuklarda Cerrahi Sonrası Geliştirilmiş İyileştirme (Enhanced Recovery After Surgery: ERAS) Programı Uygulamaları”"/>
    <m/>
    <m/>
    <m/>
    <m/>
    <m/>
    <m/>
    <m/>
    <m/>
    <m/>
    <m/>
  </r>
  <r>
    <m/>
    <m/>
    <x v="135"/>
    <x v="51"/>
    <m/>
    <s v="“Kırım- Kongo Kanamalı Ateşi Tanılı Çocuk ve Erişkin Hastaların Sitokin ve Kemokin Yanıtlarının Değerlendirilmesi”"/>
    <m/>
    <m/>
    <m/>
    <m/>
    <m/>
    <m/>
    <m/>
    <m/>
    <m/>
    <m/>
  </r>
  <r>
    <m/>
    <m/>
    <x v="135"/>
    <x v="51"/>
    <m/>
    <s v="“Toraks BT Görüntülerinde İnterstisyel Akciğer Hastalığı Tespiti Amacıyla Akciğer Desen Analizine Yönelik Yapay Zeka Uygulaması”"/>
    <m/>
    <m/>
    <m/>
    <m/>
    <m/>
    <m/>
    <m/>
    <m/>
    <m/>
    <m/>
  </r>
  <r>
    <m/>
    <m/>
    <x v="135"/>
    <x v="51"/>
    <m/>
    <s v="'Mitral Kapak Replasmanı Sonrası Postoperatif Mitral Gradient ile Kapak Boyutu, Vücut Kitle İndeksi ve Sol Atrium Çapı Arasındakı İlişkinin Retrospektif Analizi''"/>
    <m/>
    <m/>
    <m/>
    <m/>
    <m/>
    <m/>
    <m/>
    <m/>
    <m/>
    <m/>
  </r>
  <r>
    <m/>
    <m/>
    <x v="135"/>
    <x v="51"/>
    <m/>
    <s v="“Preoperatif Uyku Kalitesinin Mandibular Gömülü Üçüncü Molar Diş Çekimi Sonrası Ağrı ve Ödem Üzerine Etkisi”"/>
    <m/>
    <m/>
    <m/>
    <m/>
    <m/>
    <m/>
    <m/>
    <m/>
    <m/>
    <m/>
  </r>
  <r>
    <m/>
    <m/>
    <x v="135"/>
    <x v="51"/>
    <m/>
    <s v="“Aile Hekimliği Uzmanlık Öğrencileri İçin EASM Rotasyonu Öncesi Çevrimiçi Bir Oryantasyon Eğitimi Programının Geliştirilmesi ve Etkinliğinin Değerlendirilmesi”"/>
    <m/>
    <m/>
    <m/>
    <m/>
    <m/>
    <m/>
    <m/>
    <m/>
    <m/>
    <m/>
  </r>
  <r>
    <m/>
    <m/>
    <x v="135"/>
    <x v="51"/>
    <m/>
    <s v="“Nemalin Miyopatisi Olan Hastalar için Çok Merkezli, Prospektif, Uzunlamasına ve Gözlemsel Bir Doğal Seyir Çalışması”"/>
    <m/>
    <m/>
    <m/>
    <m/>
    <m/>
    <m/>
    <m/>
    <m/>
    <m/>
    <m/>
  </r>
  <r>
    <m/>
    <m/>
    <x v="135"/>
    <x v="51"/>
    <m/>
    <s v="“Femur Başı Avasküler Nekrozu Olan Hastalarda Tedavi Modalitelerinin ve Sağkalımın Retrospektif Olarak Değerlendirilmesi”"/>
    <m/>
    <m/>
    <m/>
    <m/>
    <m/>
    <m/>
    <m/>
    <m/>
    <m/>
    <m/>
  </r>
  <r>
    <m/>
    <m/>
    <x v="135"/>
    <x v="51"/>
    <m/>
    <s v="“Çocukluk Çağında Nintedanib Kullanımı: Tek Merkez Deneyimi”"/>
    <m/>
    <m/>
    <m/>
    <m/>
    <m/>
    <m/>
    <m/>
    <m/>
    <m/>
    <m/>
  </r>
  <r>
    <m/>
    <m/>
    <x v="135"/>
    <x v="51"/>
    <m/>
    <s v="“Emzirme Danışmanlığı Merkezi’ne Başvuran Ebeveynlerde Postpartum Depresyon Saptanma Durumunun ve İlişkili Faktörlerin Değerlendirilmesi: Retrospektif Kohort Çalışması”"/>
    <m/>
    <m/>
    <m/>
    <m/>
    <m/>
    <m/>
    <m/>
    <m/>
    <m/>
    <m/>
  </r>
  <r>
    <m/>
    <m/>
    <x v="135"/>
    <x v="51"/>
    <m/>
    <s v="“Tıp Fakültesi ve Beslenme ve Diyetetik Bölümü Öğrencilerinin Hasta Güvenliği ve Mesleklerarası İşbirliği Programına Yönelik Görüşleri”"/>
    <m/>
    <m/>
    <m/>
    <m/>
    <m/>
    <m/>
    <m/>
    <m/>
    <m/>
    <m/>
  </r>
  <r>
    <m/>
    <m/>
    <x v="135"/>
    <x v="51"/>
    <m/>
    <s v="“Çocukluk Çağı Akut Arteriyel İskemik İnme Tanısı Alan Hastalarda Etiyoloji, Tedavi Yaklaşımı ve Nörolojik Sonuçlarının Değerlendirilmesi”"/>
    <m/>
    <m/>
    <m/>
    <m/>
    <m/>
    <m/>
    <m/>
    <m/>
    <m/>
    <m/>
  </r>
  <r>
    <m/>
    <m/>
    <x v="135"/>
    <x v="51"/>
    <m/>
    <s v="“18-49 Yaş Arası Kadınların Birinci Basamakta Yapılan Jinekolojik Muayene Hakkındaki Görüş ve Deneyimleri”"/>
    <m/>
    <m/>
    <m/>
    <m/>
    <m/>
    <m/>
    <m/>
    <m/>
    <m/>
    <m/>
  </r>
  <r>
    <m/>
    <m/>
    <x v="135"/>
    <x v="51"/>
    <m/>
    <s v="“Mesleklerarası İşbirliği Programına Yönelik Öğrenci ve Eğitici Görüşleri: Program Değerlendirme Çalışması”"/>
    <m/>
    <m/>
    <m/>
    <m/>
    <m/>
    <m/>
    <m/>
    <m/>
    <m/>
    <m/>
  </r>
  <r>
    <m/>
    <m/>
    <x v="135"/>
    <x v="51"/>
    <m/>
    <s v="“Asitretin Tedavisi Almış Psoriazis Vulgaris Tanılı Hastalarda FIB-4 Skorunun Retrospektif Değerlendirilmesi”"/>
    <m/>
    <m/>
    <m/>
    <m/>
    <m/>
    <m/>
    <m/>
    <m/>
    <m/>
    <m/>
  </r>
  <r>
    <m/>
    <m/>
    <x v="135"/>
    <x v="51"/>
    <m/>
    <s v="“Klinik Nütrisyon Tedavisinde Hedefe Ulaşmada Önemli Bir Bariyer: Refeedin Sendromu”"/>
    <m/>
    <m/>
    <m/>
    <m/>
    <m/>
    <m/>
    <m/>
    <m/>
    <m/>
    <m/>
  </r>
  <r>
    <m/>
    <m/>
    <x v="135"/>
    <x v="51"/>
    <m/>
    <s v="&quot;İleri Yaşlı Bireylerde Trombosit Lenfosit Oranı ile Disfaji Arasındaki İlişki”"/>
    <m/>
    <m/>
    <m/>
    <m/>
    <m/>
    <m/>
    <m/>
    <m/>
    <m/>
    <m/>
  </r>
  <r>
    <m/>
    <m/>
    <x v="135"/>
    <x v="51"/>
    <m/>
    <s v="“Bruselloz Tanılı Çocukların Sitokin ve Kemokin Yanıtlarının Değerlendirilmesi”"/>
    <m/>
    <m/>
    <m/>
    <m/>
    <m/>
    <m/>
    <m/>
    <m/>
    <m/>
    <m/>
  </r>
  <r>
    <m/>
    <m/>
    <x v="135"/>
    <x v="51"/>
    <m/>
    <s v="“Acil İstenen EEG’lerin Tanısal Değeri ve Tedaviye Katkısı”"/>
    <m/>
    <m/>
    <m/>
    <m/>
    <m/>
    <m/>
    <m/>
    <m/>
    <m/>
    <m/>
  </r>
  <r>
    <m/>
    <m/>
    <x v="135"/>
    <x v="51"/>
    <m/>
    <s v="“Anne Adaylarının İşitme Kaybı Risk Faktörleri ve Erken Korunma Hakkındaki Farkındalıklarının Belirlenmesi ve Eğitimi”"/>
    <m/>
    <m/>
    <m/>
    <m/>
    <m/>
    <m/>
    <m/>
    <m/>
    <m/>
    <m/>
  </r>
  <r>
    <m/>
    <m/>
    <x v="135"/>
    <x v="51"/>
    <m/>
    <s v="“Ekran Maruziyetinin Çocukların İşitme, Konuşma ve Dil Becerilerine Etkisi Konusunda Ebeveyn Farkındalığının İncelenmesi ve Bilgilendirilmesi”"/>
    <m/>
    <m/>
    <m/>
    <m/>
    <m/>
    <m/>
    <m/>
    <m/>
    <m/>
    <m/>
  </r>
  <r>
    <m/>
    <m/>
    <x v="135"/>
    <x v="51"/>
    <m/>
    <s v="“Panoramik Radyografik Görüntüler Kullanılarak Angle Sınıf I, II ve III Malokluzyona Sahip Hastalarda Mandibular Kemik Dansite ve Morfolojisinin Karşılaştırılması”"/>
    <m/>
    <m/>
    <m/>
    <m/>
    <m/>
    <m/>
    <m/>
    <m/>
    <m/>
    <m/>
  </r>
  <r>
    <m/>
    <m/>
    <x v="135"/>
    <x v="51"/>
    <m/>
    <s v="“Uyku Apnesinde Cerrahi Tedavi Olan ve  Pozitif Havayolu Basıncı(CPAP) Cihazı Kullanan Hastalarla, Amelyat Olmadan CPAP Tedavisi Kullanan Hastaların CPAP Basınç ve Titrasyon  Farklılıklarının Saptanması”"/>
    <m/>
    <m/>
    <m/>
    <m/>
    <m/>
    <m/>
    <m/>
    <m/>
    <m/>
    <m/>
  </r>
  <r>
    <m/>
    <m/>
    <x v="135"/>
    <x v="51"/>
    <m/>
    <s v="“Kurtarıcı Kardeş Uygulamasının Etik Boyutları: Uzman Hekimlerin Yaklaşımları”"/>
    <m/>
    <m/>
    <m/>
    <m/>
    <m/>
    <m/>
    <m/>
    <m/>
    <m/>
    <m/>
  </r>
  <r>
    <m/>
    <m/>
    <x v="135"/>
    <x v="51"/>
    <m/>
    <s v="“Membranöz Nefropati Hastalarında Tiroid Kanseri Taramasının Önemi”"/>
    <m/>
    <m/>
    <m/>
    <m/>
    <m/>
    <m/>
    <m/>
    <m/>
    <m/>
    <m/>
  </r>
  <r>
    <m/>
    <m/>
    <x v="135"/>
    <x v="51"/>
    <m/>
    <s v="“Pediatrik Nöroloji Polikliniğinde Nörogenetik Hastalıkların Dağılımı”"/>
    <m/>
    <m/>
    <m/>
    <m/>
    <m/>
    <m/>
    <m/>
    <m/>
    <m/>
    <m/>
  </r>
  <r>
    <m/>
    <m/>
    <x v="135"/>
    <x v="51"/>
    <m/>
    <s v="“ Santral Sinir Sistemi Atipik Demiyelinizan Olgularında Klinik, Radyolojik ve Patolojik Değerlendirme ”"/>
    <m/>
    <m/>
    <m/>
    <m/>
    <m/>
    <m/>
    <m/>
    <m/>
    <m/>
    <m/>
  </r>
  <r>
    <m/>
    <m/>
    <x v="135"/>
    <x v="51"/>
    <m/>
    <s v="&quot;Zigomatikomaksiller Kompleks Fraktürlerinde 2 Nokta ve 3 Nokta Fiksasyonunun Uzun Dönem Stabilite ve Orbital Hacim Açısından Kraniyometrik Analizi&quot;"/>
    <m/>
    <m/>
    <m/>
    <m/>
    <m/>
    <m/>
    <m/>
    <m/>
    <m/>
    <m/>
  </r>
  <r>
    <m/>
    <m/>
    <x v="135"/>
    <x v="51"/>
    <m/>
    <s v="“Kistik Fibrozis Yenidoğan Tarama Programı: 10 Yıllık Retrospektif Analiz ve Tanısal Değerlendirme”"/>
    <m/>
    <m/>
    <m/>
    <m/>
    <m/>
    <m/>
    <m/>
    <m/>
    <m/>
    <m/>
  </r>
  <r>
    <m/>
    <m/>
    <x v="135"/>
    <x v="51"/>
    <m/>
    <s v="“Arttırılmış Eksantrik Yük Uygulamasının Derinlik Sıçraması Üzerine Akut Etkisinin İncelenmesi”"/>
    <m/>
    <m/>
    <m/>
    <m/>
    <m/>
    <m/>
    <m/>
    <m/>
    <m/>
    <m/>
  </r>
  <r>
    <m/>
    <m/>
    <x v="135"/>
    <x v="51"/>
    <m/>
    <s v="“Atopik Dermatit Tanılı Adölesan Hastalarda Menstrüasyon Siklusun Hastalık Aktivitesi Üzerine Etkisi”"/>
    <m/>
    <m/>
    <m/>
    <m/>
    <m/>
    <m/>
    <m/>
    <m/>
    <m/>
    <m/>
  </r>
  <r>
    <m/>
    <m/>
    <x v="135"/>
    <x v="51"/>
    <m/>
    <s v="“Duygusal Zekâ Temelli Etkinliklerin Konuşma Akıcılığına, Duygusal Zekâya ve Beyin Bağlantısallık Ağlarına Etkisi”"/>
    <m/>
    <m/>
    <m/>
    <m/>
    <m/>
    <m/>
    <m/>
    <m/>
    <m/>
    <m/>
  </r>
  <r>
    <m/>
    <m/>
    <x v="135"/>
    <x v="51"/>
    <m/>
    <s v="“Tıp Fakültesi Öğrencilerinin Anatomi Eğitiminde Kullandıkları Yapay Zeka Araçları Hakkındaki Tutum ve Görüşleri”"/>
    <m/>
    <m/>
    <m/>
    <m/>
    <m/>
    <m/>
    <m/>
    <m/>
    <m/>
    <m/>
  </r>
  <r>
    <m/>
    <m/>
    <x v="135"/>
    <x v="51"/>
    <m/>
    <s v="“Erişkin Özofagus Atrezilere Özgü Hayat Kalitesi Anketi”"/>
    <m/>
    <m/>
    <m/>
    <m/>
    <m/>
    <m/>
    <m/>
    <m/>
    <m/>
    <m/>
  </r>
  <r>
    <m/>
    <m/>
    <x v="135"/>
    <x v="51"/>
    <m/>
    <s v="“Atipik Alzheimer Varyantlarında Glimfatik Sistem, Serebral Perfüzyon ve APOE Genotipinin Bütüncül Değerlendirmesi: Pilot Nörogörüntüleme ve Genetik Çalışma”"/>
    <m/>
    <m/>
    <m/>
    <m/>
    <m/>
    <m/>
    <m/>
    <m/>
    <m/>
    <m/>
  </r>
  <r>
    <m/>
    <m/>
    <x v="135"/>
    <x v="51"/>
    <m/>
    <s v="“Özofagus Atrezili Çocuklarda Tekrarlayan Trakeoözofageal Fistüllerin Yönetimi”"/>
    <m/>
    <m/>
    <m/>
    <m/>
    <m/>
    <m/>
    <m/>
    <m/>
    <m/>
    <m/>
  </r>
  <r>
    <m/>
    <m/>
    <x v="135"/>
    <x v="51"/>
    <m/>
    <s v="“Ağır Akciğer Hastalığı Olan Kistik Fibrozis Hastalarında Modulatör Tedavinin Akciğer Nakil Gereksinimine Etkisi: Ulusal Kistik Fibrozis Kayıt Sistemi Verilerinin İncelenmesi”"/>
    <m/>
    <m/>
    <m/>
    <m/>
    <m/>
    <m/>
    <m/>
    <m/>
    <m/>
    <m/>
  </r>
  <r>
    <m/>
    <m/>
    <x v="135"/>
    <x v="51"/>
    <m/>
    <s v="“Tiroid Göz Hastalığında Hastalık Şiddetinin Oftalmolojik ve Ortoptik Klinik Bulgular ile Korelasyonu”"/>
    <m/>
    <m/>
    <m/>
    <m/>
    <m/>
    <m/>
    <m/>
    <m/>
    <m/>
    <m/>
  </r>
  <r>
    <m/>
    <m/>
    <x v="135"/>
    <x v="51"/>
    <m/>
    <s v="“Kemik Tümörleri Nedeniyle Yapılan Segmental Kemik Rezeksiyonları Sonrası Oluşan Defektlerin Otogreft ve Tümör Protezi Yöntemleriyle Rekonstrüksiyonlarının Karşılaştırılması”"/>
    <m/>
    <m/>
    <m/>
    <m/>
    <m/>
    <m/>
    <m/>
    <m/>
    <m/>
    <m/>
  </r>
  <r>
    <m/>
    <m/>
    <x v="135"/>
    <x v="51"/>
    <m/>
    <s v="“5 Yaş Altı Hastalarda İstismar ve İhmal Değerlendirilmesi, Sandığımız Kadar Nadir Mi?”"/>
    <m/>
    <m/>
    <m/>
    <m/>
    <m/>
    <m/>
    <m/>
    <m/>
    <m/>
    <m/>
  </r>
  <r>
    <m/>
    <m/>
    <x v="135"/>
    <x v="51"/>
    <m/>
    <s v="“Konjenital Tibia Psödoartrozunda Ilizarov Tekniği ile Vaskülarize Fibula Grefti Kombinasyonunun Cerrahi Sonuçlarının Değerlendirilmesi”"/>
    <m/>
    <m/>
    <m/>
    <m/>
    <m/>
    <m/>
    <m/>
    <m/>
    <m/>
    <m/>
  </r>
  <r>
    <m/>
    <m/>
    <x v="135"/>
    <x v="51"/>
    <m/>
    <s v="“Geriatrik Popülasyonda Uykusuzluğu Ölçmeye Yönelik Bergen Uykusuzluk Ölçeğinin Türkçe Geçerlik ve Güvenirlik Çalışması”"/>
    <m/>
    <m/>
    <m/>
    <m/>
    <m/>
    <m/>
    <m/>
    <m/>
    <m/>
    <m/>
  </r>
  <r>
    <m/>
    <m/>
    <x v="135"/>
    <x v="51"/>
    <m/>
    <s v="“Legg-Calve-Perthes Hastalığı Olan Çocukların Kalça Eklem Sıvısından Alınan Örneklerinde Mikroorganizma Araştırılması: Karşılaştırmalı Prospektif Çalışma”"/>
    <m/>
    <m/>
    <m/>
    <m/>
    <m/>
    <m/>
    <m/>
    <m/>
    <m/>
    <m/>
  </r>
  <r>
    <m/>
    <m/>
    <x v="135"/>
    <x v="51"/>
    <m/>
    <s v="“Sarkopenik Obezite ile Serum İlişkili İnflamasyon Belirteçlerin İlişkisinin İncelenmesi”"/>
    <m/>
    <m/>
    <m/>
    <m/>
    <m/>
    <m/>
    <m/>
    <m/>
    <m/>
    <m/>
  </r>
  <r>
    <m/>
    <m/>
    <x v="135"/>
    <x v="51"/>
    <m/>
    <s v="“Psoriatik Tırnak ve Onikomikozda Klinik ve Dermoskopik Özelliklerin Karşılaştırılması”"/>
    <m/>
    <m/>
    <m/>
    <m/>
    <m/>
    <m/>
    <m/>
    <m/>
    <m/>
    <m/>
  </r>
  <r>
    <m/>
    <m/>
    <x v="135"/>
    <x v="51"/>
    <m/>
    <s v="“Alerjik ve Alerjik Olmayan Astımlı Çocuklardan İzole Edilen Eozinofillerde Oksidatif Stres Cevap Mekanizmalarının Araştırılması”"/>
    <m/>
    <m/>
    <m/>
    <m/>
    <m/>
    <m/>
    <m/>
    <m/>
    <m/>
    <m/>
  </r>
  <r>
    <m/>
    <m/>
    <x v="135"/>
    <x v="51"/>
    <m/>
    <s v="“İşitme Kayıplı Hastalarda Multidisipliner İmplant Konseyi Kararları ile ChatGPT Yanıtlarının Karşılaştırılması”"/>
    <m/>
    <m/>
    <m/>
    <m/>
    <m/>
    <m/>
    <m/>
    <m/>
    <m/>
    <m/>
  </r>
  <r>
    <m/>
    <m/>
    <x v="135"/>
    <x v="51"/>
    <m/>
    <s v="“Fetal Anemi Nedeniyle İntrauterin Kan Transfüzyonu Yapılan Bebeklerin Kısa ve Uzun Dönem Nörolojik Sonuçlarının Değerlendirmesi”"/>
    <m/>
    <m/>
    <m/>
    <m/>
    <m/>
    <m/>
    <m/>
    <m/>
    <m/>
    <m/>
  </r>
  <r>
    <m/>
    <m/>
    <x v="135"/>
    <x v="51"/>
    <m/>
    <s v="“Pre-menopozal ve Post-menopozal Kadınlarda Odyolojik ve Vestibüler Fonksiyonların Karşılaştırılması”"/>
    <m/>
    <m/>
    <m/>
    <m/>
    <m/>
    <m/>
    <m/>
    <m/>
    <m/>
    <m/>
  </r>
  <r>
    <m/>
    <m/>
    <x v="135"/>
    <x v="51"/>
    <m/>
    <s v="&quot;Serviks Kanserinde Kemoradyoterapi Öncesi ve Sürecindeki Sarkopeni ve Klinik Önemi&quot;"/>
    <m/>
    <m/>
    <m/>
    <m/>
    <m/>
    <m/>
    <m/>
    <m/>
    <m/>
    <m/>
  </r>
  <r>
    <m/>
    <m/>
    <x v="135"/>
    <x v="51"/>
    <m/>
    <s v="“İç Hastalıkları Servislerinde İntravenöz Diüretik Tedavisi Amacıyla Yatan Hipervolemik Hastaların Diüretik Doz Etkinliğinin İdrar Sodyumu İle Değerlendirilmesi”"/>
    <m/>
    <m/>
    <m/>
    <m/>
    <m/>
    <m/>
    <m/>
    <m/>
    <m/>
    <m/>
  </r>
  <r>
    <m/>
    <m/>
    <x v="135"/>
    <x v="51"/>
    <m/>
    <s v="“Yoğun Bakım Ünitesinde İntravenöz Sıvı Kullanımının Değerlendirilmesi”"/>
    <m/>
    <m/>
    <m/>
    <m/>
    <m/>
    <m/>
    <m/>
    <m/>
    <m/>
    <m/>
  </r>
  <r>
    <m/>
    <m/>
    <x v="135"/>
    <x v="51"/>
    <m/>
    <s v="“Konservatif Tedaviye Dirençli Periartiküler Kas İskelet Sistemi Hastalıklarında Fonksiyon Kısıtlayıcı Semptomların Transarteriyel Periartiküler Embolizasyon (TAPE) Tedavisi Sonrası Yanıt Değerlendirilemesi ”"/>
    <m/>
    <m/>
    <m/>
    <m/>
    <m/>
    <m/>
    <m/>
    <m/>
    <m/>
    <m/>
  </r>
  <r>
    <m/>
    <m/>
    <x v="135"/>
    <x v="51"/>
    <m/>
    <s v="“Klasik Hodgkin Lenfoma Hastalarında İlk Basamak ve Kurtarma Tedavilerinin Karşılaştırılması”"/>
    <m/>
    <m/>
    <m/>
    <m/>
    <m/>
    <m/>
    <m/>
    <m/>
    <m/>
    <m/>
  </r>
  <r>
    <m/>
    <m/>
    <x v="135"/>
    <x v="51"/>
    <m/>
    <s v="''Pulmoner Kapak Replasmanı Yapılan Hastaların Uzun Dönem Sonuçlarının İzlenmesi ve Bunların Maliyet Analizi Sonuçlarının Araştırılması''"/>
    <m/>
    <m/>
    <m/>
    <m/>
    <m/>
    <m/>
    <m/>
    <m/>
    <m/>
    <m/>
  </r>
  <r>
    <m/>
    <m/>
    <x v="135"/>
    <x v="51"/>
    <m/>
    <s v="“Klozapinle İlişkili Nötropeni İçin Aday İmmun Biyobelirteçlerin Araştırılması”"/>
    <m/>
    <m/>
    <m/>
    <m/>
    <m/>
    <m/>
    <m/>
    <m/>
    <m/>
    <m/>
  </r>
  <r>
    <m/>
    <m/>
    <x v="135"/>
    <x v="51"/>
    <m/>
    <s v="“Kronik Plak Tip Psöriazis Vulgaris Tanılı Çoklu Biyolojik Tedavi Dirençli Hastaların Demografik Özellikleri, Klinik Özellikleri ve Komorbiditelerinin İncelenmesinın”"/>
    <m/>
    <m/>
    <m/>
    <m/>
    <m/>
    <m/>
    <m/>
    <m/>
    <m/>
    <m/>
  </r>
  <r>
    <m/>
    <m/>
    <x v="135"/>
    <x v="51"/>
    <m/>
    <s v="“Mylohyoid Kas Transpozisyonunun Fasial Reanimasyondaki Potansiyeli: Kadavra Çalışması”"/>
    <m/>
    <m/>
    <m/>
    <m/>
    <m/>
    <m/>
    <m/>
    <m/>
    <m/>
    <m/>
  </r>
  <r>
    <m/>
    <m/>
    <x v="135"/>
    <x v="51"/>
    <m/>
    <s v="“Superior ve İnferior Labial Arterlerin Vermilion Sınırındaki Derinliklerinin ve Konumunun Ölçümü: Kadavra Çalışması”"/>
    <m/>
    <m/>
    <m/>
    <m/>
    <m/>
    <m/>
    <m/>
    <m/>
    <m/>
    <m/>
  </r>
  <r>
    <m/>
    <m/>
    <x v="135"/>
    <x v="51"/>
    <m/>
    <s v="“İmmünsüpresif Tedavi Öncesi HBV Serolojik Durumuna Göre Alınan Klinik Kararların ve Antiviral Kullanımının Uluslararası ve Ulusal Rehberlerle Uyumu: Tek Merkez Gerçek Yaşam Verilerinin Analizi”"/>
    <m/>
    <m/>
    <m/>
    <m/>
    <m/>
    <m/>
    <m/>
    <m/>
    <m/>
    <m/>
  </r>
  <r>
    <m/>
    <m/>
    <x v="135"/>
    <x v="51"/>
    <m/>
    <s v="&quot;Astımlı Hastalarda Otonom Disfonksiyon ve Termoregülasyon Bozukluklarının Klinik ve Proteomik Etkileri”"/>
    <m/>
    <m/>
    <m/>
    <m/>
    <m/>
    <m/>
    <m/>
    <m/>
    <m/>
    <m/>
  </r>
  <r>
    <m/>
    <m/>
    <x v="135"/>
    <x v="51"/>
    <m/>
    <s v="“Over Kanseri Hastalarında Primer Debulking Cerrahisi Yapılan ve Neoadjuvan Kemoterapi Alanlarda Gelişen Venöz Tromboembolik Olaylar, Risk Faktörleri, Sağkalım ve Profilaksi Uygulamalarının Retrospektif Olarak Araştırılması”"/>
    <m/>
    <m/>
    <m/>
    <m/>
    <m/>
    <m/>
    <m/>
    <m/>
    <m/>
    <m/>
  </r>
  <r>
    <m/>
    <m/>
    <x v="135"/>
    <x v="51"/>
    <m/>
    <s v="“Kistik Fibrozis Hastalarında Balgam Kültüründe Kronik Candida Kolonizasyonunun Solunum Fonksiyonları, Klinik ve Laboratuar Parametreleri Üzerine Olan Etkilerinin Değerlendirilmesi”"/>
    <m/>
    <m/>
    <m/>
    <m/>
    <m/>
    <m/>
    <m/>
    <m/>
    <m/>
    <m/>
  </r>
  <r>
    <m/>
    <m/>
    <x v="135"/>
    <x v="51"/>
    <m/>
    <s v="“İleri Evre Over Kanserinde Pelvik Sitoredüksiyon için Pelvik Peritonektomi Yapılan Hastalar ile Rektosigmoid Rezeksiyon Yapılan Hastalar Arasındaki Pelvik Nüks ve Sağ Kalım Oranlarının Karşılaştırılması”"/>
    <m/>
    <m/>
    <m/>
    <m/>
    <m/>
    <m/>
    <m/>
    <m/>
    <m/>
    <m/>
  </r>
  <r>
    <m/>
    <m/>
    <x v="135"/>
    <x v="51"/>
    <m/>
    <s v="“Obezite Hastalığının Oküler Yüzey Üzerindeki Etkilerinin Değerlendirilmesi”"/>
    <m/>
    <m/>
    <m/>
    <m/>
    <m/>
    <m/>
    <m/>
    <m/>
    <m/>
    <m/>
  </r>
  <r>
    <m/>
    <m/>
    <x v="135"/>
    <x v="51"/>
    <m/>
    <s v="“Ergenlerde Dayanıklılık ile İlişkili Etkenlerin İncelenmesi”"/>
    <m/>
    <m/>
    <m/>
    <m/>
    <m/>
    <m/>
    <m/>
    <m/>
    <m/>
    <m/>
  </r>
  <r>
    <m/>
    <m/>
    <x v="135"/>
    <x v="51"/>
    <m/>
    <s v="“Renal Amiloidozda Prognozu Etkileyen Faktörler: 25 Yıllık Tek Merkez Deneyimi”"/>
    <m/>
    <m/>
    <m/>
    <m/>
    <m/>
    <m/>
    <m/>
    <m/>
    <m/>
    <m/>
  </r>
  <r>
    <m/>
    <m/>
    <x v="135"/>
    <x v="51"/>
    <m/>
    <s v="“Glomerulonefritlerin Gebelik Süreci, Maternal ve Fetal Sonlanıma Etkisi”"/>
    <m/>
    <m/>
    <m/>
    <m/>
    <m/>
    <m/>
    <m/>
    <m/>
    <m/>
    <m/>
  </r>
  <r>
    <m/>
    <m/>
    <x v="135"/>
    <x v="51"/>
    <m/>
    <s v="“Serbest Diş Eti Grefti Alınan Lateral Damak Bölgesine Farklı Ajanlar Uygulanmış Hastaların Verilerinin Karşılaştırılmalı Olarak İncelenmesi”"/>
    <m/>
    <m/>
    <m/>
    <m/>
    <m/>
    <m/>
    <m/>
    <m/>
    <m/>
    <m/>
  </r>
  <r>
    <m/>
    <m/>
    <x v="135"/>
    <x v="51"/>
    <m/>
    <s v="“Klozapine Yanıt ile Yan Etkiler Arasındaki İlişkinin İncelenmesi: Geriye Dönük Bir Çalışma”"/>
    <m/>
    <m/>
    <m/>
    <m/>
    <m/>
    <m/>
    <m/>
    <m/>
    <m/>
    <m/>
  </r>
  <r>
    <m/>
    <m/>
    <x v="135"/>
    <x v="51"/>
    <m/>
    <s v="“Metabolik Disfonksiyonla İlişkili Steatotik Karaciğer Hastalığı (MASLD) Etiyopatogenezinde Safra Asidi Metabolitleri ve Metabolomik Analizi”"/>
    <m/>
    <m/>
    <m/>
    <m/>
    <m/>
    <m/>
    <m/>
    <m/>
    <m/>
    <m/>
  </r>
  <r>
    <m/>
    <m/>
    <x v="135"/>
    <x v="51"/>
    <m/>
    <s v="&quot;U14 Su Topu Oyuncularında Enerji Dengesi ve Bazı Performans Parametrelerinin Belirlenmesi&quot;"/>
    <m/>
    <m/>
    <m/>
    <m/>
    <m/>
    <m/>
    <m/>
    <m/>
    <m/>
    <m/>
  </r>
  <r>
    <m/>
    <m/>
    <x v="135"/>
    <x v="51"/>
    <m/>
    <s v="“Gıda Sağlığı ile İlgili Olan Profesyonellerin Gıda İnfodemisi Hakkındaki Görüş ve Deneyimleri: Niteliksel Bir Çalışma”"/>
    <m/>
    <m/>
    <m/>
    <m/>
    <m/>
    <m/>
    <m/>
    <m/>
    <m/>
    <m/>
  </r>
  <r>
    <m/>
    <m/>
    <x v="135"/>
    <x v="51"/>
    <m/>
    <s v="“Larinks Patolojilerinin Malignleşme Sürecinde SERPİNE1'in Rolü”"/>
    <m/>
    <m/>
    <m/>
    <m/>
    <m/>
    <m/>
    <m/>
    <m/>
    <m/>
    <m/>
  </r>
  <r>
    <m/>
    <m/>
    <x v="135"/>
    <x v="51"/>
    <m/>
    <s v="“Kalsiyum (Ca2+) ve Magnezyum (Mg2+) İlişkili İmmün Yetmezliklerde Fonksiyonel ve Klinik Özellikler”"/>
    <m/>
    <m/>
    <m/>
    <m/>
    <m/>
    <m/>
    <m/>
    <m/>
    <m/>
    <m/>
  </r>
  <r>
    <m/>
    <m/>
    <x v="135"/>
    <x v="51"/>
    <m/>
    <s v="“SCN5A Varyantı Saptanan Hastaların Klinik ve Moleküler Bulgularının Değerlendirilmesi”"/>
    <m/>
    <m/>
    <m/>
    <m/>
    <m/>
    <m/>
    <m/>
    <m/>
    <m/>
    <m/>
  </r>
  <r>
    <m/>
    <m/>
    <x v="135"/>
    <x v="51"/>
    <m/>
    <s v="“Gelişimsel Açıdan Riskli Çocuklarda 4–6 Yaş Arasında Öğrenme Güçlüğü Belirtilerinin Taranması ve Risk Etkenleriyle İlişkisinin Belirlenmesi”"/>
    <m/>
    <m/>
    <m/>
    <m/>
    <m/>
    <m/>
    <m/>
    <m/>
    <m/>
    <m/>
  </r>
  <r>
    <m/>
    <m/>
    <x v="135"/>
    <x v="51"/>
    <m/>
    <s v="“Akondroplazili Çocuk Hastalarda Uyku ile İlişkili Solunum Bozukluklarının ve Polisomnografi Bulgularının Değerlendirilmesi”"/>
    <m/>
    <m/>
    <m/>
    <m/>
    <m/>
    <m/>
    <m/>
    <m/>
    <m/>
    <m/>
  </r>
  <r>
    <m/>
    <m/>
    <x v="135"/>
    <x v="51"/>
    <m/>
    <s v="“Skleroderma Tanılı Olgu ve Bireylerin Biyopsikososyal Durumları ile Çiğneme-Yutma Performansları Arasındaki İlişkinin Araştırılması”"/>
    <m/>
    <m/>
    <m/>
    <m/>
    <m/>
    <m/>
    <m/>
    <m/>
    <m/>
    <m/>
  </r>
  <r>
    <m/>
    <m/>
    <x v="135"/>
    <x v="51"/>
    <m/>
    <s v="“Skleroderma Tanılı Olgu ve Bireylerin Biyopsikososyal Durumları ile Fiziksel Performans ve Fonksiyonellikleri Arasındaki İlişkinin Araştırılması”"/>
    <m/>
    <m/>
    <m/>
    <m/>
    <m/>
    <m/>
    <m/>
    <m/>
    <m/>
    <m/>
  </r>
  <r>
    <m/>
    <m/>
    <x v="135"/>
    <x v="51"/>
    <m/>
    <s v="“JİA Tanılı Olgularda Ebeveynlerin Bildirdiği Ağrıyı Felaketleştirme Durumuna Göre Biyopsikososyal Özelliklerin İncelenmesi”"/>
    <m/>
    <m/>
    <m/>
    <m/>
    <m/>
    <m/>
    <m/>
    <m/>
    <m/>
    <m/>
  </r>
  <r>
    <m/>
    <m/>
    <x v="135"/>
    <x v="51"/>
    <m/>
    <s v="“Üst Ekstremite Deri Kalınlığının Hasta Tarafından Kendi Kendine Değerlendirilmesi Anketinin Türkçe Versiyonunun Kültürel Adaptasyonu, Geçerliği ve Güvenirliğinin İncelenmesi”"/>
    <m/>
    <m/>
    <m/>
    <m/>
    <m/>
    <m/>
    <m/>
    <m/>
    <m/>
    <m/>
  </r>
  <r>
    <m/>
    <m/>
    <x v="135"/>
    <x v="51"/>
    <m/>
    <s v="“Nazal Septal Perforasyon Onarımının Hastaların Nazal Hava Akımı ve Yaşam Kalitesi Üzerine Olan Etkisinin Değerlendirilmesi”"/>
    <m/>
    <m/>
    <m/>
    <m/>
    <m/>
    <m/>
    <m/>
    <m/>
    <m/>
    <m/>
  </r>
  <r>
    <m/>
    <m/>
    <x v="135"/>
    <x v="51"/>
    <m/>
    <s v="“Kistik Fibrozis Transmembran Regülatör Protein-İlişkili Hastalık Tanılı Çocuk Hastalarımızın Klinik ve Radyolojik Özellikleri”"/>
    <m/>
    <m/>
    <m/>
    <m/>
    <m/>
    <m/>
    <m/>
    <m/>
    <m/>
    <m/>
  </r>
  <r>
    <m/>
    <m/>
    <x v="135"/>
    <x v="51"/>
    <m/>
    <s v="“Çocukluk Çağı Sinoviyal Sarkom Olgularının Retrospektif Değerlendrilmesi”"/>
    <m/>
    <m/>
    <m/>
    <m/>
    <m/>
    <m/>
    <m/>
    <m/>
    <m/>
    <m/>
  </r>
  <r>
    <m/>
    <m/>
    <x v="135"/>
    <x v="51"/>
    <m/>
    <s v="“Spinal Musküler Atrofi Tanılı Hastalarda Kemik Sağlığının Retrospektif Olarak Değerlendirilmesi”"/>
    <m/>
    <m/>
    <m/>
    <m/>
    <m/>
    <m/>
    <m/>
    <m/>
    <m/>
    <m/>
  </r>
  <r>
    <m/>
    <m/>
    <x v="135"/>
    <x v="51"/>
    <m/>
    <s v="“Griscelli Sendromu Tanısı Alan Hastaların Klinik ve Laboratuvar Özelliklerinin Değerelnedirilmesi”"/>
    <m/>
    <m/>
    <m/>
    <m/>
    <m/>
    <m/>
    <m/>
    <m/>
    <m/>
    <m/>
  </r>
  <r>
    <m/>
    <m/>
    <x v="135"/>
    <x v="51"/>
    <m/>
    <s v="“Stres, Cinsiyet ve Menstrual Döngünün, Tıkınırcasına Yeme Bozukluğu ve Uyku Kalitesi ile İlişkisinin İncelenmesi”"/>
    <m/>
    <m/>
    <m/>
    <m/>
    <m/>
    <m/>
    <m/>
    <m/>
    <m/>
    <m/>
  </r>
  <r>
    <m/>
    <m/>
    <x v="135"/>
    <x v="51"/>
    <m/>
    <s v="“Otizm Tanılı Ergenlerin Ebeveynlerinin Tükenmişlik ve Damgalanma Algısının Bilinçli Farkındalık Aracılığıyla Ergenlerin Psikososyal İyilik Hali Üzerine Etkisi”"/>
    <m/>
    <m/>
    <m/>
    <m/>
    <m/>
    <m/>
    <m/>
    <m/>
    <m/>
    <m/>
  </r>
  <r>
    <m/>
    <m/>
    <x v="135"/>
    <x v="51"/>
    <m/>
    <s v="“LeFort I Cerrahisi Uygulanan Hastalarda Maksiller Sinüs Membran Kalınlığı ve Sinüs Sağlığının Değerlendirilmesi”"/>
    <m/>
    <m/>
    <m/>
    <m/>
    <m/>
    <m/>
    <m/>
    <m/>
    <m/>
    <m/>
  </r>
  <r>
    <m/>
    <m/>
    <x v="135"/>
    <x v="51"/>
    <m/>
    <s v="&quot;Tiroid İnce İğne Aspirasyon Sitolojisinde Dijital Sitopatoloji ile Konvansiyonel Işık Mikroskobu Değerlendirmesinin Karşılaştırmalı Analizi: Belirsiz Kategorilere Odaklanarak&quot;"/>
    <m/>
    <m/>
    <m/>
    <m/>
    <m/>
    <m/>
    <m/>
    <m/>
    <m/>
    <m/>
  </r>
  <r>
    <m/>
    <m/>
    <x v="135"/>
    <x v="51"/>
    <m/>
    <s v="&quot;Yoğun Bakım Sonrası İzlem Polikliniğinde Takip Edilen Hastaların Demografik ve Klinik Özelliklerinin İncelenmesi &quot;"/>
    <m/>
    <m/>
    <m/>
    <m/>
    <m/>
    <m/>
    <m/>
    <m/>
    <m/>
    <m/>
  </r>
  <r>
    <m/>
    <m/>
    <x v="135"/>
    <x v="51"/>
    <m/>
    <s v="“Benign Histerektomi Öncesi Video Bilgilendirmesinin Anksiyete Düzeyine Etkisi”"/>
    <m/>
    <m/>
    <m/>
    <m/>
    <m/>
    <m/>
    <m/>
    <m/>
    <m/>
    <m/>
  </r>
  <r>
    <m/>
    <m/>
    <x v="135"/>
    <x v="51"/>
    <m/>
    <s v="“Ankara, Türkiye'deki Sahra Altı Afrikalı Üniversite Öğrencileri Arasında Sağlık Durumu, Sağlık Hizmetlerine Erişim, Sağlık Okuryazarlığı Düzeyi ve İlişkili Faktörlerin Belirlenmesi Araştırması”"/>
    <m/>
    <m/>
    <m/>
    <m/>
    <m/>
    <m/>
    <m/>
    <m/>
    <m/>
    <m/>
  </r>
  <r>
    <m/>
    <m/>
    <x v="135"/>
    <x v="51"/>
    <m/>
    <s v="“PIDCAP Skorlama Sisteminin Kronik Granülomatöz Hastalık Tanısı Olan Hastalarda Değerlendirilmesi”"/>
    <m/>
    <m/>
    <m/>
    <m/>
    <m/>
    <m/>
    <m/>
    <m/>
    <m/>
    <m/>
  </r>
  <r>
    <m/>
    <m/>
    <x v="135"/>
    <x v="51"/>
    <m/>
    <s v="“İmmünoterapilere Bağlı Endokrin Yan Etkiler ve Endokrinolojiye Yönlendirme Pratiklerinin Değerlendirilmesi”"/>
    <m/>
    <m/>
    <m/>
    <m/>
    <m/>
    <m/>
    <m/>
    <m/>
    <m/>
    <m/>
  </r>
  <r>
    <m/>
    <m/>
    <x v="135"/>
    <x v="51"/>
    <m/>
    <s v="“Yeme Bozukluğu Olan Ergende Tütün, Alkol ve Madde Kullanım Sıklığı ile Hastalık Şiddeti Arasındaki İlişkinin İncelenmesi”"/>
    <m/>
    <m/>
    <m/>
    <m/>
    <m/>
    <m/>
    <m/>
    <m/>
    <m/>
    <m/>
  </r>
  <r>
    <m/>
    <m/>
    <x v="135"/>
    <x v="51"/>
    <m/>
    <s v="“Uterin Serviksin İnvaziv Stratifiye Müsin Üreten Karsinomu: Klinikopatolojik Bulguların ve Prognostik Faktörlerin Değerlendirilmesi”"/>
    <m/>
    <m/>
    <m/>
    <m/>
    <m/>
    <m/>
    <m/>
    <m/>
    <m/>
    <m/>
  </r>
  <r>
    <m/>
    <m/>
    <x v="135"/>
    <x v="51"/>
    <m/>
    <s v="“Uluslararası İnkontinans Konsültasyonu– Az Aktif Mesane Anketi’nin Türkçe Geçerlik ve Güvenirlik Çalışması”"/>
    <m/>
    <m/>
    <m/>
    <m/>
    <m/>
    <m/>
    <m/>
    <m/>
    <m/>
    <m/>
  </r>
  <r>
    <m/>
    <m/>
    <x v="135"/>
    <x v="51"/>
    <m/>
    <s v="“Böbrek Biyopsilerinde Lupus Nefriti NIH Skorlamasının Dil Modeli ile Otomatikleştirilmesi ve Patolog Değerlendirmesi ile Karşılaştırılması”"/>
    <m/>
    <m/>
    <m/>
    <m/>
    <m/>
    <m/>
    <m/>
    <m/>
    <m/>
    <m/>
  </r>
  <r>
    <m/>
    <m/>
    <x v="135"/>
    <x v="51"/>
    <m/>
    <s v="“Şeffaf Plak Tedavilerinde Refinement Aşamasında Tekrarlayan Ataşman Debonding İşleminin Mine Yüzeyine Etkilerinin 3 Boyutlu Olarak İncelenmesi: In-Vitro Çalışma”"/>
    <m/>
    <m/>
    <m/>
    <m/>
    <m/>
    <m/>
    <m/>
    <m/>
    <m/>
    <m/>
  </r>
  <r>
    <m/>
    <m/>
    <x v="135"/>
    <x v="51"/>
    <m/>
    <s v="“Kistik Fibrozis, Primer Siliyer Diskinezi ve Astım Tanılı Çocukların Solunum Fonksiyon Testlerinin; Spirometri, Akciğer Temizleme İndeksi ve İmpuls Osilometri ile Değerlendirilmesi ve Parametreler Arasındaki İlişkilerin İncelenmesi”"/>
    <m/>
    <m/>
    <m/>
    <m/>
    <m/>
    <m/>
    <m/>
    <m/>
    <m/>
    <m/>
  </r>
  <r>
    <m/>
    <m/>
    <x v="135"/>
    <x v="51"/>
    <m/>
    <s v="“IgA Nefropatisi Oxford (MEST-C) Skorlamasında Dil Modeli Çıktılarının Patolog Değerlendirmeleriyle Karşılaştırılması ve Standardizasyona Yönelik Potansiyelinin Araştırılması”"/>
    <m/>
    <m/>
    <m/>
    <m/>
    <m/>
    <m/>
    <m/>
    <m/>
    <m/>
    <m/>
  </r>
  <r>
    <m/>
    <m/>
    <x v="135"/>
    <x v="51"/>
    <m/>
    <s v="“Üst Aerodigestif Sistem Mukozal Lezyonların Analizinde Dar Bant Görüntülemenin Yeri, Verilerin Histopatolojik İnceleme ile Karşılaştırılması”"/>
    <m/>
    <m/>
    <m/>
    <m/>
    <m/>
    <m/>
    <m/>
    <m/>
    <m/>
    <m/>
  </r>
  <r>
    <m/>
    <m/>
    <x v="135"/>
    <x v="51"/>
    <m/>
    <s v="“Fetal Kardiyak Girişim Yapılan Fetuslarda Prenatal Dönemde Yapılan Ekstremite Dopplerlerinin Longitudinal İzlemi ve Perinatal Sonuçlarla İlişkisi”"/>
    <m/>
    <m/>
    <m/>
    <m/>
    <m/>
    <m/>
    <m/>
    <m/>
    <m/>
    <m/>
  </r>
  <r>
    <m/>
    <m/>
    <x v="135"/>
    <x v="51"/>
    <m/>
    <s v="“Anti-TNF Tedavi Sürecinde Çekilen Akciğer Grafilerinin Yapay Zeka Destekli Değerlendirmesinin, Klinisyen Değerlendirmesi ile Karşılaştırması ve Klinik Uygulamalara Entegrasyonunun İncelenmesi”"/>
    <m/>
    <m/>
    <m/>
    <m/>
    <m/>
    <m/>
    <m/>
    <m/>
    <m/>
    <m/>
  </r>
  <r>
    <m/>
    <m/>
    <x v="135"/>
    <x v="51"/>
    <m/>
    <s v="“Küçük Hücreli Akciğer Karsinomunda Moleküler Alt Tiplerin ASCL1, NEUROD1, POU2F3 ve YAP1 İmmünohistokimyasal Ekspresyonuna Göre Sınıflandırılması ve Klinik Önemi”"/>
    <m/>
    <m/>
    <m/>
    <m/>
    <m/>
    <m/>
    <m/>
    <m/>
    <m/>
    <m/>
  </r>
  <r>
    <m/>
    <m/>
    <x v="135"/>
    <x v="51"/>
    <m/>
    <s v="“Multipl Sklerozda Telomer Uzunluğu, p16INK4a İfadesi ve İleri Beyin MR Görüntülemeleri ile Hastalık Progresyonu Arasındaki İlişkinin Prospektif İncelenmesi”"/>
    <m/>
    <m/>
    <m/>
    <m/>
    <m/>
    <m/>
    <m/>
    <m/>
    <m/>
    <m/>
  </r>
  <r>
    <m/>
    <m/>
    <x v="135"/>
    <x v="51"/>
    <m/>
    <s v="“Türkiye’deki Çocukluk Çağı İnterstisiyel Akciğer Hastalığı Tanısıyla İzlenen Hastaların Demografik ve Klinik Özelliklerinin REDCap Veri Tabanına Kaydedilmesi (chILD Türkiye) ve Verilerin Değerlendirilmesi”"/>
    <m/>
    <m/>
    <m/>
    <m/>
    <m/>
    <m/>
    <m/>
    <m/>
    <m/>
    <m/>
  </r>
  <r>
    <m/>
    <m/>
    <x v="135"/>
    <x v="51"/>
    <m/>
    <s v="“Taburculuk Sonrası Bakım Geçiş Kalitesinin Değerlendirilmesi: Çok Boyutlu Bir Ölçüm Yaklaşımı”"/>
    <m/>
    <m/>
    <m/>
    <m/>
    <m/>
    <m/>
    <m/>
    <m/>
    <m/>
    <m/>
  </r>
  <r>
    <m/>
    <m/>
    <x v="135"/>
    <x v="51"/>
    <m/>
    <s v="“Geç Preterm Gebeliklerde Antenatal Kortikosteroid Uygulamasının Neonatal Hipoglisemi ve Klinik Sonuçlara Etkisi”"/>
    <m/>
    <m/>
    <m/>
    <m/>
    <m/>
    <m/>
    <m/>
    <m/>
    <m/>
    <m/>
  </r>
  <r>
    <m/>
    <m/>
    <x v="135"/>
    <x v="51"/>
    <m/>
    <s v="“Oral Biyopsi Uygulanan Hastalarda Anksiyete ve Ağrı Düzeylerinin Değerlendirilmesi”"/>
    <m/>
    <m/>
    <m/>
    <m/>
    <m/>
    <m/>
    <m/>
    <m/>
    <m/>
    <m/>
  </r>
  <r>
    <m/>
    <m/>
    <x v="135"/>
    <x v="51"/>
    <m/>
    <s v="“İdiopatik İzole Ekstrakraniyal İnternal Karotis Arter Vazospazmında Tedavi Seçenekleri ve Prognoza Etkileri”"/>
    <m/>
    <m/>
    <m/>
    <m/>
    <m/>
    <m/>
    <m/>
    <m/>
    <m/>
    <m/>
  </r>
  <r>
    <m/>
    <m/>
    <x v="135"/>
    <x v="51"/>
    <m/>
    <s v="“Yüzücülerde Ultrason ve Güç Ölçümleri ile Omuz Yaralanma Profili Çıkarılması”"/>
    <m/>
    <m/>
    <m/>
    <m/>
    <m/>
    <m/>
    <m/>
    <m/>
    <m/>
    <m/>
  </r>
  <r>
    <m/>
    <m/>
    <x v="135"/>
    <x v="51"/>
    <m/>
    <s v="“Seçilmiş Nöroloji Olgularının Klinik Seyir ve Tedavi-Prognozuna Yönelik Olgu Temelli Derlemesi”"/>
    <m/>
    <m/>
    <m/>
    <m/>
    <m/>
    <m/>
    <m/>
    <m/>
    <m/>
    <m/>
  </r>
  <r>
    <m/>
    <m/>
    <x v="135"/>
    <x v="51"/>
    <m/>
    <s v="“Büllöz Pemfigoid Tanılı Hastalarda Omalizumab Tedavisinin Yanıtlarının Değerlendirilmesi&quot;"/>
    <m/>
    <m/>
    <m/>
    <m/>
    <m/>
    <m/>
    <m/>
    <m/>
    <m/>
    <m/>
  </r>
  <r>
    <m/>
    <m/>
    <x v="135"/>
    <x v="51"/>
    <m/>
    <s v="&quot;Çocukluk Çağında Matür T/NK Hücreli Lenfomalar : Hacettepe Deneyimi&quot;"/>
    <m/>
    <m/>
    <m/>
    <m/>
    <m/>
    <m/>
    <m/>
    <m/>
    <m/>
    <m/>
  </r>
  <r>
    <m/>
    <m/>
    <x v="135"/>
    <x v="51"/>
    <m/>
    <s v="“Kronik Miyeloid Lösemi Hastalarında Tirozin Kinaz Kullanımı İlişkili Proteinüri Gelişimini Etkileyen Faktörlerin İncelenmesi”"/>
    <m/>
    <m/>
    <m/>
    <m/>
    <m/>
    <m/>
    <m/>
    <m/>
    <m/>
    <m/>
  </r>
  <r>
    <m/>
    <m/>
    <x v="135"/>
    <x v="51"/>
    <m/>
    <s v="“Stajyer Diş Hekimlerinde Maket Üzerinde Sütur Eğitiminin Etkinliği ve Memnuniyetinin Değerlendirilmesi&quot;"/>
    <m/>
    <m/>
    <m/>
    <m/>
    <m/>
    <m/>
    <m/>
    <m/>
    <m/>
    <m/>
  </r>
  <r>
    <m/>
    <m/>
    <x v="135"/>
    <x v="51"/>
    <m/>
    <s v="“Preklinik Endodonti Eğitiminde 3D Baskılı Modeller: Öğrenci Perspektifinden Bir Değerlendirme”"/>
    <m/>
    <m/>
    <m/>
    <m/>
    <m/>
    <m/>
    <m/>
    <m/>
    <m/>
    <m/>
  </r>
  <r>
    <m/>
    <m/>
    <x v="135"/>
    <x v="51"/>
    <m/>
    <s v="“Koklear İmplant ile İlgili Tüm Soruların ChatGPT Yanıtlarının Kulak Burun Boğaz Uzmanları Tarafından Değerlendirilmesi”"/>
    <m/>
    <m/>
    <m/>
    <m/>
    <m/>
    <m/>
    <m/>
    <m/>
    <m/>
    <m/>
  </r>
  <r>
    <m/>
    <m/>
    <x v="135"/>
    <x v="51"/>
    <m/>
    <s v="“Susam Alerjisi Olan Çocuklarda Oral İmmünoterapinin Güvenliği ve Yaşam Kalitesi Üzerine Etkilerinin Değerlendirilmesi''"/>
    <m/>
    <m/>
    <m/>
    <m/>
    <m/>
    <m/>
    <m/>
    <m/>
    <m/>
    <m/>
  </r>
  <r>
    <m/>
    <m/>
    <x v="135"/>
    <x v="51"/>
    <m/>
    <s v="“Çocukluk Çağı Over Kistadenomları: Hacettepe Deneyimi”"/>
    <m/>
    <m/>
    <m/>
    <m/>
    <m/>
    <m/>
    <m/>
    <m/>
    <m/>
    <m/>
  </r>
  <r>
    <m/>
    <m/>
    <x v="135"/>
    <x v="51"/>
    <m/>
    <s v="“Sigara İçen Bireylerde Fonksiyonel Yakın Kızılötesi Spektroskopisi Kullanılarak Fonksiyonel Bağlantısallığın ve Kalp Hızı Değişkenliğinin İncelenmesi”"/>
    <m/>
    <m/>
    <m/>
    <m/>
    <m/>
    <m/>
    <m/>
    <m/>
    <m/>
    <m/>
  </r>
  <r>
    <m/>
    <m/>
    <x v="135"/>
    <x v="51"/>
    <m/>
    <s v="“Malignite Tanısı Alan Primer İmmün Yetmezlikli Hastaların Klinik ve Laboratuvar Özelliklerinin Değerlendirilmesi ”"/>
    <m/>
    <m/>
    <m/>
    <m/>
    <m/>
    <m/>
    <m/>
    <m/>
    <m/>
    <m/>
  </r>
  <r>
    <m/>
    <m/>
    <x v="135"/>
    <x v="51"/>
    <m/>
    <s v="“Çene Bölgesi Patolojik Lezyonların CBCT Görüntülerinde Yapay Zeka Tabanlı Otomatik Tanısı: Derin Öğrenme Yaklaşımı”"/>
    <m/>
    <m/>
    <m/>
    <m/>
    <m/>
    <m/>
    <m/>
    <m/>
    <m/>
    <m/>
  </r>
  <r>
    <m/>
    <m/>
    <x v="135"/>
    <x v="51"/>
    <m/>
    <s v="“Endoskopik Endonazal ya da Transkonjonktival Yaklaşımla Optik Sinir Dekompresyonu ve/veya Optik Sinir Kılıf Fenestrasyonu Yapılan Olgularda Sonuçların Karşılaştırılması”"/>
    <m/>
    <m/>
    <m/>
    <m/>
    <m/>
    <m/>
    <m/>
    <m/>
    <m/>
    <m/>
  </r>
  <r>
    <m/>
    <m/>
    <x v="135"/>
    <x v="51"/>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135"/>
    <x v="51"/>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135"/>
    <x v="51"/>
    <m/>
    <s v="“Dijital Fotoğraf Tabanlı Renk Analizi ile Gingival İndeksin Belirlenmesi: Klinik Sağlık, Gingivitis ve Periodontitis Vakalarının Karşılaştırılması”"/>
    <m/>
    <m/>
    <m/>
    <m/>
    <m/>
    <m/>
    <m/>
    <m/>
    <m/>
    <m/>
  </r>
  <r>
    <m/>
    <m/>
    <x v="135"/>
    <x v="51"/>
    <m/>
    <s v="“İnme Hastalarında Kardiyak Risk Faktörleri: Sol Atriyum Morfolojisi, Koroner Kalsifikasyon Skoru ve Mitral Kazeöz Kalsifikasyonun Kardiyak Bilgisayarlı Tomografi ile Değerlendirilmesi”"/>
    <m/>
    <m/>
    <m/>
    <m/>
    <m/>
    <m/>
    <m/>
    <m/>
    <m/>
    <m/>
  </r>
  <r>
    <m/>
    <m/>
    <x v="135"/>
    <x v="51"/>
    <m/>
    <s v="“Pediatrik Popülasyonda Yaşla Değişen Alerjene Özgü Duyarlanma Dinamikleri"/>
    <m/>
    <m/>
    <m/>
    <m/>
    <m/>
    <m/>
    <m/>
    <m/>
    <m/>
    <m/>
  </r>
  <r>
    <m/>
    <m/>
    <x v="135"/>
    <x v="51"/>
    <m/>
    <s v="“Minimal İnvaziv Kardiyak Cerrahide Anestezi Yönetimi Deneyimimiz Tek Merkezli Gözlemsel Çalışma-Bireysel Araştırma”"/>
    <m/>
    <m/>
    <m/>
    <m/>
    <m/>
    <m/>
    <m/>
    <m/>
    <m/>
    <m/>
  </r>
  <r>
    <m/>
    <m/>
    <x v="135"/>
    <x v="51"/>
    <m/>
    <s v="“Primer Hiperparatiroidi Tanılı Hastaların Demografik, Klinik, Biyokimyasal ve Görüntüleme Bulgularının Değerlendirilmesi”"/>
    <m/>
    <m/>
    <m/>
    <m/>
    <m/>
    <m/>
    <m/>
    <m/>
    <m/>
    <m/>
  </r>
  <r>
    <m/>
    <m/>
    <x v="135"/>
    <x v="51"/>
    <m/>
    <s v="“.Yüksek Dereceli Majör Tükürük Bezleri Malignitelerinin Sonuçlarının Retrospektif İncelenmesi: Uluslararası Çok Merkezli Bir Çalışma”"/>
    <m/>
    <m/>
    <m/>
    <m/>
    <m/>
    <m/>
    <m/>
    <m/>
    <m/>
    <m/>
  </r>
  <r>
    <m/>
    <m/>
    <x v="135"/>
    <x v="51"/>
    <m/>
    <s v="“Prostat Kanserinde Sistemik Tedavi Yanıt Değerlendirilmesinde Ga-68 İşaretli PSMA PET-BT ile Biyokimyasal Belirteçlerin Rolü ve Prognostik Önemi”"/>
    <m/>
    <m/>
    <m/>
    <m/>
    <m/>
    <m/>
    <m/>
    <m/>
    <m/>
    <m/>
  </r>
  <r>
    <m/>
    <m/>
    <x v="135"/>
    <x v="51"/>
    <m/>
    <s v="“Metastatik Prostat Kanseri Olan Hastalarda Androjen Reseptör Yolak İnhibitörlerinin Etkinliğini Tahmin Etmede Klinik-Biyokimyasal ve Moleküler Görüntüleme Parametrelerinin Rolü”"/>
    <m/>
    <m/>
    <m/>
    <m/>
    <m/>
    <m/>
    <m/>
    <m/>
    <m/>
    <m/>
  </r>
  <r>
    <m/>
    <m/>
    <x v="135"/>
    <x v="51"/>
    <m/>
    <s v="“Nöromusküler Hastalıklarda Tüm Ekzom Dizileme Yöntemi ile Genetik Etyolojinin Belirlenmesi”"/>
    <m/>
    <m/>
    <m/>
    <m/>
    <m/>
    <m/>
    <m/>
    <m/>
    <m/>
    <m/>
  </r>
  <r>
    <m/>
    <m/>
    <x v="135"/>
    <x v="51"/>
    <m/>
    <s v="“Örgün ve Mesleki Öğretimde Olmayan veya Çalışmayan (NEET) Gençlerin Ruh Sağlığının Sosyal Eşitsizlikler Açısından İncelenmesi: Nitel ve Nicel bir Derleme”"/>
    <m/>
    <m/>
    <m/>
    <m/>
    <m/>
    <m/>
    <m/>
    <m/>
    <m/>
    <m/>
  </r>
  <r>
    <m/>
    <m/>
    <x v="135"/>
    <x v="51"/>
    <m/>
    <s v="“Pseudo-Bartter Sendromu Olan Kistik Fibrozis Transmembran Regülatör-İlişkili Hastalık Tanılı Çocuklarda Epitel İyon Kanallarının İfade Analizi”"/>
    <m/>
    <m/>
    <m/>
    <m/>
    <m/>
    <m/>
    <m/>
    <m/>
    <m/>
    <m/>
  </r>
  <r>
    <m/>
    <m/>
    <x v="135"/>
    <x v="51"/>
    <m/>
    <s v="“Anaplastik Tiroid Kanserli Olguların Tanı, Tedavi ve Takip Açısından Retrospektif Değerlendirilmesi”"/>
    <m/>
    <m/>
    <m/>
    <m/>
    <m/>
    <m/>
    <m/>
    <m/>
    <m/>
    <m/>
  </r>
  <r>
    <m/>
    <m/>
    <x v="135"/>
    <x v="51"/>
    <m/>
    <s v="“Yeni Bir İrrigasyon Solüsyonu Triton’un Epoksi Rezin ve Kalsiyum Silikat Esaslı Kök Kanal Dolgu Materyallerinin İtme Bağlanma Dayanımına Etkisi”"/>
    <m/>
    <m/>
    <m/>
    <m/>
    <m/>
    <m/>
    <m/>
    <m/>
    <m/>
    <m/>
  </r>
  <r>
    <m/>
    <m/>
    <x v="135"/>
    <x v="51"/>
    <m/>
    <s v="“Pitoz Cerrahisinde Yeni Bir Teknik: Procerus Kas Transferi ile Üst Göz Kapağının Dinamik Reanimasyonu, Kadavra Çalışması”"/>
    <m/>
    <m/>
    <m/>
    <m/>
    <m/>
    <m/>
    <m/>
    <m/>
    <m/>
    <m/>
  </r>
  <r>
    <m/>
    <m/>
    <x v="135"/>
    <x v="51"/>
    <m/>
    <s v="“Türkiye'de Konjenital Miyastenik Sendromların Genetik Profili: Yeni Mutasyonlar ve Klinik Perspektifler”"/>
    <m/>
    <m/>
    <m/>
    <m/>
    <m/>
    <m/>
    <m/>
    <m/>
    <m/>
    <m/>
  </r>
  <r>
    <m/>
    <m/>
    <x v="135"/>
    <x v="51"/>
    <m/>
    <s v="“Menstrüel Kanama Dışı Risk Faktörü Olmayan Genç Kadınlarda Demir Eksikliği ile Menstrüel Kanama Özellikleri Arasındaki İlişkinin Değerlendirilmesi”"/>
    <m/>
    <m/>
    <m/>
    <m/>
    <m/>
    <m/>
    <m/>
    <m/>
    <m/>
    <m/>
  </r>
  <r>
    <m/>
    <m/>
    <x v="135"/>
    <x v="51"/>
    <m/>
    <s v="“Yakınını Kaybetmiş Yaşlılarda Uzamış Yas Belirtilerini Yordayan Faktörler”"/>
    <m/>
    <m/>
    <m/>
    <m/>
    <m/>
    <m/>
    <m/>
    <m/>
    <m/>
    <m/>
  </r>
  <r>
    <m/>
    <m/>
    <x v="135"/>
    <x v="51"/>
    <m/>
    <s v="“Gonadotropin Salgılatıcı Hormon Analoglarının Endometriyal İntraepitelyal Neoplazi ve Erken Evre Endometrium Kanserinde Fertilite Koruyucu Tedaviye Etkisi”"/>
    <m/>
    <m/>
    <m/>
    <m/>
    <m/>
    <m/>
    <m/>
    <m/>
    <m/>
    <m/>
  </r>
  <r>
    <m/>
    <m/>
    <x v="135"/>
    <x v="51"/>
    <m/>
    <s v="“Teikoplanin ile Tedavi Edilen Hastalarda Terapötik İlaç Düzey İzlemi: Retrospektif Bir Analiz”"/>
    <m/>
    <m/>
    <m/>
    <m/>
    <m/>
    <m/>
    <m/>
    <m/>
    <m/>
    <m/>
  </r>
  <r>
    <m/>
    <m/>
    <x v="135"/>
    <x v="51"/>
    <m/>
    <s v="“Vorikonazol Serum Düzeyi İzlemi Yapılan Hastalarda Terapötik Aralığı Etkileyen Faktörlerin Retrospektif Değerlendirilmesi ve Klinik Bir Skorlama Modelinin Geliştirilmesi”"/>
    <m/>
    <m/>
    <m/>
    <m/>
    <m/>
    <m/>
    <m/>
    <m/>
    <m/>
    <m/>
  </r>
  <r>
    <m/>
    <m/>
    <x v="135"/>
    <x v="51"/>
    <m/>
    <s v="“Periventriküler Nodüler Heterotopi İlişkili Epilepside Klinik Özellikler”"/>
    <m/>
    <m/>
    <m/>
    <m/>
    <m/>
    <m/>
    <m/>
    <m/>
    <m/>
    <m/>
  </r>
  <r>
    <m/>
    <m/>
    <x v="135"/>
    <x v="51"/>
    <m/>
    <s v="“Polimikrogiri İlişkili Epilepsi Hastalarında Klinik ve Laboratuvar Bulgular: Tek Merkez Deneyimi”"/>
    <m/>
    <m/>
    <m/>
    <m/>
    <m/>
    <m/>
    <m/>
    <m/>
    <m/>
    <m/>
  </r>
  <r>
    <m/>
    <m/>
    <x v="135"/>
    <x v="51"/>
    <m/>
    <s v="“Diş Hekimliği Fakültesine Başvuran Çocukların Ebeveynlerinin Ağız Sağlığı Okuryazarlık Durumlarının Değerlendirilmesi”"/>
    <m/>
    <m/>
    <m/>
    <m/>
    <m/>
    <m/>
    <m/>
    <m/>
    <m/>
    <m/>
  </r>
  <r>
    <m/>
    <m/>
    <x v="135"/>
    <x v="51"/>
    <m/>
    <s v="“Bronkopulmoner Displazi Tanılı Hastaların İzleminde Akciğer Ultrasonografisinin Yeri”"/>
    <m/>
    <m/>
    <m/>
    <m/>
    <m/>
    <m/>
    <m/>
    <m/>
    <m/>
    <m/>
  </r>
  <r>
    <m/>
    <m/>
    <x v="135"/>
    <x v="51"/>
    <m/>
    <s v="“Ara Değer Ter Testi Olan Kistik Fibrozisli Çocukların Klinik Özellikleri”"/>
    <m/>
    <m/>
    <m/>
    <m/>
    <m/>
    <m/>
    <m/>
    <m/>
    <m/>
    <m/>
  </r>
  <r>
    <m/>
    <m/>
    <x v="135"/>
    <x v="51"/>
    <m/>
    <s v="“Multipl Myelomda Fonksiyonel Görüntüleme: MRG ve PET-BT Yöntemlerinin Karşılaştırılması”"/>
    <m/>
    <m/>
    <m/>
    <m/>
    <m/>
    <m/>
    <m/>
    <m/>
    <m/>
    <m/>
  </r>
  <r>
    <m/>
    <m/>
    <x v="135"/>
    <x v="51"/>
    <m/>
    <s v="“Wolfram Sendromlu ve Midline Anomalili Hastaların Klinik Özelliklerinin Retrospektif Değerlendirilmesi”"/>
    <m/>
    <m/>
    <m/>
    <m/>
    <m/>
    <m/>
    <m/>
    <m/>
    <m/>
    <m/>
  </r>
  <r>
    <m/>
    <m/>
    <x v="135"/>
    <x v="51"/>
    <m/>
    <s v="“MEN1 ve MEN4 Sendromlu Hastaların Klinik Özelliklerinin Retrospektif Değerlendirilmesi”"/>
    <m/>
    <m/>
    <m/>
    <m/>
    <m/>
    <m/>
    <m/>
    <m/>
    <m/>
    <m/>
  </r>
  <r>
    <m/>
    <m/>
    <x v="135"/>
    <x v="51"/>
    <m/>
    <s v="“Yetişkin Bireylerde Sedanter Davranışın Kesintiye Uğratma Sıklığı, Fiziksel Aktivite ve Sedanter Davranış Sürelerinin İncelenmesi”"/>
    <m/>
    <m/>
    <m/>
    <m/>
    <m/>
    <m/>
    <m/>
    <m/>
    <m/>
    <m/>
  </r>
  <r>
    <m/>
    <m/>
    <x v="135"/>
    <x v="51"/>
    <m/>
    <s v="“Clavicula'nin Morfometrik Analizi ve Ortopedik İmplant Planlamasina Yönelik Katkıları”"/>
    <m/>
    <m/>
    <m/>
    <m/>
    <m/>
    <m/>
    <m/>
    <m/>
    <m/>
    <m/>
  </r>
  <r>
    <m/>
    <m/>
    <x v="135"/>
    <x v="51"/>
    <m/>
    <s v="“KBB Hastalarında Farklı Yapay Zekâ Modellerinin Tanı ve Tedavi Önerilerinin Değerlendirip Karşılaştırılması”"/>
    <m/>
    <m/>
    <m/>
    <m/>
    <m/>
    <m/>
    <m/>
    <m/>
    <m/>
    <m/>
  </r>
  <r>
    <m/>
    <m/>
    <x v="135"/>
    <x v="51"/>
    <m/>
    <s v="“Papiller Tiroid Kanserinin Tükürükteki Moleküler Belirteçler ile Tanısı”"/>
    <m/>
    <m/>
    <m/>
    <m/>
    <m/>
    <m/>
    <m/>
    <m/>
    <m/>
    <m/>
  </r>
  <r>
    <m/>
    <m/>
    <x v="135"/>
    <x v="51"/>
    <m/>
    <s v="&quot;Diş Hekimliği Fakültesine Konsülte Edilen Hastalarda Konik Işınlı Bilgisayarlı Tomografi Endikasyonları ve Saptanan Bulgular&quot;"/>
    <m/>
    <m/>
    <m/>
    <m/>
    <m/>
    <m/>
    <m/>
    <m/>
    <m/>
    <m/>
  </r>
  <r>
    <m/>
    <m/>
    <x v="135"/>
    <x v="51"/>
    <m/>
    <s v="&quot;Kadınlarda Spor Türü ve Yaşın Alt Ekstremite de Mekanik Sertlik Üzerine Etkisi: İki Farklı Sıçrama Türü için Karşılaştırmalı Bir Analiz&quot;"/>
    <m/>
    <m/>
    <m/>
    <m/>
    <m/>
    <m/>
    <m/>
    <m/>
    <m/>
    <m/>
  </r>
  <r>
    <m/>
    <m/>
    <x v="135"/>
    <x v="51"/>
    <m/>
    <s v="&quot;Serum Triptaz Düzeyinin Mast Hücre İlişkili Hastalıklardaki Rolünün Retrospektif Olarak Değerlendirilmesi&quot;"/>
    <m/>
    <m/>
    <m/>
    <m/>
    <m/>
    <m/>
    <m/>
    <m/>
    <m/>
    <m/>
  </r>
  <r>
    <m/>
    <m/>
    <x v="135"/>
    <x v="51"/>
    <m/>
    <s v="“Behçet Hastalarının Serum Nörofilaman Seviyelerinin Belirlenmesi”"/>
    <m/>
    <m/>
    <m/>
    <m/>
    <m/>
    <m/>
    <m/>
    <m/>
    <m/>
    <m/>
  </r>
  <r>
    <m/>
    <m/>
    <x v="135"/>
    <x v="51"/>
    <m/>
    <s v="“Topikal Ürünlerde Mikroyapı Benzerliğini Aydınlatmaya Yönelik In Vitro Permeasyon Çalışması”"/>
    <m/>
    <m/>
    <m/>
    <m/>
    <m/>
    <m/>
    <m/>
    <m/>
    <m/>
    <m/>
  </r>
  <r>
    <m/>
    <m/>
    <x v="135"/>
    <x v="51"/>
    <m/>
    <s v="“Bronkopulmoner Displazili Çocuklarda Solunum Fonksiyonlarının Değerlendirilmesinde İmpuls Osilometri ve Spirometrinin Karşılaştırılması”"/>
    <m/>
    <m/>
    <m/>
    <m/>
    <m/>
    <m/>
    <m/>
    <m/>
    <m/>
    <m/>
  </r>
  <r>
    <m/>
    <m/>
    <x v="135"/>
    <x v="51"/>
    <m/>
    <s v="“Metilmalonik Asidemi ve Propiyonik Asidemide Akut Metabolik Dekompanzasyonun Acil Tanı ve Tedavisi”"/>
    <m/>
    <m/>
    <m/>
    <m/>
    <m/>
    <m/>
    <m/>
    <m/>
    <m/>
    <m/>
  </r>
  <r>
    <m/>
    <m/>
    <x v="135"/>
    <x v="51"/>
    <m/>
    <s v="“Pediatrik Proksimal Humerus Kırıklarında Konservatif ve Cerrahi Tedavinin Uzun Dönem Sonuçları”"/>
    <m/>
    <m/>
    <m/>
    <m/>
    <m/>
    <m/>
    <m/>
    <m/>
    <m/>
    <m/>
  </r>
  <r>
    <m/>
    <m/>
    <x v="135"/>
    <x v="51"/>
    <m/>
    <s v="“Yeni Terapötiklerin ve Biyobelirteçlerin Keşfi İçin Metabolik Fonksiyon Bozukluğu ile İlişkili Steatotik Karaciğer Hastalığının (MASLD) Patobiyolojisinin Açığa Çıkarılması(UNMASK- EP PerMed Horizon 2020 Projesi)”"/>
    <m/>
    <m/>
    <m/>
    <m/>
    <m/>
    <m/>
    <m/>
    <m/>
    <m/>
    <m/>
  </r>
  <r>
    <m/>
    <m/>
    <x v="135"/>
    <x v="51"/>
    <m/>
    <s v="“Adölesan Nöromüsküler Kalça Displazisi için Asetabuloplasti ile Kombine Üçlü Pelvik Osteotominin Güvenliği ve Uygulanabilirliği&quot;"/>
    <m/>
    <m/>
    <m/>
    <m/>
    <m/>
    <m/>
    <m/>
    <m/>
    <m/>
    <m/>
  </r>
  <r>
    <m/>
    <m/>
    <x v="135"/>
    <x v="51"/>
    <m/>
    <s v="“Polikistik Böbrek Hastalığı Olan Renal Transplant Alıcılarında Postoperatif Sağkalım ve Komplikasyonların Değerlendirilmesi''"/>
    <m/>
    <m/>
    <m/>
    <m/>
    <m/>
    <m/>
    <m/>
    <m/>
    <m/>
    <m/>
  </r>
  <r>
    <m/>
    <m/>
    <x v="135"/>
    <x v="51"/>
    <m/>
    <s v="“Jüvenil Sistemik Skleroz için Uluslararası Başlangıç Kohortu”"/>
    <m/>
    <m/>
    <m/>
    <m/>
    <m/>
    <m/>
    <m/>
    <m/>
    <m/>
    <m/>
  </r>
  <r>
    <m/>
    <m/>
    <x v="135"/>
    <x v="51"/>
    <m/>
    <s v="“Tiroid Kanserinde Metabolik Çeşitliliğin Açığa Çıkarılması: Fiber Tabanlı, İşaretsiz Orta Dalgaboylu Kızılötesi Optoakustik Prob Teknolojisinin Geliştirilmesi”"/>
    <m/>
    <m/>
    <m/>
    <m/>
    <m/>
    <m/>
    <m/>
    <m/>
    <m/>
    <m/>
  </r>
  <r>
    <m/>
    <m/>
    <x v="135"/>
    <x v="51"/>
    <m/>
    <s v="“Çocuk Kardiyoloji ÜnitesiTransvenöz Lead Çıkarılması Deneyimlerinin Retrospektif Değerlendirilmesi”"/>
    <m/>
    <m/>
    <m/>
    <m/>
    <m/>
    <m/>
    <m/>
    <m/>
    <m/>
    <m/>
  </r>
  <r>
    <m/>
    <m/>
    <x v="135"/>
    <x v="51"/>
    <m/>
    <s v="“Çocuk Acile Başvuran Kritik HastalardaHiperglisemi Sıklığı, Hastalıklara Göre Dağılımı ve Hasta Sonuçlarına Etkisi”"/>
    <m/>
    <m/>
    <m/>
    <m/>
    <m/>
    <m/>
    <m/>
    <m/>
    <m/>
    <m/>
  </r>
  <r>
    <m/>
    <m/>
    <x v="135"/>
    <x v="51"/>
    <m/>
    <s v="“Farklı Branşlardaki Erkek Sporcularda DXA ile Değerlendirilen Vücut Kompozisyonu İndekslerinin Karşılaştırılması”"/>
    <m/>
    <m/>
    <m/>
    <m/>
    <m/>
    <m/>
    <m/>
    <m/>
    <m/>
    <m/>
  </r>
  <r>
    <m/>
    <m/>
    <x v="135"/>
    <x v="51"/>
    <m/>
    <s v="“Melazma Hastalarında Vasküler Endotelyal Büyüme Faktörü Polimorfizminin Değerlendirilmesi”"/>
    <m/>
    <m/>
    <m/>
    <m/>
    <m/>
    <m/>
    <m/>
    <m/>
    <m/>
    <m/>
  </r>
  <r>
    <m/>
    <m/>
    <x v="135"/>
    <x v="51"/>
    <m/>
    <s v="“Platisma KasTranspozisyonunun Fonksiyonel ve Rekonstrüktif Kullanımı: Kadavra Çalışması”"/>
    <m/>
    <m/>
    <m/>
    <m/>
    <m/>
    <m/>
    <m/>
    <m/>
    <m/>
    <m/>
  </r>
  <r>
    <m/>
    <m/>
    <x v="135"/>
    <x v="51"/>
    <m/>
    <s v="“Doğumsal Brakiyal Pleksus Yaralanmalarında Önkol Cerrahi Sonrası Fonksiyonel Başarıyı Etkileyen Radyolojik Parametreler: Radius Anatomisinin Rolü”"/>
    <m/>
    <m/>
    <m/>
    <m/>
    <m/>
    <m/>
    <m/>
    <m/>
    <m/>
    <m/>
  </r>
  <r>
    <m/>
    <m/>
    <x v="135"/>
    <x v="51"/>
    <m/>
    <s v="“Gerçek Yaşam Verileriyle Romatoid Artritli Hastalarda Hedefe Yönelik Tedavi Zamanlaması ve Diz-Kalça Protez Cerrahisi İlişkisi”"/>
    <m/>
    <m/>
    <m/>
    <m/>
    <m/>
    <m/>
    <m/>
    <m/>
    <m/>
    <m/>
  </r>
  <r>
    <m/>
    <m/>
    <x v="135"/>
    <x v="51"/>
    <m/>
    <s v="“Kronik Böbrek Hastalığı İlişkili Bilişsel Bozukluk Patofizyolojisinin Radyolojik, Biyokimyasal ve Metabolomik Biyobelirteçler Işığında Karşılaştırmalı Bir Sistem Biyolojisi Analizi”"/>
    <m/>
    <m/>
    <m/>
    <m/>
    <m/>
    <m/>
    <m/>
    <m/>
    <m/>
    <m/>
  </r>
  <r>
    <m/>
    <m/>
    <x v="135"/>
    <x v="51"/>
    <m/>
    <s v="“Şeffaf Plak Tedavilerinde Kullanılan Ataşmanların Bağlanma ve Uzaklaştırılma Yöntemlerinin Diş Rengi Üzerine Etkileri”"/>
    <m/>
    <m/>
    <m/>
    <m/>
    <m/>
    <m/>
    <m/>
    <m/>
    <m/>
    <m/>
  </r>
  <r>
    <m/>
    <m/>
    <x v="135"/>
    <x v="51"/>
    <m/>
    <s v="“Ottawa Kriz Kaynak Yönetimi Küresel Değerlendirme Ölçeği ve Ottawa Kriz Kaynak Yönetimi Becerileri Kontrol Listesinin Türkçeye Uyarlanması”"/>
    <m/>
    <m/>
    <m/>
    <m/>
    <m/>
    <m/>
    <m/>
    <m/>
    <m/>
    <m/>
  </r>
  <r>
    <m/>
    <m/>
    <x v="135"/>
    <x v="51"/>
    <m/>
    <s v="“Polimiksin Nefrotoksisitesi için Makine Öğrenme Tabanlı Prediktif Skor Geliştirilmesi”"/>
    <m/>
    <m/>
    <m/>
    <m/>
    <m/>
    <m/>
    <m/>
    <m/>
    <m/>
    <m/>
  </r>
  <r>
    <m/>
    <m/>
    <x v="135"/>
    <x v="51"/>
    <m/>
    <s v="“Antrenman Maskesi ile Uygulanan Dar Alan Oyunlarına Verilen İç ve Dış Yük Yanıtlar&quot;"/>
    <m/>
    <m/>
    <m/>
    <m/>
    <m/>
    <m/>
    <m/>
    <m/>
    <m/>
    <m/>
  </r>
  <r>
    <m/>
    <m/>
    <x v="135"/>
    <x v="51"/>
    <m/>
    <s v="“Yorgunluğun Farklı Açısal Hızlarda Alt Ekstremite İzokinetik Kas Kuvvet Çıktıları Üzerine Etkisi”"/>
    <m/>
    <m/>
    <m/>
    <m/>
    <m/>
    <m/>
    <m/>
    <m/>
    <m/>
    <m/>
  </r>
  <r>
    <m/>
    <m/>
    <x v="135"/>
    <x v="51"/>
    <m/>
    <s v="“İç Hastalıkları Servislerinde Yatan ve Eksizyonel Lenf Nodu Biyopsisi Yapılan Hastaların Klinik, Laboratuvar ve Radyolojik Görüntülemelerinin Tanı Süreci ile İlişkili Analizi ve Prediktörlerin Belirlenmesi”"/>
    <m/>
    <m/>
    <m/>
    <m/>
    <m/>
    <m/>
    <m/>
    <m/>
    <m/>
    <m/>
  </r>
  <r>
    <m/>
    <m/>
    <x v="135"/>
    <x v="51"/>
    <m/>
    <s v="“Os Parietale Kalınlığının Bölgesel Değişkenliğinin Analizi ve Klinik Önemi”"/>
    <m/>
    <m/>
    <m/>
    <m/>
    <m/>
    <m/>
    <m/>
    <m/>
    <m/>
    <m/>
  </r>
  <r>
    <m/>
    <m/>
    <x v="135"/>
    <x v="51"/>
    <m/>
    <s v="“Hacettepe Üniversitesi Hastanesinde Solid Tümörlü Kanser Hastalarının Tedaviye Ulaşmak İçin Geçirdikleri Sürenin ve Zaman Toksisitesinin Değerlendirilmesi”"/>
    <m/>
    <m/>
    <m/>
    <m/>
    <m/>
    <m/>
    <m/>
    <m/>
    <m/>
    <m/>
  </r>
  <r>
    <m/>
    <m/>
    <x v="135"/>
    <x v="51"/>
    <m/>
    <s v="“İntihar Davranışı Ayrımı: Ası Vakalarında Proteomik Analiz ve İmmünflöresan İnceleme ile Nörobiyolojik Belirteç Belirlenmesi”"/>
    <m/>
    <m/>
    <m/>
    <m/>
    <m/>
    <m/>
    <m/>
    <m/>
    <m/>
    <m/>
  </r>
  <r>
    <m/>
    <m/>
    <x v="135"/>
    <x v="51"/>
    <m/>
    <s v="“Hücresizleştirilmiş İnsan Amniyotik Membran Temelli Küçük Çaplı Vasküler Greft Geliştirilmesi ve Cerrahi Anastomoz Uygulamalarında Değerlendirilmesi”"/>
    <m/>
    <m/>
    <m/>
    <m/>
    <m/>
    <m/>
    <m/>
    <m/>
    <m/>
    <m/>
  </r>
  <r>
    <m/>
    <m/>
    <x v="135"/>
    <x v="51"/>
    <m/>
    <s v="“Farklı Elektrikli Testere Sistemlerinin Cerrahi Verimlilik, Termal Etki ve Kullanıcı Deneyimi Açısından Kemik Modelinde Karşılaştırılması”"/>
    <m/>
    <m/>
    <m/>
    <m/>
    <m/>
    <m/>
    <m/>
    <m/>
    <m/>
    <m/>
  </r>
  <r>
    <m/>
    <m/>
    <x v="135"/>
    <x v="51"/>
    <m/>
    <s v="“İlaca Dirençli Ekstratemporal Lob Epilepsisi Cerrahisi Geçiren Hastalarda Cerrahi Sonuçlar ve Prognozu Etkileyen Faktörlerin Retrospektif Analizi”"/>
    <m/>
    <m/>
    <m/>
    <m/>
    <m/>
    <m/>
    <m/>
    <m/>
    <m/>
    <m/>
  </r>
  <r>
    <m/>
    <m/>
    <x v="135"/>
    <x v="51"/>
    <m/>
    <s v="“Matematik ve Türkçe Derslerinde Kullanılan Fiziksel Aktivite Tabanlı Aktif ve Pasif Zihin Molalarının Akademik Başarı, Bilişsel İşlevler, Fiziksel Aktivite Düzeyi ve Sınıf İçi Davranışlar Üzerindeki Etkisi”"/>
    <m/>
    <m/>
    <m/>
    <m/>
    <m/>
    <m/>
    <m/>
    <m/>
    <m/>
    <m/>
  </r>
  <r>
    <m/>
    <m/>
    <x v="135"/>
    <x v="51"/>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135"/>
    <x v="51"/>
    <m/>
    <s v="“Komplikasyonların Azaltılmasında Distraksiyon Tabanlı Büyüme Dostu Teknikler İçin Uygun Cerrahi Yaş”"/>
    <m/>
    <m/>
    <m/>
    <m/>
    <m/>
    <m/>
    <m/>
    <m/>
    <m/>
    <m/>
  </r>
  <r>
    <m/>
    <m/>
    <x v="135"/>
    <x v="51"/>
    <m/>
    <s v="“Meningomiyesel ve Diğer Nöromusküler Erken Başlangıçlı Skolyozlarda Büyüyen Rod Tedavisini Tekiben Uygulanan Definitif Cerrahinin Klinik ve Radyolojik Sonuçlarının Karşılaştırılması”"/>
    <m/>
    <m/>
    <m/>
    <m/>
    <m/>
    <m/>
    <m/>
    <m/>
    <m/>
    <m/>
  </r>
  <r>
    <m/>
    <m/>
    <x v="135"/>
    <x v="51"/>
    <m/>
    <s v="“Vulva Kanseri ve HER-2 İlişkisi”"/>
    <m/>
    <m/>
    <m/>
    <m/>
    <m/>
    <m/>
    <m/>
    <m/>
    <m/>
    <m/>
  </r>
  <r>
    <m/>
    <m/>
    <x v="135"/>
    <x v="51"/>
    <m/>
    <s v="“Artan Renal Klirensi Olan Hastalarda Meropenem Kan Düzeylerinin Retrospektif Olarak Değerlendirilmesi”"/>
    <m/>
    <m/>
    <m/>
    <m/>
    <m/>
    <m/>
    <m/>
    <m/>
    <m/>
    <m/>
  </r>
  <r>
    <m/>
    <m/>
    <x v="135"/>
    <x v="51"/>
    <m/>
    <s v="“Kanserli Hastalarda Serum Albumin-Kreatin Oranının Sağkalım ve Progresyonsu Sağkalım ile İlişkisinin Araştırılması”"/>
    <m/>
    <m/>
    <m/>
    <m/>
    <m/>
    <m/>
    <m/>
    <m/>
    <m/>
    <m/>
  </r>
  <r>
    <m/>
    <m/>
    <x v="135"/>
    <x v="51"/>
    <m/>
    <s v="“Biyopsi ile Tanımlanmış Lakrimal Bez Patolojilerine Sahip Hastaların Demografik ve Klinik Özelliklerinin Belirlenmesi”"/>
    <m/>
    <m/>
    <m/>
    <m/>
    <m/>
    <m/>
    <m/>
    <m/>
    <m/>
    <m/>
  </r>
  <r>
    <m/>
    <m/>
    <x v="135"/>
    <x v="51"/>
    <m/>
    <s v="“REM Uyku Davranış Bozukluğunun Prodromal, İdiopatik ve Sekonder Alt Tiplerinde Klinik, Polisomnografik Özellikler ve Tedavi Yanıtlarının Karşılaştırılması”"/>
    <m/>
    <m/>
    <m/>
    <m/>
    <m/>
    <m/>
    <m/>
    <m/>
    <m/>
    <m/>
  </r>
  <r>
    <m/>
    <m/>
    <x v="135"/>
    <x v="51"/>
    <m/>
    <s v="“Hipokampal Sklerozlu Mezial Temporal Lob Epilepsisinde Skalp EEG’de İktal Yayılım Özelliklerinin Cerrahi Sonrası Prognozu Öngörmede Rolü: Retrospektif Bir Analiz”"/>
    <m/>
    <m/>
    <m/>
    <m/>
    <m/>
    <m/>
    <m/>
    <m/>
    <m/>
    <m/>
  </r>
  <r>
    <m/>
    <m/>
    <x v="135"/>
    <x v="51"/>
    <m/>
    <s v="“Kronik Çok İlaca Dirençli Pseudomonas Aeruginosa Enfeksiyonu Olan Kistik Fibrozisli Çocuk Hastalarımızın Retrospektif Değerlendirilmesi"/>
    <m/>
    <m/>
    <m/>
    <m/>
    <m/>
    <m/>
    <m/>
    <m/>
    <m/>
    <m/>
  </r>
  <r>
    <m/>
    <m/>
    <x v="135"/>
    <x v="51"/>
    <m/>
    <s v="“Hemoptizi Sebebiyle Fleksible Fiberoptik Bronkoskopi Yaptiğimiz Çocuk Hastalarımızın Retrospektif Değerlendirilmesi”"/>
    <m/>
    <m/>
    <m/>
    <m/>
    <m/>
    <m/>
    <m/>
    <m/>
    <m/>
    <m/>
  </r>
  <r>
    <m/>
    <m/>
    <x v="135"/>
    <x v="51"/>
    <m/>
    <s v="“Pediyatrik Orbital Rabdomyosarkomun Görüntüleme Bulguları”"/>
    <m/>
    <m/>
    <m/>
    <m/>
    <m/>
    <m/>
    <m/>
    <m/>
    <m/>
    <m/>
  </r>
  <r>
    <m/>
    <m/>
    <x v="135"/>
    <x v="51"/>
    <m/>
    <s v="“Sanal Cerrahi Planlamanın Kişiye Özel Plak ve Geleneksel Miniplak Fiksasyonu Yapılmış Hastalardaki Doğruluğunun İncelenmesi”"/>
    <m/>
    <m/>
    <m/>
    <m/>
    <m/>
    <m/>
    <m/>
    <m/>
    <m/>
    <m/>
  </r>
  <r>
    <m/>
    <m/>
    <x v="135"/>
    <x v="51"/>
    <m/>
    <s v="“.Huzurevinde Yaşayan Yaşlı Bireylerin Ağız Sağlığı Durumu ile Bakımevi Personelinin Ağız Sağlığına Yönelik Bilgi Düzeyi Arasındaki İlişkinin Değerlendirilmesi.”"/>
    <m/>
    <m/>
    <m/>
    <m/>
    <m/>
    <m/>
    <m/>
    <m/>
    <m/>
    <m/>
  </r>
  <r>
    <m/>
    <m/>
    <x v="135"/>
    <x v="51"/>
    <m/>
    <s v="“İdiyopatik Jeneralize Epilepside Klinik ve Tanısal Özelliklerin Saptanması ve Tedavi Sonuçlarıyla İlişkisinin Retrospektif Olarak Değerlendirilmesi”"/>
    <m/>
    <m/>
    <m/>
    <m/>
    <m/>
    <m/>
    <m/>
    <m/>
    <m/>
    <m/>
  </r>
  <r>
    <m/>
    <m/>
    <x v="135"/>
    <x v="51"/>
    <m/>
    <s v="“Çevresel Sensör Reseptör Uyarımı ile Koşullandırılmış İnflamasyon Baskılayıcı”"/>
    <m/>
    <m/>
    <m/>
    <m/>
    <m/>
    <m/>
    <m/>
    <m/>
    <m/>
    <m/>
  </r>
  <r>
    <m/>
    <m/>
    <x v="135"/>
    <x v="51"/>
    <m/>
    <s v="“Evre 3 ve 4 Kronik Böbrek Hastalarında Hastalık Farkındalık Ölçeği Geliştirilmesi: Ekolojik Model Temelli Bir Yaklaşım”"/>
    <m/>
    <m/>
    <m/>
    <m/>
    <m/>
    <m/>
    <m/>
    <m/>
    <m/>
    <m/>
  </r>
  <r>
    <m/>
    <m/>
    <x v="135"/>
    <x v="51"/>
    <m/>
    <s v="“Kolorektal Kanserli Hastaların Klinopatolojik Özellikleri”"/>
    <m/>
    <m/>
    <m/>
    <m/>
    <m/>
    <m/>
    <m/>
    <m/>
    <m/>
    <m/>
  </r>
  <r>
    <m/>
    <m/>
    <x v="135"/>
    <x v="51"/>
    <m/>
    <s v="“Kronik Granülomatoz Hastalık Tanılı Çocukların Akciğer Bulgularının Değerlendirilmesi”"/>
    <m/>
    <m/>
    <m/>
    <m/>
    <m/>
    <m/>
    <m/>
    <m/>
    <m/>
    <m/>
  </r>
  <r>
    <m/>
    <m/>
    <x v="135"/>
    <x v="51"/>
    <m/>
    <s v="“Diyabet Tarama Test İstemlerinin Kanıta Dayalı Eğitim Müdahaleleri ile Rasyonel Kullanımının Arttırılması: Kalite Geliştirme Çalışması”"/>
    <m/>
    <m/>
    <m/>
    <m/>
    <m/>
    <m/>
    <m/>
    <m/>
    <m/>
    <m/>
  </r>
  <r>
    <m/>
    <m/>
    <x v="135"/>
    <x v="51"/>
    <m/>
    <s v="“Eczacılıkta Uzmanlık Sınavı Başarısı Açısından Yapay Zeka Tabanlı Büyük Dil Modellerinin Karşılaştırması”"/>
    <m/>
    <m/>
    <m/>
    <m/>
    <m/>
    <m/>
    <m/>
    <m/>
    <m/>
    <m/>
  </r>
  <r>
    <m/>
    <m/>
    <x v="135"/>
    <x v="51"/>
    <m/>
    <s v="“HIV ile Yaşayan Kişilerde HIV Viral Yükün ve İmmünolojik Parametrelerin Quantiferon-TB Gold Plus Testi Sonucuna Etkisi”"/>
    <m/>
    <m/>
    <m/>
    <m/>
    <m/>
    <m/>
    <m/>
    <m/>
    <m/>
    <m/>
  </r>
  <r>
    <m/>
    <m/>
    <x v="135"/>
    <x v="51"/>
    <m/>
    <s v="“40 Yaş ve Üstü HIV Pozitif Bireylerde Kırılganlık Riskinin Tahmini ve Dijital Risk Değerlendirmede Web R Shiny Uygulaması”"/>
    <m/>
    <m/>
    <m/>
    <m/>
    <m/>
    <m/>
    <m/>
    <m/>
    <m/>
    <m/>
  </r>
  <r>
    <m/>
    <m/>
    <x v="135"/>
    <x v="51"/>
    <m/>
    <s v="“İmmunoglobulin-E Aracılı Besin Alerjisi Tanılı Hastalarda Besin Yükleme Testinde Pozitif Reaksiyon Gelişen Eşik Değeri Öngörmek Amacıyla Kullanılabilecek Faktörlerin Belirlenmesi”"/>
    <m/>
    <m/>
    <m/>
    <m/>
    <m/>
    <m/>
    <m/>
    <m/>
    <m/>
    <m/>
  </r>
  <r>
    <m/>
    <m/>
    <x v="135"/>
    <x v="51"/>
    <m/>
    <s v="“Balık İlişkili Besin Proteininin İndüklediği Enterokolit Sendromunda İlk Provakasyon Zamanının Belirlenmesi”"/>
    <m/>
    <m/>
    <m/>
    <m/>
    <m/>
    <m/>
    <m/>
    <m/>
    <m/>
    <m/>
  </r>
  <r>
    <m/>
    <m/>
    <x v="135"/>
    <x v="51"/>
    <m/>
    <s v="“L-Sitrülin Malat Takviyesinin Dövüş Sporcularında Aerobik Egzersiz Performansı Üzerine Etkisi”"/>
    <m/>
    <m/>
    <m/>
    <m/>
    <m/>
    <m/>
    <m/>
    <m/>
    <m/>
    <m/>
  </r>
  <r>
    <m/>
    <m/>
    <x v="135"/>
    <x v="51"/>
    <m/>
    <s v="“Fibrodisplazi Ossifikans Progressiva Tanılı Hastaların Klinik ve Moleküler Özelliklerinin Gözden Geçirilmesi”"/>
    <m/>
    <m/>
    <m/>
    <m/>
    <m/>
    <m/>
    <m/>
    <m/>
    <m/>
    <m/>
  </r>
  <r>
    <m/>
    <m/>
    <x v="135"/>
    <x v="51"/>
    <m/>
    <s v="“İmmün Kontrol Noktası İnhibitörü Alan Kanser Hastalarında Vücut Kompozisyonu, Psikososyal Faktörler ve İlaç İlişkili Sorunların Klinik Seyirle İlişkisinin Değerlendirilmesi”"/>
    <m/>
    <m/>
    <m/>
    <m/>
    <m/>
    <m/>
    <m/>
    <m/>
    <m/>
    <m/>
  </r>
  <r>
    <m/>
    <m/>
    <x v="135"/>
    <x v="51"/>
    <m/>
    <s v="“Oral Bakteri Kaynaklı Ekstraselüler Veziküllerin İnsan Mikroçevre Hücreleri Üzerindeki Etkilerinin Araştırılması”"/>
    <m/>
    <m/>
    <m/>
    <m/>
    <m/>
    <m/>
    <m/>
    <m/>
    <m/>
    <m/>
  </r>
  <r>
    <m/>
    <m/>
    <x v="135"/>
    <x v="51"/>
    <m/>
    <s v="“Amyotrofik Lateral Skleroz Hastalarında trapez Kasına Uygulanan Repetetif Sinir Stimülasyonunun Tanısal Değerlendirilmesi: Kontrollü Prospektif Bir Çalışma”"/>
    <m/>
    <m/>
    <m/>
    <m/>
    <m/>
    <m/>
    <m/>
    <m/>
    <m/>
    <m/>
  </r>
  <r>
    <m/>
    <m/>
    <x v="135"/>
    <x v="51"/>
    <m/>
    <s v="“SOD1 Mutasyonu Taşıyan Amyotrofik Lateral Skleroz Hastalarında Kalp Hızı Değişkenliği ve Sempatik Deri Yanıtı ile Otonomik Disfonksiyonun Değerlendirilmesi”"/>
    <m/>
    <m/>
    <m/>
    <m/>
    <m/>
    <m/>
    <m/>
    <m/>
    <m/>
    <m/>
  </r>
  <r>
    <m/>
    <m/>
    <x v="135"/>
    <x v="51"/>
    <m/>
    <s v="“Susam Alerjisi Olan Çocuklarda Oral İmmünoterapi ve Besinden Kaçınma Yaklaşımlarının Yaşam Kalitesi Üzerine Etkileri”"/>
    <m/>
    <m/>
    <m/>
    <m/>
    <m/>
    <m/>
    <m/>
    <m/>
    <m/>
    <m/>
  </r>
  <r>
    <m/>
    <m/>
    <x v="135"/>
    <x v="51"/>
    <m/>
    <s v="“İdrar Kaçıran Kadınlarda Yapay Zeka Yardımlı Görüntüleme Analizi ile Tanı Süreçlerinin Geliştirilmesi”"/>
    <m/>
    <m/>
    <m/>
    <m/>
    <m/>
    <m/>
    <m/>
    <m/>
    <m/>
    <m/>
  </r>
  <r>
    <m/>
    <m/>
    <x v="135"/>
    <x v="51"/>
    <m/>
    <s v="“Astım Tanılı Çocuklarda Tedavi Edilebilir Özelliklerin İncelenmesi”"/>
    <m/>
    <m/>
    <m/>
    <m/>
    <m/>
    <m/>
    <m/>
    <m/>
    <m/>
    <m/>
  </r>
  <r>
    <m/>
    <m/>
    <x v="135"/>
    <x v="51"/>
    <m/>
    <s v="“Sedanter Davranışın Farklı Şiddette Egzersizlerle Kesintiye Uğratılmasının Postprandiyal Kardiyometabolik Etkileri”"/>
    <m/>
    <m/>
    <m/>
    <m/>
    <m/>
    <m/>
    <m/>
    <m/>
    <m/>
    <m/>
  </r>
  <r>
    <m/>
    <m/>
    <x v="135"/>
    <x v="51"/>
    <m/>
    <s v="“Polikistik Over Sendromu Tanılı Hastaların Endokrinolojik İzlemi ve Veri Tabanı Oluşturulması”"/>
    <m/>
    <m/>
    <m/>
    <m/>
    <m/>
    <m/>
    <m/>
    <m/>
    <m/>
    <m/>
  </r>
  <r>
    <m/>
    <m/>
    <x v="135"/>
    <x v="51"/>
    <m/>
    <s v="&quot;Nörofibromatozis Tip1 İlişkili Pleksiform Nörofibromlarda Selümetinib Kullanımı: Hacettepe Deneyimi”"/>
    <m/>
    <m/>
    <m/>
    <m/>
    <m/>
    <m/>
    <m/>
    <m/>
    <m/>
    <m/>
  </r>
  <r>
    <m/>
    <m/>
    <x v="135"/>
    <x v="51"/>
    <m/>
    <s v="“Proksimal Tibia İntraartiküler Kırıklarının Retrospektif Analizi ve Tedavi Sonuçları”"/>
    <m/>
    <m/>
    <m/>
    <m/>
    <m/>
    <m/>
    <m/>
    <m/>
    <m/>
    <m/>
  </r>
  <r>
    <m/>
    <m/>
    <x v="135"/>
    <x v="51"/>
    <m/>
    <s v="“Graves Hastalarında Beslenme Alışkanlıkları ve Vücut Kompozisyonunun İncelenmesi”"/>
    <m/>
    <m/>
    <m/>
    <m/>
    <m/>
    <m/>
    <m/>
    <m/>
    <m/>
    <m/>
  </r>
  <r>
    <m/>
    <m/>
    <x v="135"/>
    <x v="51"/>
    <m/>
    <s v="“Sekonder İmmün Yetmezlik İçin Farkındalığın Değerlendirilmesi: Pediatri ve İmmünoloji Perspektifi”"/>
    <m/>
    <m/>
    <m/>
    <m/>
    <m/>
    <m/>
    <m/>
    <m/>
    <m/>
    <m/>
  </r>
  <r>
    <m/>
    <m/>
    <x v="135"/>
    <x v="51"/>
    <m/>
    <s v="“ALPACA Tanısı İle İzlenen Hastaların Değerlendirilmesi”"/>
    <m/>
    <m/>
    <m/>
    <m/>
    <m/>
    <m/>
    <m/>
    <m/>
    <m/>
    <m/>
  </r>
  <r>
    <m/>
    <m/>
    <x v="135"/>
    <x v="51"/>
    <m/>
    <s v="“Şeffaf Plak Kompozit Ataşmanlarının Renk Stabilitesi ve Diş Rengi Üzerine Etkileri”"/>
    <m/>
    <m/>
    <m/>
    <m/>
    <m/>
    <m/>
    <m/>
    <m/>
    <m/>
    <m/>
  </r>
  <r>
    <m/>
    <m/>
    <x v="135"/>
    <x v="51"/>
    <m/>
    <s v="“Hacettepe Üniversitesi Hastanesi Ameliyathanesinde Çalışan Cerrahlarda Kas İskelet Sistemi Problemlerinin Tespiti&quot;"/>
    <m/>
    <m/>
    <m/>
    <m/>
    <m/>
    <m/>
    <m/>
    <m/>
    <m/>
    <m/>
  </r>
  <r>
    <m/>
    <m/>
    <x v="135"/>
    <x v="51"/>
    <m/>
    <s v="“Eozinofilik Gastrointestinal Hastalık Tanısı Alan Primer İmmün Yetmezlikli Hastaların Klinik ve Laboratuvar Özelliklerinin Değerlendirilmesi”"/>
    <m/>
    <m/>
    <m/>
    <m/>
    <m/>
    <m/>
    <m/>
    <m/>
    <m/>
    <m/>
  </r>
  <r>
    <m/>
    <m/>
    <x v="135"/>
    <x v="51"/>
    <m/>
    <s v="“Süt Azı Dişlerinde Fizyolojik ve Patolojik Rezorpsiyonun Derin Öğrenme ile Otomatik Sınıflandırılması”"/>
    <m/>
    <m/>
    <m/>
    <m/>
    <m/>
    <m/>
    <m/>
    <m/>
    <m/>
    <m/>
  </r>
  <r>
    <m/>
    <m/>
    <x v="135"/>
    <x v="51"/>
    <m/>
    <s v="“Tip 2 Diyabet Hastalarında Karar Verme Çatışması, Kronik Hastalık Bakım Değerlendirmesi, Diyabet Distresi ve Tedaviye Uyum Arasındaki İlişkilerin Değrlendirilmesi”"/>
    <m/>
    <m/>
    <m/>
    <m/>
    <m/>
    <m/>
    <m/>
    <m/>
    <m/>
    <m/>
  </r>
  <r>
    <m/>
    <m/>
    <x v="135"/>
    <x v="51"/>
    <m/>
    <s v="“LeFort 1 Cerrahisinde Maksillaya Yaptırılan Çeşitli Hareketlerin Dudak ve Burun Estetik Bölgelerindeki Etkilerinin İncelenmesi”"/>
    <m/>
    <m/>
    <m/>
    <m/>
    <m/>
    <m/>
    <m/>
    <m/>
    <m/>
    <m/>
  </r>
  <r>
    <m/>
    <m/>
    <x v="135"/>
    <x v="51"/>
    <m/>
    <s v="“Primer İmmün Yetmezlik Tanısı ile İzlenen Hastalarda Karaciğerde Gelişebilen Fokal Nodüler Hiperplazi Lezyonlarmin Değerlendirilmesi ”"/>
    <m/>
    <m/>
    <m/>
    <m/>
    <m/>
    <m/>
    <m/>
    <m/>
    <m/>
    <m/>
  </r>
  <r>
    <m/>
    <m/>
    <x v="135"/>
    <x v="51"/>
    <m/>
    <s v="“Kronik Tromboembolik Pulmoner Hipertansiyonun Tanisonda ve Tedavi Yanıtı Değerlendirmesinde Akciğer Ventilasyon/Perfüzyon Sintigrafisinin Prognostik Gücü”"/>
    <m/>
    <m/>
    <m/>
    <m/>
    <m/>
    <m/>
    <m/>
    <m/>
    <m/>
    <m/>
  </r>
  <r>
    <m/>
    <m/>
    <x v="135"/>
    <x v="51"/>
    <m/>
    <s v="“Axial ve Koronal Düzlemde Koklear Apertür Ölçümlerinin İnternal Akustik Kanal ve Koklear Sinir ile İlişkisi”"/>
    <m/>
    <m/>
    <m/>
    <m/>
    <m/>
    <m/>
    <m/>
    <m/>
    <m/>
    <m/>
  </r>
  <r>
    <m/>
    <m/>
    <x v="135"/>
    <x v="51"/>
    <m/>
    <s v="“Sigara Kullanan Erişkinlerin Sigaraya Ayırdıkları Bütçeye Dair Farkındalıklarının Sigara Bırakma Motivasyonlarıyla İlişkisi”"/>
    <m/>
    <m/>
    <m/>
    <m/>
    <m/>
    <m/>
    <m/>
    <m/>
    <m/>
    <m/>
  </r>
  <r>
    <m/>
    <m/>
    <x v="135"/>
    <x v="51"/>
    <m/>
    <s v="“Çene Kemiklerinde Multipl Miyeloma Bağlı Mikroyapısal Bozulmaların Kantitatif Analizi: Fraktal, Lakünerite ve Entropi Parametrelerinin Karşılaştırmalı İncelemesi”"/>
    <m/>
    <m/>
    <m/>
    <m/>
    <m/>
    <m/>
    <m/>
    <m/>
    <m/>
    <m/>
  </r>
  <r>
    <m/>
    <m/>
    <x v="135"/>
    <x v="51"/>
    <m/>
    <s v="&quot;Ailesel Akdeniz Ateşi’nde MEFV Genotipine Göre Klinik Özelliklerin Karşılaştırılması: Homozigot, Heterozigot ve Klinik Önemi Bilinmeyen Varyant Taşıyıcıları&quot;"/>
    <m/>
    <m/>
    <m/>
    <m/>
    <m/>
    <m/>
    <m/>
    <m/>
    <m/>
    <m/>
  </r>
  <r>
    <m/>
    <m/>
    <x v="135"/>
    <x v="51"/>
    <m/>
    <s v="&quot;Çocukluk Çağı Kronik Non-Bakteriyel Osteomiyelit Hastalarında Tedaviye Yanıtlar ve Relapsı Öngören Faktörler&quot;"/>
    <m/>
    <m/>
    <m/>
    <m/>
    <m/>
    <m/>
    <m/>
    <m/>
    <m/>
    <m/>
  </r>
  <r>
    <m/>
    <m/>
    <x v="135"/>
    <x v="51"/>
    <m/>
    <s v="“Tablet Tabanlı Mikroperimetri ile Yaşa Bağlı Makula Dejenerasyonunda Görme Keskinliği Değişiminin Ev Ortamında Saptanması”"/>
    <m/>
    <m/>
    <m/>
    <m/>
    <m/>
    <m/>
    <m/>
    <m/>
    <m/>
    <m/>
  </r>
  <r>
    <m/>
    <m/>
    <x v="135"/>
    <x v="51"/>
    <m/>
    <s v="“Humerus Şaft Kırıklarının Retrospektif Analizi ve Tedavi Sonuçları”"/>
    <m/>
    <m/>
    <m/>
    <m/>
    <m/>
    <m/>
    <m/>
    <m/>
    <m/>
    <m/>
  </r>
  <r>
    <m/>
    <m/>
    <x v="135"/>
    <x v="51"/>
    <m/>
    <s v="“Mitokondriyal Hastalık Tanılı Hastaların Semptom ve Bulgularının Mitokondriyal Hastalık Tanı Kriterleri ile Değerlendirilmesi”"/>
    <m/>
    <m/>
    <m/>
    <m/>
    <m/>
    <m/>
    <m/>
    <m/>
    <m/>
    <m/>
  </r>
  <r>
    <m/>
    <m/>
    <x v="135"/>
    <x v="51"/>
    <m/>
    <s v="“Kırım-Kongo Kanamalı Ateşinin Moleküler İmzalarının Ortaya Konması: mRNA, lncRNA, sRNA ve circRNA Profilleri Üzerine Transkriptomik ve Biyoinformatik Yaklaşım”"/>
    <m/>
    <m/>
    <m/>
    <m/>
    <m/>
    <m/>
    <m/>
    <m/>
    <m/>
    <m/>
  </r>
  <r>
    <m/>
    <m/>
    <x v="135"/>
    <x v="51"/>
    <m/>
    <s v="“Konjenital Kalp Hastalığı Nedeniyle Opere Edilen Yenidoğanlarda Mortaliteyi Etkileyen Klinik Faktörler”"/>
    <m/>
    <m/>
    <m/>
    <m/>
    <m/>
    <m/>
    <m/>
    <m/>
    <m/>
    <m/>
  </r>
  <r>
    <m/>
    <m/>
    <x v="135"/>
    <x v="51"/>
    <m/>
    <s v="“Pediatrik Cerrahi Hastalarında Postoperatif Ağrı Yönetimi Başarısının Değerlendirilmesi”"/>
    <m/>
    <m/>
    <m/>
    <m/>
    <m/>
    <m/>
    <m/>
    <m/>
    <m/>
    <m/>
  </r>
  <r>
    <m/>
    <m/>
    <x v="135"/>
    <x v="51"/>
    <m/>
    <s v="“Bilateral Sagital Split Ramus Osteotomisi ve Genioplasti ile Mandibulaya Yaptırılan Çeşitli Hareketlerin Dudak, Çene Ucu ve Angulus Estetik Bölgelerindeki Etkilerinin İncelenmesi”"/>
    <m/>
    <m/>
    <m/>
    <m/>
    <m/>
    <m/>
    <m/>
    <m/>
    <m/>
    <m/>
  </r>
  <r>
    <m/>
    <m/>
    <x v="135"/>
    <x v="51"/>
    <m/>
    <s v="“Üst Ekstremitede Ön Kondisyonlanma ile “Aktivasyon Sonrası Performans Artışı” mümkün mü?”"/>
    <m/>
    <m/>
    <m/>
    <m/>
    <m/>
    <m/>
    <m/>
    <m/>
    <m/>
    <m/>
  </r>
  <r>
    <m/>
    <m/>
    <x v="135"/>
    <x v="51"/>
    <m/>
    <s v="“Tüm Beyin Radyoterapisi Sırasında Hipokampüsün Dentat Girus ve Cornu Ammonis Bölgelerinin Korunduğu Hastalarda Nörokognitif Fonksiyon Durumunun Değerlendirilmesi”"/>
    <m/>
    <m/>
    <m/>
    <m/>
    <m/>
    <m/>
    <m/>
    <m/>
    <m/>
    <m/>
  </r>
  <r>
    <m/>
    <m/>
    <x v="135"/>
    <x v="51"/>
    <m/>
    <s v="“Tek Taraflı Dudak-Damak Yarıklı Dental Modellerde Farklı Ağız İçi Tarayıcıların Karşılaştırılması: İn-vitro Çalışma”"/>
    <m/>
    <m/>
    <m/>
    <m/>
    <m/>
    <m/>
    <m/>
    <m/>
    <m/>
    <m/>
  </r>
  <r>
    <m/>
    <m/>
    <x v="135"/>
    <x v="51"/>
    <m/>
    <s v="“Luminal A Meme Kanseri: Genç Yaşa Özgü Kötü Prognozun Moleküler Temelleri”"/>
    <m/>
    <m/>
    <m/>
    <m/>
    <m/>
    <m/>
    <m/>
    <m/>
    <m/>
    <m/>
  </r>
  <r>
    <m/>
    <m/>
    <x v="135"/>
    <x v="51"/>
    <m/>
    <s v="“Sol Dal Alan Uyarım Metodu ile İmplante Edilen Kardiyak Cihazların Hastalar Üzerideki Takip Verilerinin İncelenmesi ve Konvansiyonel Metodoloji ile Karşılaştırılması”"/>
    <m/>
    <m/>
    <m/>
    <m/>
    <m/>
    <m/>
    <m/>
    <m/>
    <m/>
    <m/>
  </r>
  <r>
    <m/>
    <m/>
    <x v="135"/>
    <x v="51"/>
    <m/>
    <s v="“Periferik Fasiyal Paralizili Hastalarda Kulak MRG Bulguları ve 3D-FLAIR Sekansın Tanıya Katkısının Araştırılması”"/>
    <m/>
    <m/>
    <m/>
    <m/>
    <m/>
    <m/>
    <m/>
    <m/>
    <m/>
    <m/>
  </r>
  <r>
    <m/>
    <m/>
    <x v="135"/>
    <x v="51"/>
    <m/>
    <s v="“İleri Derecede Kemik Kaybı Olan Lezyonlarda Oral Protozoa Varlığının Değerlendirilmesi”"/>
    <m/>
    <m/>
    <m/>
    <m/>
    <m/>
    <m/>
    <m/>
    <m/>
    <m/>
    <m/>
  </r>
  <r>
    <m/>
    <m/>
    <x v="135"/>
    <x v="51"/>
    <m/>
    <s v="“Pemfigus Vulgaris Hastalarında Rituksimab Tedavisinden Sonrası Relaps İle İlişkili Laboratuar ve Klinik Parametrelerin Araştırılması”"/>
    <m/>
    <m/>
    <m/>
    <m/>
    <m/>
    <m/>
    <m/>
    <m/>
    <m/>
    <m/>
  </r>
  <r>
    <m/>
    <m/>
    <x v="135"/>
    <x v="51"/>
    <m/>
    <s v="“PAX1 Gen Mutasyonunun Timus Gelişimi ve Fonksiyonu Üzerinde Etkilerinin Araştırılması”"/>
    <m/>
    <m/>
    <m/>
    <m/>
    <m/>
    <m/>
    <m/>
    <m/>
    <m/>
    <m/>
  </r>
  <r>
    <m/>
    <m/>
    <x v="135"/>
    <x v="51"/>
    <m/>
    <s v="“Mikozis Fungoides ve Ayırıcı Tanısına Giren Lezyonlarda TRPS1, RBC1, TOX ve PDCD1 Ekspresyonlarının Karşılaştırmalı Değerlendirilmesi: Tanısal Algoritma Geliştirmeye Yönelik Klinikopatolojik Yaklaşım”"/>
    <m/>
    <m/>
    <m/>
    <m/>
    <m/>
    <m/>
    <m/>
    <m/>
    <m/>
    <m/>
  </r>
  <r>
    <m/>
    <m/>
    <x v="135"/>
    <x v="51"/>
    <m/>
    <s v="“Başlangıç Yaşına Göre Atopik Dermatit Olgularının Klinik ve Laboratuvar Parametrelerinin Karşılaştırılması”"/>
    <m/>
    <m/>
    <m/>
    <m/>
    <m/>
    <m/>
    <m/>
    <m/>
    <m/>
    <m/>
  </r>
  <r>
    <m/>
    <m/>
    <x v="135"/>
    <x v="51"/>
    <m/>
    <s v="“Metastatik Kolorektal, Over ve Serviks Hastalarında Renal Sonlanımların Değerlendirilmesi”"/>
    <m/>
    <m/>
    <m/>
    <m/>
    <m/>
    <m/>
    <m/>
    <m/>
    <m/>
    <m/>
  </r>
  <r>
    <m/>
    <m/>
    <x v="135"/>
    <x v="51"/>
    <m/>
    <s v="“Pediyatrik Sarkomlarda Metabolik ve Radyomik Parametreler ile Prognostik Modelleme”"/>
    <m/>
    <m/>
    <m/>
    <m/>
    <m/>
    <m/>
    <m/>
    <m/>
    <m/>
    <m/>
  </r>
  <r>
    <m/>
    <m/>
    <x v="135"/>
    <x v="51"/>
    <m/>
    <s v="“Paraservikal Blok Uygulamasının Histeroskopi Sonrası Postoperatif Ağrı Üzerine Etkisi: Anket Çalışması”"/>
    <m/>
    <m/>
    <m/>
    <m/>
    <m/>
    <m/>
    <m/>
    <m/>
    <m/>
    <m/>
  </r>
  <r>
    <m/>
    <m/>
    <x v="135"/>
    <x v="51"/>
    <m/>
    <s v="“Jinekolojik Onkoloji Konsey Kararlarının Yapay Zekâ Destekli Kararlarla Karşılaştırılması: Over, Endometrium ve Serviks Kanseri Üzerine Retrospektif Bir Analiz”"/>
    <m/>
    <m/>
    <m/>
    <m/>
    <m/>
    <m/>
    <m/>
    <m/>
    <m/>
    <m/>
  </r>
  <r>
    <m/>
    <m/>
    <x v="135"/>
    <x v="51"/>
    <m/>
    <s v="“Nazal Dermoid Kistlere Multidisipliner Yaklaşım: Konjenital Vakaların Klinik, Görüntüleme ve Cerrahi Bulguları Üzerine Tek Merkezli Bir Analiz ”"/>
    <m/>
    <m/>
    <m/>
    <m/>
    <m/>
    <m/>
    <m/>
    <m/>
    <m/>
    <m/>
  </r>
  <r>
    <m/>
    <m/>
    <x v="135"/>
    <x v="51"/>
    <m/>
    <s v="''Besin Alerjili Çocuklarda Kazara Alerjen Maruziyeti: Sıklığı, Risk Faktörleri ve Yaşam Kalitesi Üzerindeki Etkileri''"/>
    <m/>
    <m/>
    <m/>
    <m/>
    <m/>
    <m/>
    <m/>
    <m/>
    <m/>
    <m/>
  </r>
  <r>
    <m/>
    <m/>
    <x v="135"/>
    <x v="51"/>
    <m/>
    <s v="“Manyetik Rezonans Görüntüleme ile Belirlenen Pankreas Yağlanmasının ERCP Sonrası Komplikasyonlarla İlişkisinin Değerlendirilmesi”"/>
    <m/>
    <m/>
    <m/>
    <m/>
    <m/>
    <m/>
    <m/>
    <m/>
    <m/>
    <m/>
  </r>
  <r>
    <m/>
    <m/>
    <x v="135"/>
    <x v="51"/>
    <m/>
    <s v="“Triküspid Kapak Cerrahisi Uygulanmış Hastalarda Bradikardi Tedavisinde Kalıcı Kalp Pilinin Koroner Sinüs Yoluyla Uygulanması”"/>
    <m/>
    <m/>
    <m/>
    <m/>
    <m/>
    <m/>
    <m/>
    <m/>
    <m/>
    <m/>
  </r>
  <r>
    <m/>
    <m/>
    <x v="135"/>
    <x v="51"/>
    <m/>
    <s v="“Kardiyak Bilgisayarlı Tomografi Anjiyografi Bulguları ile Koroner Arter Hastalığının Seyri ve Stent İçi Restenoz Arasındaki İlişkinin Degerlendirilmesi”"/>
    <m/>
    <m/>
    <m/>
    <m/>
    <m/>
    <m/>
    <m/>
    <m/>
    <m/>
    <m/>
  </r>
  <r>
    <m/>
    <m/>
    <x v="135"/>
    <x v="51"/>
    <m/>
    <s v="“Türkiye’de 2022–2024 Yılları Arasında Gerçekleştirilen Aile Hekimliği Uyum Eğitimlerinin Etkililiğinin Değerlendirilmesi: Ön Test ve Son Test Sonuçları Üzerinden Bir Analiz”"/>
    <m/>
    <m/>
    <m/>
    <m/>
    <m/>
    <m/>
    <m/>
    <m/>
    <m/>
    <m/>
  </r>
  <r>
    <m/>
    <m/>
    <x v="135"/>
    <x v="51"/>
    <m/>
    <s v="“Yüksek Enerjili Patlayıcılara Bağlı Gelişen İşitme Kayıplarının Adli Tıbbi Değerlendirilmesi”"/>
    <m/>
    <m/>
    <m/>
    <m/>
    <m/>
    <m/>
    <m/>
    <m/>
    <m/>
    <m/>
  </r>
  <r>
    <m/>
    <m/>
    <x v="135"/>
    <x v="51"/>
    <m/>
    <s v="“Travma İlişkili Venöz Tromboembolizm Olgularının Medikolegal Açıdan İncelenmesi”"/>
    <m/>
    <m/>
    <m/>
    <m/>
    <m/>
    <m/>
    <m/>
    <m/>
    <m/>
    <m/>
  </r>
  <r>
    <m/>
    <m/>
    <x v="135"/>
    <x v="51"/>
    <m/>
    <s v="“Santral Sinir Sistemi Lenfomalarında Sentinel Lezyonların Görüntüleme Bulguları ve Tanısal Önemi”"/>
    <m/>
    <m/>
    <m/>
    <m/>
    <m/>
    <m/>
    <m/>
    <m/>
    <m/>
    <m/>
  </r>
  <r>
    <m/>
    <m/>
    <x v="135"/>
    <x v="51"/>
    <m/>
    <s v="&quot;Diş Hekimliği Lisans Eğitiminde Total Protez Konulu Açık Uçlu Sınav Sorularının Büyük Dil Modelleri ve Uzman Puanlamaları ile Karşılaştırılması.”"/>
    <m/>
    <m/>
    <m/>
    <m/>
    <m/>
    <m/>
    <m/>
    <m/>
    <m/>
    <m/>
  </r>
  <r>
    <m/>
    <m/>
    <x v="135"/>
    <x v="51"/>
    <m/>
    <s v="“Gastrointestinal Sistem İlişkili Ani Beklenmedik Ölümler: Retrospektif Otopsi Çalışması”"/>
    <m/>
    <m/>
    <m/>
    <m/>
    <m/>
    <m/>
    <m/>
    <m/>
    <m/>
    <m/>
  </r>
  <r>
    <m/>
    <m/>
    <x v="135"/>
    <x v="51"/>
    <m/>
    <s v="“Çocukluk ve Ergenlik Döneminde Gerçekleşen Doğal Olmayan Ölüm Olgularının Değerlendirilmesi”"/>
    <m/>
    <m/>
    <m/>
    <m/>
    <m/>
    <m/>
    <m/>
    <m/>
    <m/>
    <m/>
  </r>
  <r>
    <m/>
    <m/>
    <x v="135"/>
    <x v="51"/>
    <m/>
    <s v="“El Osteoartriti ve İnflamatuar Artritlerde Transarteriyel Periartiküler Embolizasyon: Teknik Uygulanabilirlik ve Klinik Sonuçları”"/>
    <m/>
    <m/>
    <m/>
    <m/>
    <m/>
    <m/>
    <m/>
    <m/>
    <m/>
    <m/>
  </r>
  <r>
    <m/>
    <m/>
    <x v="135"/>
    <x v="51"/>
    <m/>
    <s v="“Fankoni Anemisinde Büyüme Hormonu Eksikliği Olan Olguların Özelliklerinin İncelenmesi”"/>
    <m/>
    <m/>
    <m/>
    <m/>
    <m/>
    <m/>
    <m/>
    <m/>
    <m/>
    <m/>
  </r>
  <r>
    <m/>
    <m/>
    <x v="135"/>
    <x v="51"/>
    <m/>
    <s v="“Humerus'un Proksimal Kısmının Morfometrik Özelliklerinin Değerlendirilmesi ve Klinik Önemi&quot;"/>
    <m/>
    <m/>
    <m/>
    <m/>
    <m/>
    <m/>
    <m/>
    <m/>
    <m/>
    <m/>
  </r>
  <r>
    <m/>
    <m/>
    <x v="135"/>
    <x v="51"/>
    <m/>
    <s v="“Matür T Hücreli Lenfomalarda INI-1 (SMARCB1) Ekspresyon Kaybının Değerlendirilmesi”"/>
    <m/>
    <m/>
    <m/>
    <m/>
    <m/>
    <m/>
    <m/>
    <m/>
    <m/>
    <m/>
  </r>
  <r>
    <m/>
    <m/>
    <x v="135"/>
    <x v="51"/>
    <m/>
    <s v="“Tip-1 Diyabeti Olan Çocuklarda Sağlıkta Baba Katılımı ve İlişkili Faktörler&quot;"/>
    <m/>
    <m/>
    <m/>
    <m/>
    <m/>
    <m/>
    <m/>
    <m/>
    <m/>
    <m/>
  </r>
  <r>
    <m/>
    <m/>
    <x v="135"/>
    <x v="51"/>
    <m/>
    <s v="“Kronik Oklüzif İliofemoral Hastalıkta Rekanalizasyon: Endovasküler Tedavi Sonuçları ve Venöz Giriş Akımının Asendan Venografi ile Değerlendirilmesi”"/>
    <m/>
    <m/>
    <m/>
    <m/>
    <m/>
    <m/>
    <m/>
    <m/>
    <m/>
    <m/>
  </r>
  <r>
    <m/>
    <m/>
    <x v="135"/>
    <x v="51"/>
    <m/>
    <s v="“Down Sendromu Tanısı Almış Çocuk Hastaların Mandibula Kemik Yapısının Fraktal Analizi”"/>
    <m/>
    <m/>
    <m/>
    <m/>
    <m/>
    <m/>
    <m/>
    <m/>
    <m/>
    <m/>
  </r>
  <r>
    <m/>
    <m/>
    <x v="135"/>
    <x v="51"/>
    <m/>
    <s v="“DiGeorge Sendromu Tanısı Almış Çocuk Hastaların Mandibula Kemik Yapısının Fraktal Analizi”"/>
    <m/>
    <m/>
    <m/>
    <m/>
    <m/>
    <m/>
    <m/>
    <m/>
    <m/>
    <m/>
  </r>
  <r>
    <m/>
    <m/>
    <x v="135"/>
    <x v="51"/>
    <m/>
    <s v="“Disfonili Hastalarda Multidisipliner Ses Konseyi Kararları ile ChatGPT Yanıtlarının Karşılaştırılması”"/>
    <m/>
    <m/>
    <m/>
    <m/>
    <m/>
    <m/>
    <m/>
    <m/>
    <m/>
    <m/>
  </r>
  <r>
    <m/>
    <m/>
    <x v="135"/>
    <x v="51"/>
    <m/>
    <s v="“3D Modelleme ile Cerrahi Planlama'nın Sakral Nöromodülasyon Cerrahisine ve Başarıya Olan Katkısının Değerlendirilmesi”"/>
    <m/>
    <m/>
    <m/>
    <m/>
    <m/>
    <m/>
    <m/>
    <m/>
    <m/>
    <m/>
  </r>
  <r>
    <m/>
    <m/>
    <x v="135"/>
    <x v="51"/>
    <m/>
    <s v="&quot;İmmünoterapi Alan Hastalarda Serum Vitamin D Düzeylerinin Prognostik Önemi &quot;"/>
    <m/>
    <m/>
    <m/>
    <m/>
    <m/>
    <m/>
    <m/>
    <m/>
    <m/>
    <m/>
  </r>
  <r>
    <m/>
    <m/>
    <x v="135"/>
    <x v="51"/>
    <m/>
    <s v="“Ektopik Gebelik Tanısı Alan Hastalarda Metotreksat Tedavisinin mg/m2 veya mg/kg Dozuna Göre Uygulanıp Etkinliğin Değerlendirilmesi ve Cerrahi Müdahale Gerektiren Vakaları Retrospektif Olarak Belirlenmesi”"/>
    <m/>
    <m/>
    <m/>
    <m/>
    <m/>
    <m/>
    <m/>
    <m/>
    <m/>
    <m/>
  </r>
  <r>
    <m/>
    <m/>
    <x v="135"/>
    <x v="51"/>
    <m/>
    <s v="“Pediatrik Pankreas Cerrahisinde Postoperatif Komplikasyonlar: On Yılda Ne Öğrendik?”"/>
    <m/>
    <m/>
    <m/>
    <m/>
    <m/>
    <m/>
    <m/>
    <m/>
    <m/>
    <m/>
  </r>
  <r>
    <m/>
    <m/>
    <x v="135"/>
    <x v="51"/>
    <m/>
    <s v="“Transkateter Aort Kapak İmplantasyonu Yapılan Hastalarda Kapak Fonksiyonlarının, Kalıcı Pil İhtiyacı Prediktörlerinin, Periprosedürel Komplikasyonların ve Takip Verilerinin Retrospektif Değerlendirilmesi”"/>
    <m/>
    <m/>
    <m/>
    <m/>
    <m/>
    <m/>
    <m/>
    <m/>
    <m/>
    <m/>
  </r>
  <r>
    <m/>
    <m/>
    <x v="135"/>
    <x v="51"/>
    <m/>
    <s v="“Hipertrofik Kardiyomiyopati Tanılı Hastalarda Atriyal Fibrilasyon Ablasyonu Sonrası Klinik Sonlanımlar”"/>
    <m/>
    <m/>
    <m/>
    <m/>
    <m/>
    <m/>
    <m/>
    <m/>
    <m/>
    <m/>
  </r>
  <r>
    <m/>
    <m/>
    <x v="135"/>
    <x v="51"/>
    <m/>
    <s v="“Tropomiyozin ve Arjinin Kinaz Duyarlılıkları Arasındaki İlişkilerin İncelenmesi”"/>
    <m/>
    <m/>
    <m/>
    <m/>
    <m/>
    <m/>
    <m/>
    <m/>
    <m/>
    <m/>
  </r>
  <r>
    <m/>
    <m/>
    <x v="135"/>
    <x v="51"/>
    <m/>
    <s v="“CDK 4/6 İnhibitörü Kullanan Metastik Meme Kanseri Hastalarında Sağkalıma Etki Eden Faktörlerin Yapay Zeka Aracılığıy Belirlenmesi”"/>
    <m/>
    <m/>
    <m/>
    <m/>
    <m/>
    <m/>
    <m/>
    <m/>
    <m/>
    <m/>
  </r>
  <r>
    <m/>
    <m/>
    <x v="135"/>
    <x v="51"/>
    <m/>
    <s v="“Kas Ultrasonografisi ile Yapılan Kas Kütlesi Ölçümleri ile Geriatri Populasyonda Referans Kas Kütlesi Değerlerinin Belirlenmesi”"/>
    <m/>
    <m/>
    <m/>
    <m/>
    <m/>
    <m/>
    <m/>
    <m/>
    <m/>
    <m/>
  </r>
  <r>
    <m/>
    <m/>
    <x v="135"/>
    <x v="51"/>
    <m/>
    <s v="“Küçük Hücreli Dışı Akciğer Kanseri Tanılı Hastalarda Venöz Tromboembolizm Riskini Öngören Tahmin Modelinin Geliştirilmesi”"/>
    <m/>
    <m/>
    <m/>
    <m/>
    <m/>
    <m/>
    <m/>
    <m/>
    <m/>
    <m/>
  </r>
  <r>
    <m/>
    <m/>
    <x v="135"/>
    <x v="51"/>
    <m/>
    <s v="“Sistemik Otoinflamatuvar Hastalıklarda Üçüncü Nesil Dizileme ile Genetik Etiyolojinin Belirlenmesi”"/>
    <m/>
    <m/>
    <m/>
    <m/>
    <m/>
    <m/>
    <m/>
    <m/>
    <m/>
    <m/>
  </r>
  <r>
    <m/>
    <m/>
    <x v="135"/>
    <x v="51"/>
    <m/>
    <s v="“Yapay Zekanın Odontojenik Olmayan Ağrı Tanısındaki Başarısının Diş Hekimleri ile Karşılaştırılması: Senaryo Temelli Bir Veri Analizi”"/>
    <m/>
    <m/>
    <m/>
    <m/>
    <m/>
    <m/>
    <m/>
    <m/>
    <m/>
    <m/>
  </r>
  <r>
    <m/>
    <m/>
    <x v="135"/>
    <x v="51"/>
    <m/>
    <s v="“Şok Hastalarında Mikrodolaşım ve Makrodolaşımın Eş Zamanlı Değerlendirilmesi”"/>
    <m/>
    <m/>
    <m/>
    <m/>
    <m/>
    <m/>
    <m/>
    <m/>
    <m/>
    <m/>
  </r>
  <r>
    <m/>
    <m/>
    <x v="135"/>
    <x v="51"/>
    <m/>
    <s v="“Non-Metrik Kraniyal Özelliklerin Cinsiyet Ayrımında Makine Öğrenmesi ve Uzman Değerlendirmeleri”"/>
    <m/>
    <m/>
    <m/>
    <m/>
    <m/>
    <m/>
    <m/>
    <m/>
    <m/>
    <m/>
  </r>
  <r>
    <m/>
    <m/>
    <x v="135"/>
    <x v="51"/>
    <m/>
    <s v="&quot;Anne ve Babaların Olumsuz Çocukluk Çağı Deneyimlerinin Erken Doğum Öyküsü Olan Çocukların Gelişimlerine Etkileri&quot;"/>
    <m/>
    <m/>
    <m/>
    <m/>
    <m/>
    <m/>
    <m/>
    <m/>
    <m/>
    <m/>
  </r>
  <r>
    <m/>
    <m/>
    <x v="135"/>
    <x v="51"/>
    <m/>
    <s v="“Os Naviculare Cerrahi Fiksasyonu İçin İmplant Boyutlarının Optimizasyonu: Morfometrik Çalışma”"/>
    <m/>
    <m/>
    <m/>
    <m/>
    <m/>
    <m/>
    <m/>
    <m/>
    <m/>
    <m/>
  </r>
  <r>
    <m/>
    <m/>
    <x v="135"/>
    <x v="51"/>
    <m/>
    <s v="“Ağız Diş Ve Çene Cerrahisi Kliniğine Başvuran Hastaların Yapay Zeka Farkındalik Düzeyi İle Ağız Sağlığı ile İliskili Yaşam Kalitesi Arasındaki Korelasyonun Değerlendirilmesi”"/>
    <m/>
    <m/>
    <m/>
    <m/>
    <m/>
    <m/>
    <m/>
    <m/>
    <m/>
    <m/>
  </r>
  <r>
    <m/>
    <m/>
    <x v="135"/>
    <x v="51"/>
    <m/>
    <s v="“Kronik Obstrüktif Akciğer Hastalığı Tanılı İleri Yaş Hastalarda Anksiyete ve Depresyonun İnhaler Uyumuyla İlişkisinin İncelenmesi”"/>
    <m/>
    <m/>
    <m/>
    <m/>
    <m/>
    <m/>
    <m/>
    <m/>
    <m/>
    <m/>
  </r>
  <r>
    <m/>
    <m/>
    <x v="135"/>
    <x v="51"/>
    <m/>
    <s v="“Erişkin Kistik Fibrozis Hastalarında Modülatör Tedaviye Erişim Sürecinin Psikososyal ve Ekonomik Etkilerinin Değerlendirilmesi”"/>
    <m/>
    <m/>
    <m/>
    <m/>
    <m/>
    <m/>
    <m/>
    <m/>
    <m/>
    <m/>
  </r>
  <r>
    <m/>
    <m/>
    <x v="135"/>
    <x v="51"/>
    <m/>
    <s v="“Spinal Musküler Atrofi (SMA) Tip 1 ve 2 Hastalarında İntratekal Nusinersenin Ultrasonografi Eşliğinde Uygulanmasının Değerlendirilmesi”"/>
    <m/>
    <m/>
    <m/>
    <m/>
    <m/>
    <m/>
    <m/>
    <m/>
    <m/>
    <m/>
  </r>
  <r>
    <m/>
    <m/>
    <x v="135"/>
    <x v="51"/>
    <m/>
    <s v="“Metafizyel Displazi Olgularında Klinik Spektrumun ve Genetik Etiyolojinin İncelenmesi”"/>
    <m/>
    <m/>
    <m/>
    <m/>
    <m/>
    <m/>
    <m/>
    <m/>
    <m/>
    <m/>
  </r>
  <r>
    <m/>
    <m/>
    <x v="135"/>
    <x v="51"/>
    <m/>
    <s v="“Cerrahi Zorluğu Ölçmenin Yeni Yolu: VESPA skoru ile DIEP Fleplerde Anatomik Karmaşıklığın Sayısallaştırılması”"/>
    <m/>
    <m/>
    <m/>
    <m/>
    <m/>
    <m/>
    <m/>
    <m/>
    <m/>
    <m/>
  </r>
  <r>
    <m/>
    <m/>
    <x v="135"/>
    <x v="51"/>
    <m/>
    <s v="“Karaciğer Hastalıkları ile İlgili Stigmatizasyon Ölçeği Geliştirme Çalışması: Metodolojik Araştırma”"/>
    <m/>
    <m/>
    <m/>
    <m/>
    <m/>
    <m/>
    <m/>
    <m/>
    <m/>
    <m/>
  </r>
  <r>
    <m/>
    <m/>
    <x v="135"/>
    <x v="51"/>
    <m/>
    <s v="“SLC2943 Gen Defekti Olan Hastalarda Otofajinin İncelenmesi”"/>
    <m/>
    <m/>
    <m/>
    <m/>
    <m/>
    <m/>
    <m/>
    <m/>
    <m/>
    <m/>
  </r>
  <r>
    <m/>
    <m/>
    <x v="135"/>
    <x v="51"/>
    <m/>
    <s v="“Cerrahi veya Perkütan Yolla Atriyal Septal Defekt Kapatılan Hastalarda Atriyal Taşikardinin Kateter Ablasyonunun Sonlanım Noktalarının İncelenmesi”"/>
    <m/>
    <m/>
    <m/>
    <m/>
    <m/>
    <m/>
    <m/>
    <m/>
    <m/>
    <m/>
  </r>
  <r>
    <m/>
    <m/>
    <x v="135"/>
    <x v="51"/>
    <m/>
    <s v="“Bir Kamu Hastanesinin Acil Servisinde Yalın Yönetim Uygulaması”"/>
    <m/>
    <m/>
    <m/>
    <m/>
    <m/>
    <m/>
    <m/>
    <m/>
    <m/>
    <m/>
  </r>
  <r>
    <m/>
    <m/>
    <x v="135"/>
    <x v="51"/>
    <m/>
    <s v="“Ankara’da Bir İlçe Belediyesi Ana Hizmet Binasında Görev Yapan Belediye Çalışanlarının İklim Değişikliği Risk Algısının Değerlendirilmesi”"/>
    <m/>
    <m/>
    <m/>
    <m/>
    <m/>
    <m/>
    <m/>
    <m/>
    <m/>
    <m/>
  </r>
  <r>
    <m/>
    <m/>
    <x v="135"/>
    <x v="51"/>
    <m/>
    <s v="“Kalp Hastalığı Olan Çocukların Sağlık Durumları ile Ebeveynlerinin Yaşantılarının Uyum ve Mücadele Dinamiklerinin Nitel Analizi”"/>
    <m/>
    <m/>
    <m/>
    <m/>
    <m/>
    <m/>
    <m/>
    <m/>
    <m/>
    <m/>
  </r>
  <r>
    <m/>
    <m/>
    <x v="135"/>
    <x v="51"/>
    <m/>
    <s v="&quot;Diferansiye Tiroid Kanserlerinde Tedavi Öncesi Kan Sonuçlarının Prognostik Değerlendirmesi&quot;"/>
    <m/>
    <m/>
    <m/>
    <m/>
    <m/>
    <m/>
    <m/>
    <m/>
    <m/>
    <m/>
  </r>
  <r>
    <m/>
    <m/>
    <x v="135"/>
    <x v="51"/>
    <m/>
    <s v="“Hacettepe Üniversitesi Genel Dahiliye Polikliniğine Başvuran 40-65 Yaş Arası Bireylerde Kardiyovasküler Riskin Değerlendirilmesi ve Risk Farkındalığının İncelenmesi”"/>
    <m/>
    <m/>
    <m/>
    <m/>
    <m/>
    <m/>
    <m/>
    <m/>
    <m/>
    <m/>
  </r>
  <r>
    <m/>
    <m/>
    <x v="135"/>
    <x v="51"/>
    <m/>
    <s v="“Susam veya Kabuklu Ağaç Yemişi Alerjisi Olan Hastalarda Deri Prick Testi, Besin Spesifik IgE ve Dudak Teması Testine Dayalı Risk Skorlaması”"/>
    <m/>
    <m/>
    <m/>
    <m/>
    <m/>
    <m/>
    <m/>
    <m/>
    <m/>
    <m/>
  </r>
  <r>
    <m/>
    <m/>
    <x v="135"/>
    <x v="51"/>
    <m/>
    <s v="“Çocuk Acile Başvuran İdrar Toksikolojisi Gönderilen Ergenlerin Ergen Sağlığı İzlemi”"/>
    <m/>
    <m/>
    <m/>
    <m/>
    <m/>
    <m/>
    <m/>
    <m/>
    <m/>
    <m/>
  </r>
  <r>
    <m/>
    <m/>
    <x v="135"/>
    <x v="51"/>
    <m/>
    <s v="“Farklı Kök Kanal Dolgu Materyallerinin Devital Beyazlatma Sonrası Renk Stabilitesi ve Fraktür Direnci Üzerine Etkileri: Laboratuvar Çalışması”"/>
    <m/>
    <m/>
    <m/>
    <m/>
    <m/>
    <m/>
    <m/>
    <m/>
    <m/>
    <m/>
  </r>
  <r>
    <m/>
    <m/>
    <x v="135"/>
    <x v="51"/>
    <m/>
    <s v="“Bronkopulmoner Displazinin Erken Tanı ve Tedavi Sürecinin İzleminde Yapay Zeka Destekli Metabolomik Yaklaşımlar”"/>
    <m/>
    <m/>
    <m/>
    <m/>
    <m/>
    <m/>
    <m/>
    <m/>
    <m/>
    <m/>
  </r>
  <r>
    <m/>
    <m/>
    <x v="135"/>
    <x v="51"/>
    <m/>
    <s v="“Kök Kanal Dolgu Materyalleri ve İntraorifis Bariyer Materyali Etkileşiminin İntrakoronal Beyazlatma ve Kırılma Dayanımı Üzerindeki Etkisi: İn Vitro Çalışma”"/>
    <m/>
    <m/>
    <m/>
    <m/>
    <m/>
    <m/>
    <m/>
    <m/>
    <m/>
    <m/>
  </r>
  <r>
    <m/>
    <m/>
    <x v="135"/>
    <x v="51"/>
    <m/>
    <s v="“Atriyal Septal Defekt Tanısı Olan Pediatrik Hastalarda Demografik, Klinik ve Ekokardiyografik Bulguların Değerlendirilmesi ile İzlem Sürecinde Bu Parametrelerdeki Değişikliklerin Araştırılması”"/>
    <m/>
    <m/>
    <m/>
    <m/>
    <m/>
    <m/>
    <m/>
    <m/>
    <m/>
    <m/>
  </r>
  <r>
    <m/>
    <m/>
    <x v="135"/>
    <x v="51"/>
    <m/>
    <s v="“Glioblastoma Multiforme Hastalarında Venöz Tromboembolizm ve Hidrosefali Risk Faktörlerinin Anlaşılması ve Rekürren Cerrahi Sonrası Komplikasyonların Belirlenmesi”"/>
    <m/>
    <m/>
    <m/>
    <m/>
    <m/>
    <m/>
    <m/>
    <m/>
    <m/>
    <m/>
  </r>
  <r>
    <m/>
    <m/>
    <x v="135"/>
    <x v="51"/>
    <m/>
    <s v="“Çocukluk Başlangıçlı Monogenik Sendromik Obezitenin Erişkin Dönem Klinik Seyri”"/>
    <m/>
    <m/>
    <m/>
    <m/>
    <m/>
    <m/>
    <m/>
    <m/>
    <m/>
    <m/>
  </r>
  <r>
    <m/>
    <m/>
    <x v="135"/>
    <x v="51"/>
    <m/>
    <s v="“Rasgrp1 Mutasyonu Olan Hastaların Klinik ve Laboratuvar Özelliklerinin Değerlendirilmesi ”"/>
    <m/>
    <m/>
    <m/>
    <m/>
    <m/>
    <m/>
    <m/>
    <m/>
    <m/>
    <m/>
  </r>
  <r>
    <m/>
    <m/>
    <x v="135"/>
    <x v="51"/>
    <m/>
    <s v="“İnflamatuar Barsak Hastalıklarında Komplikasyon ve Tedavi Direncinin Retrospektif Veriler Üzerinden Büyük Dil Modeli (LLM) ile Değerlendirilmesi”"/>
    <m/>
    <m/>
    <m/>
    <m/>
    <m/>
    <m/>
    <m/>
    <m/>
    <m/>
    <m/>
  </r>
  <r>
    <m/>
    <m/>
    <x v="135"/>
    <x v="51"/>
    <m/>
    <s v="“IDH Mutant Düşük Gradeli Gliomların Cerrahi Tedavisi Sonrasıda Kullanılan Adjuvan Tedavi Modalitelirinin Karşılaştırılması”"/>
    <m/>
    <m/>
    <m/>
    <m/>
    <m/>
    <m/>
    <m/>
    <m/>
    <m/>
    <m/>
  </r>
  <r>
    <m/>
    <m/>
    <x v="135"/>
    <x v="51"/>
    <m/>
    <s v="“İskelet Siliyopatisi Hastalarında Ağız Sağlığı Durumu Değerlendirilmesi”"/>
    <m/>
    <m/>
    <m/>
    <m/>
    <m/>
    <m/>
    <m/>
    <m/>
    <m/>
    <m/>
  </r>
  <r>
    <m/>
    <m/>
    <x v="135"/>
    <x v="51"/>
    <m/>
    <s v="“Os Hyoideum Anatomik Değerlendirmesi: Şekil, Füzyon, Gövde Genişliği ve Bunların Birbirleriyle Olan İlişkileri, Basit Bir Sınıflandırma Önerisiyle”"/>
    <m/>
    <m/>
    <m/>
    <m/>
    <m/>
    <m/>
    <m/>
    <m/>
    <m/>
    <m/>
  </r>
  <r>
    <m/>
    <m/>
    <x v="135"/>
    <x v="51"/>
    <m/>
    <s v="“Klinefelter Sendromlu Hastalarda Klinik, Gelişimsel, Genetik ve Reprodüktif Özelliklerin Değerlendirilmesi”"/>
    <m/>
    <m/>
    <m/>
    <m/>
    <m/>
    <m/>
    <m/>
    <m/>
    <m/>
    <m/>
  </r>
  <r>
    <m/>
    <m/>
    <x v="135"/>
    <x v="51"/>
    <m/>
    <s v="“Geriatri Hekimlerinin Reçeteleme Kaskadı Hakkında Farkındalığı ve Yönetim Yaklaşımlarının Değerlendirilmesi: Ulusal Düzeyde Bir Çalışma”"/>
    <m/>
    <m/>
    <m/>
    <m/>
    <m/>
    <m/>
    <m/>
    <m/>
    <m/>
    <m/>
  </r>
  <r>
    <m/>
    <m/>
    <x v="135"/>
    <x v="51"/>
    <m/>
    <s v="“Çocuk Romatoloji Hastalarında Tümör Nekroz Faktör Alfa Blokör Tedavisinin Tiroid Fonksiyonu Üzerine Etkisinin Değerlendirilmesi”"/>
    <m/>
    <m/>
    <m/>
    <m/>
    <m/>
    <m/>
    <m/>
    <m/>
    <m/>
    <m/>
  </r>
  <r>
    <m/>
    <m/>
    <x v="135"/>
    <x v="51"/>
    <m/>
    <s v="Minimal İnvaziv Kardiyak Cerrahi Uygulanan Pediatrik Hastalarda Anestezi Yönetimi: Tek Merkezli Olgu Serisi-Bireysel Araştırma”"/>
    <m/>
    <m/>
    <m/>
    <m/>
    <m/>
    <m/>
    <m/>
    <m/>
    <m/>
    <m/>
  </r>
  <r>
    <m/>
    <m/>
    <x v="135"/>
    <x v="51"/>
    <m/>
    <s v="“Kritik Hastalarda Enteral Beslenme Hedeflerine Ulaşma Durumu ve Klinik Sonuçlarla İlişkisi”"/>
    <m/>
    <m/>
    <m/>
    <m/>
    <m/>
    <m/>
    <m/>
    <m/>
    <m/>
    <m/>
  </r>
  <r>
    <m/>
    <m/>
    <x v="135"/>
    <x v="51"/>
    <m/>
    <s v="“Mizofoninin Klinik Alt Türleri: Demografik Özellikler, Ruhsal ve Bedensel Ek Tanıların İki Aşamalı İncelenmesi”"/>
    <m/>
    <m/>
    <m/>
    <m/>
    <m/>
    <m/>
    <m/>
    <m/>
    <m/>
    <m/>
  </r>
  <r>
    <m/>
    <m/>
    <x v="135"/>
    <x v="51"/>
    <m/>
    <s v="“Bireysel Sodyum Sitrat Tüketiminin Kadın Futbolcularda Tekrarlı Sprint Performansına Etkisi”"/>
    <m/>
    <m/>
    <m/>
    <m/>
    <m/>
    <m/>
    <m/>
    <m/>
    <m/>
    <m/>
  </r>
  <r>
    <m/>
    <m/>
    <x v="135"/>
    <x v="51"/>
    <m/>
    <s v="“Radikal Prostatektomiye Bağlı Erektil Disfonksiyon ve Preoperatif Hasta Bilgilendirme Düzeyinin Değerlendirilmesi”"/>
    <m/>
    <m/>
    <m/>
    <m/>
    <m/>
    <m/>
    <m/>
    <m/>
    <m/>
    <m/>
  </r>
  <r>
    <m/>
    <m/>
    <x v="135"/>
    <x v="51"/>
    <m/>
    <s v="“Konjenital Kalp Hastalıkları Ameliyatlarından Sonra Gelişen Akut Böbrek Hasarına Etki Eden Faktörlerin İncelenmesi”"/>
    <m/>
    <m/>
    <m/>
    <m/>
    <m/>
    <m/>
    <m/>
    <m/>
    <m/>
    <m/>
  </r>
  <r>
    <m/>
    <m/>
    <x v="135"/>
    <x v="51"/>
    <m/>
    <s v="“Sanal Mentorluğun Dinamiklerini Keşfetmek: WONCA Araştırma Çalışma Grubu Programındaki Engeller, Kolaylaştırıcılar ve Mentor ve Danışanların Beklentileri Üzerine Betimleyici Bir Çalışma”"/>
    <m/>
    <m/>
    <m/>
    <m/>
    <m/>
    <m/>
    <m/>
    <m/>
    <m/>
    <m/>
  </r>
  <r>
    <m/>
    <m/>
    <x v="135"/>
    <x v="51"/>
    <m/>
    <s v="“Akromegali ve Prolaktinoma Hastalarında Hepsidin, Eritroferron, Eritropoietin, Soluble Transferrin Reseptör ve Fibroblast Growth Faktör-23 Düzeyleri İle Hematolojik Parametrelerin İlişkisi”"/>
    <m/>
    <m/>
    <m/>
    <m/>
    <m/>
    <m/>
    <m/>
    <m/>
    <m/>
    <m/>
  </r>
  <r>
    <m/>
    <m/>
    <x v="135"/>
    <x v="51"/>
    <m/>
    <s v="“Şeffaf Plak Ataşmanlarında Kullanılan Kompozit Rezinin Renklendirme Ajanı Uygulanması Sonrası Dayanıklılık ve Yüzey Özelliklerinin Karşılaştırılması”"/>
    <m/>
    <m/>
    <m/>
    <m/>
    <m/>
    <m/>
    <m/>
    <m/>
    <m/>
    <m/>
  </r>
  <r>
    <m/>
    <m/>
    <x v="135"/>
    <x v="51"/>
    <m/>
    <s v="“Multipl Skleroz (MS) Tanılı Hastalarda MS Mesane Kontrol Aracı Kullanılarak Alt Üriner Sistem Semptomlarının Ön Değerlendirmesi ve Fonksiyonel Üroloji Polikliniğine Yönlendirme Kriterlerinin Belirlenmesi”"/>
    <m/>
    <m/>
    <m/>
    <m/>
    <m/>
    <m/>
    <m/>
    <m/>
    <m/>
    <m/>
  </r>
  <r>
    <m/>
    <m/>
    <x v="135"/>
    <x v="51"/>
    <m/>
    <s v="“Antenatal Kortikosteroid Uygulanan Fetüslerde Fetal Pulmoner Ven Dopplerinin Longitudinal İzlemi ve Perinatal Sonuçlarla İlişkisi: Prospektif Kohort Çalışması”"/>
    <m/>
    <m/>
    <m/>
    <m/>
    <m/>
    <m/>
    <m/>
    <m/>
    <m/>
    <m/>
  </r>
  <r>
    <m/>
    <m/>
    <x v="135"/>
    <x v="51"/>
    <m/>
    <s v="“Tip 1 Interferonopati Tanılı Pediatrik Hastalarda Klinik ve Laboratuvar Bulguların Degerlendirilmesi”"/>
    <m/>
    <m/>
    <m/>
    <m/>
    <m/>
    <m/>
    <m/>
    <m/>
    <m/>
    <m/>
  </r>
  <r>
    <m/>
    <m/>
    <x v="135"/>
    <x v="51"/>
    <m/>
    <s v="“Türkiye'de Dudak ve Damak Yarıklarının Epidemiyoloji”"/>
    <m/>
    <m/>
    <m/>
    <m/>
    <m/>
    <m/>
    <m/>
    <m/>
    <m/>
    <m/>
  </r>
  <r>
    <m/>
    <m/>
    <x v="135"/>
    <x v="51"/>
    <m/>
    <s v="“Nadir Bir Over Tümörü: Ovaryen Fibrosarkom ve Mitotik Aktif Fibrom Olgularının Klinikopatolojik İncelemesi”"/>
    <m/>
    <m/>
    <m/>
    <m/>
    <m/>
    <m/>
    <m/>
    <m/>
    <m/>
    <m/>
  </r>
  <r>
    <m/>
    <m/>
    <x v="135"/>
    <x v="51"/>
    <m/>
    <s v="“Adneksiyel Torsiyon Tanısında Manyetik Rezonans Görüntülemenin Yeri”"/>
    <m/>
    <m/>
    <m/>
    <m/>
    <m/>
    <m/>
    <m/>
    <m/>
    <m/>
    <m/>
  </r>
  <r>
    <m/>
    <m/>
    <x v="135"/>
    <x v="51"/>
    <m/>
    <s v="“Patient Enablement Instrument (PEI)” Hasta Yetkilendirme Ölçeğinin Türkçe Geçerlilik ve Güvenilirlik Çalışması”"/>
    <m/>
    <m/>
    <m/>
    <m/>
    <m/>
    <m/>
    <m/>
    <m/>
    <m/>
    <m/>
  </r>
  <r>
    <m/>
    <m/>
    <x v="135"/>
    <x v="51"/>
    <m/>
    <s v="“Primer Atopik Hastalıklarda Yardımcı T Hücre 2 Yanıtının Multiomik Yaklaşımla Ayrıntılı Olarak Değerlendirilmesi”"/>
    <m/>
    <m/>
    <m/>
    <m/>
    <m/>
    <m/>
    <m/>
    <m/>
    <m/>
    <m/>
  </r>
  <r>
    <m/>
    <m/>
    <x v="135"/>
    <x v="51"/>
    <m/>
    <s v="“Monogenik Obezite ile İlişkili Varyant Saptanmış Erken Başlangıçlı Ciddi Obezitesi Olan Çocuklarda Klinik Ayırıcı Özelliklerin Belirlenmesi”"/>
    <m/>
    <m/>
    <m/>
    <m/>
    <m/>
    <m/>
    <m/>
    <m/>
    <m/>
    <m/>
  </r>
  <r>
    <m/>
    <m/>
    <x v="135"/>
    <x v="51"/>
    <m/>
    <s v="“Sağır ve İşitme Yetersizliği Olan Bireylerin Sağlıkla İlgili Bilgi Gereksinimlerini Karşılamaya Yönelik Görsel ve İşitsel Medya İçeriklerinin Geliştirilmesi Projesi”"/>
    <m/>
    <m/>
    <m/>
    <m/>
    <m/>
    <m/>
    <m/>
    <m/>
    <m/>
    <m/>
  </r>
  <r>
    <m/>
    <m/>
    <x v="135"/>
    <x v="51"/>
    <m/>
    <s v="“Üroloji Aalnında Çalışan Erkek Sağlık Profesyonellerinde Oturarak ve Ayakta İşeme Pozisyonlarının Üroflovmetrik Parametrelere Etkisinin Değerlendirilmesi”"/>
    <m/>
    <m/>
    <m/>
    <m/>
    <m/>
    <m/>
    <m/>
    <m/>
    <m/>
    <m/>
  </r>
  <r>
    <m/>
    <m/>
    <x v="135"/>
    <x v="51"/>
    <m/>
    <s v="“Kronik Obstrüktif Akciğer Hastalığının Oküler Mikrovasküler ParametrelerÜzerine Etkilerinin Değerlendirilmesi”"/>
    <m/>
    <m/>
    <m/>
    <m/>
    <m/>
    <m/>
    <m/>
    <m/>
    <m/>
    <m/>
  </r>
  <r>
    <m/>
    <m/>
    <x v="135"/>
    <x v="51"/>
    <m/>
    <s v="“Hepatosellüler Karsinom Tanılı Hastalarda Küratif Tedavi Al(a)mamasına Rağmen Uzun Süre Sağkalım Sağlanabilmiş Hastaların Klinik Özellikleri”"/>
    <m/>
    <m/>
    <m/>
    <m/>
    <m/>
    <m/>
    <m/>
    <m/>
    <m/>
    <m/>
  </r>
  <r>
    <m/>
    <m/>
    <x v="135"/>
    <x v="51"/>
    <m/>
    <s v="“Çocukluk Çağında Tanı Alan Adrenokortikal Tümörlerde Mitotan Kullanımının Endokrin Yan Etkilerinin İncelenmesi”"/>
    <m/>
    <m/>
    <m/>
    <m/>
    <m/>
    <m/>
    <m/>
    <m/>
    <m/>
    <m/>
  </r>
  <r>
    <m/>
    <m/>
    <x v="135"/>
    <x v="51"/>
    <m/>
    <s v="“Hastanede Yatan ve Nütrisyon Tedavisi alan Hastalarda Aspirasyon Pnömonisi ile İlişkili Faktörler: Retrospektif Kohort Çalışması”"/>
    <m/>
    <m/>
    <m/>
    <m/>
    <m/>
    <m/>
    <m/>
    <m/>
    <m/>
    <m/>
  </r>
  <r>
    <m/>
    <m/>
    <x v="135"/>
    <x v="51"/>
    <m/>
    <s v="“Pediatrik AdrenokortikalTümörler İçin Avrupa-Çapında Araştırma İnisiyatifi-Hastalığı Kavrama ve Tedavi Sonuçlarını Geliştirme”"/>
    <m/>
    <m/>
    <m/>
    <m/>
    <m/>
    <m/>
    <m/>
    <m/>
    <m/>
    <m/>
  </r>
  <r>
    <m/>
    <m/>
    <x v="135"/>
    <x v="51"/>
    <m/>
    <s v="“Nükleer Tıp Görüntüleme Yöntemleri ile Saptanan İnsidental Papiller Tiroid Mikrokarsinomlarının Klinikopatolojik Özelliklerinin Diğer Saptanma Yöntemleriyle Karşılaştırıması”"/>
    <m/>
    <m/>
    <m/>
    <m/>
    <m/>
    <m/>
    <m/>
    <m/>
    <m/>
    <m/>
  </r>
  <r>
    <m/>
    <m/>
    <x v="135"/>
    <x v="51"/>
    <m/>
    <s v="“Alerjik Çocuklarda Bileşene Dayalı Moleküler Test ile Alerjene Özgü IgE Duyarlılık Profilinin İncelenmesi”"/>
    <m/>
    <m/>
    <m/>
    <m/>
    <m/>
    <m/>
    <m/>
    <m/>
    <m/>
    <m/>
  </r>
  <r>
    <m/>
    <m/>
    <x v="135"/>
    <x v="51"/>
    <m/>
    <s v="“Sonografik Sol Ventrikül Çıkış Yolu Hız Zaman İntegrali Değerlendirmesi ile Hesaplanan Kalp Debisinin Akut Kalp Yetmezliği Tedavisinde Diüretik Direnci Göstergesi Olan Spot İdrar Sodyumu Ölçümü ile İlişkisinin İncelenmesi”"/>
    <m/>
    <m/>
    <m/>
    <m/>
    <m/>
    <m/>
    <m/>
    <m/>
    <m/>
    <m/>
  </r>
  <r>
    <m/>
    <m/>
    <x v="135"/>
    <x v="51"/>
    <m/>
    <s v="“Akut İskemik İnme Hastalarında “Genel Obezite”, “Santral Obezite” ve “Adipozite” İndekslerinin İnme Fenotipi, Aterosklerotik Arter Hastalıkları ve Prognoza Etkisi: Prospektif Çalışma”"/>
    <m/>
    <m/>
    <m/>
    <m/>
    <m/>
    <m/>
    <m/>
    <m/>
    <m/>
    <m/>
  </r>
  <r>
    <m/>
    <m/>
    <x v="135"/>
    <x v="51"/>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135"/>
    <x v="51"/>
    <m/>
    <s v="“Çocukluk Çağı Malign Karaciğer Tümörlü Hastalarının Retrospektif Analizi”"/>
    <m/>
    <m/>
    <m/>
    <m/>
    <m/>
    <m/>
    <m/>
    <m/>
    <m/>
    <m/>
  </r>
  <r>
    <m/>
    <m/>
    <x v="135"/>
    <x v="51"/>
    <m/>
    <s v="“IgE Aracılı Kabak Çekirdeği Alerjisinin Moleküler Karakterizasyonu”"/>
    <m/>
    <m/>
    <m/>
    <m/>
    <m/>
    <m/>
    <m/>
    <m/>
    <m/>
    <m/>
  </r>
  <r>
    <m/>
    <m/>
    <x v="135"/>
    <x v="51"/>
    <m/>
    <s v="“Atriyal Fibrilasyon Ablasyonu Planlanan Hastalarda Sol Atriyal Apendikste Trombüs Oluşumunun Öngorülmesi”"/>
    <m/>
    <m/>
    <m/>
    <m/>
    <m/>
    <m/>
    <m/>
    <m/>
    <m/>
    <m/>
  </r>
  <r>
    <m/>
    <m/>
    <x v="135"/>
    <x v="51"/>
    <m/>
    <s v="“Madde Kullanım Bozukluğu Hastalarında Yaygın Tek Nükleotid Polimorfizmlerinin Sıklığının Belirlenmesi ve Bunların Madde Kullanımını Yordayan Alt Özelliklerle İlişkileri”"/>
    <m/>
    <m/>
    <m/>
    <m/>
    <m/>
    <m/>
    <m/>
    <m/>
    <m/>
    <m/>
  </r>
  <r>
    <m/>
    <m/>
    <x v="135"/>
    <x v="51"/>
    <m/>
    <s v="“Koklear Hipoplazili Hastalarda Fasiyal Sinir Seyrinin Değerlendirilmesi”"/>
    <m/>
    <m/>
    <m/>
    <m/>
    <m/>
    <m/>
    <m/>
    <m/>
    <m/>
    <m/>
  </r>
  <r>
    <m/>
    <m/>
    <x v="135"/>
    <x v="51"/>
    <m/>
    <s v="“Çocuklarda Mantar Duyarlılık Profili ve Klinik ile İlişkisi”"/>
    <m/>
    <m/>
    <m/>
    <m/>
    <m/>
    <m/>
    <m/>
    <m/>
    <m/>
    <m/>
  </r>
  <r>
    <m/>
    <m/>
    <x v="135"/>
    <x v="51"/>
    <m/>
    <s v="“Molibden Kofaktor Eksikligi-Tek Merkez Deneyimi”"/>
    <m/>
    <m/>
    <m/>
    <m/>
    <m/>
    <m/>
    <m/>
    <m/>
    <m/>
    <m/>
  </r>
  <r>
    <m/>
    <m/>
    <x v="135"/>
    <x v="51"/>
    <m/>
    <s v="“CHARGE Sendromlu Hastalarda Kokleanın Yerleşiminin Değerlendirilmesi”"/>
    <m/>
    <m/>
    <m/>
    <m/>
    <m/>
    <m/>
    <m/>
    <m/>
    <m/>
    <m/>
  </r>
  <r>
    <m/>
    <m/>
    <x v="135"/>
    <x v="51"/>
    <m/>
    <s v="“Major Depresif Bozukluğu Olan Ergenlerde Kendine Zarar Verme Davranışı ile Ebeveynlerinin Duygu Düzenleme Becerileri ve Aile İşlevselliği Arasındaki İlişki”"/>
    <m/>
    <m/>
    <m/>
    <m/>
    <m/>
    <m/>
    <m/>
    <m/>
    <m/>
    <m/>
  </r>
  <r>
    <m/>
    <m/>
    <x v="135"/>
    <x v="51"/>
    <m/>
    <s v="“Katarakt Cerrahisinde Preoperatif Chord mu ve Chord alpha Referansı ile Yerleştirilen İntraoküler Göz İçi Mercek Santralizasyonunun Postoperatif Mikroperimetrik İki Değişkenli Eliptik Kontur Alan Sapma Açısı ile Değerlendirilmesi”"/>
    <m/>
    <m/>
    <m/>
    <m/>
    <m/>
    <m/>
    <m/>
    <m/>
    <m/>
    <m/>
  </r>
  <r>
    <m/>
    <m/>
    <x v="135"/>
    <x v="51"/>
    <m/>
    <s v="“Sınıf 3 Uzun Yüz Tipine Sahip Hastalarda Cerrahi Planlamanın Barcelona Çizgisi ve Gerçek Dikey Çizgi Açısından Karşılaştırmalı Değerlendirilmesi”"/>
    <m/>
    <m/>
    <m/>
    <m/>
    <m/>
    <m/>
    <m/>
    <m/>
    <m/>
    <m/>
  </r>
  <r>
    <m/>
    <m/>
    <x v="135"/>
    <x v="51"/>
    <m/>
    <s v="“Abdominal Tüberküloz Tanısı ile İzlenen Çocukların Klinik ve Laboratuar Özelliklerinin Değerlendirilmesi”"/>
    <m/>
    <m/>
    <m/>
    <m/>
    <m/>
    <m/>
    <m/>
    <m/>
    <m/>
    <m/>
  </r>
  <r>
    <m/>
    <m/>
    <x v="135"/>
    <x v="51"/>
    <m/>
    <s v="“Dikkat Eksikliği Hiperaktivite Bozukluğu Olan Ergenlerde Duyusal İşlemleme Özellikleri, Zihin Kuramı Becerileri ve Bilinçli Farkındalık Düzeylerinin Akran Zorbalığı İle İlişkisi”"/>
    <m/>
    <m/>
    <m/>
    <m/>
    <m/>
    <m/>
    <m/>
    <m/>
    <m/>
    <m/>
  </r>
  <r>
    <m/>
    <m/>
    <x v="135"/>
    <x v="51"/>
    <m/>
    <s v="“Covid-19 Pandemisinin Toplumdan Kazanılmış Pnömoni Etkenlerinin Epidemiyolojisine Etkisi: Retrospektif Bir Gözlemsel Çalışma”"/>
    <m/>
    <m/>
    <m/>
    <m/>
    <m/>
    <m/>
    <m/>
    <m/>
    <m/>
    <m/>
  </r>
  <r>
    <m/>
    <m/>
    <x v="135"/>
    <x v="51"/>
    <m/>
    <s v="“Malign Potansiyeli Belirsiz Uterus Düz Kas Tümörleri ile Erken Evre Leiomyosarkomda Rekürrensi ve Prognozu Öngörmede Klinik ve Histopatolojik Prediktörler”"/>
    <m/>
    <m/>
    <m/>
    <m/>
    <m/>
    <m/>
    <m/>
    <m/>
    <m/>
    <m/>
  </r>
  <r>
    <m/>
    <m/>
    <x v="135"/>
    <x v="51"/>
    <m/>
    <s v="“Papivir Kullanımının HPV Pozitif Kadınlarda Viral Klirense Etkisi”"/>
    <m/>
    <m/>
    <m/>
    <m/>
    <m/>
    <m/>
    <m/>
    <m/>
    <m/>
    <m/>
  </r>
  <r>
    <m/>
    <m/>
    <x v="135"/>
    <x v="51"/>
    <m/>
    <s v="“Pediatri Günübirlik Tedavi Servisinde İzlenen Tıbbi Olarak Karmaşık Çocukların Değerlendirilmesi”"/>
    <m/>
    <m/>
    <m/>
    <m/>
    <m/>
    <m/>
    <m/>
    <m/>
    <m/>
    <m/>
  </r>
  <r>
    <m/>
    <m/>
    <x v="135"/>
    <x v="51"/>
    <m/>
    <s v="“Tıp Fakültesi Öğrencilerinde İleri Kardiyak Yaşam Desteği Eğitiminde Oyun Kartları ile Öğrenmenin Değerlendirilmesi”"/>
    <m/>
    <m/>
    <m/>
    <m/>
    <m/>
    <m/>
    <m/>
    <m/>
    <m/>
    <m/>
  </r>
  <r>
    <m/>
    <m/>
    <x v="135"/>
    <x v="51"/>
    <m/>
    <s v="“Kistik Fibroziste Kistik Fibrozis Transmembran Regülator Modülatör Tedavinin Etkili Olmama Nedenlerinin İncelenmesi”"/>
    <m/>
    <m/>
    <m/>
    <m/>
    <m/>
    <m/>
    <m/>
    <m/>
    <m/>
    <m/>
  </r>
  <r>
    <m/>
    <m/>
    <x v="135"/>
    <x v="51"/>
    <m/>
    <s v="“Büyüme Hormonu Salgılama Hormonu ve Analoglarının İdrarda Nano Sıvı Kromatografisi Kuadrupol/Orbitrap Kütle Spektrometrisi Kullanılarak Analizi”"/>
    <m/>
    <m/>
    <m/>
    <m/>
    <m/>
    <m/>
    <m/>
    <m/>
    <m/>
    <m/>
  </r>
  <r>
    <m/>
    <m/>
    <x v="135"/>
    <x v="51"/>
    <m/>
    <s v="“Arteria Hepatica Sınıflamasının Radyolojik Olarak İncelenmesi”"/>
    <m/>
    <m/>
    <m/>
    <m/>
    <m/>
    <m/>
    <m/>
    <m/>
    <m/>
    <m/>
  </r>
  <r>
    <m/>
    <m/>
    <x v="135"/>
    <x v="51"/>
    <m/>
    <s v="“Malign Kemik Lezyonlarının Tedavisinde Perkütan Osteosentez ve Sementoplastinin Rolü ve Tedavi Sonuçlarının Değerlendirilmesi”"/>
    <m/>
    <m/>
    <m/>
    <m/>
    <m/>
    <m/>
    <m/>
    <m/>
    <m/>
    <m/>
  </r>
  <r>
    <m/>
    <m/>
    <x v="135"/>
    <x v="51"/>
    <m/>
    <s v="“Ligamentum Falciforme Hepatis Radyolojik Anatomisi: Morfometri ve Yağ Dokusu İlişkisi”"/>
    <m/>
    <m/>
    <m/>
    <m/>
    <m/>
    <m/>
    <m/>
    <m/>
    <m/>
    <m/>
  </r>
  <r>
    <m/>
    <m/>
    <x v="135"/>
    <x v="51"/>
    <m/>
    <s v="“Kulak Burun Boğaz Hastalarının Cerrahi Müdahaleler Hakkında Sık Sordukları Sorulara Büyük Dil Modelleri ve Uzmanlarının Verdiği Cevapların Hasta Bakış Açısından Karşılaştırılması”"/>
    <m/>
    <m/>
    <m/>
    <m/>
    <m/>
    <m/>
    <m/>
    <m/>
    <m/>
    <m/>
  </r>
  <r>
    <m/>
    <m/>
    <x v="135"/>
    <x v="51"/>
    <m/>
    <s v="“Farklı Büyük Dil Modellerinin Benign Larinks Patolojileri Hakkındaki Sorulara Verdiği Cevapların Doğruluklarının Araştırılması”"/>
    <m/>
    <m/>
    <m/>
    <m/>
    <m/>
    <m/>
    <m/>
    <m/>
    <m/>
    <m/>
  </r>
  <r>
    <m/>
    <m/>
    <x v="135"/>
    <x v="51"/>
    <m/>
    <s v="“Plöroparenkimal Fibroelastozis Tanılı Pediatrik Olguların Klinik, Radyolojik ve Tanı Süreçlerinin Değerlendirilmesi: Üç Olguluk Retrospektif Vaka Serisi”"/>
    <m/>
    <m/>
    <m/>
    <m/>
    <m/>
    <m/>
    <m/>
    <m/>
    <m/>
    <m/>
  </r>
  <r>
    <m/>
    <m/>
    <x v="135"/>
    <x v="51"/>
    <m/>
    <s v="“İlaca Dirençli Epilepsisi Olan Erişkin Hastalarda Korpus Kallozotominin Uzun Dönem Sonuçları”"/>
    <m/>
    <m/>
    <m/>
    <m/>
    <m/>
    <m/>
    <m/>
    <m/>
    <m/>
    <m/>
  </r>
  <r>
    <m/>
    <m/>
    <x v="135"/>
    <x v="51"/>
    <m/>
    <s v="“Çocuk Yoğun Bakım Hastalarında Ferritin Yüksekliği Tespit Edilen Olguların İncelenmesi”"/>
    <m/>
    <m/>
    <m/>
    <m/>
    <m/>
    <m/>
    <m/>
    <m/>
    <m/>
    <m/>
  </r>
  <r>
    <m/>
    <m/>
    <x v="135"/>
    <x v="51"/>
    <m/>
    <s v="“Hacettepe Üniversitesi Tıp Fakültesi Genel Dahiliye Bilim Dalı Polikliniklerine Başvuran Diyabet, Hipertansiyon ve Hiperlipidemi Hastalarında İlaç Uyumunun Değerlendirilmesi”"/>
    <m/>
    <m/>
    <m/>
    <m/>
    <m/>
    <m/>
    <m/>
    <m/>
    <m/>
    <m/>
  </r>
  <r>
    <m/>
    <m/>
    <x v="135"/>
    <x v="51"/>
    <m/>
    <s v="“Ev Tipi İnvaziv Mekanik Ventilatör ile İzlenen Hastaların Değerlendirilmesi”"/>
    <m/>
    <m/>
    <m/>
    <m/>
    <m/>
    <m/>
    <m/>
    <m/>
    <m/>
    <m/>
  </r>
  <r>
    <m/>
    <m/>
    <x v="135"/>
    <x v="51"/>
    <m/>
    <s v="“Çocukluk Çağı Romatolojik Hastalıkları Nedeniyle Biyolojik Ajan Kullanan Hastalarda Pnömokok ve Meningokok Taşıyıcılığı”"/>
    <m/>
    <m/>
    <m/>
    <m/>
    <m/>
    <m/>
    <m/>
    <m/>
    <m/>
    <m/>
  </r>
  <r>
    <m/>
    <m/>
    <x v="135"/>
    <x v="51"/>
    <m/>
    <s v="“ECMO Uygulanan Hastalarda Akut Böbrek Hasarı Açısından Risk Faktörlerinin Değerlendirilmesi”"/>
    <m/>
    <m/>
    <m/>
    <m/>
    <m/>
    <m/>
    <m/>
    <m/>
    <m/>
    <m/>
  </r>
  <r>
    <m/>
    <m/>
    <x v="135"/>
    <x v="51"/>
    <m/>
    <s v="“Travma Olgularının Endovasküler Tedavilerle Yönetimi; Neredeyiz?”"/>
    <m/>
    <m/>
    <m/>
    <m/>
    <m/>
    <m/>
    <m/>
    <m/>
    <m/>
    <m/>
  </r>
  <r>
    <m/>
    <m/>
    <x v="135"/>
    <x v="51"/>
    <m/>
    <s v="“Kanal Tedavili Dişlerin Fraktür Direncinde Servikal Bariyer ve Kroniçi Ağartma Materyallerinin Rolü: Laboratuvar Çalışması”"/>
    <m/>
    <m/>
    <m/>
    <m/>
    <m/>
    <m/>
    <m/>
    <m/>
    <m/>
    <m/>
  </r>
  <r>
    <m/>
    <m/>
    <x v="135"/>
    <x v="51"/>
    <m/>
    <s v="“Akçaağaç Şurubu İdrar Hastalığında Nöropsikiyatrik Özellikler”"/>
    <m/>
    <m/>
    <m/>
    <m/>
    <m/>
    <m/>
    <m/>
    <m/>
    <m/>
    <m/>
  </r>
  <r>
    <m/>
    <m/>
    <x v="135"/>
    <x v="51"/>
    <m/>
    <s v="“Küçük Hücreli Dışı Akciğer Kanseri Hastalannda Pulmoner Rezeksiyonu Takiben Göğüs Tüpünün Erken Dönemde Çıkanlmasının Güvenlik ve Uygulama Yönünden Değerlendirilmesi”"/>
    <m/>
    <m/>
    <m/>
    <m/>
    <m/>
    <m/>
    <m/>
    <m/>
    <m/>
    <m/>
  </r>
  <r>
    <m/>
    <m/>
    <x v="135"/>
    <x v="51"/>
    <m/>
    <s v="“Portal Hipertansiyon Tanılı Çocuk Hastaların Uzun Süreli Klinik İzlem Sonuçları”"/>
    <m/>
    <m/>
    <m/>
    <m/>
    <m/>
    <m/>
    <m/>
    <m/>
    <m/>
    <m/>
  </r>
  <r>
    <m/>
    <m/>
    <x v="135"/>
    <x v="51"/>
    <m/>
    <s v="“Klinik Eczacıların Geriatrik Sendromlar Konusundaki Yaklaşımlarının Değerlendirilmesi”"/>
    <m/>
    <m/>
    <m/>
    <m/>
    <m/>
    <m/>
    <m/>
    <m/>
    <m/>
    <m/>
  </r>
  <r>
    <m/>
    <m/>
    <x v="135"/>
    <x v="51"/>
    <m/>
    <s v="“Primer Siliyer Diskinezi Hastalarında Beslenme Durumu ve Solunum Parametreleri İlişkisi: Kesitesel ve Takip Çalışması”"/>
    <m/>
    <m/>
    <m/>
    <m/>
    <m/>
    <m/>
    <m/>
    <m/>
    <m/>
    <m/>
  </r>
  <r>
    <m/>
    <m/>
    <x v="135"/>
    <x v="51"/>
    <m/>
    <s v="“2012 Revize Atlanta Sınıflamasına Göre Şiddetli Akut Pankreatitin Öngörülmesinde Ranson, BISAP ve APACHE-II Skorlarının Karşılaştırmalı Prognostik Doğruluğu: Sistematik Derleme ve Meta-Analiz”"/>
    <m/>
    <m/>
    <m/>
    <m/>
    <m/>
    <m/>
    <m/>
    <m/>
    <m/>
    <m/>
  </r>
  <r>
    <m/>
    <m/>
    <x v="135"/>
    <x v="51"/>
    <m/>
    <s v="“Eczacıların Farmakogenetik Testlere Yaklaşımı: Bilgi, Farkındalık ve Tutum Analizi”"/>
    <m/>
    <m/>
    <m/>
    <m/>
    <m/>
    <m/>
    <m/>
    <m/>
    <m/>
    <m/>
  </r>
  <r>
    <m/>
    <m/>
    <x v="135"/>
    <x v="51"/>
    <m/>
    <s v="“Belirsiz Gastrointestinal Kanaması Olan Hastalarda Kapsül Endoskopisinin Tanısal Sensitivitesi-Kapsamlı Tek Merkez Veri Analizi”"/>
    <m/>
    <m/>
    <m/>
    <m/>
    <m/>
    <m/>
    <m/>
    <m/>
    <m/>
    <m/>
  </r>
  <r>
    <m/>
    <m/>
    <x v="135"/>
    <x v="51"/>
    <m/>
    <s v="“Küçük Hücreli Dışı Akciğer Kanseri Tanılı Hastalarda Cerrahi Kapsam ve Tekniğin Postoperatif Akciğer Fonksiyonları Üzerine Etkisi”"/>
    <m/>
    <m/>
    <m/>
    <m/>
    <m/>
    <m/>
    <m/>
    <m/>
    <m/>
    <m/>
  </r>
  <r>
    <m/>
    <m/>
    <x v="135"/>
    <x v="51"/>
    <m/>
    <s v="“Mahrum Edilmiş Yas: Kürtaj Sonrası Kayıp Sürecinin Anlamlandırılması”"/>
    <m/>
    <m/>
    <m/>
    <m/>
    <m/>
    <m/>
    <m/>
    <m/>
    <m/>
    <m/>
  </r>
  <r>
    <m/>
    <m/>
    <x v="135"/>
    <x v="51"/>
    <m/>
    <s v="“Cinsiyet Uyuşmazlığı Nedeniyle Başvuran Kişilerin Sosyodemografik ve Klinik Özelliklerinin Zaman İçerisindeki Değişiminin İncelenmesi”"/>
    <m/>
    <m/>
    <m/>
    <m/>
    <m/>
    <m/>
    <m/>
    <m/>
    <m/>
    <m/>
  </r>
  <r>
    <m/>
    <m/>
    <x v="135"/>
    <x v="51"/>
    <m/>
    <s v="“Kistik Fibrozis Hastalarında CFTR Modülatör Tedavilerine Bağlı Yan Etkilerin Değerlendirilmesi: Üçüncü Basamak Bir Merkezden Deneyimler”"/>
    <m/>
    <m/>
    <m/>
    <m/>
    <m/>
    <m/>
    <m/>
    <m/>
    <m/>
    <m/>
  </r>
  <r>
    <m/>
    <m/>
    <x v="135"/>
    <x v="51"/>
    <m/>
    <s v="“Koklear İmplant Cerrahisi Sonrası Revizyon Geçirmiş Olgularda Revizyon Nedenlerinin İncelenmesi”"/>
    <m/>
    <m/>
    <m/>
    <m/>
    <m/>
    <m/>
    <m/>
    <m/>
    <m/>
    <m/>
  </r>
  <r>
    <m/>
    <m/>
    <x v="135"/>
    <x v="51"/>
    <m/>
    <s v="“Agresif ve Metastatik Pituiter Nöroendokrin Tümör Tanısı Alan Olguların Retrospektif İncelenmesi”"/>
    <m/>
    <m/>
    <m/>
    <m/>
    <m/>
    <m/>
    <m/>
    <m/>
    <m/>
    <m/>
  </r>
  <r>
    <m/>
    <m/>
    <x v="135"/>
    <x v="51"/>
    <m/>
    <s v="“Kistik Fibrozisli Cocuklarda Balgam Kolonizasyonu ile Ailelerin Enfeksiyon Kontrol Bilgi Düzeyi ve Sosyoekonomik Durumu Arasindaki İlişki”"/>
    <m/>
    <m/>
    <m/>
    <m/>
    <m/>
    <m/>
    <m/>
    <m/>
    <m/>
    <m/>
  </r>
  <r>
    <m/>
    <m/>
    <x v="135"/>
    <x v="51"/>
    <m/>
    <s v="“Coğrafik Atrofi Tanılı Hastalarda Derin Öğrenme Tabanlı Bilgisayarlı Görü Yöntemleriyle Bölütlenmesi ve 5 Yıllık Progresyonun Kestiriminin Değerlendirilmesi”"/>
    <m/>
    <m/>
    <m/>
    <m/>
    <m/>
    <m/>
    <m/>
    <m/>
    <m/>
    <m/>
  </r>
  <r>
    <m/>
    <m/>
    <x v="135"/>
    <x v="51"/>
    <m/>
    <s v="“Erişkin Kistik Fibrozis ve Primer Siliyer Diskinezi Olgularında Solunum Yolu Örneklerinden Nadir Küf Türlerinin İzolasyon Sıklığının ve Klinik Yansımalarının Değerlendirilmesi ”"/>
    <m/>
    <m/>
    <m/>
    <m/>
    <m/>
    <m/>
    <m/>
    <m/>
    <m/>
    <m/>
  </r>
  <r>
    <m/>
    <m/>
    <x v="135"/>
    <x v="51"/>
    <m/>
    <s v="“Trakeotomi Dekanülasyonu Yapılan Hastalarda Havayolu Basınçlarındaki ve Solunum İş Yükündeki Değişimin Bilgisayar Simülasyonu ile Değerlendirilmesi”"/>
    <m/>
    <m/>
    <m/>
    <m/>
    <m/>
    <m/>
    <m/>
    <m/>
    <m/>
    <m/>
  </r>
  <r>
    <m/>
    <m/>
    <x v="135"/>
    <x v="51"/>
    <m/>
    <s v="“Ani İdiyopatik İşitme Kaybı ile Koklear Ossifikasyonun İlişkisinin İncelenmesi”"/>
    <m/>
    <m/>
    <m/>
    <m/>
    <m/>
    <m/>
    <m/>
    <m/>
    <m/>
    <m/>
  </r>
  <r>
    <m/>
    <m/>
    <x v="135"/>
    <x v="51"/>
    <m/>
    <s v="“65 Yaş Üzeri Hastalarda Gereksiz Betahistin Kullanımının Araştırılması”"/>
    <m/>
    <m/>
    <m/>
    <m/>
    <m/>
    <m/>
    <m/>
    <m/>
    <m/>
    <m/>
  </r>
  <r>
    <m/>
    <m/>
    <x v="135"/>
    <x v="51"/>
    <m/>
    <s v="“Kafa Tabanı Osteomyeliti Hastalığının Tedavisinin Finansal Analizi”"/>
    <m/>
    <m/>
    <m/>
    <m/>
    <m/>
    <m/>
    <m/>
    <m/>
    <m/>
    <m/>
  </r>
  <r>
    <m/>
    <m/>
    <x v="135"/>
    <x v="51"/>
    <m/>
    <s v="“65 Yaş ve Üzeri Hastalarda Kısa Nütrisyonel İndekslerinin Tüm Nedenlere Bağlı Mortalite ile İlişkisi”"/>
    <m/>
    <m/>
    <m/>
    <m/>
    <m/>
    <m/>
    <m/>
    <m/>
    <m/>
    <m/>
  </r>
  <r>
    <m/>
    <m/>
    <x v="135"/>
    <x v="51"/>
    <m/>
    <s v="“Geriatri Polikliniği Hastalarında Farklı Kırılganlık İndekslerinin Tüm Nedenlere Bağlı Mortaliteyi Öngörme Etkilerinin Karşılaştırılması”"/>
    <m/>
    <m/>
    <m/>
    <m/>
    <m/>
    <m/>
    <m/>
    <m/>
    <m/>
    <m/>
  </r>
  <r>
    <m/>
    <m/>
    <x v="135"/>
    <x v="51"/>
    <m/>
    <s v="“Migrende Fonksiyonel Transkranial Doppler ultrasonografi”"/>
    <m/>
    <m/>
    <m/>
    <m/>
    <m/>
    <m/>
    <m/>
    <m/>
    <m/>
    <m/>
  </r>
  <r>
    <m/>
    <m/>
    <x v="135"/>
    <x v="51"/>
    <m/>
    <s v="“Avrupa Uyuşturucu Madde Acilleri İletişim Ağı Projesi - ‘European Drug Emergencies Network Plus (Euro-DEN Plus) Proiect’”"/>
    <m/>
    <m/>
    <m/>
    <m/>
    <m/>
    <m/>
    <m/>
    <m/>
    <m/>
    <m/>
  </r>
  <r>
    <m/>
    <m/>
    <x v="135"/>
    <x v="51"/>
    <m/>
    <s v="“D110H Mutasyonu Varhginda; Klinik Seyir Nasil Sekilleniyor?”"/>
    <m/>
    <m/>
    <m/>
    <m/>
    <m/>
    <m/>
    <m/>
    <m/>
    <m/>
    <m/>
  </r>
  <r>
    <m/>
    <m/>
    <x v="135"/>
    <x v="51"/>
    <m/>
    <s v="&quot;Jak İnhibitörlerinin Labaratuvar Parametreleri Üzerindeki Etkilerinin Zaman İçindeki Değişimi: 0., 3. ve 6. Ay Değerlendirmeleri&quot;"/>
    <m/>
    <m/>
    <m/>
    <m/>
    <m/>
    <m/>
    <m/>
    <m/>
    <m/>
    <m/>
  </r>
  <r>
    <m/>
    <m/>
    <x v="135"/>
    <x v="51"/>
    <m/>
    <s v="“Gebelikte Boğmaca Aşısının Uygulanma Haftası ile Doğumda Kord Kanında Anti-PT ve Anti-FHA IgG Düzeylerinin Karşılaştırılması: Prospektif Gözlemsel Çalışma”"/>
    <m/>
    <m/>
    <m/>
    <m/>
    <m/>
    <m/>
    <m/>
    <m/>
    <m/>
    <m/>
  </r>
  <r>
    <m/>
    <m/>
    <x v="135"/>
    <x v="51"/>
    <m/>
    <s v="“Neovasküler Yaşa Bağlı Makula Dejenerasyonunda Fibrotik Skar Özellikleri ve Tedavi Parametrelerinin Görme Keskinliği Üzerine Etkileri: Retrospektif Gözlemsel Bir Çalışma”"/>
    <m/>
    <m/>
    <m/>
    <m/>
    <m/>
    <m/>
    <m/>
    <m/>
    <m/>
    <m/>
  </r>
  <r>
    <m/>
    <m/>
    <x v="135"/>
    <x v="51"/>
    <m/>
    <s v="“Otoimmün Demiyelinizan Hastalıklar (MS, NMO, MOGAD)'a Bağlı Optik Nörit Geçiren Olgularda Mikroperimetri ve Patern Elektroretinografi ile Optik Sinir ile Makula Fonksiyonunun Değerlendirilmesi"/>
    <m/>
    <m/>
    <m/>
    <m/>
    <m/>
    <m/>
    <m/>
    <m/>
    <m/>
    <m/>
  </r>
  <r>
    <m/>
    <m/>
    <x v="135"/>
    <x v="51"/>
    <m/>
    <s v="“Doğal İmmünite Defektleri, Kombine İmmün Yetmezlikler ve İmmün Disregülasyonla Giden Primer İmmün Yetmezliklerin Genetik ve İleri İmmünolojik Yöntemlerle Araştırılması”"/>
    <m/>
    <m/>
    <m/>
    <m/>
    <m/>
    <m/>
    <m/>
    <m/>
    <m/>
    <m/>
  </r>
  <r>
    <m/>
    <m/>
    <x v="135"/>
    <x v="51"/>
    <m/>
    <s v="“Otizm Spektrum Bozukluğu ve Dikkat Eksikliği Hiperaktivite Bozukluğu Tanılı Çocuklarda İnflamasyon Hipotezinin Tam Kan Sayımı Parametreleri ile İncelenmesi”"/>
    <m/>
    <m/>
    <m/>
    <m/>
    <m/>
    <m/>
    <m/>
    <m/>
    <m/>
    <m/>
  </r>
  <r>
    <m/>
    <m/>
    <x v="135"/>
    <x v="51"/>
    <m/>
    <s v="“Kalıtsal Metabolik Hastalıklarda 1,5 Anhidroglusitol (1,5-AG) ve 1,5-Anhidroglusitol-fosfat (1,5-AG6P) Düzeylerinin Araştırılması''"/>
    <m/>
    <m/>
    <m/>
    <m/>
    <m/>
    <m/>
    <m/>
    <m/>
    <m/>
    <m/>
  </r>
  <r>
    <m/>
    <m/>
    <x v="135"/>
    <x v="51"/>
    <m/>
    <s v="“AVNRT Tanısı ile Ablasyon Uygulanan Çocuklarda Transozefagial Elektrofizyolojik Çalışmanin Nüksü Belirlemedeki Rolü''"/>
    <m/>
    <m/>
    <m/>
    <m/>
    <m/>
    <m/>
    <m/>
    <m/>
    <m/>
    <m/>
  </r>
  <r>
    <m/>
    <m/>
    <x v="135"/>
    <x v="51"/>
    <m/>
    <s v="“Çocuk Kardiyoloji Ünitesinde Uygulanan Farmakolojik Provakasyon Testlerinin Tanı Sürecindeki Rolü&quot;"/>
    <m/>
    <m/>
    <m/>
    <m/>
    <m/>
    <m/>
    <m/>
    <m/>
    <m/>
    <m/>
  </r>
  <r>
    <m/>
    <m/>
    <x v="135"/>
    <x v="51"/>
    <m/>
    <s v="“Çocuk Acil Polikliniğine Başvuran Skuter Kazalarının Retrospektif Değerlendirilmesi”"/>
    <m/>
    <m/>
    <m/>
    <m/>
    <m/>
    <m/>
    <m/>
    <m/>
    <m/>
    <m/>
  </r>
  <r>
    <m/>
    <m/>
    <x v="135"/>
    <x v="51"/>
    <m/>
    <s v="“Ankara Grup Başkanlığında Doğal Olmayan Yabancı Uyruklu Ölümlerin Değerlendirilmesi”"/>
    <m/>
    <m/>
    <m/>
    <m/>
    <m/>
    <m/>
    <m/>
    <m/>
    <m/>
    <m/>
  </r>
  <r>
    <m/>
    <m/>
    <x v="135"/>
    <x v="51"/>
    <m/>
    <s v="“Tıbbi Uygulama Hatası İddiası Bulunan Otopsi Vakalarının Medikolegal Açıdan Değerlendirilmesi”"/>
    <m/>
    <m/>
    <m/>
    <m/>
    <m/>
    <m/>
    <m/>
    <m/>
    <m/>
    <m/>
  </r>
  <r>
    <m/>
    <m/>
    <x v="135"/>
    <x v="51"/>
    <m/>
    <s v="“Aort Diseksiyonu ve Anevrizma Rüptürüne Bağlı Ölümler: Otopsi Çalışması”"/>
    <m/>
    <m/>
    <m/>
    <m/>
    <m/>
    <m/>
    <m/>
    <m/>
    <m/>
    <m/>
  </r>
  <r>
    <m/>
    <m/>
    <x v="135"/>
    <x v="51"/>
    <m/>
    <s v="“Asıya Bağlı Ölüm Olgularında Retina Kanamalarının İndirekt Fundoskopi ile Değerlendirilmesi”"/>
    <m/>
    <m/>
    <m/>
    <m/>
    <m/>
    <m/>
    <m/>
    <m/>
    <m/>
    <m/>
  </r>
  <r>
    <m/>
    <m/>
    <x v="135"/>
    <x v="51"/>
    <m/>
    <s v="“Boyun Diseksiyonu Yapılan Hastalarda En-Bloc Rezeksiyon Yöntemi ile Juguler Ven Split Rezeksiyon Yönteminin Karşılaştırılması”"/>
    <m/>
    <m/>
    <m/>
    <m/>
    <m/>
    <m/>
    <m/>
    <m/>
    <m/>
    <m/>
  </r>
  <r>
    <m/>
    <m/>
    <x v="135"/>
    <x v="51"/>
    <m/>
    <s v="“Human Papilloma Virus Aşısı Uygulanan Kadınlarda Serum Anti-Müllerian Hormon Düzeylerindeki Değişimin Değerlendirilmesi”"/>
    <m/>
    <m/>
    <m/>
    <m/>
    <m/>
    <m/>
    <m/>
    <m/>
    <m/>
    <m/>
  </r>
  <r>
    <m/>
    <m/>
    <x v="135"/>
    <x v="51"/>
    <m/>
    <s v="“Santral Sinir Sistemi Hastalıklarında Kappa Serbest Hafif Zincir İndeksinin Tanısal Değeri”"/>
    <m/>
    <m/>
    <m/>
    <m/>
    <m/>
    <m/>
    <m/>
    <m/>
    <m/>
    <m/>
  </r>
  <r>
    <m/>
    <m/>
    <x v="135"/>
    <x v="51"/>
    <m/>
    <s v="“Rotasyon Profilli Bilgisayarlı Tomografi Kullanılarak Oluşturulan Parametreler ile Radyografide Proksimal Femur Rotasyonunun Değerlendirilmesi ve Yapay Zekâ ile Analizi”"/>
    <m/>
    <m/>
    <m/>
    <m/>
    <m/>
    <m/>
    <m/>
    <m/>
    <m/>
    <m/>
  </r>
  <r>
    <m/>
    <m/>
    <x v="135"/>
    <x v="51"/>
    <m/>
    <s v="“Üniversite Öğrencilerinde Akıllı Telefon Bağımlılığı ile Dijital Sağlık Okuryazarlığı Arasındaki İlişkinin İncelenmesi: Tanımlayıcı Araştırma”"/>
    <m/>
    <m/>
    <m/>
    <m/>
    <m/>
    <m/>
    <m/>
    <m/>
    <m/>
    <m/>
  </r>
  <r>
    <m/>
    <m/>
    <x v="135"/>
    <x v="51"/>
    <m/>
    <s v="“Psikotik Bozukluklarda Tedaviye Direnç ve Klozapine Dirençle İlişkili Doğal Dil İşleme Değişkenlerinin ve Düşünce Süreci Bozukluklarının Değerlendirilmesi”"/>
    <m/>
    <m/>
    <m/>
    <m/>
    <m/>
    <m/>
    <m/>
    <m/>
    <m/>
    <m/>
  </r>
  <r>
    <m/>
    <m/>
    <x v="135"/>
    <x v="51"/>
    <m/>
    <s v="“Tek Taraflı Dudak ve Damak Yarığına Sahip Hastalarda Maksiller Ekspansiyon ve Yüz Maskesi Sonrası Oklüzyonun Değerlendirilmesinde İki Farklı İndeksin Karşılaştırılması”"/>
    <m/>
    <m/>
    <m/>
    <m/>
    <m/>
    <m/>
    <m/>
    <m/>
    <m/>
    <m/>
  </r>
  <r>
    <m/>
    <m/>
    <x v="135"/>
    <x v="51"/>
    <m/>
    <s v="“Relapsing Remitting Multipl Skleroz Tanılı Hastalarda Yaş Gruplarına Göre Kognitif Profil ve Görüntüleme Bulgularının Karşılaştırılması”"/>
    <m/>
    <m/>
    <m/>
    <m/>
    <m/>
    <m/>
    <m/>
    <m/>
    <m/>
    <m/>
  </r>
  <r>
    <m/>
    <m/>
    <x v="135"/>
    <x v="51"/>
    <m/>
    <s v="“Odontojenik Kist ve Tümörlerde Kortikal Perforasyon, Kemik Dolumu ve Rekürrens Oranlarının Volümetrik ve Kantitatif Değerlendirilmesi”"/>
    <m/>
    <m/>
    <m/>
    <m/>
    <m/>
    <m/>
    <m/>
    <m/>
    <m/>
    <m/>
  </r>
  <r>
    <m/>
    <m/>
    <x v="135"/>
    <x v="51"/>
    <m/>
    <s v="“Antimikrobiyal Dirençteki Değişimler: Bir Üçüncü Basamak Hastanesindeki 11 Yıllık Deneyim”"/>
    <m/>
    <m/>
    <m/>
    <m/>
    <m/>
    <m/>
    <m/>
    <m/>
    <m/>
    <m/>
  </r>
  <r>
    <m/>
    <m/>
    <x v="135"/>
    <x v="51"/>
    <m/>
    <s v="“Fertilite Koruyucu Tedavi Sonrası In Vitro Fertilizasyon Başarısını Etkileyen Faktörler: Endometrium Kanseri ve Endometrial Intraepitelyal Neoplazi Hastalarına Ait Retrospektif Veri Analizi”"/>
    <m/>
    <m/>
    <m/>
    <m/>
    <m/>
    <m/>
    <m/>
    <m/>
    <m/>
    <m/>
  </r>
  <r>
    <m/>
    <m/>
    <x v="135"/>
    <x v="51"/>
    <m/>
    <s v="“Temporomandibular Eklem Hipermobilitesinde Dekstroz Proloterapisinin Uzun Dönem Klinik Sonuçlarının Retrospektif Değerlendirilmesi”"/>
    <m/>
    <m/>
    <m/>
    <m/>
    <m/>
    <m/>
    <m/>
    <m/>
    <m/>
    <m/>
  </r>
  <r>
    <m/>
    <m/>
    <x v="135"/>
    <x v="51"/>
    <m/>
    <s v="“Duchenne Musküler Distrofi Tanısı ile Pediatrik Yaş Grubunda İzlenen Hastaların Solunum Bulgularının Retrospektif Olarak Değerlendirilmesi”"/>
    <m/>
    <m/>
    <m/>
    <m/>
    <m/>
    <m/>
    <m/>
    <m/>
    <m/>
    <m/>
  </r>
  <r>
    <m/>
    <m/>
    <x v="135"/>
    <x v="51"/>
    <m/>
    <s v="“Ergenlik Döneminde Yeme Bozukluğu Tanısı Almış Yetişkinlerde Ruhsal Hastalık Kimliği ve İyileşme: Nitel Bir Çalışma”"/>
    <m/>
    <m/>
    <m/>
    <m/>
    <m/>
    <m/>
    <m/>
    <m/>
    <m/>
    <m/>
  </r>
  <r>
    <m/>
    <m/>
    <x v="135"/>
    <x v="51"/>
    <m/>
    <s v="“Triple X Sendromlu Hastalarda Demografik, Fenotipik ve Gelişimsel Özelliklerin Değerlendirilmesi”"/>
    <m/>
    <m/>
    <m/>
    <m/>
    <m/>
    <m/>
    <m/>
    <m/>
    <m/>
    <m/>
  </r>
  <r>
    <m/>
    <m/>
    <x v="135"/>
    <x v="51"/>
    <m/>
    <s v="“Yaşlı Yetişkinlerde İnflamasyon Belirteçleri ile Bilişsel İşlevler Arasındaki İlişki”"/>
    <m/>
    <m/>
    <m/>
    <m/>
    <m/>
    <m/>
    <m/>
    <m/>
    <m/>
    <m/>
  </r>
  <r>
    <m/>
    <m/>
    <x v="135"/>
    <x v="51"/>
    <m/>
    <s v="“Erişkinlerde HPV Aşısına Yönelik Tutum, Okuryazarlık ve Ulusal Programa Dahil Edilmesine İlişkin Görüşler”"/>
    <m/>
    <m/>
    <m/>
    <m/>
    <m/>
    <m/>
    <m/>
    <m/>
    <m/>
    <m/>
  </r>
  <r>
    <m/>
    <m/>
    <x v="135"/>
    <x v="51"/>
    <m/>
    <s v="“.Hacettepe Üniversitesi Erişkin ve Onkoloji Hastanelerinde 2017-2025 Yılları Arasında Karbapenem Dirençli Enterobacteriacea Kolonizasyonu ve Takiben İnfeksiyonu Gelişen Hastaların Analizi”"/>
    <m/>
    <m/>
    <m/>
    <m/>
    <m/>
    <m/>
    <m/>
    <m/>
    <m/>
    <m/>
  </r>
  <r>
    <m/>
    <m/>
    <x v="135"/>
    <x v="51"/>
    <m/>
    <s v="&quot;Senil Presbiakuzi ve Sarkopeni Arasındaki İlişkinin İncelenmesi”"/>
    <m/>
    <m/>
    <m/>
    <m/>
    <m/>
    <m/>
    <m/>
    <m/>
    <m/>
    <m/>
  </r>
  <r>
    <m/>
    <m/>
    <x v="135"/>
    <x v="51"/>
    <m/>
    <s v="“Fallot Tetralojisi Hastalarında Kardiyolojik Özellikler ve Uzun Dönem Sonuçlarının Retrospektif Değerlendirilmesi”"/>
    <m/>
    <m/>
    <m/>
    <m/>
    <m/>
    <m/>
    <m/>
    <m/>
    <m/>
    <m/>
  </r>
  <r>
    <m/>
    <m/>
    <x v="135"/>
    <x v="51"/>
    <m/>
    <s v="“Propionik Asidemi Tanılı Hastaların Kardiyak Özelliklerinin Retrospektif Değerlendirilmesi”"/>
    <m/>
    <m/>
    <m/>
    <m/>
    <m/>
    <m/>
    <m/>
    <m/>
    <m/>
    <m/>
  </r>
  <r>
    <m/>
    <m/>
    <x v="135"/>
    <x v="51"/>
    <m/>
    <s v="“Pulmoner Arter Agenezisi ve/veya Hipoplazisi Olan Hastaların Retrospektif Değerlendirilmesi”"/>
    <m/>
    <m/>
    <m/>
    <m/>
    <m/>
    <m/>
    <m/>
    <m/>
    <m/>
    <m/>
  </r>
  <r>
    <m/>
    <m/>
    <x v="135"/>
    <x v="51"/>
    <m/>
    <s v="“Sistemik Venöz Dönüş Anomalisi Olan Hastaların Retrospektif Değerlendirilmesi”"/>
    <m/>
    <m/>
    <m/>
    <m/>
    <m/>
    <m/>
    <m/>
    <m/>
    <m/>
    <m/>
  </r>
  <r>
    <m/>
    <m/>
    <x v="135"/>
    <x v="51"/>
    <m/>
    <s v="“Transkateter Pulmoner Kapak İmplantasyonunun Kardiyopulmoner Egzersiz Kapasitesi Üzerine Etkisinin Retrospektif Analizi''"/>
    <m/>
    <m/>
    <m/>
    <m/>
    <m/>
    <m/>
    <m/>
    <m/>
    <m/>
    <m/>
  </r>
  <r>
    <m/>
    <m/>
    <x v="135"/>
    <x v="51"/>
    <m/>
    <s v="“Kardiyovasküler-Renal-Metabolik Sendromda Malnütrisyon ve Sarkopeni”"/>
    <m/>
    <m/>
    <m/>
    <m/>
    <m/>
    <m/>
    <m/>
    <m/>
    <m/>
    <m/>
  </r>
  <r>
    <m/>
    <m/>
    <x v="135"/>
    <x v="51"/>
    <m/>
    <s v="&quot;Platin Bazlı Kemoterapi Ajanları ile Hızlı İlaç Desensitizasyonuna İlişkin Tek Merkez Deneyimimiz &quot;"/>
    <m/>
    <m/>
    <m/>
    <m/>
    <m/>
    <m/>
    <m/>
    <m/>
    <m/>
    <m/>
  </r>
  <r>
    <m/>
    <m/>
    <x v="135"/>
    <x v="51"/>
    <m/>
    <s v="“Bilateral Vokal Kord Paralizisi Nedeniyle Parsiyel veya Total Aritenoidektomi Yapılan Hastalarda Vücut Kitle Endeksinin Dispne Üzerine Etkisi”"/>
    <m/>
    <m/>
    <m/>
    <m/>
    <m/>
    <m/>
    <m/>
    <m/>
    <m/>
    <m/>
  </r>
  <r>
    <m/>
    <m/>
    <x v="135"/>
    <x v="51"/>
    <m/>
    <s v="“Patolojik Miyopi Hastalarının Retina Bulgularının Uzun Dönem Takip Sonuçları”"/>
    <m/>
    <m/>
    <m/>
    <m/>
    <m/>
    <m/>
    <m/>
    <m/>
    <m/>
    <m/>
  </r>
  <r>
    <m/>
    <m/>
    <x v="135"/>
    <x v="51"/>
    <m/>
    <s v="“Kolorektal Karsinogenezde THY1 İfadesinin Patoloji Arşiv Materyallerinde Değerlendirilmesi”"/>
    <m/>
    <m/>
    <m/>
    <m/>
    <m/>
    <m/>
    <m/>
    <m/>
    <m/>
    <m/>
  </r>
  <r>
    <m/>
    <m/>
    <x v="135"/>
    <x v="51"/>
    <m/>
    <s v="“Çocuklarda Budd-Chiari Sendromu: Tek Merkez Deneyimi”"/>
    <m/>
    <m/>
    <m/>
    <m/>
    <m/>
    <m/>
    <m/>
    <m/>
    <m/>
    <m/>
  </r>
  <r>
    <m/>
    <m/>
    <x v="135"/>
    <x v="51"/>
    <m/>
    <s v="“İç Hastalıkları Servislerinde Yatan 65 Yaş ve Üstü Hastaların Yatış anında Kullandığı İlaçlar ve Taburculuk Reçetelerinin Beers (2023), Stopp/Start V3, TIME (2020) Kriterlerine Göre İncelenmesi”"/>
    <m/>
    <m/>
    <m/>
    <m/>
    <m/>
    <m/>
    <m/>
    <m/>
    <m/>
    <m/>
  </r>
  <r>
    <m/>
    <m/>
    <x v="135"/>
    <x v="51"/>
    <m/>
    <s v="“Motor Beceri Zorlukları Özgül Öğrenme Bozukluğu İçin Fenotipik Bir Belirteç Olabilir mi? Motor Performansın Postürografik Analizi ve Bilişsel Becerilerle İlişkisi”"/>
    <m/>
    <m/>
    <m/>
    <m/>
    <m/>
    <m/>
    <m/>
    <m/>
    <m/>
    <m/>
  </r>
  <r>
    <m/>
    <m/>
    <x v="135"/>
    <x v="51"/>
    <m/>
    <s v="“Kanser Hastalarının Cepten Sağlık Harcamalarının Finansal Yükü ve Sağlık Hizmeti Kullanımı ve Sağlık Sonuçlarıyla İlişkisi”"/>
    <m/>
    <m/>
    <m/>
    <m/>
    <m/>
    <m/>
    <m/>
    <m/>
    <m/>
    <m/>
  </r>
  <r>
    <m/>
    <m/>
    <x v="135"/>
    <x v="51"/>
    <m/>
    <s v="“Çocukluk Çağı Vaskülitlerinde Serum/Plazma Metabolomik Profilinin İncelenmesi: Tanısal ve Klinik İlişkilerin Değerlendirilmesi”"/>
    <m/>
    <m/>
    <m/>
    <m/>
    <m/>
    <m/>
    <m/>
    <m/>
    <m/>
    <m/>
  </r>
  <r>
    <m/>
    <m/>
    <x v="135"/>
    <x v="51"/>
    <m/>
    <s v="“Dikkat Eksikliği ve Hiperaktivite Bozukluğu Tanılı Ergenlerde Çocukluk Çağı Olumsuz Yaşantılarının Klinik Görünüm ve İnflamatuar Biyobelirteçlerle İlişkisi”"/>
    <m/>
    <m/>
    <m/>
    <m/>
    <m/>
    <m/>
    <m/>
    <m/>
    <m/>
    <m/>
  </r>
  <r>
    <m/>
    <m/>
    <x v="135"/>
    <x v="51"/>
    <m/>
    <s v="“Primer Diz Artroplastisi Yapılan Hastaların VKİ Oranlarının Uzun Dönem Klinik ve Fonksiyonel Sonuçlara Etkisi”"/>
    <m/>
    <m/>
    <m/>
    <m/>
    <m/>
    <m/>
    <m/>
    <m/>
    <m/>
    <m/>
  </r>
  <r>
    <m/>
    <m/>
    <x v="135"/>
    <x v="51"/>
    <m/>
    <s v="“Total Diz Artroplastisinde Posterior Tibial Eğim ve Posterior Kondiler Ofset: Gerçekten Önemli Mi?”"/>
    <m/>
    <m/>
    <m/>
    <m/>
    <m/>
    <m/>
    <m/>
    <m/>
    <m/>
    <m/>
  </r>
  <r>
    <m/>
    <m/>
    <x v="135"/>
    <x v="51"/>
    <m/>
    <s v="“Ergenlerde Sağlık Alanında Yapay Zekâ Kullanım Ölçeği’ ve ‘Ebeveynin Çocuğunun Sağlığı ile İlgili Yapay Zekâ Kullanım Ölçeği’nin Geliştirilmesi ve Değerlendirilmesi”"/>
    <m/>
    <m/>
    <m/>
    <m/>
    <m/>
    <m/>
    <m/>
    <m/>
    <m/>
    <m/>
  </r>
  <r>
    <m/>
    <m/>
    <x v="135"/>
    <x v="51"/>
    <m/>
    <s v="“Hipopitüitarizmli Erişkin Hastalarda Morbidite ve Mortaliteyi Etkileyen Faktörler: Retrospektif Değerlendirme”"/>
    <m/>
    <m/>
    <m/>
    <m/>
    <m/>
    <m/>
    <m/>
    <m/>
    <m/>
    <m/>
  </r>
  <r>
    <m/>
    <m/>
    <x v="135"/>
    <x v="51"/>
    <m/>
    <s v="“Primer Hipofizit (Otoimmün ve IgG4 İlişkili) Olgularının Uzun Dönem Klinik Seyri”"/>
    <m/>
    <m/>
    <m/>
    <m/>
    <m/>
    <m/>
    <m/>
    <m/>
    <m/>
    <m/>
  </r>
  <r>
    <m/>
    <m/>
    <x v="135"/>
    <x v="51"/>
    <m/>
    <s v="“İdiopatik Pulmoner Fibrozisin Akut Alevlenmeleri için Hidrojen Sülfür Tedavisinin Etkilerinin Değerlendirilmesi&quot;"/>
    <m/>
    <m/>
    <m/>
    <m/>
    <m/>
    <m/>
    <m/>
    <m/>
    <m/>
    <m/>
  </r>
  <r>
    <m/>
    <m/>
    <x v="135"/>
    <x v="51"/>
    <m/>
    <s v="“Çocukluk Çağı Poliarteritis Nodosa Hastalarının Değerlendirilmesi”"/>
    <m/>
    <m/>
    <m/>
    <m/>
    <m/>
    <m/>
    <m/>
    <m/>
    <m/>
    <m/>
  </r>
  <r>
    <m/>
    <m/>
    <x v="135"/>
    <x v="51"/>
    <m/>
    <s v="“Konjonktival Melanomlarda ATRX, PDL-1 ve p16 İmmünohistokimyasal Ekspresyonlarının Klinikopatolojik Parametrelerle Korelasyonu”"/>
    <m/>
    <m/>
    <m/>
    <m/>
    <m/>
    <m/>
    <m/>
    <m/>
    <m/>
    <m/>
  </r>
  <r>
    <m/>
    <m/>
    <x v="135"/>
    <x v="51"/>
    <m/>
    <s v="“Geriatri Popülasyonda eGFR Tahmin Denklemleri Arasındaki Uyumun ve Tahmin Hatalarına Etki Eden Faktörlerin Değerlendirilmesi”"/>
    <m/>
    <m/>
    <m/>
    <m/>
    <m/>
    <m/>
    <m/>
    <m/>
    <m/>
    <m/>
  </r>
  <r>
    <m/>
    <m/>
    <x v="135"/>
    <x v="51"/>
    <m/>
    <s v="“Geriatrik Hastalarda Telefon Bağımlılığının Geriatrik Sendromlarla İlişkisi”"/>
    <m/>
    <m/>
    <m/>
    <m/>
    <m/>
    <m/>
    <m/>
    <m/>
    <m/>
    <m/>
  </r>
  <r>
    <m/>
    <m/>
    <x v="135"/>
    <x v="51"/>
    <m/>
    <s v="“Mekanik Ventilatörden Ayırmada T-tüp Denemesi Uygulanan Hastalarda Hemodinami Parametrelerinin Değişimlerinin Gözlenmesi”"/>
    <m/>
    <m/>
    <m/>
    <m/>
    <m/>
    <m/>
    <m/>
    <m/>
    <m/>
    <m/>
  </r>
  <r>
    <m/>
    <m/>
    <x v="135"/>
    <x v="51"/>
    <m/>
    <s v="“Bilateral Testis Germ Hücreli Tümörler: Hacettepe Üniversitesi Üroloji Anabilim Dalı'nın 40 Yıllık Deneyimi”"/>
    <m/>
    <m/>
    <m/>
    <m/>
    <m/>
    <m/>
    <m/>
    <m/>
    <m/>
    <m/>
  </r>
  <r>
    <m/>
    <m/>
    <x v="135"/>
    <x v="51"/>
    <m/>
    <s v="“Çocuklarda Fasiküler Ventriküler Aritmi ve Transkateter Ablasyon Uygulaması Deneyimlerimiz”"/>
    <m/>
    <m/>
    <m/>
    <m/>
    <m/>
    <m/>
    <m/>
    <m/>
    <m/>
    <m/>
  </r>
  <r>
    <m/>
    <m/>
    <x v="135"/>
    <x v="51"/>
    <m/>
    <s v="“Ventriküler Erken Vuru Olan Çocuk Hastalarda Transkateter Ablasyon Sonuçlarımız”"/>
    <m/>
    <m/>
    <m/>
    <m/>
    <m/>
    <m/>
    <m/>
    <m/>
    <m/>
    <m/>
  </r>
  <r>
    <m/>
    <m/>
    <x v="135"/>
    <x v="51"/>
    <m/>
    <s v="''Buğday Alerjisi Olan Çocuklarda Oral İmmünoterapi ve Besinden Kaçınma Yaklaşımlarının Beslenme Durumu ve Yaşam Kalitesi Üzerine Etkilerinin Karşılaştırılması''"/>
    <m/>
    <m/>
    <m/>
    <m/>
    <m/>
    <m/>
    <m/>
    <m/>
    <m/>
    <m/>
  </r>
  <r>
    <m/>
    <m/>
    <x v="135"/>
    <x v="51"/>
    <m/>
    <s v="“Seksen Beş Yaş ve Üzeri Geriatrik Hastalarda İntrinsik Kapasite Değişimi, İyileşme Paternleri ve Klinik Sonuçları; Retrospektif Kohort Çalışması”"/>
    <m/>
    <m/>
    <m/>
    <m/>
    <m/>
    <m/>
    <m/>
    <m/>
    <m/>
    <m/>
  </r>
  <r>
    <m/>
    <m/>
    <x v="135"/>
    <x v="51"/>
    <m/>
    <s v="“Kanal Tedavisi Yenileme İşlemine Maruz Kalan Dişlerin Kırılma Dayanımında Ağartmanın Etkisi”"/>
    <m/>
    <m/>
    <m/>
    <m/>
    <m/>
    <m/>
    <m/>
    <m/>
    <m/>
    <m/>
  </r>
  <r>
    <m/>
    <m/>
    <x v="135"/>
    <x v="51"/>
    <m/>
    <s v="“DEHB Tanılı Çocuklarda KOKGB Eşlik Etme Durumuna Göre İrritabilite ve Ödül Sisteminin Fonksiyonel MRG ile İncelenmesi”"/>
    <m/>
    <m/>
    <m/>
    <m/>
    <m/>
    <m/>
    <m/>
    <m/>
    <m/>
    <m/>
  </r>
  <r>
    <m/>
    <m/>
    <x v="135"/>
    <x v="51"/>
    <m/>
    <s v="“Diş Hekimliği Son Sınıf Öğrencilerinin Acil Tıbbi Durumlar Bağlamında Algılanan Güven ve Bilgi Düzeylerinin Değerlendirilmesi”"/>
    <m/>
    <m/>
    <m/>
    <m/>
    <m/>
    <m/>
    <m/>
    <m/>
    <m/>
    <m/>
  </r>
  <r>
    <m/>
    <m/>
    <x v="135"/>
    <x v="51"/>
    <m/>
    <s v="“Melanom Hastalarında Kiraz Anjiyom Sıklığının ve Kiraz Anjiyomların Gelişiminde VEGF ile VEGF Reseptörlerinin Doku ve Serum Düzeyinde Değerlendirilmesi”"/>
    <m/>
    <m/>
    <m/>
    <m/>
    <m/>
    <m/>
    <m/>
    <m/>
    <m/>
    <m/>
  </r>
  <r>
    <m/>
    <m/>
    <x v="135"/>
    <x v="51"/>
    <m/>
    <s v="“Takayasu Arteriti Hastalığında Oftalmolojik Bulguların Değerlendirilmesi”"/>
    <m/>
    <m/>
    <m/>
    <m/>
    <m/>
    <m/>
    <m/>
    <m/>
    <m/>
    <m/>
  </r>
  <r>
    <m/>
    <m/>
    <x v="135"/>
    <x v="51"/>
    <m/>
    <s v="“Hacettepe Üniversitesi Tıp Fakültesi Öğrencilerinin Geriatri Eğitim ve İlgi Düzeylerinin Değerlendirilmesi”"/>
    <m/>
    <m/>
    <m/>
    <m/>
    <m/>
    <m/>
    <m/>
    <m/>
    <m/>
    <m/>
  </r>
  <r>
    <m/>
    <m/>
    <x v="135"/>
    <x v="51"/>
    <m/>
    <s v="“Acil Serviste İntrakraniyal Merkezi Sinir Sistemi Enfeksiyonu Tanısı Konulan Hastalarda Hipokampüs Hacimlerinin Klinik Seyir Tahminindeki Rolü”"/>
    <m/>
    <m/>
    <m/>
    <m/>
    <m/>
    <m/>
    <m/>
    <m/>
    <m/>
    <m/>
  </r>
  <r>
    <m/>
    <m/>
    <x v="135"/>
    <x v="51"/>
    <m/>
    <s v="“TRVaS Türkiye Vaskülit Çalışma Grubu Prospektif, Gözlemsel Veritabanı Devam Çalışması”"/>
    <m/>
    <m/>
    <m/>
    <m/>
    <m/>
    <m/>
    <m/>
    <m/>
    <m/>
    <m/>
  </r>
  <r>
    <m/>
    <m/>
    <x v="135"/>
    <x v="51"/>
    <m/>
    <s v="“Cinsiyet Uyuşmazlığı Tanısı Konulan Kişilerde Otizm Spektrumu Özelliklerinin Klinik Gereksinimler ve Psikososyal İyilik Hali ile İlişkisi”"/>
    <m/>
    <m/>
    <m/>
    <m/>
    <m/>
    <m/>
    <m/>
    <m/>
    <m/>
    <m/>
  </r>
  <r>
    <m/>
    <m/>
    <x v="135"/>
    <x v="51"/>
    <m/>
    <s v="“Hemodiyaliz Sırasında Gelişen İntradialitik Hipotansiyonun Klinik ve Hemodinamik Belirteçlerle İlişkisinin Retrospektif İncelenmesi”"/>
    <m/>
    <m/>
    <m/>
    <m/>
    <m/>
    <m/>
    <m/>
    <m/>
    <m/>
    <m/>
  </r>
  <r>
    <m/>
    <m/>
    <x v="135"/>
    <x v="51"/>
    <m/>
    <s v="“Hyalüronik Asit, ß-Glukan, Centella Asiatica, Coriolus Versicolor, Neem, BioEcolia®, Aloe Vera İçeren Doğal İçerikli Vajinal Jel Papilocare® Kullanımının HPV Pozitif Kadınlarda Viral Klirense Etkisinin Retrospektif Olarak Araştırılması”"/>
    <m/>
    <m/>
    <m/>
    <m/>
    <m/>
    <m/>
    <m/>
    <m/>
    <m/>
    <m/>
  </r>
  <r>
    <m/>
    <m/>
    <x v="135"/>
    <x v="51"/>
    <m/>
    <s v="“İşitme Kaybı Olan Hastalarda Hipopigmentasyon Bozukluklarının İncelenmesi”"/>
    <m/>
    <m/>
    <m/>
    <m/>
    <m/>
    <m/>
    <m/>
    <m/>
    <m/>
    <m/>
  </r>
  <r>
    <m/>
    <m/>
    <x v="135"/>
    <x v="51"/>
    <m/>
    <s v="“Ramus Intermedius Arteriae Hepaticae Sınıflamasının Radyolojik Olarak İncelenmesi”"/>
    <m/>
    <m/>
    <m/>
    <m/>
    <m/>
    <m/>
    <m/>
    <m/>
    <m/>
    <m/>
  </r>
  <r>
    <m/>
    <m/>
    <x v="135"/>
    <x v="51"/>
    <m/>
    <s v="“Saçlı Hücreli Lösemi Hastalarının Tanı Anındaki Klinik, Laboratuvar Parametrelerinin Prognostik, Sağ Kalım ve Tedaviye Yanıt Durumları Açısından Değerlendirilmesi”"/>
    <m/>
    <m/>
    <m/>
    <m/>
    <m/>
    <m/>
    <m/>
    <m/>
    <m/>
    <m/>
  </r>
  <r>
    <m/>
    <m/>
    <x v="135"/>
    <x v="51"/>
    <m/>
    <s v="“Hastane Yatışının Adolesanlarda Ekran Kullanımı Üzerine Etkisi”"/>
    <m/>
    <m/>
    <m/>
    <m/>
    <m/>
    <m/>
    <m/>
    <m/>
    <m/>
    <m/>
  </r>
  <r>
    <m/>
    <m/>
    <x v="135"/>
    <x v="51"/>
    <m/>
    <s v="“Amiyotrofik Lateral Skleroz Hastalarında İpsilateral Transkraniyal Manyetik Uyarım Ölçütleri”"/>
    <m/>
    <m/>
    <m/>
    <m/>
    <m/>
    <m/>
    <m/>
    <m/>
    <m/>
    <m/>
  </r>
  <r>
    <m/>
    <m/>
    <x v="135"/>
    <x v="51"/>
    <m/>
    <s v="“Obez Hastalarda Antimikrobiyal Tedavide Terapötik İlaç Düzeyi İzlemi: Prospektif Gözlemsel Bir Çalışma”"/>
    <m/>
    <m/>
    <m/>
    <m/>
    <m/>
    <m/>
    <m/>
    <m/>
    <m/>
    <m/>
  </r>
  <r>
    <m/>
    <m/>
    <x v="135"/>
    <x v="51"/>
    <m/>
    <s v="“Kadınların Gebelikte Uygulanan Dental ve Radyolojik İşlemler ile Ağız Sağlığına Dair Farkındalık ve Algısı: Anket Temelli Kesitsel Bir Çalışma”"/>
    <m/>
    <m/>
    <m/>
    <m/>
    <m/>
    <m/>
    <m/>
    <m/>
    <m/>
    <m/>
  </r>
  <r>
    <m/>
    <m/>
    <x v="135"/>
    <x v="51"/>
    <m/>
    <s v="“Yeni Nesil Girişimsiz Kapiller Anjiyografi Sisteminin Tasarım Doğrulama Numunesinin Geliştirilmesi ve Sistemin İşlevsellik Değerlendirmesi”"/>
    <m/>
    <m/>
    <m/>
    <m/>
    <m/>
    <m/>
    <m/>
    <m/>
    <m/>
    <m/>
  </r>
  <r>
    <m/>
    <m/>
    <x v="135"/>
    <x v="51"/>
    <m/>
    <s v="&quot;Kronik Böbrek Hastalığının Teşhisi: Bir Makine Öğrenmesi Uygulaması&quot;"/>
    <m/>
    <m/>
    <m/>
    <m/>
    <m/>
    <m/>
    <m/>
    <m/>
    <m/>
    <m/>
  </r>
  <r>
    <m/>
    <m/>
    <x v="135"/>
    <x v="51"/>
    <m/>
    <s v="“Orta-Şiddetli Kronik Plak Tipi Psöriazis Nedeniyle TNF-α İnhibitörü, IL-17 İnhibitörü veya IL-23 İnhibitörü Tedavisi Kullanan Hastalarda, Aynı Grup İçindeki Biyolojik Ajan Değişiminin Değerlendirilmesi”"/>
    <m/>
    <m/>
    <m/>
    <m/>
    <m/>
    <m/>
    <m/>
    <m/>
    <m/>
    <m/>
  </r>
  <r>
    <m/>
    <m/>
    <x v="135"/>
    <x v="51"/>
    <m/>
    <s v="“Üniversiteler Arası Ragbi Turnuvasında Yaralanma ve Semptomların Retrospektif Analizi: Meteorolojik Veriler ile Karşılaştırmalı Değerlendirme”"/>
    <m/>
    <m/>
    <m/>
    <m/>
    <m/>
    <m/>
    <m/>
    <m/>
    <m/>
    <m/>
  </r>
  <r>
    <m/>
    <m/>
    <x v="135"/>
    <x v="51"/>
    <m/>
    <s v="“Hipertansiyon Tedavisine İlişkin YouTube Videolarının DISCERN Kriterleriyle Değerlendirilmesinde Manuel ve Yapay Zekâ Değerlendiricileri Arasındaki Uyum”"/>
    <m/>
    <m/>
    <m/>
    <m/>
    <m/>
    <m/>
    <m/>
    <m/>
    <m/>
    <m/>
  </r>
  <r>
    <m/>
    <m/>
    <x v="135"/>
    <x v="51"/>
    <m/>
    <s v="“Mesleki Kurşun İntoksikasyonu için Etilendiamintetraasetik Asit (EDTA) Şelasyon Tedavisi Alan Hastalarda Eser Element Düzeylerinin Retrospektif Değerlendirilmesi”"/>
    <m/>
    <m/>
    <m/>
    <m/>
    <m/>
    <m/>
    <m/>
    <m/>
    <m/>
    <m/>
  </r>
  <r>
    <m/>
    <m/>
    <x v="135"/>
    <x v="51"/>
    <m/>
    <s v="“Denosumab Alan Geriatrik Hastaların İlaç Uyumunun Değerlendirilmesi ve ilaç Uyum Sonuçlarının Osteoporoz Üzerine Olan Etkisi”"/>
    <m/>
    <m/>
    <m/>
    <m/>
    <m/>
    <m/>
    <m/>
    <m/>
    <m/>
    <m/>
  </r>
  <r>
    <m/>
    <m/>
    <x v="135"/>
    <x v="51"/>
    <m/>
    <s v="“İç Hastalıkları Yoğun Bakım Ünitesinde İzlenen Hastaların Retrospektif Değerlendirilmesi”"/>
    <m/>
    <m/>
    <m/>
    <m/>
    <m/>
    <m/>
    <m/>
    <m/>
    <m/>
    <m/>
  </r>
  <r>
    <m/>
    <m/>
    <x v="135"/>
    <x v="51"/>
    <m/>
    <s v="“Borderline Over Tümörlerinde Fertilite Koruyucu Cerrahi Yaklaşımlar, İntraoperatif Frozen İncelemenin Nihai Patoloji ile Uyumluluğu ve Sağ Kalım Verilerinin Tek Merkez Çok Yönlü Retrospektif İncelenmesi”"/>
    <m/>
    <m/>
    <m/>
    <m/>
    <m/>
    <m/>
    <m/>
    <m/>
    <m/>
    <m/>
  </r>
  <r>
    <m/>
    <m/>
    <x v="135"/>
    <x v="51"/>
    <m/>
    <s v="“Over Kanseri Hastalarında Uygulanan Tedavi Stratejilerinin, Tedavi Yanıtı Öngörücü Parametrelerin, Sağ Kalım ve Nüks Paternlerinin Çok Yönlü Analizi”"/>
    <m/>
    <m/>
    <m/>
    <m/>
    <m/>
    <m/>
    <m/>
    <m/>
    <m/>
    <m/>
  </r>
  <r>
    <m/>
    <m/>
    <x v="135"/>
    <x v="51"/>
    <m/>
    <s v="“MuItidisipliner KBB-Onkoloji Konseyinde Tartışılan Larinks Kanserli Hastalarda Klasifikasyon ve Sağkalım Değerlendirmede Yapay Zeka Temelli Tahmin Modeli Oluşturmak”"/>
    <m/>
    <m/>
    <m/>
    <m/>
    <m/>
    <m/>
    <m/>
    <m/>
    <m/>
    <m/>
  </r>
  <r>
    <m/>
    <m/>
    <x v="135"/>
    <x v="51"/>
    <m/>
    <s v="“Video-EEG Monitorizasyonunda İzlenen Status Epileptikus ve Küme Tip Nöbetlerin Elektrokli̇ni̇k Özellikleri”"/>
    <m/>
    <m/>
    <m/>
    <m/>
    <m/>
    <m/>
    <m/>
    <m/>
    <m/>
    <m/>
  </r>
  <r>
    <m/>
    <m/>
    <x v="135"/>
    <x v="51"/>
    <m/>
    <s v="“Sağlıkta Kalite Standartları Değerlendiricilerinin Sağlık Teknolojilerini Değerlendirme Konusundaki Tutumları”"/>
    <m/>
    <m/>
    <m/>
    <m/>
    <m/>
    <m/>
    <m/>
    <m/>
    <m/>
    <m/>
  </r>
  <r>
    <m/>
    <m/>
    <x v="135"/>
    <x v="51"/>
    <m/>
    <s v="“Nasal Septal Perforasyonlu Hastalarda NOSE-Perf Ölçeğinin Türkçe Uyarlamasının Geçerlilik ve Güvenilirlik Analizi”"/>
    <m/>
    <m/>
    <m/>
    <m/>
    <m/>
    <m/>
    <m/>
    <m/>
    <m/>
    <m/>
  </r>
  <r>
    <m/>
    <m/>
    <x v="135"/>
    <x v="51"/>
    <m/>
    <s v="“Sanal Karaciğer Biyopsisi- Metabolik Hastalık İlişkili Yağlı Karaciğer Hastalığında Prognoz ve İzlem”"/>
    <m/>
    <m/>
    <m/>
    <m/>
    <m/>
    <m/>
    <m/>
    <m/>
    <m/>
    <m/>
  </r>
  <r>
    <m/>
    <m/>
    <x v="135"/>
    <x v="51"/>
    <m/>
    <s v="“Yağlı Karaciğer Hastalığında Karaciğer Yağlanması ve Karaciğer Sertliğinin Değerlendirilmesinde Multiparametrik Ultrasonografi ve Manyetik Rezonans Elastografinin Karşılaştırılması”"/>
    <m/>
    <m/>
    <m/>
    <m/>
    <m/>
    <m/>
    <m/>
    <m/>
    <m/>
    <m/>
  </r>
  <r>
    <m/>
    <m/>
    <x v="135"/>
    <x v="51"/>
    <m/>
    <s v="“Hemşirelerin Bütünsel Sağlık, Duygusal Emek, Şefkat Yorgunluğu ve İş Doyumu Arasındaki İlişkiler: Yol Analizi”"/>
    <m/>
    <m/>
    <m/>
    <m/>
    <m/>
    <m/>
    <m/>
    <m/>
    <m/>
    <m/>
  </r>
  <r>
    <m/>
    <m/>
    <x v="135"/>
    <x v="51"/>
    <m/>
    <s v="“Radyoloji Tetkiklerinde Hastalar İçin Tahmini Fetal Doz Hesaplamaları”"/>
    <m/>
    <m/>
    <m/>
    <m/>
    <m/>
    <m/>
    <m/>
    <m/>
    <m/>
    <m/>
  </r>
  <r>
    <m/>
    <m/>
    <x v="135"/>
    <x v="51"/>
    <m/>
    <s v="“Tıbbi Uygulama Hatası Olgularının Değerlendirilmesinde Büyük Dil Modelleri ve Adli Tıp Uzman Görüşlerinin Karşılaştırmalı Analizi”"/>
    <m/>
    <m/>
    <m/>
    <m/>
    <m/>
    <m/>
    <m/>
    <m/>
    <m/>
    <m/>
  </r>
  <r>
    <m/>
    <m/>
    <x v="135"/>
    <x v="51"/>
    <m/>
    <s v="“Mohs Cerrahisinde Artırılmış Gerçeklik Entegrasyonlu Simülasyon Çalışması”"/>
    <m/>
    <m/>
    <m/>
    <m/>
    <m/>
    <m/>
    <m/>
    <m/>
    <m/>
    <m/>
  </r>
  <r>
    <m/>
    <m/>
    <x v="135"/>
    <x v="51"/>
    <m/>
    <s v="“Pediatrik Non-Hodgkin Lenfoma Tanılı Hastalarda PET-BT'den Elde Edilen Semikantitatif Parametrelerin Değerlendirilmesi”"/>
    <m/>
    <m/>
    <m/>
    <m/>
    <m/>
    <m/>
    <m/>
    <m/>
    <m/>
    <m/>
  </r>
  <r>
    <m/>
    <m/>
    <x v="135"/>
    <x v="51"/>
    <m/>
    <s v="“Parkinson Hastalığında Levodopa-Karbidopa İntestinal Jel Kullanan Hastalarda Periferik Nörolojik Tutulum: Elektrofizyolojik Çalışma”"/>
    <m/>
    <m/>
    <m/>
    <m/>
    <m/>
    <m/>
    <m/>
    <m/>
    <m/>
    <m/>
  </r>
  <r>
    <m/>
    <m/>
    <x v="135"/>
    <x v="51"/>
    <m/>
    <s v="“Özgül Öğrenme Bozukluğu Tanılı Ergenlerde Benlik Saygısı, Yeterlik Algısı ve Baskın Savunma Mekanizmalarının Annelerdeki Psikolojik Farkındalık ve Empati Düzeyi ile İlişkisi”"/>
    <m/>
    <m/>
    <m/>
    <m/>
    <m/>
    <m/>
    <m/>
    <m/>
    <m/>
    <m/>
  </r>
  <r>
    <m/>
    <m/>
    <x v="135"/>
    <x v="51"/>
    <m/>
    <s v="“Normal Gebeliklerde Fetal Farinks Büyüme Paternlerinin Üç Boyutlu Ultrasonografi ile Değerlendirilmesi”"/>
    <m/>
    <m/>
    <m/>
    <m/>
    <m/>
    <m/>
    <m/>
    <m/>
    <m/>
    <m/>
  </r>
  <r>
    <m/>
    <m/>
    <x v="135"/>
    <x v="51"/>
    <m/>
    <s v="“Multiple Skleroz (MS) Tanılı Hastalarda MS Mesane Kontrol Aracı Kullanılarak Alt Üriner Sistem Semptomlarının Ön Değerlendirilmesi ve Fonksiyonel Üroloji Polikliniğine Yönlendirme Kriterlerinin Belirlenmesi”"/>
    <m/>
    <m/>
    <m/>
    <m/>
    <m/>
    <m/>
    <m/>
    <m/>
    <m/>
    <m/>
  </r>
  <r>
    <m/>
    <m/>
    <x v="135"/>
    <x v="51"/>
    <m/>
    <s v="“Sirotik Hastalarda Sarkopeni ve Kognisyon Değerlendirilmesi”"/>
    <m/>
    <m/>
    <m/>
    <m/>
    <m/>
    <m/>
    <m/>
    <m/>
    <m/>
    <m/>
  </r>
  <r>
    <m/>
    <m/>
    <x v="135"/>
    <x v="51"/>
    <m/>
    <s v="“Erişkinlerde Timus Boyutlarının BT ile Değerlendirilmesi, Farklı Yaş Gruplan, Cinsiyet ve Sigara Kullanımıyla İlişkisi”"/>
    <m/>
    <m/>
    <m/>
    <m/>
    <m/>
    <m/>
    <m/>
    <m/>
    <m/>
    <m/>
  </r>
  <r>
    <m/>
    <m/>
    <x v="135"/>
    <x v="51"/>
    <m/>
    <s v="“Onikomikoz Teşhisinde Yapay Zeka Algoritmalarının Dermatolog ve Aile Hekimleri ile Karşılatırmalı Olarak Değerlendirilmesi”"/>
    <m/>
    <m/>
    <m/>
    <m/>
    <m/>
    <m/>
    <m/>
    <m/>
    <m/>
    <m/>
  </r>
  <r>
    <m/>
    <m/>
    <x v="135"/>
    <x v="51"/>
    <m/>
    <s v="“Çocukluk Çağı Astımında Uzun Süreli İzlem ve Remisyon”"/>
    <m/>
    <m/>
    <m/>
    <m/>
    <m/>
    <m/>
    <m/>
    <m/>
    <m/>
    <m/>
  </r>
  <r>
    <m/>
    <m/>
    <x v="135"/>
    <x v="51"/>
    <m/>
    <s v="“DJ-1 Mutasyonuna Bağlı Mitokondriyal Hasarın ve Organeller Arası Etkileşimlerin Hasta Hücrelerinde İncelenmesi”"/>
    <m/>
    <m/>
    <m/>
    <m/>
    <m/>
    <m/>
    <m/>
    <m/>
    <m/>
    <m/>
  </r>
  <r>
    <m/>
    <m/>
    <x v="135"/>
    <x v="51"/>
    <m/>
    <s v="“Lenfoma Hastalarında Warburg Etkisine Bağlı Tip B Laktik Asidoz ve Hipoglisemi: İki Olgu Sunumu ve Literatür Derlemesi”"/>
    <m/>
    <m/>
    <m/>
    <m/>
    <m/>
    <m/>
    <m/>
    <m/>
    <m/>
    <m/>
  </r>
  <r>
    <m/>
    <m/>
    <x v="135"/>
    <x v="51"/>
    <m/>
    <s v="“Vaskülit Hastalarında Erektil Disfonksiyonun Yaygınlığı ve Ürolojik Değerlendirme Sıklığı: Kesitsel Bir Anket Çalışması”"/>
    <m/>
    <m/>
    <m/>
    <m/>
    <m/>
    <m/>
    <m/>
    <m/>
    <m/>
    <m/>
  </r>
  <r>
    <m/>
    <m/>
    <x v="135"/>
    <x v="51"/>
    <m/>
    <s v="“İntra Uterin İnseminasyon Tedavisi Öncesi Elastoscan (Shear Wave Elastografi) ile Uterusun Prospektif Olarak Değerlendirmesi ve Gebelik Sonuçları ile İlişkisinin İncelenmesi”"/>
    <m/>
    <m/>
    <m/>
    <m/>
    <m/>
    <m/>
    <m/>
    <m/>
    <m/>
    <m/>
  </r>
  <r>
    <m/>
    <m/>
    <x v="135"/>
    <x v="51"/>
    <m/>
    <s v="“İn Vitro Fertilizasyon Tedavisi Öncesi Elastoscan (Shear Wave Elastografi) ile Uterusun Prospektif Olarak Değerlendirmesi ve Gebelik Sonuçları ile İlişkisinin İncelenmesi”"/>
    <m/>
    <m/>
    <m/>
    <m/>
    <m/>
    <m/>
    <m/>
    <m/>
    <m/>
    <m/>
  </r>
  <r>
    <m/>
    <m/>
    <x v="135"/>
    <x v="51"/>
    <m/>
    <s v="“Kalp ve Beyin MRG Görüntülerinde Hareket Kaynaklı Aretfaktların Tespiti ve Düzeltilmesine Yönelik Yapay Zeka Yaklaşımı”"/>
    <m/>
    <m/>
    <m/>
    <m/>
    <m/>
    <m/>
    <m/>
    <m/>
    <m/>
    <m/>
  </r>
  <r>
    <m/>
    <m/>
    <x v="135"/>
    <x v="51"/>
    <m/>
    <s v="“Koroner MRA Görüntülerinde Görüntü Kalitesinin Artırılmasına ve Otomatik Değerlendirilmesine Yönelik Yapay Zeka Uygulaması”"/>
    <m/>
    <m/>
    <m/>
    <m/>
    <m/>
    <m/>
    <m/>
    <m/>
    <m/>
    <m/>
  </r>
  <r>
    <m/>
    <m/>
    <x v="135"/>
    <x v="51"/>
    <m/>
    <s v="“Ultrasonografi Eşliğinde Transperineal Prostat Biyopsisinin Güvenirliliği, Uygulanabilirliği ve Kanser Yakalamada Başarı Oranı”"/>
    <m/>
    <m/>
    <m/>
    <m/>
    <m/>
    <m/>
    <m/>
    <m/>
    <m/>
    <m/>
  </r>
  <r>
    <m/>
    <m/>
    <x v="135"/>
    <x v="51"/>
    <m/>
    <s v="“Hemodiyaliz Sürecinde Mikroplastik Varlığının ve Maruziyet Düzeyinin Değerlendirilmesi”"/>
    <m/>
    <m/>
    <m/>
    <m/>
    <m/>
    <m/>
    <m/>
    <m/>
    <m/>
    <m/>
  </r>
  <r>
    <m/>
    <m/>
    <x v="135"/>
    <x v="51"/>
    <m/>
    <s v="“Kurutulmuş İdrar Örneklerinde (DUS) Uyuşturucu-Uyarıcı Madde Analizi”"/>
    <m/>
    <m/>
    <m/>
    <m/>
    <m/>
    <m/>
    <m/>
    <m/>
    <m/>
    <m/>
  </r>
  <r>
    <m/>
    <m/>
    <x v="135"/>
    <x v="51"/>
    <m/>
    <s v="“Vitiligo Tanılı Pediatrik Hastalarda Oral Mikrobiyom ve Diş Çürüğü İlişkisinin İncelenmesi ”"/>
    <m/>
    <m/>
    <m/>
    <m/>
    <m/>
    <m/>
    <m/>
    <m/>
    <m/>
    <m/>
  </r>
  <r>
    <m/>
    <m/>
    <x v="135"/>
    <x v="51"/>
    <m/>
    <s v="“Agresif Başlangıçlı Tip 1 Diabetes Mellitus ile Tanınan CD70 Eksikliği Tanısı Alan Olgunun Klinik ve Laboratuvar Özelliklerinin İncelenmesi"/>
    <m/>
    <m/>
    <m/>
    <m/>
    <m/>
    <m/>
    <m/>
    <m/>
    <m/>
    <m/>
  </r>
  <r>
    <m/>
    <m/>
    <x v="135"/>
    <x v="51"/>
    <m/>
    <s v="“Pelargonium graveolens'in Endometriozis Hücre Hattı (12Z) Üzerindeki Etkilerinin Araştırılması”"/>
    <m/>
    <m/>
    <m/>
    <m/>
    <m/>
    <m/>
    <m/>
    <m/>
    <m/>
    <m/>
  </r>
  <r>
    <m/>
    <m/>
    <x v="135"/>
    <x v="51"/>
    <m/>
    <s v="“Kas Kuvveti ve Fiziksel Performans Ölçümlerinin Yaşlılarda Düşme Riskiyle İlişkisi”"/>
    <m/>
    <m/>
    <m/>
    <m/>
    <m/>
    <m/>
    <m/>
    <m/>
    <m/>
    <m/>
  </r>
  <r>
    <m/>
    <m/>
    <x v="135"/>
    <x v="51"/>
    <m/>
    <s v="“İnsan İmmün Yetmezlik Virüsü (HIV) ile Yaşayan 40 Yaş Üstü Bireylerde 7 Yıllık İzlemde Kırılganlık ve Sarkopeni Değişimi: 2018 Hacettepe Kohortunun Prospektif Yeniden Değerlendirilmesi”"/>
    <m/>
    <m/>
    <m/>
    <m/>
    <m/>
    <m/>
    <m/>
    <m/>
    <m/>
    <m/>
  </r>
  <r>
    <m/>
    <m/>
    <x v="135"/>
    <x v="51"/>
    <m/>
    <s v="“01/01/2015-30/09/2025 Yılları Arasında Koryokarsinom Olgularının Klinik, Patolojik ve Epidemiyolojik Verilerinin Değerlendirilmesi”"/>
    <m/>
    <m/>
    <m/>
    <m/>
    <m/>
    <m/>
    <m/>
    <m/>
    <m/>
    <m/>
  </r>
  <r>
    <m/>
    <m/>
    <x v="135"/>
    <x v="51"/>
    <m/>
    <s v="“Spesifik T Hücre Reseptör Yolağı Yetmezliklerinde İmmün Repertuvar Profillerinin Belirlenmesi”"/>
    <m/>
    <m/>
    <m/>
    <m/>
    <m/>
    <m/>
    <m/>
    <m/>
    <m/>
    <m/>
  </r>
  <r>
    <m/>
    <m/>
    <x v="135"/>
    <x v="51"/>
    <m/>
    <s v="“Proksimal Humerus Kırıklarında Kalkar Vidası Pozisyonunun Başarısızlık Üzerine Etkisi”"/>
    <m/>
    <m/>
    <m/>
    <m/>
    <m/>
    <m/>
    <m/>
    <m/>
    <m/>
    <m/>
  </r>
  <r>
    <m/>
    <m/>
    <x v="135"/>
    <x v="51"/>
    <m/>
    <s v="“Travma Sonrası Yumuşak Doku Yönetimi Nasıl Olmalı Travma Cerrahları Ne Diyor?”"/>
    <m/>
    <m/>
    <m/>
    <m/>
    <m/>
    <m/>
    <m/>
    <m/>
    <m/>
    <m/>
  </r>
  <r>
    <m/>
    <m/>
    <x v="135"/>
    <x v="51"/>
    <m/>
    <s v="“Tiroid Nodüllerinde Telomer Uzunluğunun Prediktif Değeri”"/>
    <m/>
    <m/>
    <m/>
    <m/>
    <m/>
    <m/>
    <m/>
    <m/>
    <m/>
    <m/>
  </r>
  <r>
    <m/>
    <m/>
    <x v="135"/>
    <x v="51"/>
    <m/>
    <s v="“İmmünoterapiye Bağlı Tiroidit Gelişiminde KIR ve HLA Genetik Profillerinin Rolü”"/>
    <m/>
    <m/>
    <m/>
    <m/>
    <m/>
    <m/>
    <m/>
    <m/>
    <m/>
    <m/>
  </r>
  <r>
    <m/>
    <m/>
    <x v="135"/>
    <x v="51"/>
    <m/>
    <s v="“Pediatrik Ürolitiazis Hastalarında Endoskopik Taş Cerrahileri Sonrası Taşsızlık ve Komplikasyon Oranını Etkileyen Faktörlerin Retrospektif İncelemesi”"/>
    <m/>
    <m/>
    <m/>
    <m/>
    <m/>
    <m/>
    <m/>
    <m/>
    <m/>
    <m/>
  </r>
  <r>
    <m/>
    <m/>
    <x v="135"/>
    <x v="51"/>
    <m/>
    <s v="“TESE Başarısını Etkileyen Faktörler”"/>
    <m/>
    <m/>
    <m/>
    <m/>
    <m/>
    <m/>
    <m/>
    <m/>
    <m/>
    <m/>
  </r>
  <r>
    <m/>
    <m/>
    <x v="135"/>
    <x v="51"/>
    <m/>
    <s v="“Stuve-Wiedemann Sendromu Tanısıyla İzlenen Olguların Klinik ve Moleküler Özelliklerinin Değerlendirilmesi”"/>
    <m/>
    <m/>
    <m/>
    <m/>
    <m/>
    <m/>
    <m/>
    <m/>
    <m/>
    <m/>
  </r>
  <r>
    <m/>
    <m/>
    <x v="135"/>
    <x v="51"/>
    <m/>
    <s v="“Hemoroidektomi Sonrası Kanama ve Belirleyici Faktorlerin Degerlendirilmesi: Tek Merkezli Retrospektif Analiz”"/>
    <m/>
    <m/>
    <m/>
    <m/>
    <m/>
    <m/>
    <m/>
    <m/>
    <m/>
    <m/>
  </r>
  <r>
    <m/>
    <m/>
    <x v="135"/>
    <x v="51"/>
    <m/>
    <s v="“Abdominal Nöroblastom Cerrahisinin Böbrek Hacmi Üzerine Etkisi”"/>
    <m/>
    <m/>
    <m/>
    <m/>
    <m/>
    <m/>
    <m/>
    <m/>
    <m/>
    <m/>
  </r>
  <r>
    <m/>
    <m/>
    <x v="135"/>
    <x v="51"/>
    <m/>
    <s v="“Retinopati Tarama Muayenesinde İntranazal Deksmedetomidin: En Uygun Uygulama Zamanının Belirlenmesi”"/>
    <m/>
    <m/>
    <m/>
    <m/>
    <m/>
    <m/>
    <m/>
    <m/>
    <m/>
    <m/>
  </r>
  <r>
    <m/>
    <m/>
    <x v="135"/>
    <x v="51"/>
    <m/>
    <s v="“Histerosalpingografide Uterin Kavite Ölçümlerine Dayalı Uterus Morfometrisinin IVF/Embriyo Transfer Başarısı ile İlişkisinin Değerlendirilmesi”"/>
    <m/>
    <m/>
    <m/>
    <m/>
    <m/>
    <m/>
    <m/>
    <m/>
    <m/>
    <m/>
  </r>
  <r>
    <m/>
    <m/>
    <x v="135"/>
    <x v="51"/>
    <m/>
    <s v="“Hava Kirliliğine Mesleki Maruziyetin Oküler Yüzey Sağlığına Etkisi: Ankara'da Partikül Madde Düzeyleri ile İlişkilendirilmiş Açık Alan ve Ofis Çalışanlarında Gözyaşı İnflamatuar Sitokinlerinin Karşılaştırılması”"/>
    <m/>
    <m/>
    <m/>
    <m/>
    <m/>
    <m/>
    <m/>
    <m/>
    <m/>
    <m/>
  </r>
  <r>
    <m/>
    <m/>
    <x v="135"/>
    <x v="51"/>
    <m/>
    <s v="&quot;Astım Hastalarında Çocukluktan Erişkine Geçişin Tedavi Uyumu ve Takip Üzerine Etkisi&quot;"/>
    <m/>
    <m/>
    <m/>
    <m/>
    <m/>
    <m/>
    <m/>
    <m/>
    <m/>
    <m/>
  </r>
  <r>
    <m/>
    <m/>
    <x v="135"/>
    <x v="51"/>
    <m/>
    <s v="“Sürdürülebilirlik ve Çevre Dostu Eczacılık Uygulamaları Kapsamında Farmasötik Ayak İzi Konusunda Görüş ve Tutumların Değerlendirilmesi”"/>
    <m/>
    <m/>
    <m/>
    <m/>
    <m/>
    <m/>
    <m/>
    <m/>
    <m/>
    <m/>
  </r>
  <r>
    <m/>
    <m/>
    <x v="135"/>
    <x v="51"/>
    <m/>
    <s v="“Nefrotik Sendrom Tanılı Pediatrik Hastalarda Kapsamlı İlaç Yönetimi”"/>
    <m/>
    <m/>
    <m/>
    <m/>
    <m/>
    <m/>
    <m/>
    <m/>
    <m/>
    <m/>
  </r>
  <r>
    <m/>
    <m/>
    <x v="135"/>
    <x v="51"/>
    <m/>
    <s v="“Modülatör Tedavi Kullanan Kistik Fibrozis Tanılı Çocuk Hastalarımızın Özellikleri ve Mental Sağlık Durumları”"/>
    <m/>
    <m/>
    <m/>
    <m/>
    <m/>
    <m/>
    <m/>
    <m/>
    <m/>
    <m/>
  </r>
  <r>
    <m/>
    <m/>
    <x v="135"/>
    <x v="51"/>
    <m/>
    <s v="“Çocuk Yoğun Bakımda Basınç Yaralanması Prevalansı ve Etkileyen Faktörlerin Analizi: Retrospektif Bir Çalışma”"/>
    <m/>
    <m/>
    <m/>
    <m/>
    <m/>
    <m/>
    <m/>
    <m/>
    <m/>
    <m/>
  </r>
  <r>
    <m/>
    <m/>
    <x v="135"/>
    <x v="51"/>
    <m/>
    <s v="&quot;Oral Demir Preparatı Alerjisi Şüphesi Olan Hastalarda Alternatif Demir Tuzları ile Yapılan Oral Provokasyon Sonuçlarının Değerlendirilmesi&quot;"/>
    <m/>
    <m/>
    <m/>
    <m/>
    <m/>
    <m/>
    <m/>
    <m/>
    <m/>
    <m/>
  </r>
  <r>
    <m/>
    <m/>
    <x v="135"/>
    <x v="51"/>
    <m/>
    <s v="&quot;Erişkin Yaygın Değişken İmmün Yetmezlik Hastalarında Klinik Bulgular ve İmmünfenotipik Özelliklerin Analizi&quot;"/>
    <m/>
    <m/>
    <m/>
    <m/>
    <m/>
    <m/>
    <m/>
    <m/>
    <m/>
    <m/>
  </r>
  <r>
    <m/>
    <m/>
    <x v="135"/>
    <x v="51"/>
    <m/>
    <s v="“Vücut Yuvarlaklık İndeksi ve Vücut Şekil İndeksi ile Beyin Hacmi Arasındaki İlişkinin Hafif Bilişsel Bozukluğu veya Demansı olan Hastalarda Manyetik Rezonans Görüntüleme ile (MRG) Değerlendirilmesi”"/>
    <m/>
    <m/>
    <m/>
    <m/>
    <m/>
    <m/>
    <m/>
    <m/>
    <m/>
    <m/>
  </r>
  <r>
    <m/>
    <m/>
    <x v="135"/>
    <x v="51"/>
    <m/>
    <s v="“Yapay Zeka Destekli Yüz Analizi ile Estetik Cerrahi Sonuçlarının Objektif Değerlendirilmesi: Retrospektif Görsel Veri Analizi”"/>
    <m/>
    <m/>
    <m/>
    <m/>
    <m/>
    <m/>
    <m/>
    <m/>
    <m/>
    <m/>
  </r>
  <r>
    <m/>
    <m/>
    <x v="135"/>
    <x v="51"/>
    <m/>
    <s v="“Geriatrik Gastrostomi Olgularında Mortalite ve Gastroskopi Komplikasyonlarını Öngeren Faktörlerin Retrospektif Analizi”"/>
    <m/>
    <m/>
    <m/>
    <m/>
    <m/>
    <m/>
    <m/>
    <m/>
    <m/>
    <m/>
  </r>
  <r>
    <m/>
    <m/>
    <x v="135"/>
    <x v="51"/>
    <m/>
    <s v="“Allojenik Kemik İliği Nakli Sonrası Nüks Hastalıkta Yapılan Tedavilerin Klinik, Laboratuvar, Prognostik, Sağ Kalım ve Yan Etkiler Açısından Değerlendirilmesi”"/>
    <m/>
    <m/>
    <m/>
    <m/>
    <m/>
    <m/>
    <m/>
    <m/>
    <m/>
    <m/>
  </r>
  <r>
    <m/>
    <m/>
    <x v="135"/>
    <x v="51"/>
    <m/>
    <s v="“Menstrual Siklusun Farklı Dönemlerinde Aşil Tendon Elastisitesi ile Anterior Talofibular Ligament Kalınlığının Ultrasonografi ve Shear Wave Elastografi ile Değerlendirilmesi”"/>
    <m/>
    <m/>
    <m/>
    <m/>
    <m/>
    <m/>
    <m/>
    <m/>
    <m/>
    <m/>
  </r>
  <r>
    <m/>
    <m/>
    <x v="135"/>
    <x v="51"/>
    <m/>
    <s v="“Benzotiyofen Oksabütanoik Asit'in Endometriyum Kanserinde Karboplatin Direncine Etkilerinin İn Vitro Araştırılması”"/>
    <m/>
    <m/>
    <m/>
    <m/>
    <m/>
    <m/>
    <m/>
    <m/>
    <m/>
    <m/>
  </r>
  <r>
    <m/>
    <m/>
    <x v="135"/>
    <x v="51"/>
    <m/>
    <s v="“Kronik Plak Psöriazis Tanılı Hastalarda Hepatik Fibrozisin Değerlendirilmesi”"/>
    <m/>
    <m/>
    <m/>
    <m/>
    <m/>
    <m/>
    <m/>
    <m/>
    <m/>
    <m/>
  </r>
  <r>
    <m/>
    <m/>
    <x v="135"/>
    <x v="51"/>
    <m/>
    <s v="“Tuberositas İnterossea Ulnaris Morfolojik ve Morfometrik Özelliklerinin Değerlendirilmesi”"/>
    <m/>
    <m/>
    <m/>
    <m/>
    <m/>
    <m/>
    <m/>
    <m/>
    <m/>
    <m/>
  </r>
  <r>
    <m/>
    <m/>
    <x v="135"/>
    <x v="51"/>
    <m/>
    <s v="“Maksiller Retrüzyon ile Birlikte Obstrüktif Uyku Apne Sendromu Olan Çocuklarda Maksiller İlerletme Tedavisinin Etkilerinin Retrospektif Değerlendirilmesi”"/>
    <m/>
    <m/>
    <m/>
    <m/>
    <m/>
    <m/>
    <m/>
    <m/>
    <m/>
    <m/>
  </r>
  <r>
    <m/>
    <m/>
    <x v="135"/>
    <x v="51"/>
    <m/>
    <s v="“İnfertilitenin Psikolojik Yükü: İnfertilite Tedavisi Gören Kadınlarda Beck Umutsuzluk Ölçeği ile Umutsuzluk Düzeyinin Değerlendirilmesi”"/>
    <m/>
    <m/>
    <m/>
    <m/>
    <m/>
    <m/>
    <m/>
    <m/>
    <m/>
    <m/>
  </r>
  <r>
    <m/>
    <m/>
    <x v="135"/>
    <x v="51"/>
    <m/>
    <s v="“Antenatal Kortikosteroid Uygulanan Gebeliklerde Fetal Dolaşım Dinamiklerinin Longitudinal İzlemi ve Perinatal Sonuçlarla İlişkisi: Prospektif Gözlemsel Çalışma”"/>
    <m/>
    <m/>
    <m/>
    <m/>
    <m/>
    <m/>
    <m/>
    <m/>
    <m/>
    <m/>
  </r>
  <r>
    <m/>
    <m/>
    <x v="135"/>
    <x v="51"/>
    <m/>
    <s v="“Fetal Kardiyak Girişim Sonrası Fetal Hemodinamik Değişimler ve Perinatal Sonuçlar”"/>
    <m/>
    <m/>
    <m/>
    <m/>
    <m/>
    <m/>
    <m/>
    <m/>
    <m/>
    <m/>
  </r>
  <r>
    <m/>
    <m/>
    <x v="135"/>
    <x v="51"/>
    <m/>
    <s v="“Psikotik Bozukluklarda Tedaviye Direnç ile İlişkili Doğal Dil İşleme Değişkenlerinin ve Düşünce Süreci Bozukluklarının Değerlendirilmesi”"/>
    <m/>
    <m/>
    <m/>
    <m/>
    <m/>
    <m/>
    <m/>
    <m/>
    <m/>
    <m/>
  </r>
  <r>
    <m/>
    <m/>
    <x v="135"/>
    <x v="51"/>
    <m/>
    <s v="“Anoreksiya Nervoza ve Atipik Anoreksiya Nervoza Tanılı Ergenlerin Remisyon ve Relaps Süreçlerinin ve Yordayıcılarının Değerlendirilmesi”"/>
    <m/>
    <m/>
    <m/>
    <m/>
    <m/>
    <m/>
    <m/>
    <m/>
    <m/>
    <m/>
  </r>
  <r>
    <m/>
    <m/>
    <x v="135"/>
    <x v="51"/>
    <m/>
    <s v="“Doksan Yaş ve Üzeri Bireylerde Elektrokardiyografik Bulgular ve Aritmi Gelişiminde Rol Oynayan Faktörlerin Değerlendirilmesi”"/>
    <m/>
    <m/>
    <m/>
    <m/>
    <m/>
    <m/>
    <m/>
    <m/>
    <m/>
    <m/>
  </r>
  <r>
    <m/>
    <m/>
    <x v="135"/>
    <x v="51"/>
    <m/>
    <s v=", “Eczacılık Öğrencileri ve Eczacıların Mesleki İlaç Erişimine Bağlı Madde Kullanımı Niyet ve Davranışlarının İncelenmesi: Bir Anket Çalışması”"/>
    <m/>
    <m/>
    <m/>
    <m/>
    <m/>
    <m/>
    <m/>
    <m/>
    <m/>
    <m/>
  </r>
  <r>
    <m/>
    <m/>
    <x v="135"/>
    <x v="51"/>
    <m/>
    <s v="“Maksillofasiyal Protezlerde Konvansiyonel ve Dijital İş Akışlarına Yönelik Diş Hekimliği 4. ve 5. Sınıf Öğrencilerinin Bilgi Düzeyinin Değerlendirilmesi”"/>
    <m/>
    <m/>
    <m/>
    <m/>
    <m/>
    <m/>
    <m/>
    <m/>
    <m/>
    <m/>
  </r>
  <r>
    <m/>
    <m/>
    <x v="135"/>
    <x v="51"/>
    <m/>
    <s v="“Protetik Diş Tedavisinde Yapay Zeka Kullanımına Dair Diş Hekimliği 4. ve 5. Sınıf Öğrencilerinin Farkındalık, Tutum ve Etik Algılarının Değerlendirilmesi”"/>
    <m/>
    <m/>
    <m/>
    <m/>
    <m/>
    <m/>
    <m/>
    <m/>
    <m/>
    <m/>
  </r>
  <r>
    <m/>
    <m/>
    <x v="135"/>
    <x v="51"/>
    <m/>
    <s v="“Adölesan Dönemdeki Çocuklarda Kaygı Düzeyi ve Okul Başarasının Temporomandibular Eklem Bozuklukları ile İlişkisi”"/>
    <m/>
    <m/>
    <m/>
    <m/>
    <m/>
    <m/>
    <m/>
    <m/>
    <m/>
    <m/>
  </r>
  <r>
    <m/>
    <m/>
    <x v="135"/>
    <x v="51"/>
    <m/>
    <s v="''Kalp Nakli Bekleyen Çocukların Ailelerinin Bilgi Düzeyi ve Eğitim İhtiyaçlarının Belirlenmesi: Tek Merkez Örneği''"/>
    <m/>
    <m/>
    <m/>
    <m/>
    <m/>
    <m/>
    <m/>
    <m/>
    <m/>
    <m/>
  </r>
  <r>
    <m/>
    <m/>
    <x v="135"/>
    <x v="51"/>
    <m/>
    <s v="“Tanıdan Tedaviye Güncel Yaklaşımlar Eğitim Programlarının Memnuniyet Anket Sonuçlarının Değerlendirilmesi”"/>
    <m/>
    <m/>
    <m/>
    <m/>
    <m/>
    <m/>
    <m/>
    <m/>
    <m/>
    <m/>
  </r>
  <r>
    <m/>
    <m/>
    <x v="135"/>
    <x v="51"/>
    <m/>
    <s v="“Sistemik Lupus Eritematozus Nefritinde Osteoporoz Risk Faktörlerinin ve Fibroblast Büyüme Faktörü-23 Yolağının Rolünün İncelenmesi”"/>
    <m/>
    <m/>
    <m/>
    <m/>
    <m/>
    <m/>
    <m/>
    <m/>
    <m/>
    <m/>
  </r>
  <r>
    <m/>
    <m/>
    <x v="135"/>
    <x v="51"/>
    <m/>
    <s v="“Term Yenidoğanlarda Kord Klempleme Süresinin Erken Metabolik ve Solunumsal Sonuçlar Üzerine Etkisi”"/>
    <m/>
    <m/>
    <m/>
    <m/>
    <m/>
    <m/>
    <m/>
    <m/>
    <m/>
    <m/>
  </r>
  <r>
    <m/>
    <m/>
    <x v="135"/>
    <x v="51"/>
    <m/>
    <s v="“80 Yaş Üzeri Hastalarda Osteoporoz Bulguları ve Tedavi Yaklaşımlarının Retrospektif Analizi”"/>
    <m/>
    <m/>
    <m/>
    <m/>
    <m/>
    <m/>
    <m/>
    <m/>
    <m/>
    <m/>
  </r>
  <r>
    <m/>
    <m/>
    <x v="135"/>
    <x v="51"/>
    <m/>
    <s v="“KBB Hava Yolu Cerrahilerinde ChatGPT’nin Preoperatif Anestezi Risk Değerlendirme Performansının İncelenmesi”"/>
    <m/>
    <m/>
    <m/>
    <m/>
    <m/>
    <m/>
    <m/>
    <m/>
    <m/>
    <m/>
  </r>
  <r>
    <m/>
    <m/>
    <x v="135"/>
    <x v="51"/>
    <m/>
    <s v="“Acil Servislerin Uygunsuz Kullanımının İncelenmesi: Bir Üniversite Hastanesi Örneği”"/>
    <m/>
    <m/>
    <m/>
    <m/>
    <m/>
    <m/>
    <m/>
    <m/>
    <m/>
    <m/>
  </r>
  <r>
    <m/>
    <m/>
    <x v="135"/>
    <x v="51"/>
    <m/>
    <s v="“İkili Seçim Deneyi Yöntemi Kullanılarak 60 yaş üstü Bireylerin RSV Aşısı ile Aşılanma Davranışına Etki Edebilecek Faktörlerin Değerlendirilmesi”"/>
    <m/>
    <m/>
    <m/>
    <m/>
    <m/>
    <m/>
    <m/>
    <m/>
    <m/>
    <m/>
  </r>
  <r>
    <m/>
    <m/>
    <x v="135"/>
    <x v="51"/>
    <m/>
    <s v="“Kronik Spontan Ürtiker Hastalarında Nonsteroid Antiinflamatuvar İlaç (NSAİİ) Hipersensitivitesinin İncelenmesi”"/>
    <m/>
    <m/>
    <m/>
    <m/>
    <m/>
    <m/>
    <m/>
    <m/>
    <m/>
    <m/>
  </r>
  <r>
    <m/>
    <m/>
    <x v="135"/>
    <x v="51"/>
    <m/>
    <s v="“Acil Serviste Çocukluk Çağı Ekzantemlerinin Haritalanması: Bir Kesitsel Gözlemsel Çalışma”"/>
    <m/>
    <m/>
    <m/>
    <m/>
    <m/>
    <m/>
    <m/>
    <m/>
    <m/>
    <m/>
  </r>
  <r>
    <m/>
    <m/>
    <x v="135"/>
    <x v="51"/>
    <m/>
    <s v="“Dermatoloji Ayaktan ve Yatan Hasta Başvurularında Yama Testi Endikasyonlarının Belirlenmesi ve Klinik ile Test Sonuçlarının Korelasyonunun İncelenmesi”"/>
    <m/>
    <m/>
    <m/>
    <m/>
    <m/>
    <m/>
    <m/>
    <m/>
    <m/>
    <m/>
  </r>
  <r>
    <m/>
    <m/>
    <x v="135"/>
    <x v="51"/>
    <m/>
    <s v="“Yatan Hastalarda Malnütrisyonun Sıklığı ve Kas Kütlesi ile Cilt Altı Yağ Dokusu Kalınlığının Ultrasonografik Korelasyonu”"/>
    <m/>
    <m/>
    <m/>
    <m/>
    <m/>
    <m/>
    <m/>
    <m/>
    <m/>
    <m/>
  </r>
  <r>
    <m/>
    <m/>
    <x v="135"/>
    <x v="51"/>
    <m/>
    <s v="“Kornea Rejenerasyonuna Yönelik Enjekte Edilebilir Gözenekli İpek Mikrotaşıyıcıların In Vivo Çalışmalarda Kullanım Etkinliğinin Belirlenmesi”"/>
    <m/>
    <m/>
    <m/>
    <m/>
    <m/>
    <m/>
    <m/>
    <m/>
    <m/>
    <m/>
  </r>
  <r>
    <m/>
    <m/>
    <x v="135"/>
    <x v="51"/>
    <m/>
    <s v="“Plastik, Rekonstrüktif ve Estetik Cerrahi Polikliniği Hastalarında Hekime Ulaşma ve Tercih Kanallarının İncelenmesi”"/>
    <m/>
    <m/>
    <m/>
    <m/>
    <m/>
    <m/>
    <m/>
    <m/>
    <m/>
    <m/>
  </r>
  <r>
    <m/>
    <m/>
    <x v="135"/>
    <x v="51"/>
    <m/>
    <s v="“Non-Melanositik Deri Tümörlerinin Dermoskopik Özelliklerinin Polarize, Non-Polarize ve UV Modlar ile Karşılaştırılması”"/>
    <m/>
    <m/>
    <m/>
    <m/>
    <m/>
    <m/>
    <m/>
    <m/>
    <m/>
    <m/>
  </r>
  <r>
    <m/>
    <m/>
    <x v="135"/>
    <x v="51"/>
    <m/>
    <s v="“Acil Servise Akut Ataksi Nedeniyle Başvuran Hastaların Klinik Özellikleri ve Yaklaşım Algoritması”"/>
    <m/>
    <m/>
    <m/>
    <m/>
    <m/>
    <m/>
    <m/>
    <m/>
    <m/>
    <m/>
  </r>
  <r>
    <m/>
    <m/>
    <x v="135"/>
    <x v="51"/>
    <m/>
    <s v="“Yüksek Dereceli Servikal Lezyon Saptanan ve Konizasyon Uygulanan Hastalarda Cerrahi Sınır Pozitifliğinin Prognoza Olan Etkisi”"/>
    <m/>
    <m/>
    <m/>
    <m/>
    <m/>
    <m/>
    <m/>
    <m/>
    <m/>
    <m/>
  </r>
  <r>
    <m/>
    <m/>
    <x v="135"/>
    <x v="51"/>
    <m/>
    <s v="“Sepsis/Septik Şok Hastalarında PI, MEWS, qSOFA, APACHE II ve CRT Değerlerinin Analizi ve Klinik Sonuçlarla İlişkisi”"/>
    <m/>
    <m/>
    <m/>
    <m/>
    <m/>
    <m/>
    <m/>
    <m/>
    <m/>
    <m/>
  </r>
  <r>
    <m/>
    <m/>
    <x v="135"/>
    <x v="51"/>
    <m/>
    <s v="“Yapay Zekâ Yardımlı Analizler ile Jinekolojik Onkoloji Konsey Karar Süreçlerinin Geliştirilmesi”"/>
    <m/>
    <m/>
    <m/>
    <m/>
    <m/>
    <m/>
    <m/>
    <m/>
    <m/>
    <m/>
  </r>
  <r>
    <m/>
    <m/>
    <x v="135"/>
    <x v="51"/>
    <m/>
    <s v="“Obsesif Kompulsif Bozukluğu olan Ergenlerde Duyusal Profil ile İnteroseptif Farkındalık ve Doğruluğun İncelenmesi”"/>
    <m/>
    <m/>
    <m/>
    <m/>
    <m/>
    <m/>
    <m/>
    <m/>
    <m/>
    <m/>
  </r>
  <r>
    <m/>
    <m/>
    <x v="135"/>
    <x v="51"/>
    <m/>
    <s v="“Mayer-Rokitansky-Küster-Hauser Sendromlu Hastalarda Uterin Remnant Dokuların Anterior Neovajen Duvarı Oluşturulmasında Kullanıldığı Modifiye Davydov Tekniğinin Tanımlanması ve Uzun Dönem Sonuçlarının Analizi”"/>
    <m/>
    <m/>
    <m/>
    <m/>
    <m/>
    <m/>
    <m/>
    <m/>
    <m/>
    <m/>
  </r>
  <r>
    <m/>
    <m/>
    <x v="135"/>
    <x v="51"/>
    <m/>
    <s v="“Erişkin Kistik Fibrozis Hastalarında Genetik Mutasyon Kombinasyonları ile Organ Sistem Tutulumu İlişkisinin İncelenmesi ”"/>
    <m/>
    <m/>
    <m/>
    <m/>
    <m/>
    <m/>
    <m/>
    <m/>
    <m/>
    <m/>
  </r>
  <r>
    <m/>
    <m/>
    <x v="135"/>
    <x v="51"/>
    <m/>
    <s v="“Mohs Cerrahisi Fellowship Eğitiminde Kullanılan Ölçme ve Değerlendirme Araçlarıyla İlgili Eğitici ve Öğrenci Görüşleri”"/>
    <m/>
    <m/>
    <m/>
    <m/>
    <m/>
    <m/>
    <m/>
    <m/>
    <m/>
    <m/>
  </r>
  <r>
    <m/>
    <m/>
    <x v="135"/>
    <x v="51"/>
    <m/>
    <s v="“Bloom Sendromu Tanısı Alan Hastaların Klinik, Demografik ve İmmünolojik Özelliklerinin Değerlendirilmesi”"/>
    <m/>
    <m/>
    <m/>
    <m/>
    <m/>
    <m/>
    <m/>
    <m/>
    <m/>
    <m/>
  </r>
  <r>
    <m/>
    <m/>
    <x v="135"/>
    <x v="51"/>
    <m/>
    <s v="“Tuberositas İnterossea Radii Morfolojik ve Morfometrik Özelliklerinin Değerlendirilmesi”"/>
    <m/>
    <m/>
    <m/>
    <m/>
    <m/>
    <m/>
    <m/>
    <m/>
    <m/>
    <m/>
  </r>
  <r>
    <m/>
    <m/>
    <x v="135"/>
    <x v="51"/>
    <m/>
    <s v="“Açık Apeksli Devital Dişlerde Vaka Seçimi ve Klinik Protokol Açısından Pratisyen Diş Hekimleri, Endodonti Uzmanları ve Pedodonti Uzmanlarının Tedavi Yaklaşımları”"/>
    <m/>
    <m/>
    <m/>
    <m/>
    <m/>
    <m/>
    <m/>
    <m/>
    <m/>
    <m/>
  </r>
  <r>
    <m/>
    <m/>
    <x v="135"/>
    <x v="51"/>
    <m/>
    <s v="“Beyin Omurilik Sıvısı Örneklerinde Alkol ve Psikoaktif Madde Düzeylerinin Değerlendirilmesi”"/>
    <m/>
    <m/>
    <m/>
    <m/>
    <m/>
    <m/>
    <m/>
    <m/>
    <m/>
    <m/>
  </r>
  <r>
    <m/>
    <m/>
    <x v="135"/>
    <x v="51"/>
    <m/>
    <s v="“Kistik Fibrozisli Çocuklarda Kistik Fibrozis Transmembran Kondüktans Regülatör Modülatör Tedavisinin Beslenme Durumu ve Hepatobiliyer Sistem Üzerine Etkisi”"/>
    <m/>
    <m/>
    <m/>
    <m/>
    <m/>
    <m/>
    <m/>
    <m/>
    <m/>
    <m/>
  </r>
  <r>
    <m/>
    <m/>
    <x v="135"/>
    <x v="51"/>
    <m/>
    <s v="“Multisistem İnflamatuvar Sendrom (MIS-C)’da, Sistemik Siklik Dinükleotitler (CDN’ler) ve İnterferon Genlerini Uyarıcı (STING) Yolu Aktivasyonu: Hiperinflamasyona İmmünopatolojik Bakış”"/>
    <m/>
    <m/>
    <m/>
    <m/>
    <m/>
    <m/>
    <m/>
    <m/>
    <m/>
    <m/>
  </r>
  <r>
    <m/>
    <m/>
    <x v="135"/>
    <x v="51"/>
    <m/>
    <s v="“Alt Ekstremitede Pliometrik Egzersiz Şiddetinin Belirlenmesi”"/>
    <m/>
    <m/>
    <m/>
    <m/>
    <m/>
    <m/>
    <m/>
    <m/>
    <m/>
    <m/>
  </r>
  <r>
    <m/>
    <m/>
    <x v="135"/>
    <x v="51"/>
    <m/>
    <s v="“Çocuklarda Pnömokok Taşıyıcılığı: Kültürün Ötesinde Moleküler Doğruluk”"/>
    <m/>
    <m/>
    <m/>
    <m/>
    <m/>
    <m/>
    <m/>
    <m/>
    <m/>
    <m/>
  </r>
  <r>
    <m/>
    <m/>
    <x v="135"/>
    <x v="51"/>
    <m/>
    <s v="“Uzun Süreli Glukokortikoid Kullanımına Bağlı Adrenal Yetmezlikte İlaç Kesim Sürecinin İncelenmesi”"/>
    <m/>
    <m/>
    <m/>
    <m/>
    <m/>
    <m/>
    <m/>
    <m/>
    <m/>
    <m/>
  </r>
  <r>
    <m/>
    <m/>
    <x v="135"/>
    <x v="51"/>
    <m/>
    <s v="“Subkutan İmmunoglobulin Replasman Tedavisi Almış Olan Primer İmmün Yetmezlik Hastalarının Özelliklerinin Değerlendirilmesi”"/>
    <m/>
    <m/>
    <m/>
    <m/>
    <m/>
    <m/>
    <m/>
    <m/>
    <m/>
    <m/>
  </r>
  <r>
    <m/>
    <m/>
    <x v="135"/>
    <x v="51"/>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135"/>
    <x v="51"/>
    <m/>
    <s v="“Geri Dönüşümsüz Pulpitislerde Makrofaj Polarizasyonunun İncelenmesi”"/>
    <m/>
    <m/>
    <m/>
    <m/>
    <m/>
    <m/>
    <m/>
    <m/>
    <m/>
    <m/>
  </r>
  <r>
    <m/>
    <m/>
    <x v="135"/>
    <x v="51"/>
    <m/>
    <s v="“El Kavrama Kuvvetinin Ölçümünde Squegg'in Geriatrik Popülasyondaki Tanısal Geçerliliği”"/>
    <m/>
    <m/>
    <m/>
    <m/>
    <m/>
    <m/>
    <m/>
    <m/>
    <m/>
    <m/>
  </r>
  <r>
    <m/>
    <m/>
    <x v="135"/>
    <x v="51"/>
    <m/>
    <s v="“MELD 3.0 ve GEMA skorlarının Siroz Hastalarında Mortalite Öngörüsünde Etkinliğinin Araştırılması”"/>
    <m/>
    <m/>
    <m/>
    <m/>
    <m/>
    <m/>
    <m/>
    <m/>
    <m/>
    <m/>
  </r>
  <r>
    <m/>
    <m/>
    <x v="135"/>
    <x v="51"/>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742F49-9FAC-4433-BA26-411AF9CD2528}"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3:B56" firstHeaderRow="1" firstDataRow="1" firstDataCol="1"/>
  <pivotFields count="16">
    <pivotField showAll="0"/>
    <pivotField showAll="0"/>
    <pivotField showAll="0"/>
    <pivotField axis="axisRow" dataField="1" showAll="0" sortType="descending">
      <items count="53">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51"/>
        <item x="47"/>
        <item x="48"/>
        <item x="49"/>
        <item x="5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3">
    <i>
      <x v="21"/>
    </i>
    <i>
      <x v="7"/>
    </i>
    <i>
      <x v="22"/>
    </i>
    <i>
      <x v="24"/>
    </i>
    <i>
      <x v="16"/>
    </i>
    <i>
      <x v="17"/>
    </i>
    <i>
      <x v="25"/>
    </i>
    <i>
      <x v="28"/>
    </i>
    <i>
      <x v="23"/>
    </i>
    <i>
      <x v="31"/>
    </i>
    <i>
      <x v="35"/>
    </i>
    <i>
      <x v="2"/>
    </i>
    <i>
      <x v="8"/>
    </i>
    <i>
      <x v="9"/>
    </i>
    <i>
      <x v="30"/>
    </i>
    <i>
      <x v="46"/>
    </i>
    <i>
      <x v="3"/>
    </i>
    <i>
      <x v="40"/>
    </i>
    <i>
      <x v="36"/>
    </i>
    <i>
      <x v="42"/>
    </i>
    <i>
      <x v="15"/>
    </i>
    <i>
      <x v="33"/>
    </i>
    <i>
      <x v="6"/>
    </i>
    <i>
      <x v="39"/>
    </i>
    <i>
      <x v="10"/>
    </i>
    <i>
      <x v="1"/>
    </i>
    <i>
      <x v="20"/>
    </i>
    <i>
      <x/>
    </i>
    <i>
      <x v="32"/>
    </i>
    <i>
      <x v="18"/>
    </i>
    <i>
      <x v="14"/>
    </i>
    <i>
      <x v="19"/>
    </i>
    <i>
      <x v="34"/>
    </i>
    <i>
      <x v="29"/>
    </i>
    <i>
      <x v="50"/>
    </i>
    <i>
      <x v="45"/>
    </i>
    <i>
      <x v="43"/>
    </i>
    <i>
      <x v="4"/>
    </i>
    <i>
      <x v="48"/>
    </i>
    <i>
      <x v="5"/>
    </i>
    <i>
      <x v="27"/>
    </i>
    <i>
      <x v="37"/>
    </i>
    <i>
      <x v="44"/>
    </i>
    <i>
      <x v="38"/>
    </i>
    <i>
      <x v="26"/>
    </i>
    <i>
      <x v="12"/>
    </i>
    <i>
      <x v="49"/>
    </i>
    <i>
      <x v="13"/>
    </i>
    <i>
      <x v="51"/>
    </i>
    <i>
      <x v="41"/>
    </i>
    <i>
      <x v="11"/>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7AB6B60-86BE-45AF-BEFE-6C651A290CA2}"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3:E140" firstHeaderRow="1" firstDataRow="1" firstDataCol="1"/>
  <pivotFields count="16">
    <pivotField showAll="0"/>
    <pivotField showAll="0"/>
    <pivotField axis="axisRow" dataField="1" showAll="0" sortType="descending">
      <items count="137">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x="23"/>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135"/>
        <item x="111"/>
        <item x="112"/>
        <item x="113"/>
        <item x="114"/>
        <item x="115"/>
        <item x="116"/>
        <item x="117"/>
        <item x="118"/>
        <item x="119"/>
        <item x="120"/>
        <item x="121"/>
        <item x="122"/>
        <item x="123"/>
        <item x="124"/>
        <item x="125"/>
        <item x="126"/>
        <item x="127"/>
        <item x="128"/>
        <item x="129"/>
        <item x="130"/>
        <item x="131"/>
        <item x="132"/>
        <item x="133"/>
        <item x="13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37">
    <i>
      <x v="83"/>
    </i>
    <i>
      <x v="109"/>
    </i>
    <i>
      <x v="40"/>
    </i>
    <i>
      <x v="28"/>
    </i>
    <i>
      <x v="53"/>
    </i>
    <i>
      <x v="35"/>
    </i>
    <i>
      <x v="39"/>
    </i>
    <i>
      <x v="15"/>
    </i>
    <i>
      <x v="102"/>
    </i>
    <i>
      <x v="98"/>
    </i>
    <i>
      <x v="22"/>
    </i>
    <i>
      <x v="32"/>
    </i>
    <i>
      <x v="82"/>
    </i>
    <i>
      <x v="64"/>
    </i>
    <i>
      <x v="105"/>
    </i>
    <i>
      <x v="63"/>
    </i>
    <i>
      <x v="57"/>
    </i>
    <i>
      <x v="19"/>
    </i>
    <i>
      <x v="76"/>
    </i>
    <i>
      <x v="21"/>
    </i>
    <i>
      <x v="56"/>
    </i>
    <i>
      <x v="3"/>
    </i>
    <i>
      <x v="62"/>
    </i>
    <i>
      <x v="30"/>
    </i>
    <i>
      <x v="68"/>
    </i>
    <i>
      <x v="45"/>
    </i>
    <i>
      <x v="88"/>
    </i>
    <i>
      <x v="46"/>
    </i>
    <i>
      <x v="126"/>
    </i>
    <i>
      <x v="49"/>
    </i>
    <i>
      <x v="14"/>
    </i>
    <i>
      <x v="94"/>
    </i>
    <i>
      <x v="127"/>
    </i>
    <i>
      <x v="110"/>
    </i>
    <i>
      <x v="4"/>
    </i>
    <i>
      <x v="86"/>
    </i>
    <i>
      <x v="33"/>
    </i>
    <i>
      <x v="12"/>
    </i>
    <i>
      <x v="34"/>
    </i>
    <i>
      <x v="119"/>
    </i>
    <i>
      <x v="5"/>
    </i>
    <i>
      <x v="9"/>
    </i>
    <i>
      <x v="36"/>
    </i>
    <i>
      <x v="90"/>
    </i>
    <i>
      <x v="37"/>
    </i>
    <i>
      <x v="11"/>
    </i>
    <i>
      <x v="38"/>
    </i>
    <i>
      <x v="106"/>
    </i>
    <i>
      <x v="6"/>
    </i>
    <i>
      <x v="115"/>
    </i>
    <i>
      <x v="7"/>
    </i>
    <i>
      <x v="123"/>
    </i>
    <i>
      <x v="41"/>
    </i>
    <i>
      <x v="80"/>
    </i>
    <i>
      <x v="42"/>
    </i>
    <i>
      <x v="84"/>
    </i>
    <i>
      <x v="43"/>
    </i>
    <i>
      <x v="17"/>
    </i>
    <i>
      <x v="44"/>
    </i>
    <i>
      <x v="92"/>
    </i>
    <i>
      <x v="1"/>
    </i>
    <i>
      <x v="96"/>
    </i>
    <i>
      <x v="20"/>
    </i>
    <i>
      <x v="100"/>
    </i>
    <i>
      <x v="47"/>
    </i>
    <i>
      <x v="104"/>
    </i>
    <i>
      <x v="48"/>
    </i>
    <i>
      <x v="108"/>
    </i>
    <i>
      <x v="16"/>
    </i>
    <i>
      <x v="113"/>
    </i>
    <i>
      <x v="50"/>
    </i>
    <i>
      <x v="117"/>
    </i>
    <i>
      <x v="51"/>
    </i>
    <i>
      <x v="121"/>
    </i>
    <i>
      <x v="52"/>
    </i>
    <i>
      <x v="125"/>
    </i>
    <i>
      <x v="8"/>
    </i>
    <i>
      <x v="129"/>
    </i>
    <i>
      <x v="54"/>
    </i>
    <i>
      <x v="81"/>
    </i>
    <i>
      <x v="55"/>
    </i>
    <i>
      <x v="10"/>
    </i>
    <i>
      <x v="2"/>
    </i>
    <i>
      <x v="85"/>
    </i>
    <i>
      <x v="23"/>
    </i>
    <i>
      <x v="87"/>
    </i>
    <i>
      <x v="58"/>
    </i>
    <i>
      <x v="89"/>
    </i>
    <i>
      <x v="59"/>
    </i>
    <i>
      <x v="91"/>
    </i>
    <i>
      <x v="60"/>
    </i>
    <i>
      <x v="93"/>
    </i>
    <i>
      <x v="61"/>
    </i>
    <i>
      <x v="95"/>
    </i>
    <i>
      <x v="24"/>
    </i>
    <i>
      <x v="97"/>
    </i>
    <i>
      <x v="25"/>
    </i>
    <i>
      <x v="99"/>
    </i>
    <i>
      <x v="131"/>
    </i>
    <i>
      <x v="101"/>
    </i>
    <i>
      <x v="132"/>
    </i>
    <i>
      <x v="103"/>
    </i>
    <i>
      <x v="134"/>
    </i>
    <i>
      <x v="29"/>
    </i>
    <i>
      <x/>
    </i>
    <i>
      <x v="107"/>
    </i>
    <i>
      <x v="26"/>
    </i>
    <i>
      <x v="13"/>
    </i>
    <i>
      <x v="69"/>
    </i>
    <i>
      <x v="112"/>
    </i>
    <i>
      <x v="70"/>
    </i>
    <i>
      <x v="114"/>
    </i>
    <i>
      <x v="130"/>
    </i>
    <i>
      <x v="116"/>
    </i>
    <i>
      <x v="72"/>
    </i>
    <i>
      <x v="118"/>
    </i>
    <i>
      <x v="73"/>
    </i>
    <i>
      <x v="120"/>
    </i>
    <i>
      <x v="74"/>
    </i>
    <i>
      <x v="122"/>
    </i>
    <i>
      <x v="75"/>
    </i>
    <i>
      <x v="124"/>
    </i>
    <i>
      <x v="27"/>
    </i>
    <i>
      <x v="18"/>
    </i>
    <i>
      <x v="77"/>
    </i>
    <i>
      <x v="128"/>
    </i>
    <i>
      <x v="78"/>
    </i>
    <i>
      <x v="31"/>
    </i>
    <i>
      <x v="79"/>
    </i>
    <i>
      <x v="71"/>
    </i>
    <i>
      <x v="133"/>
    </i>
    <i>
      <x v="65"/>
    </i>
    <i>
      <x v="135"/>
    </i>
    <i>
      <x v="66"/>
    </i>
    <i>
      <x v="67"/>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A892C-2FFF-4DCA-BA27-4D909E701C42}">
  <sheetPr>
    <tabColor rgb="FF00B050"/>
    <pageSetUpPr fitToPage="1"/>
  </sheetPr>
  <dimension ref="A1:S1333"/>
  <sheetViews>
    <sheetView showZeros="0" zoomScale="80" zoomScaleNormal="80" workbookViewId="0">
      <pane xSplit="2" ySplit="1" topLeftCell="F184" activePane="bottomRight" state="frozenSplit"/>
      <selection pane="topRight" activeCell="E1" sqref="E1"/>
      <selection pane="bottomLeft" activeCell="A8" sqref="A8"/>
      <selection pane="bottomRight" activeCell="J182" sqref="J182"/>
    </sheetView>
  </sheetViews>
  <sheetFormatPr defaultRowHeight="20.25" x14ac:dyDescent="0.25"/>
  <cols>
    <col min="1" max="1" width="6.28515625" style="3" bestFit="1" customWidth="1"/>
    <col min="2" max="2" width="18.85546875" style="3" bestFit="1" customWidth="1"/>
    <col min="3" max="3" width="48.7109375" style="3" bestFit="1" customWidth="1"/>
    <col min="4" max="4" width="54.855468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9" bestFit="1" customWidth="1"/>
    <col min="17" max="17" width="9.140625" style="1"/>
    <col min="18" max="18" width="17.42578125" style="96" customWidth="1"/>
    <col min="19" max="16384" width="9.140625" style="1"/>
  </cols>
  <sheetData>
    <row r="1" spans="1:19" s="3" customFormat="1" x14ac:dyDescent="0.25">
      <c r="A1" s="48" t="s">
        <v>0</v>
      </c>
      <c r="B1" s="48" t="s">
        <v>77</v>
      </c>
      <c r="C1" s="48" t="s">
        <v>61</v>
      </c>
      <c r="D1" s="48" t="s">
        <v>4062</v>
      </c>
      <c r="E1" s="48" t="s">
        <v>62</v>
      </c>
      <c r="F1" s="48" t="s">
        <v>21</v>
      </c>
      <c r="G1" s="48" t="s">
        <v>26</v>
      </c>
      <c r="H1" s="49" t="s">
        <v>154</v>
      </c>
      <c r="I1" s="49" t="s">
        <v>22</v>
      </c>
      <c r="J1" s="48" t="s">
        <v>4063</v>
      </c>
      <c r="K1" s="48" t="s">
        <v>4064</v>
      </c>
      <c r="L1" s="64" t="s">
        <v>4065</v>
      </c>
      <c r="M1" s="65" t="s">
        <v>4066</v>
      </c>
      <c r="N1" s="65" t="s">
        <v>4067</v>
      </c>
      <c r="O1" s="70" t="s">
        <v>4068</v>
      </c>
      <c r="P1" s="65" t="s">
        <v>4069</v>
      </c>
      <c r="R1" s="96"/>
    </row>
    <row r="2" spans="1:19" ht="63" x14ac:dyDescent="0.25">
      <c r="A2" s="5" t="s">
        <v>1</v>
      </c>
      <c r="B2" s="6" t="s">
        <v>102</v>
      </c>
      <c r="C2" s="8" t="s">
        <v>350</v>
      </c>
      <c r="D2" s="8" t="s">
        <v>351</v>
      </c>
      <c r="E2" s="7" t="s">
        <v>309</v>
      </c>
      <c r="F2" s="7" t="s">
        <v>310</v>
      </c>
      <c r="G2" s="13" t="s">
        <v>76</v>
      </c>
      <c r="H2" s="54"/>
      <c r="I2" s="52">
        <v>46028</v>
      </c>
      <c r="J2" s="8" t="s">
        <v>89</v>
      </c>
      <c r="K2" s="8" t="s">
        <v>96</v>
      </c>
      <c r="L2" s="66" t="s">
        <v>57</v>
      </c>
      <c r="M2" s="9"/>
      <c r="N2" s="9"/>
      <c r="O2" s="66"/>
      <c r="P2" s="9" t="str">
        <f>IF(O2&lt;&gt;"",O2, IF(N2&lt;&gt;"",N2, IF(M2&lt;&gt;"",M2, L2)))</f>
        <v>ONAY</v>
      </c>
      <c r="R2" s="96" t="str">
        <f>IF(AND(P2=0, B2&lt;&gt;""), B2, "")</f>
        <v/>
      </c>
      <c r="S2" s="1" t="str">
        <f>IF(AND(P2="", B2&lt;&gt;""), B2, "")</f>
        <v/>
      </c>
    </row>
    <row r="3" spans="1:19" ht="94.5" x14ac:dyDescent="0.25">
      <c r="A3" s="5" t="s">
        <v>2</v>
      </c>
      <c r="B3" s="6" t="s">
        <v>103</v>
      </c>
      <c r="C3" s="8" t="s">
        <v>352</v>
      </c>
      <c r="D3" s="8" t="s">
        <v>353</v>
      </c>
      <c r="E3" s="7" t="s">
        <v>311</v>
      </c>
      <c r="F3" s="7" t="s">
        <v>312</v>
      </c>
      <c r="G3" s="13" t="s">
        <v>76</v>
      </c>
      <c r="H3" s="54"/>
      <c r="I3" s="52">
        <v>46028</v>
      </c>
      <c r="J3" s="8" t="s">
        <v>96</v>
      </c>
      <c r="K3" s="8" t="s">
        <v>92</v>
      </c>
      <c r="L3" s="66" t="s">
        <v>57</v>
      </c>
      <c r="M3" s="9"/>
      <c r="N3" s="9"/>
      <c r="O3" s="66"/>
      <c r="P3" s="9" t="str">
        <f t="shared" ref="P3:P66" si="0">IF(O3&lt;&gt;"",O3, IF(N3&lt;&gt;"",N3, IF(M3&lt;&gt;"",M3, L3)))</f>
        <v>ONAY</v>
      </c>
      <c r="R3" s="96" t="str">
        <f t="shared" ref="R3:R61" si="1">IF(AND(P3=0, B3&lt;&gt;""), B3, "")</f>
        <v/>
      </c>
    </row>
    <row r="4" spans="1:19" ht="94.5" x14ac:dyDescent="0.25">
      <c r="A4" s="5" t="s">
        <v>3</v>
      </c>
      <c r="B4" s="6" t="s">
        <v>104</v>
      </c>
      <c r="C4" s="8" t="s">
        <v>354</v>
      </c>
      <c r="D4" s="8" t="s">
        <v>355</v>
      </c>
      <c r="E4" s="7" t="s">
        <v>363</v>
      </c>
      <c r="F4" s="7" t="s">
        <v>313</v>
      </c>
      <c r="G4" s="13" t="s">
        <v>76</v>
      </c>
      <c r="H4" s="54"/>
      <c r="I4" s="52">
        <v>46028</v>
      </c>
      <c r="J4" s="8" t="s">
        <v>64</v>
      </c>
      <c r="K4" s="8" t="s">
        <v>93</v>
      </c>
      <c r="L4" s="9" t="s">
        <v>57</v>
      </c>
      <c r="M4" s="67"/>
      <c r="N4" s="67"/>
      <c r="O4" s="68"/>
      <c r="P4" s="9" t="str">
        <f t="shared" si="0"/>
        <v>ONAY</v>
      </c>
      <c r="R4" s="96" t="str">
        <f t="shared" si="1"/>
        <v/>
      </c>
    </row>
    <row r="5" spans="1:19" ht="78.75" x14ac:dyDescent="0.25">
      <c r="A5" s="5" t="s">
        <v>4</v>
      </c>
      <c r="B5" s="6" t="s">
        <v>105</v>
      </c>
      <c r="C5" s="8" t="s">
        <v>356</v>
      </c>
      <c r="D5" s="53" t="s">
        <v>357</v>
      </c>
      <c r="E5" s="7" t="s">
        <v>314</v>
      </c>
      <c r="F5" s="7" t="s">
        <v>315</v>
      </c>
      <c r="G5" s="13" t="s">
        <v>23</v>
      </c>
      <c r="H5" s="54"/>
      <c r="I5" s="52">
        <v>46028</v>
      </c>
      <c r="J5" s="8" t="s">
        <v>95</v>
      </c>
      <c r="K5" s="8" t="s">
        <v>84</v>
      </c>
      <c r="L5" s="9" t="s">
        <v>58</v>
      </c>
      <c r="M5" s="9" t="s">
        <v>57</v>
      </c>
      <c r="N5" s="9"/>
      <c r="O5" s="66"/>
      <c r="P5" s="9" t="str">
        <f t="shared" si="0"/>
        <v>ONAY</v>
      </c>
      <c r="R5" s="96" t="str">
        <f t="shared" si="1"/>
        <v/>
      </c>
    </row>
    <row r="6" spans="1:19" ht="47.25" x14ac:dyDescent="0.25">
      <c r="A6" s="5" t="s">
        <v>5</v>
      </c>
      <c r="B6" s="6" t="s">
        <v>106</v>
      </c>
      <c r="C6" s="8" t="s">
        <v>358</v>
      </c>
      <c r="D6" s="8" t="s">
        <v>359</v>
      </c>
      <c r="E6" s="7" t="s">
        <v>316</v>
      </c>
      <c r="F6" s="7" t="s">
        <v>317</v>
      </c>
      <c r="G6" s="13" t="s">
        <v>23</v>
      </c>
      <c r="H6" s="54"/>
      <c r="I6" s="52">
        <v>46028</v>
      </c>
      <c r="J6" s="8" t="s">
        <v>91</v>
      </c>
      <c r="K6" s="8" t="s">
        <v>156</v>
      </c>
      <c r="L6" s="9" t="s">
        <v>58</v>
      </c>
      <c r="M6" s="9" t="s">
        <v>57</v>
      </c>
      <c r="N6" s="9"/>
      <c r="O6" s="66"/>
      <c r="P6" s="9" t="str">
        <f t="shared" si="0"/>
        <v>ONAY</v>
      </c>
      <c r="R6" s="96" t="str">
        <f t="shared" si="1"/>
        <v/>
      </c>
    </row>
    <row r="7" spans="1:19" ht="63" x14ac:dyDescent="0.25">
      <c r="A7" s="5" t="s">
        <v>6</v>
      </c>
      <c r="B7" s="6" t="s">
        <v>107</v>
      </c>
      <c r="C7" s="8" t="s">
        <v>360</v>
      </c>
      <c r="D7" s="8" t="s">
        <v>361</v>
      </c>
      <c r="E7" s="7" t="s">
        <v>362</v>
      </c>
      <c r="F7" s="7" t="s">
        <v>318</v>
      </c>
      <c r="G7" s="13" t="s">
        <v>76</v>
      </c>
      <c r="H7" s="54"/>
      <c r="I7" s="52">
        <v>46028</v>
      </c>
      <c r="J7" s="8" t="s">
        <v>92</v>
      </c>
      <c r="K7" s="8" t="s">
        <v>88</v>
      </c>
      <c r="L7" s="9" t="s">
        <v>57</v>
      </c>
      <c r="M7" s="9"/>
      <c r="N7" s="9"/>
      <c r="O7" s="66"/>
      <c r="P7" s="9" t="str">
        <f t="shared" si="0"/>
        <v>ONAY</v>
      </c>
      <c r="R7" s="96" t="str">
        <f t="shared" si="1"/>
        <v/>
      </c>
    </row>
    <row r="8" spans="1:19" ht="47.25" x14ac:dyDescent="0.25">
      <c r="A8" s="5" t="s">
        <v>7</v>
      </c>
      <c r="B8" s="6" t="s">
        <v>108</v>
      </c>
      <c r="C8" s="8" t="s">
        <v>364</v>
      </c>
      <c r="D8" s="8" t="s">
        <v>365</v>
      </c>
      <c r="E8" s="7" t="s">
        <v>319</v>
      </c>
      <c r="F8" s="7" t="s">
        <v>320</v>
      </c>
      <c r="G8" s="13" t="s">
        <v>24</v>
      </c>
      <c r="H8" s="54"/>
      <c r="I8" s="52">
        <v>46028</v>
      </c>
      <c r="J8" s="8" t="s">
        <v>63</v>
      </c>
      <c r="K8" s="8" t="s">
        <v>88</v>
      </c>
      <c r="L8" s="9" t="s">
        <v>57</v>
      </c>
      <c r="M8" s="9"/>
      <c r="N8" s="9"/>
      <c r="O8" s="66"/>
      <c r="P8" s="9" t="str">
        <f t="shared" si="0"/>
        <v>ONAY</v>
      </c>
      <c r="R8" s="96" t="str">
        <f t="shared" si="1"/>
        <v/>
      </c>
    </row>
    <row r="9" spans="1:19" ht="63" x14ac:dyDescent="0.25">
      <c r="A9" s="5" t="s">
        <v>8</v>
      </c>
      <c r="B9" s="6" t="s">
        <v>109</v>
      </c>
      <c r="C9" s="8" t="s">
        <v>366</v>
      </c>
      <c r="D9" s="8" t="s">
        <v>361</v>
      </c>
      <c r="E9" s="7" t="s">
        <v>367</v>
      </c>
      <c r="F9" s="7" t="s">
        <v>321</v>
      </c>
      <c r="G9" s="13" t="s">
        <v>24</v>
      </c>
      <c r="H9" s="54"/>
      <c r="I9" s="52">
        <v>46028</v>
      </c>
      <c r="J9" s="8" t="s">
        <v>95</v>
      </c>
      <c r="K9" s="8" t="s">
        <v>94</v>
      </c>
      <c r="L9" s="9" t="s">
        <v>57</v>
      </c>
      <c r="M9" s="9"/>
      <c r="N9" s="9"/>
      <c r="O9" s="66"/>
      <c r="P9" s="9" t="str">
        <f t="shared" si="0"/>
        <v>ONAY</v>
      </c>
      <c r="R9" s="96" t="str">
        <f t="shared" si="1"/>
        <v/>
      </c>
    </row>
    <row r="10" spans="1:19" ht="110.25" x14ac:dyDescent="0.25">
      <c r="A10" s="5" t="s">
        <v>9</v>
      </c>
      <c r="B10" s="6" t="s">
        <v>110</v>
      </c>
      <c r="C10" s="8" t="s">
        <v>369</v>
      </c>
      <c r="D10" s="8" t="s">
        <v>370</v>
      </c>
      <c r="E10" s="7" t="s">
        <v>368</v>
      </c>
      <c r="F10" s="7" t="s">
        <v>322</v>
      </c>
      <c r="G10" s="13" t="s">
        <v>76</v>
      </c>
      <c r="H10" s="54"/>
      <c r="I10" s="52">
        <v>46028</v>
      </c>
      <c r="J10" s="8" t="s">
        <v>84</v>
      </c>
      <c r="K10" s="8" t="s">
        <v>96</v>
      </c>
      <c r="L10" s="9" t="s">
        <v>57</v>
      </c>
      <c r="M10" s="9"/>
      <c r="N10" s="9"/>
      <c r="O10" s="66"/>
      <c r="P10" s="9" t="str">
        <f t="shared" si="0"/>
        <v>ONAY</v>
      </c>
      <c r="R10" s="96" t="str">
        <f t="shared" si="1"/>
        <v/>
      </c>
    </row>
    <row r="11" spans="1:19" ht="94.5" x14ac:dyDescent="0.25">
      <c r="A11" s="5" t="s">
        <v>10</v>
      </c>
      <c r="B11" s="6" t="s">
        <v>111</v>
      </c>
      <c r="C11" s="8" t="s">
        <v>371</v>
      </c>
      <c r="D11" s="8" t="s">
        <v>372</v>
      </c>
      <c r="E11" s="7" t="s">
        <v>3980</v>
      </c>
      <c r="F11" s="7" t="s">
        <v>323</v>
      </c>
      <c r="G11" s="13" t="s">
        <v>23</v>
      </c>
      <c r="H11" s="54"/>
      <c r="I11" s="52">
        <v>46028</v>
      </c>
      <c r="J11" s="8" t="s">
        <v>63</v>
      </c>
      <c r="K11" s="8" t="s">
        <v>89</v>
      </c>
      <c r="L11" s="9" t="s">
        <v>58</v>
      </c>
      <c r="M11" s="9" t="s">
        <v>57</v>
      </c>
      <c r="N11" s="9"/>
      <c r="O11" s="66"/>
      <c r="P11" s="9" t="str">
        <f t="shared" si="0"/>
        <v>ONAY</v>
      </c>
      <c r="R11" s="96" t="str">
        <f t="shared" si="1"/>
        <v/>
      </c>
    </row>
    <row r="12" spans="1:19" ht="78.75" x14ac:dyDescent="0.25">
      <c r="A12" s="5" t="s">
        <v>11</v>
      </c>
      <c r="B12" s="6" t="s">
        <v>112</v>
      </c>
      <c r="C12" s="8" t="s">
        <v>373</v>
      </c>
      <c r="D12" s="8" t="s">
        <v>361</v>
      </c>
      <c r="E12" s="7" t="s">
        <v>374</v>
      </c>
      <c r="F12" s="7" t="s">
        <v>324</v>
      </c>
      <c r="G12" s="13" t="s">
        <v>76</v>
      </c>
      <c r="H12" s="54"/>
      <c r="I12" s="52">
        <v>46028</v>
      </c>
      <c r="J12" s="8" t="s">
        <v>94</v>
      </c>
      <c r="K12" s="8" t="s">
        <v>91</v>
      </c>
      <c r="L12" s="9" t="s">
        <v>57</v>
      </c>
      <c r="M12" s="9"/>
      <c r="N12" s="9"/>
      <c r="O12" s="66"/>
      <c r="P12" s="9" t="str">
        <f t="shared" si="0"/>
        <v>ONAY</v>
      </c>
      <c r="R12" s="96" t="str">
        <f t="shared" si="1"/>
        <v/>
      </c>
    </row>
    <row r="13" spans="1:19" ht="78.75" x14ac:dyDescent="0.25">
      <c r="A13" s="5" t="s">
        <v>12</v>
      </c>
      <c r="B13" s="6" t="s">
        <v>113</v>
      </c>
      <c r="C13" s="8" t="s">
        <v>375</v>
      </c>
      <c r="D13" s="8" t="s">
        <v>376</v>
      </c>
      <c r="E13" s="7" t="s">
        <v>325</v>
      </c>
      <c r="F13" s="7" t="s">
        <v>326</v>
      </c>
      <c r="G13" s="13" t="s">
        <v>24</v>
      </c>
      <c r="H13" s="54"/>
      <c r="I13" s="52">
        <v>46028</v>
      </c>
      <c r="J13" s="8" t="s">
        <v>93</v>
      </c>
      <c r="K13" s="8" t="s">
        <v>156</v>
      </c>
      <c r="L13" s="9" t="s">
        <v>59</v>
      </c>
      <c r="M13" s="9"/>
      <c r="N13" s="9"/>
      <c r="O13" s="66"/>
      <c r="P13" s="9" t="str">
        <f t="shared" si="0"/>
        <v>KAPSAM DIŞI</v>
      </c>
      <c r="R13" s="96" t="str">
        <f t="shared" si="1"/>
        <v/>
      </c>
    </row>
    <row r="14" spans="1:19" ht="63" x14ac:dyDescent="0.25">
      <c r="A14" s="5" t="s">
        <v>13</v>
      </c>
      <c r="B14" s="6" t="s">
        <v>114</v>
      </c>
      <c r="C14" s="8" t="s">
        <v>377</v>
      </c>
      <c r="D14" s="8" t="s">
        <v>378</v>
      </c>
      <c r="E14" s="7" t="s">
        <v>379</v>
      </c>
      <c r="F14" s="7" t="s">
        <v>327</v>
      </c>
      <c r="G14" s="13" t="s">
        <v>25</v>
      </c>
      <c r="H14" s="54"/>
      <c r="I14" s="52">
        <v>46028</v>
      </c>
      <c r="J14" s="8" t="s">
        <v>64</v>
      </c>
      <c r="K14" s="8" t="s">
        <v>95</v>
      </c>
      <c r="L14" s="9" t="s">
        <v>58</v>
      </c>
      <c r="M14" s="9"/>
      <c r="N14" s="9"/>
      <c r="O14" s="66"/>
      <c r="P14" s="9" t="str">
        <f t="shared" si="0"/>
        <v>DÜZELTME</v>
      </c>
      <c r="R14" s="96" t="str">
        <f t="shared" si="1"/>
        <v/>
      </c>
    </row>
    <row r="15" spans="1:19" ht="78.75" x14ac:dyDescent="0.25">
      <c r="A15" s="5" t="s">
        <v>14</v>
      </c>
      <c r="B15" s="6" t="s">
        <v>115</v>
      </c>
      <c r="C15" s="8" t="s">
        <v>380</v>
      </c>
      <c r="D15" s="8" t="s">
        <v>381</v>
      </c>
      <c r="E15" s="7" t="s">
        <v>328</v>
      </c>
      <c r="F15" s="7" t="s">
        <v>329</v>
      </c>
      <c r="G15" s="13" t="s">
        <v>76</v>
      </c>
      <c r="H15" s="54"/>
      <c r="I15" s="52">
        <v>46028</v>
      </c>
      <c r="J15" s="8" t="s">
        <v>88</v>
      </c>
      <c r="K15" s="8" t="s">
        <v>96</v>
      </c>
      <c r="L15" s="9" t="s">
        <v>57</v>
      </c>
      <c r="M15" s="9"/>
      <c r="N15" s="9"/>
      <c r="O15" s="66"/>
      <c r="P15" s="9" t="str">
        <f t="shared" si="0"/>
        <v>ONAY</v>
      </c>
      <c r="R15" s="96" t="str">
        <f t="shared" si="1"/>
        <v/>
      </c>
    </row>
    <row r="16" spans="1:19" ht="94.5" x14ac:dyDescent="0.25">
      <c r="A16" s="5" t="s">
        <v>15</v>
      </c>
      <c r="B16" s="6" t="s">
        <v>116</v>
      </c>
      <c r="C16" s="8" t="s">
        <v>382</v>
      </c>
      <c r="D16" s="8" t="s">
        <v>383</v>
      </c>
      <c r="E16" s="7" t="s">
        <v>384</v>
      </c>
      <c r="F16" s="7" t="s">
        <v>330</v>
      </c>
      <c r="G16" s="13" t="s">
        <v>76</v>
      </c>
      <c r="H16" s="54"/>
      <c r="I16" s="52">
        <v>46028</v>
      </c>
      <c r="J16" s="8" t="s">
        <v>156</v>
      </c>
      <c r="K16" s="8" t="s">
        <v>92</v>
      </c>
      <c r="L16" s="9" t="s">
        <v>307</v>
      </c>
      <c r="M16" s="9"/>
      <c r="N16" s="9"/>
      <c r="O16" s="66"/>
      <c r="P16" s="9" t="str">
        <f t="shared" si="0"/>
        <v>RET</v>
      </c>
      <c r="R16" s="96" t="str">
        <f t="shared" si="1"/>
        <v/>
      </c>
    </row>
    <row r="17" spans="1:18" ht="94.5" x14ac:dyDescent="0.25">
      <c r="A17" s="5" t="s">
        <v>16</v>
      </c>
      <c r="B17" s="6" t="s">
        <v>117</v>
      </c>
      <c r="C17" s="8" t="s">
        <v>385</v>
      </c>
      <c r="D17" s="8" t="s">
        <v>383</v>
      </c>
      <c r="E17" s="7" t="s">
        <v>386</v>
      </c>
      <c r="F17" s="7" t="s">
        <v>331</v>
      </c>
      <c r="G17" s="13" t="s">
        <v>76</v>
      </c>
      <c r="H17" s="54"/>
      <c r="I17" s="52">
        <v>46028</v>
      </c>
      <c r="J17" s="8" t="s">
        <v>94</v>
      </c>
      <c r="K17" s="8" t="s">
        <v>91</v>
      </c>
      <c r="L17" s="9" t="s">
        <v>57</v>
      </c>
      <c r="M17" s="9"/>
      <c r="N17" s="9"/>
      <c r="O17" s="66"/>
      <c r="P17" s="9" t="str">
        <f t="shared" si="0"/>
        <v>ONAY</v>
      </c>
      <c r="R17" s="96" t="str">
        <f t="shared" si="1"/>
        <v/>
      </c>
    </row>
    <row r="18" spans="1:18" ht="63" x14ac:dyDescent="0.25">
      <c r="A18" s="5" t="s">
        <v>17</v>
      </c>
      <c r="B18" s="6" t="s">
        <v>118</v>
      </c>
      <c r="C18" s="8" t="s">
        <v>388</v>
      </c>
      <c r="D18" s="8" t="s">
        <v>387</v>
      </c>
      <c r="E18" s="7" t="s">
        <v>332</v>
      </c>
      <c r="F18" s="7" t="s">
        <v>333</v>
      </c>
      <c r="G18" s="13" t="s">
        <v>24</v>
      </c>
      <c r="H18" s="54"/>
      <c r="I18" s="52">
        <v>46028</v>
      </c>
      <c r="J18" s="8" t="s">
        <v>95</v>
      </c>
      <c r="K18" s="8" t="s">
        <v>84</v>
      </c>
      <c r="L18" s="9" t="s">
        <v>58</v>
      </c>
      <c r="M18" s="9" t="s">
        <v>57</v>
      </c>
      <c r="N18" s="9"/>
      <c r="O18" s="66"/>
      <c r="P18" s="9" t="str">
        <f t="shared" si="0"/>
        <v>ONAY</v>
      </c>
      <c r="R18" s="96" t="str">
        <f t="shared" si="1"/>
        <v/>
      </c>
    </row>
    <row r="19" spans="1:18" ht="63" x14ac:dyDescent="0.25">
      <c r="A19" s="5" t="s">
        <v>18</v>
      </c>
      <c r="B19" s="6" t="s">
        <v>119</v>
      </c>
      <c r="C19" s="8" t="s">
        <v>389</v>
      </c>
      <c r="D19" s="8" t="s">
        <v>391</v>
      </c>
      <c r="E19" s="7" t="s">
        <v>334</v>
      </c>
      <c r="F19" s="7" t="s">
        <v>335</v>
      </c>
      <c r="G19" s="13" t="s">
        <v>76</v>
      </c>
      <c r="H19" s="54"/>
      <c r="I19" s="52">
        <v>46028</v>
      </c>
      <c r="J19" s="8" t="s">
        <v>89</v>
      </c>
      <c r="K19" s="8" t="s">
        <v>96</v>
      </c>
      <c r="L19" s="9" t="s">
        <v>57</v>
      </c>
      <c r="M19" s="9"/>
      <c r="N19" s="9"/>
      <c r="O19" s="66"/>
      <c r="P19" s="9" t="str">
        <f t="shared" si="0"/>
        <v>ONAY</v>
      </c>
      <c r="R19" s="96" t="str">
        <f t="shared" si="1"/>
        <v/>
      </c>
    </row>
    <row r="20" spans="1:18" ht="76.5" customHeight="1" x14ac:dyDescent="0.25">
      <c r="A20" s="5" t="s">
        <v>19</v>
      </c>
      <c r="B20" s="6" t="s">
        <v>120</v>
      </c>
      <c r="C20" s="8" t="s">
        <v>390</v>
      </c>
      <c r="D20" s="8" t="s">
        <v>392</v>
      </c>
      <c r="E20" s="7" t="s">
        <v>336</v>
      </c>
      <c r="F20" s="7" t="s">
        <v>337</v>
      </c>
      <c r="G20" s="13" t="s">
        <v>76</v>
      </c>
      <c r="H20" s="54"/>
      <c r="I20" s="52">
        <v>46028</v>
      </c>
      <c r="J20" s="8" t="s">
        <v>93</v>
      </c>
      <c r="K20" s="8" t="s">
        <v>94</v>
      </c>
      <c r="L20" s="9" t="s">
        <v>57</v>
      </c>
      <c r="M20" s="9"/>
      <c r="N20" s="9"/>
      <c r="O20" s="66"/>
      <c r="P20" s="9" t="str">
        <f t="shared" si="0"/>
        <v>ONAY</v>
      </c>
      <c r="R20" s="96" t="str">
        <f t="shared" si="1"/>
        <v/>
      </c>
    </row>
    <row r="21" spans="1:18" ht="80.25" customHeight="1" x14ac:dyDescent="0.25">
      <c r="A21" s="5" t="s">
        <v>20</v>
      </c>
      <c r="B21" s="6" t="s">
        <v>121</v>
      </c>
      <c r="C21" s="8" t="s">
        <v>390</v>
      </c>
      <c r="D21" s="8" t="s">
        <v>392</v>
      </c>
      <c r="E21" s="7" t="s">
        <v>338</v>
      </c>
      <c r="F21" s="7" t="s">
        <v>339</v>
      </c>
      <c r="G21" s="13" t="s">
        <v>76</v>
      </c>
      <c r="H21" s="54"/>
      <c r="I21" s="52">
        <v>46028</v>
      </c>
      <c r="J21" s="8" t="s">
        <v>64</v>
      </c>
      <c r="K21" s="8" t="s">
        <v>91</v>
      </c>
      <c r="L21" s="9" t="s">
        <v>57</v>
      </c>
      <c r="M21" s="9"/>
      <c r="N21" s="9"/>
      <c r="O21" s="66"/>
      <c r="P21" s="9" t="str">
        <f t="shared" si="0"/>
        <v>ONAY</v>
      </c>
      <c r="R21" s="96" t="str">
        <f t="shared" si="1"/>
        <v/>
      </c>
    </row>
    <row r="22" spans="1:18" ht="63" customHeight="1" x14ac:dyDescent="0.25">
      <c r="A22" s="5" t="s">
        <v>27</v>
      </c>
      <c r="B22" s="6" t="s">
        <v>122</v>
      </c>
      <c r="C22" s="8" t="s">
        <v>393</v>
      </c>
      <c r="D22" s="8" t="s">
        <v>394</v>
      </c>
      <c r="E22" s="7" t="s">
        <v>395</v>
      </c>
      <c r="F22" s="7" t="s">
        <v>340</v>
      </c>
      <c r="G22" s="13" t="s">
        <v>23</v>
      </c>
      <c r="H22" s="54"/>
      <c r="I22" s="52">
        <v>46028</v>
      </c>
      <c r="J22" s="8" t="s">
        <v>88</v>
      </c>
      <c r="K22" s="8" t="s">
        <v>156</v>
      </c>
      <c r="L22" s="9" t="s">
        <v>58</v>
      </c>
      <c r="M22" s="9" t="s">
        <v>86</v>
      </c>
      <c r="N22" s="9" t="s">
        <v>57</v>
      </c>
      <c r="O22" s="66"/>
      <c r="P22" s="9" t="str">
        <f t="shared" si="0"/>
        <v>ONAY</v>
      </c>
      <c r="R22" s="96" t="str">
        <f t="shared" si="1"/>
        <v/>
      </c>
    </row>
    <row r="23" spans="1:18" ht="63" x14ac:dyDescent="0.25">
      <c r="A23" s="5" t="s">
        <v>28</v>
      </c>
      <c r="B23" s="6" t="s">
        <v>123</v>
      </c>
      <c r="C23" s="8" t="s">
        <v>397</v>
      </c>
      <c r="D23" s="8" t="s">
        <v>370</v>
      </c>
      <c r="E23" s="7" t="s">
        <v>396</v>
      </c>
      <c r="F23" s="7" t="s">
        <v>341</v>
      </c>
      <c r="G23" s="13" t="s">
        <v>24</v>
      </c>
      <c r="H23" s="54"/>
      <c r="I23" s="52">
        <v>46028</v>
      </c>
      <c r="J23" s="8" t="s">
        <v>84</v>
      </c>
      <c r="K23" s="8" t="s">
        <v>92</v>
      </c>
      <c r="L23" s="9" t="s">
        <v>58</v>
      </c>
      <c r="M23" s="9" t="s">
        <v>57</v>
      </c>
      <c r="N23" s="9"/>
      <c r="O23" s="66"/>
      <c r="P23" s="9" t="str">
        <f t="shared" si="0"/>
        <v>ONAY</v>
      </c>
      <c r="R23" s="96" t="str">
        <f t="shared" si="1"/>
        <v/>
      </c>
    </row>
    <row r="24" spans="1:18" ht="78.75" x14ac:dyDescent="0.25">
      <c r="A24" s="5" t="s">
        <v>29</v>
      </c>
      <c r="B24" s="6" t="s">
        <v>124</v>
      </c>
      <c r="C24" s="8" t="s">
        <v>398</v>
      </c>
      <c r="D24" s="8" t="s">
        <v>399</v>
      </c>
      <c r="E24" s="7" t="s">
        <v>400</v>
      </c>
      <c r="F24" s="7" t="s">
        <v>342</v>
      </c>
      <c r="G24" s="13" t="s">
        <v>76</v>
      </c>
      <c r="H24" s="54"/>
      <c r="I24" s="52">
        <v>46028</v>
      </c>
      <c r="J24" s="8" t="s">
        <v>63</v>
      </c>
      <c r="K24" s="8" t="s">
        <v>93</v>
      </c>
      <c r="L24" s="9" t="s">
        <v>73</v>
      </c>
      <c r="M24" s="9" t="s">
        <v>86</v>
      </c>
      <c r="N24" s="9" t="s">
        <v>73</v>
      </c>
      <c r="O24" s="66"/>
      <c r="P24" s="9" t="str">
        <f t="shared" si="0"/>
        <v>KAEK</v>
      </c>
      <c r="R24" s="96" t="str">
        <f t="shared" si="1"/>
        <v/>
      </c>
    </row>
    <row r="25" spans="1:18" ht="94.5" x14ac:dyDescent="0.25">
      <c r="A25" s="5" t="s">
        <v>30</v>
      </c>
      <c r="B25" s="6" t="s">
        <v>125</v>
      </c>
      <c r="C25" s="8" t="s">
        <v>401</v>
      </c>
      <c r="D25" s="8" t="s">
        <v>402</v>
      </c>
      <c r="E25" s="7" t="s">
        <v>403</v>
      </c>
      <c r="F25" s="7" t="s">
        <v>343</v>
      </c>
      <c r="G25" s="13" t="s">
        <v>76</v>
      </c>
      <c r="H25" s="54"/>
      <c r="I25" s="52">
        <v>46028</v>
      </c>
      <c r="J25" s="8" t="s">
        <v>84</v>
      </c>
      <c r="K25" s="8" t="s">
        <v>91</v>
      </c>
      <c r="L25" s="9" t="s">
        <v>58</v>
      </c>
      <c r="M25" s="9" t="s">
        <v>86</v>
      </c>
      <c r="N25" s="9"/>
      <c r="O25" s="66"/>
      <c r="P25" s="9" t="str">
        <f t="shared" si="0"/>
        <v>GÖRÜŞ</v>
      </c>
      <c r="R25" s="96" t="str">
        <f t="shared" si="1"/>
        <v/>
      </c>
    </row>
    <row r="26" spans="1:18" ht="63" x14ac:dyDescent="0.25">
      <c r="A26" s="5" t="s">
        <v>31</v>
      </c>
      <c r="B26" s="6" t="s">
        <v>126</v>
      </c>
      <c r="C26" s="8" t="s">
        <v>404</v>
      </c>
      <c r="D26" s="8" t="s">
        <v>405</v>
      </c>
      <c r="E26" s="7" t="s">
        <v>344</v>
      </c>
      <c r="F26" s="7" t="s">
        <v>345</v>
      </c>
      <c r="G26" s="13" t="s">
        <v>76</v>
      </c>
      <c r="H26" s="54"/>
      <c r="I26" s="52">
        <v>46028</v>
      </c>
      <c r="J26" s="8" t="s">
        <v>93</v>
      </c>
      <c r="K26" s="8" t="s">
        <v>96</v>
      </c>
      <c r="L26" s="9" t="s">
        <v>57</v>
      </c>
      <c r="M26" s="9"/>
      <c r="N26" s="9"/>
      <c r="O26" s="66"/>
      <c r="P26" s="9" t="str">
        <f t="shared" si="0"/>
        <v>ONAY</v>
      </c>
      <c r="R26" s="96" t="str">
        <f t="shared" si="1"/>
        <v/>
      </c>
    </row>
    <row r="27" spans="1:18" ht="63" x14ac:dyDescent="0.25">
      <c r="A27" s="5" t="s">
        <v>32</v>
      </c>
      <c r="B27" s="6" t="s">
        <v>127</v>
      </c>
      <c r="C27" s="8" t="s">
        <v>406</v>
      </c>
      <c r="D27" s="8" t="s">
        <v>407</v>
      </c>
      <c r="E27" s="7" t="s">
        <v>346</v>
      </c>
      <c r="F27" s="7" t="s">
        <v>347</v>
      </c>
      <c r="G27" s="13" t="s">
        <v>76</v>
      </c>
      <c r="H27" s="54"/>
      <c r="I27" s="52">
        <v>46028</v>
      </c>
      <c r="J27" s="8" t="s">
        <v>64</v>
      </c>
      <c r="K27" s="8" t="s">
        <v>63</v>
      </c>
      <c r="L27" s="9" t="s">
        <v>57</v>
      </c>
      <c r="M27" s="9"/>
      <c r="N27" s="9"/>
      <c r="O27" s="66"/>
      <c r="P27" s="9" t="str">
        <f t="shared" si="0"/>
        <v>ONAY</v>
      </c>
      <c r="R27" s="96" t="str">
        <f t="shared" si="1"/>
        <v/>
      </c>
    </row>
    <row r="28" spans="1:18" ht="63" x14ac:dyDescent="0.25">
      <c r="A28" s="5" t="s">
        <v>33</v>
      </c>
      <c r="B28" s="6" t="s">
        <v>128</v>
      </c>
      <c r="C28" s="8" t="s">
        <v>380</v>
      </c>
      <c r="D28" s="8" t="s">
        <v>381</v>
      </c>
      <c r="E28" s="7" t="s">
        <v>408</v>
      </c>
      <c r="F28" s="7" t="s">
        <v>348</v>
      </c>
      <c r="G28" s="13" t="s">
        <v>76</v>
      </c>
      <c r="H28" s="54"/>
      <c r="I28" s="52">
        <v>46028</v>
      </c>
      <c r="J28" s="8" t="s">
        <v>88</v>
      </c>
      <c r="K28" s="8" t="s">
        <v>95</v>
      </c>
      <c r="L28" s="9" t="s">
        <v>57</v>
      </c>
      <c r="M28" s="9"/>
      <c r="N28" s="9"/>
      <c r="O28" s="66"/>
      <c r="P28" s="9" t="str">
        <f t="shared" si="0"/>
        <v>ONAY</v>
      </c>
      <c r="R28" s="96" t="str">
        <f t="shared" si="1"/>
        <v/>
      </c>
    </row>
    <row r="29" spans="1:18" ht="47.25" x14ac:dyDescent="0.25">
      <c r="A29" s="5" t="s">
        <v>34</v>
      </c>
      <c r="B29" s="6" t="s">
        <v>129</v>
      </c>
      <c r="C29" s="8" t="s">
        <v>409</v>
      </c>
      <c r="D29" s="8" t="s">
        <v>361</v>
      </c>
      <c r="E29" s="7" t="s">
        <v>410</v>
      </c>
      <c r="F29" s="7" t="s">
        <v>349</v>
      </c>
      <c r="G29" s="13" t="s">
        <v>76</v>
      </c>
      <c r="H29" s="54"/>
      <c r="I29" s="52">
        <v>46028</v>
      </c>
      <c r="J29" s="8" t="s">
        <v>93</v>
      </c>
      <c r="K29" s="8" t="s">
        <v>92</v>
      </c>
      <c r="L29" s="9" t="s">
        <v>57</v>
      </c>
      <c r="M29" s="9"/>
      <c r="N29" s="9"/>
      <c r="O29" s="66"/>
      <c r="P29" s="9" t="str">
        <f t="shared" si="0"/>
        <v>ONAY</v>
      </c>
      <c r="R29" s="96" t="str">
        <f t="shared" si="1"/>
        <v/>
      </c>
    </row>
    <row r="30" spans="1:18" ht="63" x14ac:dyDescent="0.25">
      <c r="A30" s="5" t="s">
        <v>35</v>
      </c>
      <c r="B30" s="6" t="s">
        <v>130</v>
      </c>
      <c r="C30" s="8" t="s">
        <v>413</v>
      </c>
      <c r="D30" s="8" t="s">
        <v>407</v>
      </c>
      <c r="E30" s="7" t="s">
        <v>411</v>
      </c>
      <c r="F30" s="7" t="s">
        <v>412</v>
      </c>
      <c r="G30" s="13" t="s">
        <v>76</v>
      </c>
      <c r="H30" s="54">
        <v>46017</v>
      </c>
      <c r="I30" s="52">
        <v>46028</v>
      </c>
      <c r="J30" s="8" t="s">
        <v>156</v>
      </c>
      <c r="K30" s="8" t="s">
        <v>94</v>
      </c>
      <c r="L30" s="9" t="s">
        <v>57</v>
      </c>
      <c r="M30" s="9"/>
      <c r="N30" s="9"/>
      <c r="O30" s="66"/>
      <c r="P30" s="9" t="str">
        <f t="shared" si="0"/>
        <v>ONAY</v>
      </c>
      <c r="R30" s="96" t="str">
        <f t="shared" si="1"/>
        <v/>
      </c>
    </row>
    <row r="31" spans="1:18" ht="93.75" customHeight="1" x14ac:dyDescent="0.25">
      <c r="A31" s="5" t="s">
        <v>36</v>
      </c>
      <c r="B31" s="6" t="s">
        <v>131</v>
      </c>
      <c r="C31" s="8" t="s">
        <v>382</v>
      </c>
      <c r="D31" s="8" t="s">
        <v>383</v>
      </c>
      <c r="E31" s="7" t="s">
        <v>3667</v>
      </c>
      <c r="F31" s="7" t="s">
        <v>3666</v>
      </c>
      <c r="G31" s="13" t="s">
        <v>76</v>
      </c>
      <c r="H31" s="54">
        <v>46017</v>
      </c>
      <c r="I31" s="52">
        <v>46028</v>
      </c>
      <c r="J31" s="8" t="s">
        <v>156</v>
      </c>
      <c r="K31" s="8" t="s">
        <v>96</v>
      </c>
      <c r="L31" s="9" t="s">
        <v>58</v>
      </c>
      <c r="M31" s="9" t="s">
        <v>57</v>
      </c>
      <c r="N31" s="9"/>
      <c r="O31" s="66"/>
      <c r="P31" s="9" t="str">
        <f t="shared" si="0"/>
        <v>ONAY</v>
      </c>
      <c r="R31" s="96" t="str">
        <f t="shared" si="1"/>
        <v/>
      </c>
    </row>
    <row r="32" spans="1:18" ht="94.5" x14ac:dyDescent="0.25">
      <c r="A32" s="5" t="s">
        <v>37</v>
      </c>
      <c r="B32" s="6" t="s">
        <v>132</v>
      </c>
      <c r="C32" s="8" t="s">
        <v>382</v>
      </c>
      <c r="D32" s="8" t="s">
        <v>383</v>
      </c>
      <c r="E32" s="7" t="s">
        <v>3667</v>
      </c>
      <c r="F32" s="7" t="s">
        <v>3687</v>
      </c>
      <c r="G32" s="13" t="s">
        <v>76</v>
      </c>
      <c r="H32" s="54">
        <v>46017</v>
      </c>
      <c r="I32" s="52">
        <v>46028</v>
      </c>
      <c r="J32" s="8" t="s">
        <v>156</v>
      </c>
      <c r="K32" s="8" t="s">
        <v>94</v>
      </c>
      <c r="L32" s="9" t="s">
        <v>58</v>
      </c>
      <c r="M32" s="9"/>
      <c r="N32" s="9"/>
      <c r="O32" s="66"/>
      <c r="P32" s="9" t="str">
        <f t="shared" si="0"/>
        <v>DÜZELTME</v>
      </c>
      <c r="R32" s="96" t="str">
        <f t="shared" si="1"/>
        <v/>
      </c>
    </row>
    <row r="33" spans="1:18" ht="94.5" x14ac:dyDescent="0.25">
      <c r="A33" s="5" t="s">
        <v>38</v>
      </c>
      <c r="B33" s="6" t="s">
        <v>133</v>
      </c>
      <c r="C33" s="8" t="s">
        <v>1284</v>
      </c>
      <c r="D33" s="8" t="s">
        <v>383</v>
      </c>
      <c r="E33" s="7" t="s">
        <v>3689</v>
      </c>
      <c r="F33" s="7" t="s">
        <v>3688</v>
      </c>
      <c r="G33" s="13" t="s">
        <v>76</v>
      </c>
      <c r="H33" s="54">
        <v>46017</v>
      </c>
      <c r="I33" s="52">
        <v>46028</v>
      </c>
      <c r="J33" s="8" t="s">
        <v>94</v>
      </c>
      <c r="K33" s="8" t="s">
        <v>92</v>
      </c>
      <c r="L33" s="9" t="s">
        <v>57</v>
      </c>
      <c r="M33" s="9"/>
      <c r="N33" s="9"/>
      <c r="O33" s="66"/>
      <c r="P33" s="9" t="str">
        <f t="shared" si="0"/>
        <v>ONAY</v>
      </c>
      <c r="R33" s="96" t="str">
        <f t="shared" si="1"/>
        <v/>
      </c>
    </row>
    <row r="34" spans="1:18" ht="63" x14ac:dyDescent="0.25">
      <c r="A34" s="5" t="s">
        <v>39</v>
      </c>
      <c r="B34" s="6" t="s">
        <v>134</v>
      </c>
      <c r="C34" s="8" t="s">
        <v>360</v>
      </c>
      <c r="D34" s="8" t="s">
        <v>361</v>
      </c>
      <c r="E34" s="7" t="s">
        <v>3691</v>
      </c>
      <c r="F34" s="7" t="s">
        <v>3690</v>
      </c>
      <c r="G34" s="13" t="s">
        <v>24</v>
      </c>
      <c r="H34" s="54">
        <v>46017</v>
      </c>
      <c r="I34" s="52">
        <v>46028</v>
      </c>
      <c r="J34" s="8" t="s">
        <v>95</v>
      </c>
      <c r="K34" s="8" t="s">
        <v>91</v>
      </c>
      <c r="L34" s="9" t="s">
        <v>57</v>
      </c>
      <c r="M34" s="9"/>
      <c r="N34" s="9"/>
      <c r="O34" s="66"/>
      <c r="P34" s="9" t="str">
        <f t="shared" si="0"/>
        <v>ONAY</v>
      </c>
      <c r="R34" s="96" t="str">
        <f t="shared" si="1"/>
        <v/>
      </c>
    </row>
    <row r="35" spans="1:18" ht="63" x14ac:dyDescent="0.25">
      <c r="A35" s="5" t="s">
        <v>40</v>
      </c>
      <c r="B35" s="6" t="s">
        <v>135</v>
      </c>
      <c r="C35" s="8" t="s">
        <v>1161</v>
      </c>
      <c r="D35" s="8" t="s">
        <v>1162</v>
      </c>
      <c r="E35" s="7" t="s">
        <v>3851</v>
      </c>
      <c r="F35" s="7" t="s">
        <v>3852</v>
      </c>
      <c r="G35" s="13" t="s">
        <v>76</v>
      </c>
      <c r="H35" s="54">
        <v>46017</v>
      </c>
      <c r="I35" s="52">
        <v>46028</v>
      </c>
      <c r="J35" s="8" t="s">
        <v>63</v>
      </c>
      <c r="K35" s="8" t="s">
        <v>88</v>
      </c>
      <c r="L35" s="9" t="s">
        <v>57</v>
      </c>
      <c r="M35" s="9"/>
      <c r="N35" s="9"/>
      <c r="O35" s="66"/>
      <c r="P35" s="9" t="str">
        <f t="shared" si="0"/>
        <v>ONAY</v>
      </c>
      <c r="R35" s="96" t="str">
        <f t="shared" si="1"/>
        <v/>
      </c>
    </row>
    <row r="36" spans="1:18" ht="78.75" x14ac:dyDescent="0.25">
      <c r="A36" s="5" t="s">
        <v>41</v>
      </c>
      <c r="B36" s="6" t="s">
        <v>136</v>
      </c>
      <c r="C36" s="8" t="s">
        <v>1161</v>
      </c>
      <c r="D36" s="8" t="s">
        <v>1162</v>
      </c>
      <c r="E36" s="7" t="s">
        <v>3854</v>
      </c>
      <c r="F36" s="7" t="s">
        <v>3853</v>
      </c>
      <c r="G36" s="13" t="s">
        <v>76</v>
      </c>
      <c r="H36" s="54">
        <v>46017</v>
      </c>
      <c r="I36" s="52">
        <v>46028</v>
      </c>
      <c r="J36" s="8" t="s">
        <v>64</v>
      </c>
      <c r="K36" s="8" t="s">
        <v>88</v>
      </c>
      <c r="L36" s="9" t="s">
        <v>57</v>
      </c>
      <c r="M36" s="9"/>
      <c r="N36" s="9"/>
      <c r="O36" s="66"/>
      <c r="P36" s="9" t="str">
        <f t="shared" si="0"/>
        <v>ONAY</v>
      </c>
      <c r="R36" s="96" t="str">
        <f t="shared" si="1"/>
        <v/>
      </c>
    </row>
    <row r="37" spans="1:18" ht="78.75" x14ac:dyDescent="0.25">
      <c r="A37" s="5" t="s">
        <v>42</v>
      </c>
      <c r="B37" s="6" t="s">
        <v>137</v>
      </c>
      <c r="C37" s="8" t="s">
        <v>2092</v>
      </c>
      <c r="D37" s="8" t="s">
        <v>1514</v>
      </c>
      <c r="E37" s="7" t="s">
        <v>3856</v>
      </c>
      <c r="F37" s="7" t="s">
        <v>3855</v>
      </c>
      <c r="G37" s="13" t="s">
        <v>76</v>
      </c>
      <c r="H37" s="54">
        <v>46017</v>
      </c>
      <c r="I37" s="52">
        <v>46028</v>
      </c>
      <c r="J37" s="8" t="s">
        <v>64</v>
      </c>
      <c r="K37" s="8" t="s">
        <v>93</v>
      </c>
      <c r="L37" s="9" t="s">
        <v>57</v>
      </c>
      <c r="M37" s="9"/>
      <c r="N37" s="9"/>
      <c r="O37" s="66"/>
      <c r="P37" s="9" t="str">
        <f t="shared" si="0"/>
        <v>ONAY</v>
      </c>
      <c r="R37" s="96" t="str">
        <f t="shared" si="1"/>
        <v/>
      </c>
    </row>
    <row r="38" spans="1:18" ht="63" x14ac:dyDescent="0.25">
      <c r="A38" s="5" t="s">
        <v>43</v>
      </c>
      <c r="B38" s="6" t="s">
        <v>138</v>
      </c>
      <c r="C38" s="8" t="s">
        <v>569</v>
      </c>
      <c r="D38" s="8" t="s">
        <v>402</v>
      </c>
      <c r="E38" s="7" t="s">
        <v>3858</v>
      </c>
      <c r="F38" s="7" t="s">
        <v>3857</v>
      </c>
      <c r="G38" s="13" t="s">
        <v>76</v>
      </c>
      <c r="H38" s="54">
        <v>46017</v>
      </c>
      <c r="I38" s="52">
        <v>46028</v>
      </c>
      <c r="J38" s="8" t="s">
        <v>96</v>
      </c>
      <c r="K38" s="8" t="s">
        <v>84</v>
      </c>
      <c r="L38" s="9" t="s">
        <v>57</v>
      </c>
      <c r="M38" s="9"/>
      <c r="N38" s="9"/>
      <c r="O38" s="66"/>
      <c r="P38" s="9" t="str">
        <f t="shared" si="0"/>
        <v>ONAY</v>
      </c>
      <c r="R38" s="96" t="str">
        <f t="shared" si="1"/>
        <v/>
      </c>
    </row>
    <row r="39" spans="1:18" ht="63" x14ac:dyDescent="0.25">
      <c r="A39" s="5" t="s">
        <v>44</v>
      </c>
      <c r="B39" s="6" t="s">
        <v>139</v>
      </c>
      <c r="C39" s="8" t="s">
        <v>3859</v>
      </c>
      <c r="D39" s="8" t="s">
        <v>715</v>
      </c>
      <c r="E39" s="7" t="s">
        <v>3860</v>
      </c>
      <c r="F39" s="7" t="s">
        <v>3861</v>
      </c>
      <c r="G39" s="13" t="s">
        <v>76</v>
      </c>
      <c r="H39" s="54">
        <v>46017</v>
      </c>
      <c r="I39" s="52">
        <v>46028</v>
      </c>
      <c r="J39" s="8" t="s">
        <v>89</v>
      </c>
      <c r="K39" s="8" t="s">
        <v>93</v>
      </c>
      <c r="L39" s="9" t="s">
        <v>58</v>
      </c>
      <c r="M39" s="9" t="s">
        <v>86</v>
      </c>
      <c r="N39" s="9" t="s">
        <v>57</v>
      </c>
      <c r="O39" s="66"/>
      <c r="P39" s="9" t="str">
        <f t="shared" si="0"/>
        <v>ONAY</v>
      </c>
      <c r="R39" s="96" t="str">
        <f t="shared" si="1"/>
        <v/>
      </c>
    </row>
    <row r="40" spans="1:18" ht="47.25" x14ac:dyDescent="0.25">
      <c r="A40" s="5" t="s">
        <v>45</v>
      </c>
      <c r="B40" s="6" t="s">
        <v>140</v>
      </c>
      <c r="C40" s="8" t="s">
        <v>1038</v>
      </c>
      <c r="D40" s="8" t="s">
        <v>416</v>
      </c>
      <c r="E40" s="7" t="s">
        <v>3863</v>
      </c>
      <c r="F40" s="7" t="s">
        <v>3862</v>
      </c>
      <c r="G40" s="13" t="s">
        <v>76</v>
      </c>
      <c r="H40" s="54">
        <v>46017</v>
      </c>
      <c r="I40" s="52">
        <v>46028</v>
      </c>
      <c r="J40" s="8" t="s">
        <v>63</v>
      </c>
      <c r="K40" s="8" t="s">
        <v>95</v>
      </c>
      <c r="L40" s="9" t="s">
        <v>307</v>
      </c>
      <c r="M40" s="9"/>
      <c r="N40" s="9"/>
      <c r="O40" s="66"/>
      <c r="P40" s="9" t="str">
        <f t="shared" si="0"/>
        <v>RET</v>
      </c>
      <c r="R40" s="96" t="str">
        <f t="shared" si="1"/>
        <v/>
      </c>
    </row>
    <row r="41" spans="1:18" ht="96.75" customHeight="1" x14ac:dyDescent="0.25">
      <c r="A41" s="5" t="s">
        <v>46</v>
      </c>
      <c r="B41" s="6" t="s">
        <v>141</v>
      </c>
      <c r="C41" s="8" t="s">
        <v>554</v>
      </c>
      <c r="D41" s="8" t="s">
        <v>402</v>
      </c>
      <c r="E41" s="7" t="s">
        <v>3864</v>
      </c>
      <c r="F41" s="7" t="s">
        <v>3865</v>
      </c>
      <c r="G41" s="13" t="s">
        <v>76</v>
      </c>
      <c r="H41" s="54">
        <v>46017</v>
      </c>
      <c r="I41" s="52">
        <v>46028</v>
      </c>
      <c r="J41" s="8" t="s">
        <v>92</v>
      </c>
      <c r="K41" s="8" t="s">
        <v>84</v>
      </c>
      <c r="L41" s="9" t="s">
        <v>57</v>
      </c>
      <c r="M41" s="9"/>
      <c r="N41" s="9"/>
      <c r="O41" s="66"/>
      <c r="P41" s="9" t="str">
        <f t="shared" si="0"/>
        <v>ONAY</v>
      </c>
      <c r="R41" s="96" t="str">
        <f t="shared" si="1"/>
        <v/>
      </c>
    </row>
    <row r="42" spans="1:18" ht="78.75" x14ac:dyDescent="0.25">
      <c r="A42" s="5" t="s">
        <v>47</v>
      </c>
      <c r="B42" s="6" t="s">
        <v>142</v>
      </c>
      <c r="C42" s="8" t="s">
        <v>3868</v>
      </c>
      <c r="D42" s="8" t="s">
        <v>407</v>
      </c>
      <c r="E42" s="7" t="s">
        <v>3866</v>
      </c>
      <c r="F42" s="7" t="s">
        <v>3867</v>
      </c>
      <c r="G42" s="13" t="s">
        <v>24</v>
      </c>
      <c r="H42" s="54">
        <v>46017</v>
      </c>
      <c r="I42" s="52">
        <v>46028</v>
      </c>
      <c r="J42" s="8" t="s">
        <v>91</v>
      </c>
      <c r="K42" s="8" t="s">
        <v>63</v>
      </c>
      <c r="L42" s="9" t="s">
        <v>57</v>
      </c>
      <c r="M42" s="9"/>
      <c r="N42" s="9"/>
      <c r="O42" s="66"/>
      <c r="P42" s="9" t="str">
        <f t="shared" si="0"/>
        <v>ONAY</v>
      </c>
      <c r="R42" s="96" t="str">
        <f t="shared" si="1"/>
        <v/>
      </c>
    </row>
    <row r="43" spans="1:18" ht="63" x14ac:dyDescent="0.25">
      <c r="A43" s="5" t="s">
        <v>48</v>
      </c>
      <c r="B43" s="6" t="s">
        <v>143</v>
      </c>
      <c r="C43" s="8" t="s">
        <v>3868</v>
      </c>
      <c r="D43" s="8" t="s">
        <v>407</v>
      </c>
      <c r="E43" s="7" t="s">
        <v>3869</v>
      </c>
      <c r="F43" s="7" t="s">
        <v>3870</v>
      </c>
      <c r="G43" s="13" t="s">
        <v>76</v>
      </c>
      <c r="H43" s="54">
        <v>46017</v>
      </c>
      <c r="I43" s="52">
        <v>46028</v>
      </c>
      <c r="J43" s="8" t="s">
        <v>156</v>
      </c>
      <c r="K43" s="8" t="s">
        <v>96</v>
      </c>
      <c r="L43" s="9" t="s">
        <v>58</v>
      </c>
      <c r="M43" s="9" t="s">
        <v>86</v>
      </c>
      <c r="N43" s="9" t="s">
        <v>57</v>
      </c>
      <c r="O43" s="66"/>
      <c r="P43" s="9" t="str">
        <f t="shared" si="0"/>
        <v>ONAY</v>
      </c>
      <c r="R43" s="96" t="str">
        <f t="shared" si="1"/>
        <v/>
      </c>
    </row>
    <row r="44" spans="1:18" ht="63" x14ac:dyDescent="0.25">
      <c r="A44" s="5" t="s">
        <v>49</v>
      </c>
      <c r="B44" s="6" t="s">
        <v>144</v>
      </c>
      <c r="C44" s="8" t="s">
        <v>3868</v>
      </c>
      <c r="D44" s="8" t="s">
        <v>407</v>
      </c>
      <c r="E44" s="7" t="s">
        <v>3869</v>
      </c>
      <c r="F44" s="7" t="s">
        <v>3871</v>
      </c>
      <c r="G44" s="13" t="s">
        <v>76</v>
      </c>
      <c r="H44" s="54">
        <v>46017</v>
      </c>
      <c r="I44" s="52">
        <v>46028</v>
      </c>
      <c r="J44" s="8" t="s">
        <v>64</v>
      </c>
      <c r="K44" s="8" t="s">
        <v>89</v>
      </c>
      <c r="L44" s="9" t="s">
        <v>57</v>
      </c>
      <c r="M44" s="9"/>
      <c r="N44" s="9"/>
      <c r="O44" s="66"/>
      <c r="P44" s="9" t="str">
        <f t="shared" si="0"/>
        <v>ONAY</v>
      </c>
      <c r="R44" s="96" t="str">
        <f t="shared" si="1"/>
        <v/>
      </c>
    </row>
    <row r="45" spans="1:18" ht="98.25" customHeight="1" x14ac:dyDescent="0.25">
      <c r="A45" s="5" t="s">
        <v>50</v>
      </c>
      <c r="B45" s="6" t="s">
        <v>145</v>
      </c>
      <c r="C45" s="8" t="s">
        <v>643</v>
      </c>
      <c r="D45" s="8" t="s">
        <v>361</v>
      </c>
      <c r="E45" s="7" t="s">
        <v>3872</v>
      </c>
      <c r="F45" s="7" t="s">
        <v>3873</v>
      </c>
      <c r="G45" s="13" t="s">
        <v>76</v>
      </c>
      <c r="H45" s="54">
        <v>46017</v>
      </c>
      <c r="I45" s="52">
        <v>46028</v>
      </c>
      <c r="J45" s="8" t="s">
        <v>89</v>
      </c>
      <c r="K45" s="8" t="s">
        <v>84</v>
      </c>
      <c r="L45" s="9" t="s">
        <v>57</v>
      </c>
      <c r="M45" s="9"/>
      <c r="N45" s="9"/>
      <c r="O45" s="66"/>
      <c r="P45" s="9" t="str">
        <f t="shared" si="0"/>
        <v>ONAY</v>
      </c>
      <c r="R45" s="96" t="str">
        <f t="shared" si="1"/>
        <v/>
      </c>
    </row>
    <row r="46" spans="1:18" ht="47.25" x14ac:dyDescent="0.25">
      <c r="A46" s="5" t="s">
        <v>51</v>
      </c>
      <c r="B46" s="6" t="s">
        <v>146</v>
      </c>
      <c r="C46" s="8" t="s">
        <v>1330</v>
      </c>
      <c r="D46" s="8" t="s">
        <v>837</v>
      </c>
      <c r="E46" s="7" t="s">
        <v>3875</v>
      </c>
      <c r="F46" s="7" t="s">
        <v>3874</v>
      </c>
      <c r="G46" s="13" t="s">
        <v>23</v>
      </c>
      <c r="H46" s="54">
        <v>46017</v>
      </c>
      <c r="I46" s="52">
        <v>46028</v>
      </c>
      <c r="J46" s="8" t="s">
        <v>88</v>
      </c>
      <c r="K46" s="8" t="s">
        <v>64</v>
      </c>
      <c r="L46" s="9" t="s">
        <v>57</v>
      </c>
      <c r="M46" s="9"/>
      <c r="N46" s="9"/>
      <c r="O46" s="66"/>
      <c r="P46" s="9" t="str">
        <f t="shared" si="0"/>
        <v>ONAY</v>
      </c>
      <c r="R46" s="96" t="str">
        <f t="shared" si="1"/>
        <v/>
      </c>
    </row>
    <row r="47" spans="1:18" ht="63" x14ac:dyDescent="0.25">
      <c r="A47" s="5" t="s">
        <v>52</v>
      </c>
      <c r="B47" s="6" t="s">
        <v>147</v>
      </c>
      <c r="C47" s="8" t="s">
        <v>3878</v>
      </c>
      <c r="D47" s="8" t="s">
        <v>402</v>
      </c>
      <c r="E47" s="7" t="s">
        <v>3876</v>
      </c>
      <c r="F47" s="7" t="s">
        <v>3877</v>
      </c>
      <c r="G47" s="13" t="s">
        <v>76</v>
      </c>
      <c r="H47" s="54">
        <v>46017</v>
      </c>
      <c r="I47" s="52">
        <v>46028</v>
      </c>
      <c r="J47" s="8" t="s">
        <v>84</v>
      </c>
      <c r="K47" s="8" t="s">
        <v>95</v>
      </c>
      <c r="L47" s="9" t="s">
        <v>57</v>
      </c>
      <c r="M47" s="9"/>
      <c r="N47" s="9"/>
      <c r="O47" s="66"/>
      <c r="P47" s="9" t="str">
        <f t="shared" si="0"/>
        <v>ONAY</v>
      </c>
      <c r="R47" s="96" t="str">
        <f t="shared" si="1"/>
        <v/>
      </c>
    </row>
    <row r="48" spans="1:18" ht="126" x14ac:dyDescent="0.25">
      <c r="A48" s="5" t="s">
        <v>53</v>
      </c>
      <c r="B48" s="6" t="s">
        <v>148</v>
      </c>
      <c r="C48" s="8" t="s">
        <v>3881</v>
      </c>
      <c r="D48" s="8" t="s">
        <v>376</v>
      </c>
      <c r="E48" s="7" t="s">
        <v>3879</v>
      </c>
      <c r="F48" s="7" t="s">
        <v>3880</v>
      </c>
      <c r="G48" s="13" t="s">
        <v>76</v>
      </c>
      <c r="H48" s="54">
        <v>46017</v>
      </c>
      <c r="I48" s="52">
        <v>46028</v>
      </c>
      <c r="J48" s="8" t="s">
        <v>89</v>
      </c>
      <c r="K48" s="8" t="s">
        <v>91</v>
      </c>
      <c r="L48" s="9" t="s">
        <v>58</v>
      </c>
      <c r="M48" s="9"/>
      <c r="N48" s="9"/>
      <c r="O48" s="66"/>
      <c r="P48" s="9" t="str">
        <f t="shared" si="0"/>
        <v>DÜZELTME</v>
      </c>
      <c r="R48" s="96" t="str">
        <f t="shared" si="1"/>
        <v/>
      </c>
    </row>
    <row r="49" spans="1:18" ht="63" x14ac:dyDescent="0.25">
      <c r="A49" s="5" t="s">
        <v>54</v>
      </c>
      <c r="B49" s="6" t="s">
        <v>149</v>
      </c>
      <c r="C49" s="8" t="s">
        <v>3225</v>
      </c>
      <c r="D49" s="8" t="s">
        <v>426</v>
      </c>
      <c r="E49" s="7" t="s">
        <v>3882</v>
      </c>
      <c r="F49" s="7" t="s">
        <v>3883</v>
      </c>
      <c r="G49" s="13" t="s">
        <v>76</v>
      </c>
      <c r="H49" s="54">
        <v>46017</v>
      </c>
      <c r="I49" s="52">
        <v>46028</v>
      </c>
      <c r="J49" s="8" t="s">
        <v>96</v>
      </c>
      <c r="K49" s="8" t="s">
        <v>93</v>
      </c>
      <c r="L49" s="9" t="s">
        <v>58</v>
      </c>
      <c r="M49" s="9" t="s">
        <v>86</v>
      </c>
      <c r="N49" s="9"/>
      <c r="O49" s="66"/>
      <c r="P49" s="9" t="str">
        <f t="shared" si="0"/>
        <v>GÖRÜŞ</v>
      </c>
      <c r="R49" s="96" t="str">
        <f t="shared" si="1"/>
        <v/>
      </c>
    </row>
    <row r="50" spans="1:18" ht="78.75" x14ac:dyDescent="0.25">
      <c r="A50" s="5" t="s">
        <v>55</v>
      </c>
      <c r="B50" s="6" t="s">
        <v>150</v>
      </c>
      <c r="C50" s="8" t="s">
        <v>3886</v>
      </c>
      <c r="D50" s="8" t="s">
        <v>3887</v>
      </c>
      <c r="E50" s="7" t="s">
        <v>3884</v>
      </c>
      <c r="F50" s="7" t="s">
        <v>3885</v>
      </c>
      <c r="G50" s="13" t="s">
        <v>24</v>
      </c>
      <c r="H50" s="54">
        <v>46020</v>
      </c>
      <c r="I50" s="52">
        <v>46028</v>
      </c>
      <c r="J50" s="8" t="s">
        <v>92</v>
      </c>
      <c r="K50" s="8" t="s">
        <v>63</v>
      </c>
      <c r="L50" s="9" t="s">
        <v>57</v>
      </c>
      <c r="M50" s="9"/>
      <c r="N50" s="9"/>
      <c r="O50" s="66"/>
      <c r="P50" s="9" t="str">
        <f t="shared" si="0"/>
        <v>ONAY</v>
      </c>
      <c r="R50" s="96" t="str">
        <f t="shared" si="1"/>
        <v/>
      </c>
    </row>
    <row r="51" spans="1:18" ht="63" x14ac:dyDescent="0.25">
      <c r="A51" s="5" t="s">
        <v>56</v>
      </c>
      <c r="B51" s="6" t="s">
        <v>151</v>
      </c>
      <c r="C51" s="8" t="s">
        <v>3890</v>
      </c>
      <c r="D51" s="8" t="s">
        <v>3891</v>
      </c>
      <c r="E51" s="7" t="s">
        <v>3888</v>
      </c>
      <c r="F51" s="7" t="s">
        <v>3889</v>
      </c>
      <c r="G51" s="13" t="s">
        <v>76</v>
      </c>
      <c r="H51" s="54">
        <v>46020</v>
      </c>
      <c r="I51" s="52">
        <v>46028</v>
      </c>
      <c r="J51" s="8" t="s">
        <v>63</v>
      </c>
      <c r="K51" s="8" t="s">
        <v>64</v>
      </c>
      <c r="L51" s="9" t="s">
        <v>58</v>
      </c>
      <c r="M51" s="9" t="s">
        <v>57</v>
      </c>
      <c r="N51" s="9"/>
      <c r="O51" s="66"/>
      <c r="P51" s="9" t="str">
        <f t="shared" si="0"/>
        <v>ONAY</v>
      </c>
      <c r="R51" s="96" t="str">
        <f t="shared" si="1"/>
        <v/>
      </c>
    </row>
    <row r="52" spans="1:18" ht="78.75" x14ac:dyDescent="0.25">
      <c r="A52" s="5" t="s">
        <v>74</v>
      </c>
      <c r="B52" s="6" t="s">
        <v>152</v>
      </c>
      <c r="C52" s="8" t="s">
        <v>1923</v>
      </c>
      <c r="D52" s="8" t="s">
        <v>405</v>
      </c>
      <c r="E52" s="7" t="s">
        <v>3892</v>
      </c>
      <c r="F52" s="7" t="s">
        <v>3893</v>
      </c>
      <c r="G52" s="13" t="s">
        <v>24</v>
      </c>
      <c r="H52" s="54">
        <v>46021</v>
      </c>
      <c r="I52" s="52">
        <v>46028</v>
      </c>
      <c r="J52" s="8" t="s">
        <v>156</v>
      </c>
      <c r="K52" s="8" t="s">
        <v>91</v>
      </c>
      <c r="L52" s="9" t="s">
        <v>58</v>
      </c>
      <c r="M52" s="9"/>
      <c r="N52" s="9"/>
      <c r="O52" s="66"/>
      <c r="P52" s="9" t="str">
        <f t="shared" si="0"/>
        <v>DÜZELTME</v>
      </c>
      <c r="R52" s="96" t="str">
        <f t="shared" si="1"/>
        <v/>
      </c>
    </row>
    <row r="53" spans="1:18" ht="63" x14ac:dyDescent="0.25">
      <c r="A53" s="5" t="s">
        <v>75</v>
      </c>
      <c r="B53" s="6" t="s">
        <v>153</v>
      </c>
      <c r="C53" s="8" t="s">
        <v>1951</v>
      </c>
      <c r="D53" s="8" t="s">
        <v>3896</v>
      </c>
      <c r="E53" s="7" t="s">
        <v>3894</v>
      </c>
      <c r="F53" s="7" t="s">
        <v>3895</v>
      </c>
      <c r="G53" s="13" t="s">
        <v>76</v>
      </c>
      <c r="H53" s="54">
        <v>46021</v>
      </c>
      <c r="I53" s="52">
        <v>46028</v>
      </c>
      <c r="J53" s="8" t="s">
        <v>89</v>
      </c>
      <c r="K53" s="8" t="s">
        <v>88</v>
      </c>
      <c r="L53" s="9" t="s">
        <v>57</v>
      </c>
      <c r="M53" s="9"/>
      <c r="N53" s="9"/>
      <c r="O53" s="66"/>
      <c r="P53" s="9" t="str">
        <f t="shared" si="0"/>
        <v>ONAY</v>
      </c>
      <c r="R53" s="96" t="str">
        <f t="shared" si="1"/>
        <v/>
      </c>
    </row>
    <row r="54" spans="1:18" ht="94.5" x14ac:dyDescent="0.25">
      <c r="A54" s="5" t="s">
        <v>157</v>
      </c>
      <c r="B54" s="6" t="s">
        <v>158</v>
      </c>
      <c r="C54" s="8" t="s">
        <v>906</v>
      </c>
      <c r="D54" s="8" t="s">
        <v>426</v>
      </c>
      <c r="E54" s="7" t="s">
        <v>3897</v>
      </c>
      <c r="F54" s="7" t="s">
        <v>3898</v>
      </c>
      <c r="G54" s="13" t="s">
        <v>24</v>
      </c>
      <c r="H54" s="54">
        <v>46021</v>
      </c>
      <c r="I54" s="52">
        <v>46028</v>
      </c>
      <c r="J54" s="8" t="s">
        <v>64</v>
      </c>
      <c r="K54" s="8" t="s">
        <v>94</v>
      </c>
      <c r="L54" s="9" t="s">
        <v>73</v>
      </c>
      <c r="M54" s="9"/>
      <c r="N54" s="9"/>
      <c r="O54" s="66"/>
      <c r="P54" s="9" t="str">
        <f t="shared" si="0"/>
        <v>KAEK</v>
      </c>
      <c r="R54" s="96" t="str">
        <f t="shared" si="1"/>
        <v/>
      </c>
    </row>
    <row r="55" spans="1:18" ht="78.75" x14ac:dyDescent="0.25">
      <c r="A55" s="5" t="s">
        <v>159</v>
      </c>
      <c r="B55" s="6" t="s">
        <v>160</v>
      </c>
      <c r="C55" s="8" t="s">
        <v>746</v>
      </c>
      <c r="D55" s="8" t="s">
        <v>426</v>
      </c>
      <c r="E55" s="7" t="s">
        <v>3899</v>
      </c>
      <c r="F55" s="7" t="s">
        <v>3900</v>
      </c>
      <c r="G55" s="13" t="s">
        <v>24</v>
      </c>
      <c r="H55" s="54">
        <v>46021</v>
      </c>
      <c r="I55" s="52">
        <v>46028</v>
      </c>
      <c r="J55" s="8" t="s">
        <v>92</v>
      </c>
      <c r="K55" s="8" t="s">
        <v>94</v>
      </c>
      <c r="L55" s="9" t="s">
        <v>57</v>
      </c>
      <c r="M55" s="9"/>
      <c r="N55" s="9"/>
      <c r="O55" s="66"/>
      <c r="P55" s="9" t="str">
        <f t="shared" si="0"/>
        <v>ONAY</v>
      </c>
      <c r="R55" s="96" t="str">
        <f t="shared" si="1"/>
        <v/>
      </c>
    </row>
    <row r="56" spans="1:18" ht="78.75" x14ac:dyDescent="0.25">
      <c r="A56" s="5" t="s">
        <v>161</v>
      </c>
      <c r="B56" s="6" t="s">
        <v>3668</v>
      </c>
      <c r="C56" s="8" t="s">
        <v>580</v>
      </c>
      <c r="D56" s="8" t="s">
        <v>402</v>
      </c>
      <c r="E56" s="7" t="s">
        <v>3940</v>
      </c>
      <c r="F56" s="7" t="s">
        <v>3939</v>
      </c>
      <c r="G56" s="13" t="s">
        <v>76</v>
      </c>
      <c r="H56" s="54">
        <v>46021</v>
      </c>
      <c r="I56" s="52">
        <v>46028</v>
      </c>
      <c r="J56" s="8" t="s">
        <v>89</v>
      </c>
      <c r="K56" s="8" t="s">
        <v>95</v>
      </c>
      <c r="L56" s="9" t="s">
        <v>57</v>
      </c>
      <c r="M56" s="9"/>
      <c r="N56" s="9"/>
      <c r="O56" s="66"/>
      <c r="P56" s="9" t="str">
        <f t="shared" si="0"/>
        <v>ONAY</v>
      </c>
      <c r="R56" s="96" t="str">
        <f t="shared" si="1"/>
        <v/>
      </c>
    </row>
    <row r="57" spans="1:18" ht="63" x14ac:dyDescent="0.25">
      <c r="A57" s="5" t="s">
        <v>162</v>
      </c>
      <c r="B57" s="6" t="s">
        <v>3669</v>
      </c>
      <c r="C57" s="8" t="s">
        <v>927</v>
      </c>
      <c r="D57" s="8" t="s">
        <v>3943</v>
      </c>
      <c r="E57" s="7" t="s">
        <v>3942</v>
      </c>
      <c r="F57" s="7" t="s">
        <v>3941</v>
      </c>
      <c r="G57" s="13" t="s">
        <v>76</v>
      </c>
      <c r="H57" s="54">
        <v>46024</v>
      </c>
      <c r="I57" s="52">
        <v>46042</v>
      </c>
      <c r="J57" s="8" t="s">
        <v>88</v>
      </c>
      <c r="K57" s="8" t="s">
        <v>92</v>
      </c>
      <c r="L57" s="9" t="s">
        <v>58</v>
      </c>
      <c r="M57" s="9"/>
      <c r="N57" s="9"/>
      <c r="O57" s="66"/>
      <c r="P57" s="9" t="str">
        <f t="shared" si="0"/>
        <v>DÜZELTME</v>
      </c>
      <c r="R57" s="96" t="str">
        <f t="shared" si="1"/>
        <v/>
      </c>
    </row>
    <row r="58" spans="1:18" ht="63" x14ac:dyDescent="0.25">
      <c r="A58" s="5" t="s">
        <v>163</v>
      </c>
      <c r="B58" s="6" t="s">
        <v>3670</v>
      </c>
      <c r="C58" s="8" t="s">
        <v>840</v>
      </c>
      <c r="D58" s="8" t="s">
        <v>3946</v>
      </c>
      <c r="E58" s="7" t="s">
        <v>3945</v>
      </c>
      <c r="F58" s="7" t="s">
        <v>3944</v>
      </c>
      <c r="G58" s="13" t="s">
        <v>76</v>
      </c>
      <c r="H58" s="54">
        <v>46024</v>
      </c>
      <c r="I58" s="52">
        <v>46042</v>
      </c>
      <c r="J58" s="8" t="s">
        <v>64</v>
      </c>
      <c r="K58" s="8" t="s">
        <v>93</v>
      </c>
      <c r="L58" s="9" t="s">
        <v>58</v>
      </c>
      <c r="M58" s="9"/>
      <c r="N58" s="9"/>
      <c r="O58" s="66"/>
      <c r="P58" s="9" t="str">
        <f t="shared" si="0"/>
        <v>DÜZELTME</v>
      </c>
      <c r="R58" s="96" t="str">
        <f t="shared" si="1"/>
        <v/>
      </c>
    </row>
    <row r="59" spans="1:18" ht="78.75" x14ac:dyDescent="0.25">
      <c r="A59" s="5" t="s">
        <v>164</v>
      </c>
      <c r="B59" s="6" t="s">
        <v>3671</v>
      </c>
      <c r="C59" s="8" t="s">
        <v>492</v>
      </c>
      <c r="D59" s="8" t="s">
        <v>3948</v>
      </c>
      <c r="E59" s="7" t="s">
        <v>3949</v>
      </c>
      <c r="F59" s="7" t="s">
        <v>3947</v>
      </c>
      <c r="G59" s="13" t="s">
        <v>23</v>
      </c>
      <c r="H59" s="54">
        <v>46024</v>
      </c>
      <c r="I59" s="52">
        <v>46042</v>
      </c>
      <c r="J59" s="8" t="s">
        <v>94</v>
      </c>
      <c r="K59" s="8" t="s">
        <v>95</v>
      </c>
      <c r="L59" s="9"/>
      <c r="M59" s="9"/>
      <c r="N59" s="9"/>
      <c r="O59" s="66"/>
      <c r="P59" s="9">
        <f t="shared" si="0"/>
        <v>0</v>
      </c>
      <c r="R59" s="96" t="str">
        <f t="shared" si="1"/>
        <v>SBA 26/058</v>
      </c>
    </row>
    <row r="60" spans="1:18" ht="78.75" x14ac:dyDescent="0.25">
      <c r="A60" s="5" t="s">
        <v>165</v>
      </c>
      <c r="B60" s="6" t="s">
        <v>3672</v>
      </c>
      <c r="C60" s="8" t="s">
        <v>1302</v>
      </c>
      <c r="D60" s="8" t="s">
        <v>3952</v>
      </c>
      <c r="E60" s="7" t="s">
        <v>3950</v>
      </c>
      <c r="F60" s="7" t="s">
        <v>3951</v>
      </c>
      <c r="G60" s="13" t="s">
        <v>76</v>
      </c>
      <c r="H60" s="54">
        <v>46024</v>
      </c>
      <c r="I60" s="52">
        <v>46042</v>
      </c>
      <c r="J60" s="8" t="s">
        <v>96</v>
      </c>
      <c r="K60" s="8" t="s">
        <v>91</v>
      </c>
      <c r="L60" s="9" t="s">
        <v>58</v>
      </c>
      <c r="M60" s="9"/>
      <c r="N60" s="9"/>
      <c r="O60" s="66"/>
      <c r="P60" s="9" t="str">
        <f t="shared" si="0"/>
        <v>DÜZELTME</v>
      </c>
      <c r="R60" s="96" t="str">
        <f t="shared" si="1"/>
        <v/>
      </c>
    </row>
    <row r="61" spans="1:18" ht="126" x14ac:dyDescent="0.25">
      <c r="A61" s="5" t="s">
        <v>166</v>
      </c>
      <c r="B61" s="6" t="s">
        <v>3673</v>
      </c>
      <c r="C61" s="8" t="s">
        <v>580</v>
      </c>
      <c r="D61" s="8" t="s">
        <v>402</v>
      </c>
      <c r="E61" s="7" t="s">
        <v>3953</v>
      </c>
      <c r="F61" s="7" t="s">
        <v>3954</v>
      </c>
      <c r="G61" s="13" t="s">
        <v>25</v>
      </c>
      <c r="H61" s="54">
        <v>46024</v>
      </c>
      <c r="I61" s="52">
        <v>46042</v>
      </c>
      <c r="J61" s="8" t="s">
        <v>156</v>
      </c>
      <c r="K61" s="8" t="s">
        <v>96</v>
      </c>
      <c r="L61" s="9" t="s">
        <v>58</v>
      </c>
      <c r="M61" s="9"/>
      <c r="N61" s="9"/>
      <c r="O61" s="66"/>
      <c r="P61" s="9" t="str">
        <f t="shared" si="0"/>
        <v>DÜZELTME</v>
      </c>
      <c r="R61" s="96" t="str">
        <f t="shared" si="1"/>
        <v/>
      </c>
    </row>
    <row r="62" spans="1:18" ht="63" x14ac:dyDescent="0.25">
      <c r="A62" s="5" t="s">
        <v>167</v>
      </c>
      <c r="B62" s="6" t="s">
        <v>3674</v>
      </c>
      <c r="C62" s="8" t="s">
        <v>3956</v>
      </c>
      <c r="D62" s="8" t="s">
        <v>3957</v>
      </c>
      <c r="E62" s="7" t="s">
        <v>3958</v>
      </c>
      <c r="F62" s="7" t="s">
        <v>3955</v>
      </c>
      <c r="G62" s="13" t="s">
        <v>76</v>
      </c>
      <c r="H62" s="54">
        <v>46024</v>
      </c>
      <c r="I62" s="52">
        <v>46042</v>
      </c>
      <c r="J62" s="8" t="s">
        <v>63</v>
      </c>
      <c r="K62" s="8" t="s">
        <v>84</v>
      </c>
      <c r="L62" s="9" t="s">
        <v>58</v>
      </c>
      <c r="M62" s="9" t="s">
        <v>86</v>
      </c>
      <c r="N62" s="9"/>
      <c r="O62" s="66"/>
      <c r="P62" s="9" t="str">
        <f t="shared" si="0"/>
        <v>GÖRÜŞ</v>
      </c>
      <c r="R62" s="96" t="str">
        <f t="shared" ref="R62:R66" si="2">IF(AND(L62="", B62&lt;&gt;""), B62, "")</f>
        <v/>
      </c>
    </row>
    <row r="63" spans="1:18" ht="63.75" customHeight="1" x14ac:dyDescent="0.25">
      <c r="A63" s="5" t="s">
        <v>168</v>
      </c>
      <c r="B63" s="6" t="s">
        <v>3675</v>
      </c>
      <c r="C63" s="8" t="s">
        <v>2933</v>
      </c>
      <c r="D63" s="8" t="s">
        <v>3948</v>
      </c>
      <c r="E63" s="7" t="s">
        <v>3960</v>
      </c>
      <c r="F63" s="7" t="s">
        <v>3959</v>
      </c>
      <c r="G63" s="13" t="s">
        <v>76</v>
      </c>
      <c r="H63" s="54">
        <v>46024</v>
      </c>
      <c r="I63" s="52">
        <v>46042</v>
      </c>
      <c r="J63" s="8" t="s">
        <v>88</v>
      </c>
      <c r="K63" s="8" t="s">
        <v>84</v>
      </c>
      <c r="L63" s="9" t="s">
        <v>57</v>
      </c>
      <c r="M63" s="9"/>
      <c r="N63" s="9"/>
      <c r="O63" s="66"/>
      <c r="P63" s="9" t="str">
        <f t="shared" si="0"/>
        <v>ONAY</v>
      </c>
      <c r="R63" s="96" t="str">
        <f t="shared" si="2"/>
        <v/>
      </c>
    </row>
    <row r="64" spans="1:18" ht="78.75" x14ac:dyDescent="0.25">
      <c r="A64" s="5" t="s">
        <v>169</v>
      </c>
      <c r="B64" s="6" t="s">
        <v>3676</v>
      </c>
      <c r="C64" s="8" t="s">
        <v>2328</v>
      </c>
      <c r="D64" s="8" t="s">
        <v>3896</v>
      </c>
      <c r="E64" s="7" t="s">
        <v>3961</v>
      </c>
      <c r="F64" s="7" t="s">
        <v>3962</v>
      </c>
      <c r="G64" s="13" t="s">
        <v>76</v>
      </c>
      <c r="H64" s="54">
        <v>46024</v>
      </c>
      <c r="I64" s="52">
        <v>46042</v>
      </c>
      <c r="J64" s="8" t="s">
        <v>156</v>
      </c>
      <c r="K64" s="8" t="s">
        <v>92</v>
      </c>
      <c r="L64" s="9" t="s">
        <v>57</v>
      </c>
      <c r="M64" s="9"/>
      <c r="N64" s="9"/>
      <c r="O64" s="66"/>
      <c r="P64" s="9" t="str">
        <f>IF(O64&lt;&gt;"",O64, IF(N64&lt;&gt;"",N64, IF(M64&lt;&gt;"",M64, L64)))</f>
        <v>ONAY</v>
      </c>
      <c r="R64" s="96" t="str">
        <f>IF(AND(L64="", B64&lt;&gt;""), B64, "")</f>
        <v/>
      </c>
    </row>
    <row r="65" spans="1:18" ht="47.25" x14ac:dyDescent="0.25">
      <c r="A65" s="5" t="s">
        <v>170</v>
      </c>
      <c r="B65" s="6" t="s">
        <v>3677</v>
      </c>
      <c r="C65" s="8" t="s">
        <v>634</v>
      </c>
      <c r="D65" s="8" t="s">
        <v>3964</v>
      </c>
      <c r="E65" s="7" t="s">
        <v>3965</v>
      </c>
      <c r="F65" s="7" t="s">
        <v>3963</v>
      </c>
      <c r="G65" s="13" t="s">
        <v>24</v>
      </c>
      <c r="H65" s="54">
        <v>46024</v>
      </c>
      <c r="I65" s="52">
        <v>46042</v>
      </c>
      <c r="J65" s="8" t="s">
        <v>91</v>
      </c>
      <c r="K65" s="8" t="s">
        <v>94</v>
      </c>
      <c r="L65" s="9" t="s">
        <v>58</v>
      </c>
      <c r="M65" s="9"/>
      <c r="N65" s="9"/>
      <c r="O65" s="66"/>
      <c r="P65" s="9" t="str">
        <f>IF(O65&lt;&gt;"",O65, IF(N65&lt;&gt;"",N65, IF(M65&lt;&gt;"",M65, L65)))</f>
        <v>DÜZELTME</v>
      </c>
      <c r="R65" s="96" t="str">
        <f>IF(AND(L65="", B65&lt;&gt;""), B65, "")</f>
        <v/>
      </c>
    </row>
    <row r="66" spans="1:18" ht="63" x14ac:dyDescent="0.25">
      <c r="A66" s="5" t="s">
        <v>171</v>
      </c>
      <c r="B66" s="6" t="s">
        <v>3678</v>
      </c>
      <c r="C66" s="8" t="s">
        <v>634</v>
      </c>
      <c r="D66" s="8" t="s">
        <v>3964</v>
      </c>
      <c r="E66" s="7" t="s">
        <v>3966</v>
      </c>
      <c r="F66" s="7" t="s">
        <v>3967</v>
      </c>
      <c r="G66" s="13" t="s">
        <v>24</v>
      </c>
      <c r="H66" s="54">
        <v>46024</v>
      </c>
      <c r="I66" s="52">
        <v>46042</v>
      </c>
      <c r="J66" s="8" t="s">
        <v>91</v>
      </c>
      <c r="K66" s="8" t="s">
        <v>94</v>
      </c>
      <c r="L66" s="9" t="s">
        <v>58</v>
      </c>
      <c r="M66" s="9"/>
      <c r="N66" s="9"/>
      <c r="O66" s="66"/>
      <c r="P66" s="9" t="str">
        <f t="shared" si="0"/>
        <v>DÜZELTME</v>
      </c>
      <c r="R66" s="96" t="str">
        <f t="shared" si="2"/>
        <v/>
      </c>
    </row>
    <row r="67" spans="1:18" ht="81" customHeight="1" x14ac:dyDescent="0.25">
      <c r="A67" s="5" t="s">
        <v>172</v>
      </c>
      <c r="B67" s="6" t="s">
        <v>3679</v>
      </c>
      <c r="C67" s="8" t="s">
        <v>535</v>
      </c>
      <c r="D67" s="8" t="s">
        <v>391</v>
      </c>
      <c r="E67" s="7" t="s">
        <v>3969</v>
      </c>
      <c r="F67" s="7" t="s">
        <v>3968</v>
      </c>
      <c r="G67" s="13" t="s">
        <v>76</v>
      </c>
      <c r="H67" s="54">
        <v>46027</v>
      </c>
      <c r="I67" s="52">
        <v>46042</v>
      </c>
      <c r="J67" s="8" t="s">
        <v>93</v>
      </c>
      <c r="K67" s="8" t="s">
        <v>156</v>
      </c>
      <c r="L67" s="9" t="s">
        <v>57</v>
      </c>
      <c r="M67" s="9"/>
      <c r="N67" s="9"/>
      <c r="O67" s="66"/>
      <c r="P67" s="9" t="str">
        <f t="shared" ref="P67:P247" si="3">IF(O67&lt;&gt;"",O67, IF(N67&lt;&gt;"",N67, IF(M67&lt;&gt;"",M67, L67)))</f>
        <v>ONAY</v>
      </c>
      <c r="R67" s="96" t="str">
        <f t="shared" ref="R67:R247" si="4">IF(AND(L67="", B67&lt;&gt;""), B67, "")</f>
        <v/>
      </c>
    </row>
    <row r="68" spans="1:18" ht="80.25" customHeight="1" x14ac:dyDescent="0.25">
      <c r="A68" s="5" t="s">
        <v>173</v>
      </c>
      <c r="B68" s="6" t="s">
        <v>3680</v>
      </c>
      <c r="C68" s="8" t="s">
        <v>3971</v>
      </c>
      <c r="D68" s="8" t="s">
        <v>355</v>
      </c>
      <c r="E68" s="7" t="s">
        <v>3974</v>
      </c>
      <c r="F68" s="7" t="s">
        <v>3970</v>
      </c>
      <c r="G68" s="13" t="s">
        <v>76</v>
      </c>
      <c r="H68" s="54">
        <v>46027</v>
      </c>
      <c r="I68" s="52">
        <v>46042</v>
      </c>
      <c r="J68" s="8" t="s">
        <v>93</v>
      </c>
      <c r="K68" s="8" t="s">
        <v>64</v>
      </c>
      <c r="L68" s="9" t="s">
        <v>58</v>
      </c>
      <c r="M68" s="9"/>
      <c r="N68" s="9"/>
      <c r="O68" s="66"/>
      <c r="P68" s="9" t="str">
        <f t="shared" si="3"/>
        <v>DÜZELTME</v>
      </c>
      <c r="R68" s="96" t="str">
        <f t="shared" si="4"/>
        <v/>
      </c>
    </row>
    <row r="69" spans="1:18" ht="126" x14ac:dyDescent="0.25">
      <c r="A69" s="5" t="s">
        <v>174</v>
      </c>
      <c r="B69" s="6" t="s">
        <v>3681</v>
      </c>
      <c r="C69" s="8" t="s">
        <v>93</v>
      </c>
      <c r="D69" s="8" t="s">
        <v>355</v>
      </c>
      <c r="E69" s="7" t="s">
        <v>3972</v>
      </c>
      <c r="F69" s="7" t="s">
        <v>3973</v>
      </c>
      <c r="G69" s="13" t="s">
        <v>24</v>
      </c>
      <c r="H69" s="54">
        <v>46027</v>
      </c>
      <c r="I69" s="52">
        <v>46042</v>
      </c>
      <c r="J69" s="8" t="s">
        <v>64</v>
      </c>
      <c r="K69" s="8" t="s">
        <v>96</v>
      </c>
      <c r="L69" s="9" t="s">
        <v>57</v>
      </c>
      <c r="M69" s="9"/>
      <c r="N69" s="9"/>
      <c r="O69" s="66"/>
      <c r="P69" s="9" t="str">
        <f t="shared" si="3"/>
        <v>ONAY</v>
      </c>
      <c r="R69" s="96" t="str">
        <f t="shared" si="4"/>
        <v/>
      </c>
    </row>
    <row r="70" spans="1:18" ht="63" x14ac:dyDescent="0.25">
      <c r="A70" s="5" t="s">
        <v>175</v>
      </c>
      <c r="B70" s="6" t="s">
        <v>3682</v>
      </c>
      <c r="C70" s="8" t="s">
        <v>2933</v>
      </c>
      <c r="D70" s="8" t="s">
        <v>3948</v>
      </c>
      <c r="E70" s="7" t="s">
        <v>3975</v>
      </c>
      <c r="F70" s="7" t="s">
        <v>3976</v>
      </c>
      <c r="G70" s="13" t="s">
        <v>76</v>
      </c>
      <c r="H70" s="54">
        <v>46027</v>
      </c>
      <c r="I70" s="52">
        <v>46042</v>
      </c>
      <c r="J70" s="8" t="s">
        <v>92</v>
      </c>
      <c r="K70" s="8" t="s">
        <v>91</v>
      </c>
      <c r="L70" s="9" t="s">
        <v>57</v>
      </c>
      <c r="M70" s="9"/>
      <c r="N70" s="9"/>
      <c r="O70" s="66"/>
      <c r="P70" s="9" t="str">
        <f t="shared" si="3"/>
        <v>ONAY</v>
      </c>
      <c r="R70" s="96" t="str">
        <f t="shared" si="4"/>
        <v/>
      </c>
    </row>
    <row r="71" spans="1:18" ht="63" x14ac:dyDescent="0.25">
      <c r="A71" s="5" t="s">
        <v>176</v>
      </c>
      <c r="B71" s="6" t="s">
        <v>3683</v>
      </c>
      <c r="C71" s="8" t="s">
        <v>3978</v>
      </c>
      <c r="D71" s="8" t="s">
        <v>1514</v>
      </c>
      <c r="E71" s="7" t="s">
        <v>3979</v>
      </c>
      <c r="F71" s="7" t="s">
        <v>3977</v>
      </c>
      <c r="G71" s="13" t="s">
        <v>76</v>
      </c>
      <c r="H71" s="54">
        <v>46027</v>
      </c>
      <c r="I71" s="52">
        <v>46042</v>
      </c>
      <c r="J71" s="8" t="s">
        <v>93</v>
      </c>
      <c r="K71" s="8" t="s">
        <v>91</v>
      </c>
      <c r="L71" s="9" t="s">
        <v>57</v>
      </c>
      <c r="M71" s="9"/>
      <c r="N71" s="9"/>
      <c r="O71" s="66"/>
      <c r="P71" s="9" t="str">
        <f t="shared" si="3"/>
        <v>ONAY</v>
      </c>
      <c r="R71" s="96" t="str">
        <f t="shared" si="4"/>
        <v/>
      </c>
    </row>
    <row r="72" spans="1:18" ht="78.75" x14ac:dyDescent="0.25">
      <c r="A72" s="5" t="s">
        <v>177</v>
      </c>
      <c r="B72" s="6" t="s">
        <v>3684</v>
      </c>
      <c r="C72" s="8" t="s">
        <v>3983</v>
      </c>
      <c r="D72" s="8" t="s">
        <v>3984</v>
      </c>
      <c r="E72" s="7" t="s">
        <v>3981</v>
      </c>
      <c r="F72" s="7" t="s">
        <v>3982</v>
      </c>
      <c r="G72" s="13" t="s">
        <v>76</v>
      </c>
      <c r="H72" s="54">
        <v>46029</v>
      </c>
      <c r="I72" s="52">
        <v>46042</v>
      </c>
      <c r="J72" s="8" t="s">
        <v>89</v>
      </c>
      <c r="K72" s="8" t="s">
        <v>64</v>
      </c>
      <c r="L72" s="9" t="s">
        <v>58</v>
      </c>
      <c r="M72" s="9"/>
      <c r="N72" s="9"/>
      <c r="O72" s="66"/>
      <c r="P72" s="9" t="str">
        <f t="shared" si="3"/>
        <v>DÜZELTME</v>
      </c>
      <c r="R72" s="96" t="str">
        <f t="shared" si="4"/>
        <v/>
      </c>
    </row>
    <row r="73" spans="1:18" ht="63" x14ac:dyDescent="0.25">
      <c r="A73" s="5" t="s">
        <v>178</v>
      </c>
      <c r="B73" s="6" t="s">
        <v>3685</v>
      </c>
      <c r="C73" s="8" t="s">
        <v>1826</v>
      </c>
      <c r="D73" s="8" t="s">
        <v>402</v>
      </c>
      <c r="E73" s="7" t="s">
        <v>3985</v>
      </c>
      <c r="F73" s="7" t="s">
        <v>3986</v>
      </c>
      <c r="G73" s="13" t="s">
        <v>76</v>
      </c>
      <c r="H73" s="54">
        <v>46029</v>
      </c>
      <c r="I73" s="52">
        <v>46042</v>
      </c>
      <c r="J73" s="8" t="s">
        <v>156</v>
      </c>
      <c r="K73" s="8" t="s">
        <v>63</v>
      </c>
      <c r="L73" s="9"/>
      <c r="M73" s="9"/>
      <c r="N73" s="9"/>
      <c r="O73" s="66"/>
      <c r="P73" s="9">
        <f t="shared" si="3"/>
        <v>0</v>
      </c>
      <c r="R73" s="96" t="str">
        <f t="shared" si="4"/>
        <v>SBA 26/072</v>
      </c>
    </row>
    <row r="74" spans="1:18" ht="78.75" x14ac:dyDescent="0.25">
      <c r="A74" s="5" t="s">
        <v>179</v>
      </c>
      <c r="B74" s="6" t="s">
        <v>3686</v>
      </c>
      <c r="C74" s="8" t="s">
        <v>492</v>
      </c>
      <c r="D74" s="8" t="s">
        <v>3948</v>
      </c>
      <c r="E74" s="7" t="s">
        <v>3987</v>
      </c>
      <c r="F74" s="7" t="s">
        <v>3988</v>
      </c>
      <c r="G74" s="13" t="s">
        <v>76</v>
      </c>
      <c r="H74" s="54">
        <v>46029</v>
      </c>
      <c r="I74" s="52">
        <v>46042</v>
      </c>
      <c r="J74" s="8" t="s">
        <v>92</v>
      </c>
      <c r="K74" s="8" t="s">
        <v>88</v>
      </c>
      <c r="L74" s="9" t="s">
        <v>58</v>
      </c>
      <c r="M74" s="9"/>
      <c r="N74" s="9"/>
      <c r="O74" s="66"/>
      <c r="P74" s="9" t="str">
        <f t="shared" si="3"/>
        <v>DÜZELTME</v>
      </c>
      <c r="R74" s="96" t="str">
        <f t="shared" si="4"/>
        <v/>
      </c>
    </row>
    <row r="75" spans="1:18" ht="47.25" x14ac:dyDescent="0.25">
      <c r="A75" s="5" t="s">
        <v>180</v>
      </c>
      <c r="B75" s="6" t="s">
        <v>3901</v>
      </c>
      <c r="C75" s="8" t="s">
        <v>3991</v>
      </c>
      <c r="D75" s="8" t="s">
        <v>3992</v>
      </c>
      <c r="E75" s="7" t="s">
        <v>3989</v>
      </c>
      <c r="F75" s="7" t="s">
        <v>3990</v>
      </c>
      <c r="G75" s="13" t="s">
        <v>23</v>
      </c>
      <c r="H75" s="54">
        <v>46030</v>
      </c>
      <c r="I75" s="52">
        <v>46042</v>
      </c>
      <c r="J75" s="8" t="s">
        <v>95</v>
      </c>
      <c r="K75" s="8" t="s">
        <v>84</v>
      </c>
      <c r="L75" s="9" t="s">
        <v>57</v>
      </c>
      <c r="M75" s="9"/>
      <c r="N75" s="9"/>
      <c r="O75" s="66"/>
      <c r="P75" s="9" t="str">
        <f t="shared" si="3"/>
        <v>ONAY</v>
      </c>
      <c r="R75" s="96" t="str">
        <f t="shared" si="4"/>
        <v/>
      </c>
    </row>
    <row r="76" spans="1:18" ht="78.75" x14ac:dyDescent="0.25">
      <c r="A76" s="5" t="s">
        <v>181</v>
      </c>
      <c r="B76" s="6" t="s">
        <v>3902</v>
      </c>
      <c r="C76" s="8" t="s">
        <v>1059</v>
      </c>
      <c r="D76" s="8" t="s">
        <v>3995</v>
      </c>
      <c r="E76" s="7" t="s">
        <v>3993</v>
      </c>
      <c r="F76" s="7" t="s">
        <v>3994</v>
      </c>
      <c r="G76" s="13" t="s">
        <v>24</v>
      </c>
      <c r="H76" s="54">
        <v>46030</v>
      </c>
      <c r="I76" s="52">
        <v>46042</v>
      </c>
      <c r="J76" s="8" t="s">
        <v>63</v>
      </c>
      <c r="K76" s="8" t="s">
        <v>93</v>
      </c>
      <c r="L76" s="9" t="s">
        <v>57</v>
      </c>
      <c r="M76" s="9"/>
      <c r="N76" s="9"/>
      <c r="O76" s="66"/>
      <c r="P76" s="9" t="str">
        <f t="shared" si="3"/>
        <v>ONAY</v>
      </c>
      <c r="R76" s="96" t="str">
        <f t="shared" si="4"/>
        <v/>
      </c>
    </row>
    <row r="77" spans="1:18" ht="63" x14ac:dyDescent="0.25">
      <c r="A77" s="5" t="s">
        <v>182</v>
      </c>
      <c r="B77" s="6" t="s">
        <v>3903</v>
      </c>
      <c r="C77" s="8" t="s">
        <v>1503</v>
      </c>
      <c r="D77" s="8" t="s">
        <v>416</v>
      </c>
      <c r="E77" s="7" t="s">
        <v>3996</v>
      </c>
      <c r="F77" s="7" t="s">
        <v>3997</v>
      </c>
      <c r="G77" s="13" t="s">
        <v>76</v>
      </c>
      <c r="H77" s="54">
        <v>46031</v>
      </c>
      <c r="I77" s="52">
        <v>46042</v>
      </c>
      <c r="J77" s="8" t="s">
        <v>63</v>
      </c>
      <c r="K77" s="8" t="s">
        <v>96</v>
      </c>
      <c r="L77" s="9" t="s">
        <v>57</v>
      </c>
      <c r="M77" s="9"/>
      <c r="N77" s="9"/>
      <c r="O77" s="66"/>
      <c r="P77" s="9" t="str">
        <f t="shared" si="3"/>
        <v>ONAY</v>
      </c>
      <c r="R77" s="96" t="str">
        <f t="shared" si="4"/>
        <v/>
      </c>
    </row>
    <row r="78" spans="1:18" ht="63" x14ac:dyDescent="0.25">
      <c r="A78" s="5" t="s">
        <v>183</v>
      </c>
      <c r="B78" s="6" t="s">
        <v>3904</v>
      </c>
      <c r="C78" s="8" t="s">
        <v>1246</v>
      </c>
      <c r="D78" s="8" t="s">
        <v>3943</v>
      </c>
      <c r="E78" s="7" t="s">
        <v>3998</v>
      </c>
      <c r="F78" s="7" t="s">
        <v>3999</v>
      </c>
      <c r="G78" s="13" t="s">
        <v>76</v>
      </c>
      <c r="H78" s="54">
        <v>46031</v>
      </c>
      <c r="I78" s="52">
        <v>46042</v>
      </c>
      <c r="J78" s="8" t="s">
        <v>96</v>
      </c>
      <c r="K78" s="8" t="s">
        <v>84</v>
      </c>
      <c r="L78" s="9" t="s">
        <v>58</v>
      </c>
      <c r="M78" s="9"/>
      <c r="N78" s="9"/>
      <c r="O78" s="66"/>
      <c r="P78" s="9" t="str">
        <f t="shared" si="3"/>
        <v>DÜZELTME</v>
      </c>
      <c r="R78" s="96" t="str">
        <f t="shared" si="4"/>
        <v/>
      </c>
    </row>
    <row r="79" spans="1:18" ht="78.75" x14ac:dyDescent="0.25">
      <c r="A79" s="5" t="s">
        <v>184</v>
      </c>
      <c r="B79" s="6" t="s">
        <v>3905</v>
      </c>
      <c r="C79" s="8" t="s">
        <v>569</v>
      </c>
      <c r="D79" s="8" t="s">
        <v>402</v>
      </c>
      <c r="E79" s="7" t="s">
        <v>4000</v>
      </c>
      <c r="F79" s="7" t="s">
        <v>4001</v>
      </c>
      <c r="G79" s="13" t="s">
        <v>24</v>
      </c>
      <c r="H79" s="54">
        <v>46031</v>
      </c>
      <c r="I79" s="52">
        <v>46042</v>
      </c>
      <c r="J79" s="8" t="s">
        <v>84</v>
      </c>
      <c r="K79" s="8" t="s">
        <v>95</v>
      </c>
      <c r="L79" s="9" t="s">
        <v>57</v>
      </c>
      <c r="M79" s="9"/>
      <c r="N79" s="9"/>
      <c r="O79" s="66"/>
      <c r="P79" s="9" t="str">
        <f t="shared" si="3"/>
        <v>ONAY</v>
      </c>
      <c r="R79" s="96" t="str">
        <f t="shared" si="4"/>
        <v/>
      </c>
    </row>
    <row r="80" spans="1:18" ht="94.5" x14ac:dyDescent="0.25">
      <c r="A80" s="5" t="s">
        <v>185</v>
      </c>
      <c r="B80" s="6" t="s">
        <v>3906</v>
      </c>
      <c r="C80" s="8" t="s">
        <v>4004</v>
      </c>
      <c r="D80" s="8" t="s">
        <v>4005</v>
      </c>
      <c r="E80" s="7" t="s">
        <v>4002</v>
      </c>
      <c r="F80" s="7" t="s">
        <v>4003</v>
      </c>
      <c r="G80" s="13" t="s">
        <v>23</v>
      </c>
      <c r="H80" s="54">
        <v>46031</v>
      </c>
      <c r="I80" s="52">
        <v>46042</v>
      </c>
      <c r="J80" s="8" t="s">
        <v>95</v>
      </c>
      <c r="K80" s="8" t="s">
        <v>92</v>
      </c>
      <c r="L80" s="9" t="s">
        <v>58</v>
      </c>
      <c r="M80" s="9" t="s">
        <v>57</v>
      </c>
      <c r="N80" s="9"/>
      <c r="O80" s="66"/>
      <c r="P80" s="9" t="str">
        <f t="shared" si="3"/>
        <v>ONAY</v>
      </c>
      <c r="R80" s="96" t="str">
        <f t="shared" si="4"/>
        <v/>
      </c>
    </row>
    <row r="81" spans="1:18" ht="78.75" x14ac:dyDescent="0.25">
      <c r="A81" s="5" t="s">
        <v>186</v>
      </c>
      <c r="B81" s="6" t="s">
        <v>3907</v>
      </c>
      <c r="C81" s="8" t="s">
        <v>518</v>
      </c>
      <c r="D81" s="8" t="s">
        <v>402</v>
      </c>
      <c r="E81" s="7" t="s">
        <v>4006</v>
      </c>
      <c r="F81" s="7" t="s">
        <v>4007</v>
      </c>
      <c r="G81" s="13" t="s">
        <v>24</v>
      </c>
      <c r="H81" s="54">
        <v>46034</v>
      </c>
      <c r="I81" s="52">
        <v>46042</v>
      </c>
      <c r="J81" s="8" t="s">
        <v>156</v>
      </c>
      <c r="K81" s="8" t="s">
        <v>96</v>
      </c>
      <c r="L81" s="9" t="s">
        <v>58</v>
      </c>
      <c r="M81" s="9" t="s">
        <v>57</v>
      </c>
      <c r="N81" s="9"/>
      <c r="O81" s="66"/>
      <c r="P81" s="9" t="str">
        <f t="shared" si="3"/>
        <v>ONAY</v>
      </c>
      <c r="R81" s="96" t="str">
        <f t="shared" si="4"/>
        <v/>
      </c>
    </row>
    <row r="82" spans="1:18" ht="63" x14ac:dyDescent="0.25">
      <c r="A82" s="5" t="s">
        <v>187</v>
      </c>
      <c r="B82" s="6" t="s">
        <v>3908</v>
      </c>
      <c r="C82" s="8" t="s">
        <v>2552</v>
      </c>
      <c r="D82" s="8" t="s">
        <v>715</v>
      </c>
      <c r="E82" s="7" t="s">
        <v>4008</v>
      </c>
      <c r="F82" s="7" t="s">
        <v>4009</v>
      </c>
      <c r="G82" s="13" t="s">
        <v>76</v>
      </c>
      <c r="H82" s="54">
        <v>46034</v>
      </c>
      <c r="I82" s="52">
        <v>46042</v>
      </c>
      <c r="J82" s="8" t="s">
        <v>64</v>
      </c>
      <c r="K82" s="8" t="s">
        <v>88</v>
      </c>
      <c r="L82" s="9" t="s">
        <v>57</v>
      </c>
      <c r="M82" s="9"/>
      <c r="N82" s="9"/>
      <c r="O82" s="66"/>
      <c r="P82" s="9" t="str">
        <f t="shared" si="3"/>
        <v>ONAY</v>
      </c>
      <c r="R82" s="96" t="str">
        <f t="shared" si="4"/>
        <v/>
      </c>
    </row>
    <row r="83" spans="1:18" ht="78.75" x14ac:dyDescent="0.25">
      <c r="A83" s="5" t="s">
        <v>188</v>
      </c>
      <c r="B83" s="6" t="s">
        <v>3909</v>
      </c>
      <c r="C83" s="8" t="s">
        <v>1310</v>
      </c>
      <c r="D83" s="8" t="s">
        <v>3896</v>
      </c>
      <c r="E83" s="7" t="s">
        <v>4010</v>
      </c>
      <c r="F83" s="7" t="s">
        <v>4011</v>
      </c>
      <c r="G83" s="13" t="s">
        <v>76</v>
      </c>
      <c r="H83" s="54">
        <v>46034</v>
      </c>
      <c r="I83" s="52">
        <v>46042</v>
      </c>
      <c r="J83" s="8" t="s">
        <v>91</v>
      </c>
      <c r="K83" s="8" t="s">
        <v>94</v>
      </c>
      <c r="L83" s="9" t="s">
        <v>58</v>
      </c>
      <c r="M83" s="9"/>
      <c r="N83" s="9"/>
      <c r="O83" s="66"/>
      <c r="P83" s="9" t="str">
        <f t="shared" si="3"/>
        <v>DÜZELTME</v>
      </c>
      <c r="R83" s="96" t="str">
        <f t="shared" si="4"/>
        <v/>
      </c>
    </row>
    <row r="84" spans="1:18" ht="63" x14ac:dyDescent="0.25">
      <c r="A84" s="5" t="s">
        <v>189</v>
      </c>
      <c r="B84" s="6" t="s">
        <v>3910</v>
      </c>
      <c r="C84" s="8" t="s">
        <v>817</v>
      </c>
      <c r="D84" s="8" t="s">
        <v>361</v>
      </c>
      <c r="E84" s="7" t="s">
        <v>4013</v>
      </c>
      <c r="F84" s="7" t="s">
        <v>4012</v>
      </c>
      <c r="G84" s="13" t="s">
        <v>76</v>
      </c>
      <c r="H84" s="54">
        <v>46034</v>
      </c>
      <c r="I84" s="52">
        <v>46042</v>
      </c>
      <c r="J84" s="8" t="s">
        <v>95</v>
      </c>
      <c r="K84" s="8" t="s">
        <v>88</v>
      </c>
      <c r="L84" s="9" t="s">
        <v>86</v>
      </c>
      <c r="M84" s="9"/>
      <c r="N84" s="9"/>
      <c r="O84" s="66"/>
      <c r="P84" s="9" t="str">
        <f t="shared" si="3"/>
        <v>GÖRÜŞ</v>
      </c>
      <c r="R84" s="96" t="str">
        <f t="shared" si="4"/>
        <v/>
      </c>
    </row>
    <row r="85" spans="1:18" ht="63" x14ac:dyDescent="0.25">
      <c r="A85" s="5" t="s">
        <v>190</v>
      </c>
      <c r="B85" s="6" t="s">
        <v>3911</v>
      </c>
      <c r="C85" s="8" t="s">
        <v>360</v>
      </c>
      <c r="D85" s="8" t="s">
        <v>361</v>
      </c>
      <c r="E85" s="7" t="s">
        <v>4014</v>
      </c>
      <c r="F85" s="7" t="s">
        <v>4015</v>
      </c>
      <c r="G85" s="13" t="s">
        <v>76</v>
      </c>
      <c r="H85" s="54">
        <v>46034</v>
      </c>
      <c r="I85" s="52">
        <v>46042</v>
      </c>
      <c r="J85" s="8" t="s">
        <v>94</v>
      </c>
      <c r="K85" s="8" t="s">
        <v>88</v>
      </c>
      <c r="L85" s="9" t="s">
        <v>86</v>
      </c>
      <c r="M85" s="9"/>
      <c r="N85" s="9"/>
      <c r="O85" s="66"/>
      <c r="P85" s="9" t="str">
        <f t="shared" si="3"/>
        <v>GÖRÜŞ</v>
      </c>
      <c r="R85" s="96" t="str">
        <f t="shared" si="4"/>
        <v/>
      </c>
    </row>
    <row r="86" spans="1:18" ht="63" x14ac:dyDescent="0.25">
      <c r="A86" s="5" t="s">
        <v>191</v>
      </c>
      <c r="B86" s="6" t="s">
        <v>3912</v>
      </c>
      <c r="C86" s="8" t="s">
        <v>507</v>
      </c>
      <c r="D86" s="8" t="s">
        <v>361</v>
      </c>
      <c r="E86" s="7" t="s">
        <v>4016</v>
      </c>
      <c r="F86" s="7" t="s">
        <v>4017</v>
      </c>
      <c r="G86" s="13" t="s">
        <v>76</v>
      </c>
      <c r="H86" s="54">
        <v>46036</v>
      </c>
      <c r="I86" s="52">
        <v>46042</v>
      </c>
      <c r="J86" s="8" t="s">
        <v>156</v>
      </c>
      <c r="K86" s="8" t="s">
        <v>84</v>
      </c>
      <c r="L86" s="9" t="s">
        <v>57</v>
      </c>
      <c r="M86" s="9"/>
      <c r="N86" s="9"/>
      <c r="O86" s="66"/>
      <c r="P86" s="9" t="str">
        <f t="shared" si="3"/>
        <v>ONAY</v>
      </c>
      <c r="R86" s="96" t="str">
        <f t="shared" si="4"/>
        <v/>
      </c>
    </row>
    <row r="87" spans="1:18" ht="78.75" x14ac:dyDescent="0.25">
      <c r="A87" s="5" t="s">
        <v>192</v>
      </c>
      <c r="B87" s="6" t="s">
        <v>3913</v>
      </c>
      <c r="C87" s="8" t="s">
        <v>4020</v>
      </c>
      <c r="D87" s="8" t="s">
        <v>4021</v>
      </c>
      <c r="E87" s="7" t="s">
        <v>4018</v>
      </c>
      <c r="F87" s="7" t="s">
        <v>4019</v>
      </c>
      <c r="G87" s="13" t="s">
        <v>24</v>
      </c>
      <c r="H87" s="54">
        <v>46036</v>
      </c>
      <c r="I87" s="52">
        <v>46042</v>
      </c>
      <c r="J87" s="8" t="s">
        <v>63</v>
      </c>
      <c r="K87" s="8" t="s">
        <v>92</v>
      </c>
      <c r="L87" s="9" t="s">
        <v>58</v>
      </c>
      <c r="M87" s="9" t="s">
        <v>57</v>
      </c>
      <c r="N87" s="9"/>
      <c r="O87" s="66"/>
      <c r="P87" s="9" t="str">
        <f t="shared" si="3"/>
        <v>ONAY</v>
      </c>
      <c r="R87" s="96" t="str">
        <f t="shared" si="4"/>
        <v/>
      </c>
    </row>
    <row r="88" spans="1:18" ht="78.75" x14ac:dyDescent="0.25">
      <c r="A88" s="5" t="s">
        <v>193</v>
      </c>
      <c r="B88" s="6" t="s">
        <v>3914</v>
      </c>
      <c r="C88" s="8" t="s">
        <v>3991</v>
      </c>
      <c r="D88" s="8" t="s">
        <v>402</v>
      </c>
      <c r="E88" s="7" t="s">
        <v>4022</v>
      </c>
      <c r="F88" s="7" t="s">
        <v>4023</v>
      </c>
      <c r="G88" s="13" t="s">
        <v>76</v>
      </c>
      <c r="H88" s="54">
        <v>46036</v>
      </c>
      <c r="I88" s="52">
        <v>46042</v>
      </c>
      <c r="J88" s="8" t="s">
        <v>88</v>
      </c>
      <c r="K88" s="8" t="s">
        <v>93</v>
      </c>
      <c r="L88" s="9" t="s">
        <v>57</v>
      </c>
      <c r="M88" s="9"/>
      <c r="N88" s="9"/>
      <c r="O88" s="66"/>
      <c r="P88" s="9" t="str">
        <f t="shared" si="3"/>
        <v>ONAY</v>
      </c>
      <c r="R88" s="96" t="str">
        <f t="shared" si="4"/>
        <v/>
      </c>
    </row>
    <row r="89" spans="1:18" ht="63" x14ac:dyDescent="0.25">
      <c r="A89" s="5" t="s">
        <v>194</v>
      </c>
      <c r="B89" s="6" t="s">
        <v>3915</v>
      </c>
      <c r="C89" s="8" t="s">
        <v>1253</v>
      </c>
      <c r="D89" s="8" t="s">
        <v>392</v>
      </c>
      <c r="E89" s="7" t="s">
        <v>4046</v>
      </c>
      <c r="F89" s="7" t="s">
        <v>4024</v>
      </c>
      <c r="G89" s="13" t="s">
        <v>76</v>
      </c>
      <c r="H89" s="54">
        <v>46036</v>
      </c>
      <c r="I89" s="52">
        <v>46042</v>
      </c>
      <c r="J89" s="8" t="s">
        <v>91</v>
      </c>
      <c r="K89" s="8" t="s">
        <v>156</v>
      </c>
      <c r="L89" s="9" t="s">
        <v>57</v>
      </c>
      <c r="M89" s="9"/>
      <c r="N89" s="9"/>
      <c r="O89" s="66"/>
      <c r="P89" s="9" t="str">
        <f t="shared" si="3"/>
        <v>ONAY</v>
      </c>
      <c r="R89" s="96" t="str">
        <f t="shared" si="4"/>
        <v/>
      </c>
    </row>
    <row r="90" spans="1:18" ht="63" x14ac:dyDescent="0.25">
      <c r="A90" s="5" t="s">
        <v>195</v>
      </c>
      <c r="B90" s="6" t="s">
        <v>3916</v>
      </c>
      <c r="C90" s="8" t="s">
        <v>1253</v>
      </c>
      <c r="D90" s="8" t="s">
        <v>392</v>
      </c>
      <c r="E90" s="7" t="s">
        <v>4046</v>
      </c>
      <c r="F90" s="7" t="s">
        <v>4025</v>
      </c>
      <c r="G90" s="13" t="s">
        <v>76</v>
      </c>
      <c r="H90" s="54">
        <v>46036</v>
      </c>
      <c r="I90" s="52">
        <v>46042</v>
      </c>
      <c r="J90" s="8" t="s">
        <v>93</v>
      </c>
      <c r="K90" s="8" t="s">
        <v>94</v>
      </c>
      <c r="L90" s="9" t="s">
        <v>57</v>
      </c>
      <c r="M90" s="9"/>
      <c r="N90" s="9"/>
      <c r="O90" s="66"/>
      <c r="P90" s="9" t="str">
        <f t="shared" si="3"/>
        <v>ONAY</v>
      </c>
      <c r="R90" s="96" t="str">
        <f t="shared" si="4"/>
        <v/>
      </c>
    </row>
    <row r="91" spans="1:18" ht="78.75" x14ac:dyDescent="0.25">
      <c r="A91" s="5" t="s">
        <v>196</v>
      </c>
      <c r="B91" s="6" t="s">
        <v>3917</v>
      </c>
      <c r="C91" s="8" t="s">
        <v>580</v>
      </c>
      <c r="D91" s="8" t="s">
        <v>402</v>
      </c>
      <c r="E91" s="7" t="s">
        <v>4040</v>
      </c>
      <c r="F91" s="7" t="s">
        <v>4041</v>
      </c>
      <c r="G91" s="13" t="s">
        <v>76</v>
      </c>
      <c r="H91" s="54">
        <v>46036</v>
      </c>
      <c r="I91" s="52">
        <v>46042</v>
      </c>
      <c r="J91" s="8" t="s">
        <v>96</v>
      </c>
      <c r="K91" s="8" t="s">
        <v>95</v>
      </c>
      <c r="L91" s="9" t="s">
        <v>58</v>
      </c>
      <c r="M91" s="9"/>
      <c r="N91" s="9"/>
      <c r="O91" s="66"/>
      <c r="P91" s="9" t="str">
        <f t="shared" si="3"/>
        <v>DÜZELTME</v>
      </c>
      <c r="R91" s="96" t="str">
        <f t="shared" si="4"/>
        <v/>
      </c>
    </row>
    <row r="92" spans="1:18" ht="63" x14ac:dyDescent="0.25">
      <c r="A92" s="5" t="s">
        <v>197</v>
      </c>
      <c r="B92" s="6" t="s">
        <v>3918</v>
      </c>
      <c r="C92" s="8" t="s">
        <v>1401</v>
      </c>
      <c r="D92" s="8" t="s">
        <v>361</v>
      </c>
      <c r="E92" s="7" t="s">
        <v>4043</v>
      </c>
      <c r="F92" s="7" t="s">
        <v>4042</v>
      </c>
      <c r="G92" s="13" t="s">
        <v>76</v>
      </c>
      <c r="H92" s="54">
        <v>46036</v>
      </c>
      <c r="I92" s="52">
        <v>46042</v>
      </c>
      <c r="J92" s="8" t="s">
        <v>84</v>
      </c>
      <c r="K92" s="8" t="s">
        <v>63</v>
      </c>
      <c r="L92" s="9" t="s">
        <v>57</v>
      </c>
      <c r="M92" s="9"/>
      <c r="N92" s="9"/>
      <c r="O92" s="66"/>
      <c r="P92" s="9" t="str">
        <f t="shared" si="3"/>
        <v>ONAY</v>
      </c>
      <c r="R92" s="96" t="str">
        <f t="shared" si="4"/>
        <v/>
      </c>
    </row>
    <row r="93" spans="1:18" ht="63" x14ac:dyDescent="0.25">
      <c r="A93" s="5" t="s">
        <v>198</v>
      </c>
      <c r="B93" s="6" t="s">
        <v>3919</v>
      </c>
      <c r="C93" s="8" t="s">
        <v>390</v>
      </c>
      <c r="D93" s="8" t="s">
        <v>392</v>
      </c>
      <c r="E93" s="7" t="s">
        <v>4044</v>
      </c>
      <c r="F93" s="7" t="s">
        <v>4045</v>
      </c>
      <c r="G93" s="13" t="s">
        <v>76</v>
      </c>
      <c r="H93" s="54">
        <v>46036</v>
      </c>
      <c r="I93" s="52">
        <v>46042</v>
      </c>
      <c r="J93" s="8" t="s">
        <v>91</v>
      </c>
      <c r="K93" s="8" t="s">
        <v>88</v>
      </c>
      <c r="L93" s="9" t="s">
        <v>57</v>
      </c>
      <c r="M93" s="9"/>
      <c r="N93" s="9"/>
      <c r="O93" s="66"/>
      <c r="P93" s="9" t="str">
        <f t="shared" si="3"/>
        <v>ONAY</v>
      </c>
      <c r="R93" s="96" t="str">
        <f t="shared" si="4"/>
        <v/>
      </c>
    </row>
    <row r="94" spans="1:18" ht="63" x14ac:dyDescent="0.25">
      <c r="A94" s="5" t="s">
        <v>199</v>
      </c>
      <c r="B94" s="6" t="s">
        <v>3920</v>
      </c>
      <c r="C94" s="8" t="s">
        <v>96</v>
      </c>
      <c r="D94" s="8" t="s">
        <v>402</v>
      </c>
      <c r="E94" s="7" t="s">
        <v>4047</v>
      </c>
      <c r="F94" s="7" t="s">
        <v>4048</v>
      </c>
      <c r="G94" s="13" t="s">
        <v>24</v>
      </c>
      <c r="H94" s="54">
        <v>46036</v>
      </c>
      <c r="I94" s="52">
        <v>46042</v>
      </c>
      <c r="J94" s="8" t="s">
        <v>156</v>
      </c>
      <c r="K94" s="8" t="s">
        <v>63</v>
      </c>
      <c r="L94" s="9" t="s">
        <v>57</v>
      </c>
      <c r="M94" s="9"/>
      <c r="N94" s="9"/>
      <c r="O94" s="66"/>
      <c r="P94" s="9" t="str">
        <f t="shared" si="3"/>
        <v>ONAY</v>
      </c>
      <c r="R94" s="96" t="str">
        <f t="shared" si="4"/>
        <v/>
      </c>
    </row>
    <row r="95" spans="1:18" ht="78.75" x14ac:dyDescent="0.25">
      <c r="A95" s="5" t="s">
        <v>200</v>
      </c>
      <c r="B95" s="6" t="s">
        <v>3921</v>
      </c>
      <c r="C95" s="8" t="s">
        <v>3585</v>
      </c>
      <c r="D95" s="8" t="s">
        <v>402</v>
      </c>
      <c r="E95" s="7" t="s">
        <v>4049</v>
      </c>
      <c r="F95" s="7" t="s">
        <v>4050</v>
      </c>
      <c r="G95" s="13" t="s">
        <v>24</v>
      </c>
      <c r="H95" s="54">
        <v>46036</v>
      </c>
      <c r="I95" s="52">
        <v>46042</v>
      </c>
      <c r="J95" s="8" t="s">
        <v>64</v>
      </c>
      <c r="K95" s="8" t="s">
        <v>96</v>
      </c>
      <c r="L95" s="9" t="s">
        <v>58</v>
      </c>
      <c r="M95" s="9"/>
      <c r="N95" s="9"/>
      <c r="O95" s="66"/>
      <c r="P95" s="9" t="str">
        <f t="shared" si="3"/>
        <v>DÜZELTME</v>
      </c>
      <c r="R95" s="96" t="str">
        <f t="shared" si="4"/>
        <v/>
      </c>
    </row>
    <row r="96" spans="1:18" ht="78.75" x14ac:dyDescent="0.25">
      <c r="A96" s="5" t="s">
        <v>201</v>
      </c>
      <c r="B96" s="6" t="s">
        <v>3922</v>
      </c>
      <c r="C96" s="8" t="s">
        <v>637</v>
      </c>
      <c r="D96" s="8" t="s">
        <v>361</v>
      </c>
      <c r="E96" s="7" t="s">
        <v>4052</v>
      </c>
      <c r="F96" s="7" t="s">
        <v>4051</v>
      </c>
      <c r="G96" s="13" t="s">
        <v>76</v>
      </c>
      <c r="H96" s="54">
        <v>46036</v>
      </c>
      <c r="I96" s="52">
        <v>46042</v>
      </c>
      <c r="J96" s="8" t="s">
        <v>95</v>
      </c>
      <c r="K96" s="8" t="s">
        <v>84</v>
      </c>
      <c r="L96" s="9" t="s">
        <v>57</v>
      </c>
      <c r="M96" s="9"/>
      <c r="N96" s="9"/>
      <c r="O96" s="66"/>
      <c r="P96" s="9" t="str">
        <f t="shared" si="3"/>
        <v>ONAY</v>
      </c>
      <c r="R96" s="96" t="str">
        <f t="shared" si="4"/>
        <v/>
      </c>
    </row>
    <row r="97" spans="1:18" ht="47.25" x14ac:dyDescent="0.25">
      <c r="A97" s="5" t="s">
        <v>202</v>
      </c>
      <c r="B97" s="6" t="s">
        <v>3923</v>
      </c>
      <c r="C97" s="8" t="s">
        <v>1087</v>
      </c>
      <c r="D97" s="8" t="s">
        <v>4055</v>
      </c>
      <c r="E97" s="7" t="s">
        <v>4053</v>
      </c>
      <c r="F97" s="7" t="s">
        <v>4054</v>
      </c>
      <c r="G97" s="13" t="s">
        <v>23</v>
      </c>
      <c r="H97" s="54">
        <v>46037</v>
      </c>
      <c r="I97" s="52">
        <v>46042</v>
      </c>
      <c r="J97" s="8" t="s">
        <v>64</v>
      </c>
      <c r="K97" s="8" t="s">
        <v>95</v>
      </c>
      <c r="L97" s="9" t="s">
        <v>57</v>
      </c>
      <c r="M97" s="9"/>
      <c r="N97" s="9"/>
      <c r="O97" s="66"/>
      <c r="P97" s="9" t="str">
        <f t="shared" si="3"/>
        <v>ONAY</v>
      </c>
      <c r="R97" s="96" t="str">
        <f t="shared" si="4"/>
        <v/>
      </c>
    </row>
    <row r="98" spans="1:18" ht="47.25" x14ac:dyDescent="0.25">
      <c r="A98" s="5" t="s">
        <v>203</v>
      </c>
      <c r="B98" s="6" t="s">
        <v>3924</v>
      </c>
      <c r="C98" s="8" t="s">
        <v>360</v>
      </c>
      <c r="D98" s="8" t="s">
        <v>361</v>
      </c>
      <c r="E98" s="7" t="s">
        <v>4056</v>
      </c>
      <c r="F98" s="7" t="s">
        <v>4057</v>
      </c>
      <c r="G98" s="13" t="s">
        <v>76</v>
      </c>
      <c r="H98" s="54">
        <v>46037</v>
      </c>
      <c r="I98" s="52">
        <v>46042</v>
      </c>
      <c r="J98" s="8" t="s">
        <v>94</v>
      </c>
      <c r="K98" s="8" t="s">
        <v>92</v>
      </c>
      <c r="L98" s="9" t="s">
        <v>57</v>
      </c>
      <c r="M98" s="9"/>
      <c r="N98" s="9"/>
      <c r="O98" s="66"/>
      <c r="P98" s="9" t="str">
        <f t="shared" si="3"/>
        <v>ONAY</v>
      </c>
      <c r="R98" s="96" t="str">
        <f t="shared" si="4"/>
        <v/>
      </c>
    </row>
    <row r="99" spans="1:18" ht="47.25" x14ac:dyDescent="0.25">
      <c r="A99" s="5" t="s">
        <v>204</v>
      </c>
      <c r="B99" s="6" t="s">
        <v>3925</v>
      </c>
      <c r="C99" s="8" t="s">
        <v>360</v>
      </c>
      <c r="D99" s="8" t="s">
        <v>361</v>
      </c>
      <c r="E99" s="7" t="s">
        <v>4056</v>
      </c>
      <c r="F99" s="7" t="s">
        <v>4058</v>
      </c>
      <c r="G99" s="13" t="s">
        <v>76</v>
      </c>
      <c r="H99" s="54">
        <v>46037</v>
      </c>
      <c r="I99" s="52">
        <v>46042</v>
      </c>
      <c r="J99" s="8" t="s">
        <v>94</v>
      </c>
      <c r="K99" s="8" t="s">
        <v>92</v>
      </c>
      <c r="L99" s="9" t="s">
        <v>57</v>
      </c>
      <c r="M99" s="9"/>
      <c r="N99" s="9"/>
      <c r="O99" s="66"/>
      <c r="P99" s="9" t="str">
        <f t="shared" si="3"/>
        <v>ONAY</v>
      </c>
      <c r="R99" s="96" t="str">
        <f t="shared" si="4"/>
        <v/>
      </c>
    </row>
    <row r="100" spans="1:18" ht="63" x14ac:dyDescent="0.25">
      <c r="A100" s="5" t="s">
        <v>205</v>
      </c>
      <c r="B100" s="6" t="s">
        <v>3926</v>
      </c>
      <c r="C100" s="8" t="s">
        <v>1087</v>
      </c>
      <c r="D100" s="8" t="s">
        <v>4055</v>
      </c>
      <c r="E100" s="7" t="s">
        <v>4059</v>
      </c>
      <c r="F100" s="7" t="s">
        <v>4060</v>
      </c>
      <c r="G100" s="13" t="s">
        <v>23</v>
      </c>
      <c r="H100" s="54">
        <v>46037</v>
      </c>
      <c r="I100" s="52">
        <v>46042</v>
      </c>
      <c r="J100" s="8" t="s">
        <v>64</v>
      </c>
      <c r="K100" s="8" t="s">
        <v>93</v>
      </c>
      <c r="L100" s="9" t="s">
        <v>57</v>
      </c>
      <c r="M100" s="9"/>
      <c r="N100" s="9"/>
      <c r="O100" s="66"/>
      <c r="P100" s="9" t="str">
        <f t="shared" si="3"/>
        <v>ONAY</v>
      </c>
      <c r="R100" s="96" t="str">
        <f t="shared" si="4"/>
        <v/>
      </c>
    </row>
    <row r="101" spans="1:18" ht="78.75" x14ac:dyDescent="0.25">
      <c r="A101" s="5" t="s">
        <v>206</v>
      </c>
      <c r="B101" s="6" t="s">
        <v>3927</v>
      </c>
      <c r="C101" s="8" t="s">
        <v>3991</v>
      </c>
      <c r="D101" s="8" t="s">
        <v>402</v>
      </c>
      <c r="E101" s="7" t="s">
        <v>4061</v>
      </c>
      <c r="F101" s="7" t="s">
        <v>4079</v>
      </c>
      <c r="G101" s="13" t="s">
        <v>76</v>
      </c>
      <c r="H101" s="54">
        <v>46037</v>
      </c>
      <c r="I101" s="52">
        <v>46042</v>
      </c>
      <c r="J101" s="8" t="s">
        <v>89</v>
      </c>
      <c r="K101" s="8" t="s">
        <v>64</v>
      </c>
      <c r="L101" s="9" t="s">
        <v>57</v>
      </c>
      <c r="M101" s="9"/>
      <c r="N101" s="9"/>
      <c r="O101" s="66"/>
      <c r="P101" s="9" t="str">
        <f t="shared" si="3"/>
        <v>ONAY</v>
      </c>
      <c r="R101" s="96" t="str">
        <f t="shared" si="4"/>
        <v/>
      </c>
    </row>
    <row r="102" spans="1:18" ht="79.5" customHeight="1" x14ac:dyDescent="0.25">
      <c r="A102" s="5" t="s">
        <v>207</v>
      </c>
      <c r="B102" s="6" t="s">
        <v>3928</v>
      </c>
      <c r="C102" s="8" t="s">
        <v>933</v>
      </c>
      <c r="D102" s="8" t="s">
        <v>399</v>
      </c>
      <c r="E102" s="7" t="s">
        <v>4132</v>
      </c>
      <c r="F102" s="7" t="s">
        <v>4133</v>
      </c>
      <c r="G102" s="13" t="s">
        <v>24</v>
      </c>
      <c r="H102" s="54">
        <v>46044</v>
      </c>
      <c r="I102" s="52">
        <v>46057</v>
      </c>
      <c r="J102" s="8" t="s">
        <v>63</v>
      </c>
      <c r="K102" s="8" t="s">
        <v>92</v>
      </c>
      <c r="L102" s="9" t="s">
        <v>57</v>
      </c>
      <c r="M102" s="9"/>
      <c r="N102" s="9"/>
      <c r="O102" s="66"/>
      <c r="P102" s="9" t="str">
        <f t="shared" si="3"/>
        <v>ONAY</v>
      </c>
      <c r="R102" s="96" t="str">
        <f t="shared" si="4"/>
        <v/>
      </c>
    </row>
    <row r="103" spans="1:18" ht="94.5" x14ac:dyDescent="0.25">
      <c r="A103" s="5" t="s">
        <v>208</v>
      </c>
      <c r="B103" s="6" t="s">
        <v>3929</v>
      </c>
      <c r="C103" s="8" t="s">
        <v>4136</v>
      </c>
      <c r="D103" s="8" t="s">
        <v>381</v>
      </c>
      <c r="E103" s="7" t="s">
        <v>4134</v>
      </c>
      <c r="F103" s="7" t="s">
        <v>4135</v>
      </c>
      <c r="G103" s="13" t="s">
        <v>76</v>
      </c>
      <c r="H103" s="54">
        <v>46044</v>
      </c>
      <c r="I103" s="52">
        <v>46057</v>
      </c>
      <c r="J103" s="8" t="s">
        <v>94</v>
      </c>
      <c r="K103" s="8" t="s">
        <v>156</v>
      </c>
      <c r="L103" s="9" t="s">
        <v>58</v>
      </c>
      <c r="M103" s="9"/>
      <c r="N103" s="9"/>
      <c r="O103" s="66"/>
      <c r="P103" s="9" t="str">
        <f t="shared" si="3"/>
        <v>DÜZELTME</v>
      </c>
      <c r="R103" s="96" t="str">
        <f t="shared" si="4"/>
        <v/>
      </c>
    </row>
    <row r="104" spans="1:18" ht="63" x14ac:dyDescent="0.25">
      <c r="A104" s="5" t="s">
        <v>209</v>
      </c>
      <c r="B104" s="6" t="s">
        <v>3930</v>
      </c>
      <c r="C104" s="8" t="s">
        <v>84</v>
      </c>
      <c r="D104" s="8" t="s">
        <v>370</v>
      </c>
      <c r="E104" s="7" t="s">
        <v>4137</v>
      </c>
      <c r="F104" s="7" t="s">
        <v>4138</v>
      </c>
      <c r="G104" s="13" t="s">
        <v>24</v>
      </c>
      <c r="H104" s="54">
        <v>46044</v>
      </c>
      <c r="I104" s="52">
        <v>46057</v>
      </c>
      <c r="J104" s="8" t="s">
        <v>64</v>
      </c>
      <c r="K104" s="8" t="s">
        <v>96</v>
      </c>
      <c r="L104" s="9" t="s">
        <v>57</v>
      </c>
      <c r="M104" s="9"/>
      <c r="N104" s="9"/>
      <c r="O104" s="66"/>
      <c r="P104" s="9"/>
      <c r="R104" s="96" t="str">
        <f t="shared" si="4"/>
        <v/>
      </c>
    </row>
    <row r="105" spans="1:18" ht="97.5" customHeight="1" x14ac:dyDescent="0.25">
      <c r="A105" s="5" t="s">
        <v>210</v>
      </c>
      <c r="B105" s="6" t="s">
        <v>3931</v>
      </c>
      <c r="C105" s="8" t="s">
        <v>1027</v>
      </c>
      <c r="D105" s="8" t="s">
        <v>361</v>
      </c>
      <c r="E105" s="7" t="s">
        <v>4139</v>
      </c>
      <c r="F105" s="7" t="s">
        <v>4140</v>
      </c>
      <c r="G105" s="13" t="s">
        <v>76</v>
      </c>
      <c r="H105" s="54">
        <v>46044</v>
      </c>
      <c r="I105" s="52">
        <v>46057</v>
      </c>
      <c r="J105" s="8" t="s">
        <v>156</v>
      </c>
      <c r="K105" s="8" t="s">
        <v>92</v>
      </c>
      <c r="L105" s="9" t="s">
        <v>57</v>
      </c>
      <c r="M105" s="9"/>
      <c r="N105" s="9"/>
      <c r="O105" s="66"/>
      <c r="P105" s="9"/>
      <c r="R105" s="96" t="str">
        <f t="shared" si="4"/>
        <v/>
      </c>
    </row>
    <row r="106" spans="1:18" ht="78.75" x14ac:dyDescent="0.25">
      <c r="A106" s="5" t="s">
        <v>211</v>
      </c>
      <c r="B106" s="6" t="s">
        <v>3932</v>
      </c>
      <c r="C106" s="8" t="s">
        <v>4142</v>
      </c>
      <c r="D106" s="8" t="s">
        <v>383</v>
      </c>
      <c r="E106" s="7" t="s">
        <v>4141</v>
      </c>
      <c r="F106" s="7" t="s">
        <v>4143</v>
      </c>
      <c r="G106" s="13" t="s">
        <v>76</v>
      </c>
      <c r="H106" s="54">
        <v>46044</v>
      </c>
      <c r="I106" s="52">
        <v>46057</v>
      </c>
      <c r="J106" s="8" t="s">
        <v>156</v>
      </c>
      <c r="K106" s="8" t="s">
        <v>89</v>
      </c>
      <c r="L106" s="9" t="s">
        <v>57</v>
      </c>
      <c r="M106" s="9"/>
      <c r="N106" s="9"/>
      <c r="O106" s="66"/>
      <c r="P106" s="9"/>
      <c r="R106" s="96" t="str">
        <f t="shared" si="4"/>
        <v/>
      </c>
    </row>
    <row r="107" spans="1:18" ht="63" x14ac:dyDescent="0.25">
      <c r="A107" s="5" t="s">
        <v>212</v>
      </c>
      <c r="B107" s="6" t="s">
        <v>3933</v>
      </c>
      <c r="C107" s="8" t="s">
        <v>2563</v>
      </c>
      <c r="D107" s="8" t="s">
        <v>405</v>
      </c>
      <c r="E107" s="7" t="s">
        <v>4144</v>
      </c>
      <c r="F107" s="7" t="s">
        <v>4145</v>
      </c>
      <c r="G107" s="13" t="s">
        <v>76</v>
      </c>
      <c r="H107" s="54">
        <v>46044</v>
      </c>
      <c r="I107" s="52">
        <v>46057</v>
      </c>
      <c r="J107" s="8" t="s">
        <v>84</v>
      </c>
      <c r="K107" s="8" t="s">
        <v>94</v>
      </c>
      <c r="L107" s="9" t="s">
        <v>57</v>
      </c>
      <c r="M107" s="9"/>
      <c r="N107" s="9"/>
      <c r="O107" s="66"/>
      <c r="P107" s="9"/>
      <c r="R107" s="96" t="str">
        <f t="shared" si="4"/>
        <v/>
      </c>
    </row>
    <row r="108" spans="1:18" ht="110.25" x14ac:dyDescent="0.25">
      <c r="A108" s="5" t="s">
        <v>213</v>
      </c>
      <c r="B108" s="6" t="s">
        <v>3934</v>
      </c>
      <c r="C108" s="8" t="s">
        <v>1886</v>
      </c>
      <c r="D108" s="8" t="s">
        <v>405</v>
      </c>
      <c r="E108" s="7" t="s">
        <v>4146</v>
      </c>
      <c r="F108" s="7" t="s">
        <v>4147</v>
      </c>
      <c r="G108" s="13" t="s">
        <v>76</v>
      </c>
      <c r="H108" s="54">
        <v>46044</v>
      </c>
      <c r="I108" s="52">
        <v>46057</v>
      </c>
      <c r="J108" s="8" t="s">
        <v>89</v>
      </c>
      <c r="K108" s="8" t="s">
        <v>96</v>
      </c>
      <c r="L108" s="9" t="s">
        <v>58</v>
      </c>
      <c r="M108" s="9"/>
      <c r="N108" s="9"/>
      <c r="O108" s="66"/>
      <c r="P108" s="9"/>
      <c r="R108" s="96" t="str">
        <f t="shared" si="4"/>
        <v/>
      </c>
    </row>
    <row r="109" spans="1:18" ht="78.75" x14ac:dyDescent="0.25">
      <c r="A109" s="5" t="s">
        <v>214</v>
      </c>
      <c r="B109" s="6" t="s">
        <v>3935</v>
      </c>
      <c r="C109" s="8" t="s">
        <v>4150</v>
      </c>
      <c r="D109" s="8" t="s">
        <v>3995</v>
      </c>
      <c r="E109" s="7" t="s">
        <v>4148</v>
      </c>
      <c r="F109" s="7" t="s">
        <v>4149</v>
      </c>
      <c r="G109" s="13" t="s">
        <v>76</v>
      </c>
      <c r="H109" s="54">
        <v>46044</v>
      </c>
      <c r="I109" s="52">
        <v>46057</v>
      </c>
      <c r="J109" s="8" t="s">
        <v>63</v>
      </c>
      <c r="K109" s="8" t="s">
        <v>84</v>
      </c>
      <c r="L109" s="9" t="s">
        <v>57</v>
      </c>
      <c r="M109" s="9"/>
      <c r="N109" s="9"/>
      <c r="O109" s="66"/>
      <c r="P109" s="9"/>
      <c r="R109" s="96" t="str">
        <f t="shared" si="4"/>
        <v/>
      </c>
    </row>
    <row r="110" spans="1:18" ht="78.75" x14ac:dyDescent="0.25">
      <c r="A110" s="5" t="s">
        <v>215</v>
      </c>
      <c r="B110" s="6" t="s">
        <v>3936</v>
      </c>
      <c r="C110" s="8" t="s">
        <v>4153</v>
      </c>
      <c r="D110" s="8" t="s">
        <v>402</v>
      </c>
      <c r="E110" s="7" t="s">
        <v>4151</v>
      </c>
      <c r="F110" s="7" t="s">
        <v>4152</v>
      </c>
      <c r="G110" s="13" t="s">
        <v>76</v>
      </c>
      <c r="H110" s="54">
        <v>46044</v>
      </c>
      <c r="I110" s="52">
        <v>46057</v>
      </c>
      <c r="J110" s="8" t="s">
        <v>96</v>
      </c>
      <c r="K110" s="8" t="s">
        <v>92</v>
      </c>
      <c r="L110" s="9" t="s">
        <v>57</v>
      </c>
      <c r="M110" s="9"/>
      <c r="N110" s="9"/>
      <c r="O110" s="66"/>
      <c r="P110" s="9"/>
      <c r="R110" s="96" t="str">
        <f t="shared" si="4"/>
        <v/>
      </c>
    </row>
    <row r="111" spans="1:18" ht="81.75" customHeight="1" x14ac:dyDescent="0.25">
      <c r="A111" s="5" t="s">
        <v>216</v>
      </c>
      <c r="B111" s="6" t="s">
        <v>3937</v>
      </c>
      <c r="C111" s="8" t="s">
        <v>492</v>
      </c>
      <c r="D111" s="8" t="s">
        <v>3948</v>
      </c>
      <c r="E111" s="7" t="s">
        <v>4155</v>
      </c>
      <c r="F111" s="7" t="s">
        <v>4154</v>
      </c>
      <c r="G111" s="13" t="s">
        <v>76</v>
      </c>
      <c r="H111" s="54">
        <v>46044</v>
      </c>
      <c r="I111" s="52">
        <v>46057</v>
      </c>
      <c r="J111" s="8" t="s">
        <v>92</v>
      </c>
      <c r="K111" s="8" t="s">
        <v>63</v>
      </c>
      <c r="L111" s="9" t="s">
        <v>57</v>
      </c>
      <c r="M111" s="9"/>
      <c r="N111" s="9"/>
      <c r="O111" s="66"/>
      <c r="P111" s="9"/>
      <c r="R111" s="96" t="str">
        <f t="shared" si="4"/>
        <v/>
      </c>
    </row>
    <row r="112" spans="1:18" ht="94.5" x14ac:dyDescent="0.25">
      <c r="A112" s="5" t="s">
        <v>217</v>
      </c>
      <c r="B112" s="6" t="s">
        <v>3938</v>
      </c>
      <c r="C112" s="8" t="s">
        <v>525</v>
      </c>
      <c r="D112" s="8" t="s">
        <v>3896</v>
      </c>
      <c r="E112" s="7" t="s">
        <v>4156</v>
      </c>
      <c r="F112" s="7" t="s">
        <v>4157</v>
      </c>
      <c r="G112" s="13" t="s">
        <v>76</v>
      </c>
      <c r="H112" s="54">
        <v>46044</v>
      </c>
      <c r="I112" s="52">
        <v>46057</v>
      </c>
      <c r="J112" s="8" t="s">
        <v>96</v>
      </c>
      <c r="K112" s="8" t="s">
        <v>84</v>
      </c>
      <c r="L112" s="9" t="s">
        <v>58</v>
      </c>
      <c r="M112" s="9"/>
      <c r="N112" s="9"/>
      <c r="O112" s="66"/>
      <c r="P112" s="9"/>
      <c r="R112" s="96" t="str">
        <f t="shared" si="4"/>
        <v/>
      </c>
    </row>
    <row r="113" spans="1:18" ht="63" x14ac:dyDescent="0.25">
      <c r="A113" s="5" t="s">
        <v>218</v>
      </c>
      <c r="B113" s="6" t="s">
        <v>4026</v>
      </c>
      <c r="C113" s="8" t="s">
        <v>415</v>
      </c>
      <c r="D113" s="8" t="s">
        <v>416</v>
      </c>
      <c r="E113" s="7" t="s">
        <v>4158</v>
      </c>
      <c r="F113" s="7" t="s">
        <v>4159</v>
      </c>
      <c r="G113" s="13" t="s">
        <v>76</v>
      </c>
      <c r="H113" s="54">
        <v>46044</v>
      </c>
      <c r="I113" s="52">
        <v>46057</v>
      </c>
      <c r="J113" s="8" t="s">
        <v>63</v>
      </c>
      <c r="K113" s="8" t="s">
        <v>94</v>
      </c>
      <c r="L113" s="9" t="s">
        <v>57</v>
      </c>
      <c r="M113" s="9"/>
      <c r="N113" s="9"/>
      <c r="O113" s="66"/>
      <c r="P113" s="9"/>
      <c r="R113" s="96" t="str">
        <f t="shared" si="4"/>
        <v/>
      </c>
    </row>
    <row r="114" spans="1:18" ht="78.75" x14ac:dyDescent="0.25">
      <c r="A114" s="5" t="s">
        <v>219</v>
      </c>
      <c r="B114" s="6" t="s">
        <v>4027</v>
      </c>
      <c r="C114" s="8" t="s">
        <v>88</v>
      </c>
      <c r="D114" s="8" t="s">
        <v>4162</v>
      </c>
      <c r="E114" s="7" t="s">
        <v>4160</v>
      </c>
      <c r="F114" s="7" t="s">
        <v>4161</v>
      </c>
      <c r="G114" s="13" t="s">
        <v>23</v>
      </c>
      <c r="H114" s="54">
        <v>46044</v>
      </c>
      <c r="I114" s="52">
        <v>46057</v>
      </c>
      <c r="J114" s="8" t="s">
        <v>89</v>
      </c>
      <c r="K114" s="8" t="s">
        <v>94</v>
      </c>
      <c r="L114" s="9" t="s">
        <v>58</v>
      </c>
      <c r="M114" s="9"/>
      <c r="N114" s="9"/>
      <c r="O114" s="66"/>
      <c r="P114" s="9"/>
      <c r="R114" s="96" t="str">
        <f t="shared" si="4"/>
        <v/>
      </c>
    </row>
    <row r="115" spans="1:18" ht="110.25" x14ac:dyDescent="0.25">
      <c r="A115" s="5" t="s">
        <v>220</v>
      </c>
      <c r="B115" s="6" t="s">
        <v>4028</v>
      </c>
      <c r="C115" s="8" t="s">
        <v>1284</v>
      </c>
      <c r="D115" s="8" t="s">
        <v>383</v>
      </c>
      <c r="E115" s="7" t="s">
        <v>4163</v>
      </c>
      <c r="F115" s="7" t="s">
        <v>4164</v>
      </c>
      <c r="G115" s="13" t="s">
        <v>76</v>
      </c>
      <c r="H115" s="54">
        <v>46044</v>
      </c>
      <c r="I115" s="52">
        <v>46057</v>
      </c>
      <c r="J115" s="8" t="s">
        <v>64</v>
      </c>
      <c r="K115" s="8" t="s">
        <v>84</v>
      </c>
      <c r="L115" s="9" t="s">
        <v>57</v>
      </c>
      <c r="M115" s="9"/>
      <c r="N115" s="9"/>
      <c r="O115" s="66"/>
      <c r="P115" s="9"/>
      <c r="R115" s="96" t="str">
        <f t="shared" si="4"/>
        <v/>
      </c>
    </row>
    <row r="116" spans="1:18" ht="63" x14ac:dyDescent="0.25">
      <c r="A116" s="5" t="s">
        <v>221</v>
      </c>
      <c r="B116" s="6" t="s">
        <v>4029</v>
      </c>
      <c r="C116" s="8" t="s">
        <v>441</v>
      </c>
      <c r="D116" s="8" t="s">
        <v>3887</v>
      </c>
      <c r="E116" s="7" t="s">
        <v>4165</v>
      </c>
      <c r="F116" s="7" t="s">
        <v>4166</v>
      </c>
      <c r="G116" s="13" t="s">
        <v>24</v>
      </c>
      <c r="H116" s="54">
        <v>46044</v>
      </c>
      <c r="I116" s="52">
        <v>46057</v>
      </c>
      <c r="J116" s="8" t="s">
        <v>64</v>
      </c>
      <c r="K116" s="8" t="s">
        <v>156</v>
      </c>
      <c r="L116" s="9" t="s">
        <v>58</v>
      </c>
      <c r="M116" s="9"/>
      <c r="N116" s="9"/>
      <c r="O116" s="66"/>
      <c r="P116" s="9"/>
      <c r="R116" s="96" t="str">
        <f t="shared" si="4"/>
        <v/>
      </c>
    </row>
    <row r="117" spans="1:18" ht="78.75" x14ac:dyDescent="0.25">
      <c r="A117" s="5" t="s">
        <v>222</v>
      </c>
      <c r="B117" s="6" t="s">
        <v>4030</v>
      </c>
      <c r="C117" s="8" t="s">
        <v>3712</v>
      </c>
      <c r="D117" s="8" t="s">
        <v>1162</v>
      </c>
      <c r="E117" s="7" t="s">
        <v>4167</v>
      </c>
      <c r="F117" s="7" t="s">
        <v>4168</v>
      </c>
      <c r="G117" s="13" t="s">
        <v>23</v>
      </c>
      <c r="H117" s="54">
        <v>46044</v>
      </c>
      <c r="I117" s="52">
        <v>46057</v>
      </c>
      <c r="J117" s="8" t="s">
        <v>89</v>
      </c>
      <c r="K117" s="8" t="s">
        <v>84</v>
      </c>
      <c r="L117" s="9" t="s">
        <v>57</v>
      </c>
      <c r="M117" s="9"/>
      <c r="N117" s="9"/>
      <c r="O117" s="66"/>
      <c r="P117" s="9"/>
      <c r="R117" s="96" t="str">
        <f t="shared" si="4"/>
        <v/>
      </c>
    </row>
    <row r="118" spans="1:18" ht="63" x14ac:dyDescent="0.25">
      <c r="A118" s="5" t="s">
        <v>223</v>
      </c>
      <c r="B118" s="6" t="s">
        <v>4031</v>
      </c>
      <c r="C118" s="8" t="s">
        <v>2144</v>
      </c>
      <c r="D118" s="8" t="s">
        <v>361</v>
      </c>
      <c r="E118" s="7" t="s">
        <v>4169</v>
      </c>
      <c r="F118" s="7" t="s">
        <v>4170</v>
      </c>
      <c r="G118" s="13" t="s">
        <v>76</v>
      </c>
      <c r="H118" s="54">
        <v>46044</v>
      </c>
      <c r="I118" s="52">
        <v>46057</v>
      </c>
      <c r="J118" s="8" t="s">
        <v>156</v>
      </c>
      <c r="K118" s="8" t="s">
        <v>94</v>
      </c>
      <c r="L118" s="9" t="s">
        <v>58</v>
      </c>
      <c r="M118" s="9"/>
      <c r="N118" s="9"/>
      <c r="O118" s="66"/>
      <c r="P118" s="9"/>
      <c r="R118" s="96" t="str">
        <f t="shared" si="4"/>
        <v/>
      </c>
    </row>
    <row r="119" spans="1:18" ht="94.5" x14ac:dyDescent="0.25">
      <c r="A119" s="5" t="s">
        <v>224</v>
      </c>
      <c r="B119" s="6" t="s">
        <v>4032</v>
      </c>
      <c r="C119" s="8" t="s">
        <v>4173</v>
      </c>
      <c r="D119" s="8" t="s">
        <v>4174</v>
      </c>
      <c r="E119" s="7" t="s">
        <v>4171</v>
      </c>
      <c r="F119" s="7" t="s">
        <v>4172</v>
      </c>
      <c r="G119" s="13" t="s">
        <v>76</v>
      </c>
      <c r="H119" s="54">
        <v>46045</v>
      </c>
      <c r="I119" s="52">
        <v>46057</v>
      </c>
      <c r="J119" s="8" t="s">
        <v>89</v>
      </c>
      <c r="K119" s="8" t="s">
        <v>64</v>
      </c>
      <c r="L119" s="9" t="s">
        <v>58</v>
      </c>
      <c r="M119" s="9"/>
      <c r="N119" s="9"/>
      <c r="O119" s="66"/>
      <c r="P119" s="9"/>
      <c r="R119" s="96" t="str">
        <f t="shared" si="4"/>
        <v/>
      </c>
    </row>
    <row r="120" spans="1:18" ht="63" x14ac:dyDescent="0.25">
      <c r="A120" s="5" t="s">
        <v>225</v>
      </c>
      <c r="B120" s="6" t="s">
        <v>4033</v>
      </c>
      <c r="C120" s="8" t="s">
        <v>2530</v>
      </c>
      <c r="D120" s="8" t="s">
        <v>1162</v>
      </c>
      <c r="E120" s="7" t="s">
        <v>4175</v>
      </c>
      <c r="F120" s="7" t="s">
        <v>4176</v>
      </c>
      <c r="G120" s="13" t="s">
        <v>76</v>
      </c>
      <c r="H120" s="54">
        <v>46045</v>
      </c>
      <c r="I120" s="52">
        <v>46057</v>
      </c>
      <c r="J120" s="8" t="s">
        <v>89</v>
      </c>
      <c r="K120" s="8" t="s">
        <v>63</v>
      </c>
      <c r="L120" s="9" t="s">
        <v>58</v>
      </c>
      <c r="M120" s="9"/>
      <c r="N120" s="9"/>
      <c r="O120" s="66"/>
      <c r="P120" s="9"/>
      <c r="R120" s="96" t="str">
        <f t="shared" si="4"/>
        <v/>
      </c>
    </row>
    <row r="121" spans="1:18" ht="94.5" x14ac:dyDescent="0.25">
      <c r="A121" s="5" t="s">
        <v>226</v>
      </c>
      <c r="B121" s="6" t="s">
        <v>4034</v>
      </c>
      <c r="C121" s="8" t="s">
        <v>692</v>
      </c>
      <c r="D121" s="8" t="s">
        <v>4179</v>
      </c>
      <c r="E121" s="7" t="s">
        <v>4177</v>
      </c>
      <c r="F121" s="7" t="s">
        <v>4178</v>
      </c>
      <c r="G121" s="13" t="s">
        <v>76</v>
      </c>
      <c r="H121" s="54">
        <v>46045</v>
      </c>
      <c r="I121" s="52">
        <v>46057</v>
      </c>
      <c r="J121" s="8" t="s">
        <v>89</v>
      </c>
      <c r="K121" s="8" t="s">
        <v>96</v>
      </c>
      <c r="L121" s="9" t="s">
        <v>58</v>
      </c>
      <c r="M121" s="9"/>
      <c r="N121" s="9"/>
      <c r="O121" s="66"/>
      <c r="P121" s="9"/>
      <c r="R121" s="96" t="str">
        <f t="shared" si="4"/>
        <v/>
      </c>
    </row>
    <row r="122" spans="1:18" ht="78.75" x14ac:dyDescent="0.25">
      <c r="A122" s="5" t="s">
        <v>227</v>
      </c>
      <c r="B122" s="6" t="s">
        <v>4035</v>
      </c>
      <c r="C122" s="8" t="s">
        <v>88</v>
      </c>
      <c r="D122" s="8" t="s">
        <v>4162</v>
      </c>
      <c r="E122" s="7" t="s">
        <v>4180</v>
      </c>
      <c r="F122" s="7" t="s">
        <v>4181</v>
      </c>
      <c r="G122" s="13" t="s">
        <v>76</v>
      </c>
      <c r="H122" s="54">
        <v>46045</v>
      </c>
      <c r="I122" s="52">
        <v>46057</v>
      </c>
      <c r="J122" s="8" t="s">
        <v>89</v>
      </c>
      <c r="K122" s="8" t="s">
        <v>63</v>
      </c>
      <c r="L122" s="9" t="s">
        <v>58</v>
      </c>
      <c r="M122" s="9"/>
      <c r="N122" s="9"/>
      <c r="O122" s="66"/>
      <c r="P122" s="9"/>
      <c r="R122" s="96" t="str">
        <f t="shared" si="4"/>
        <v/>
      </c>
    </row>
    <row r="123" spans="1:18" ht="65.25" customHeight="1" x14ac:dyDescent="0.25">
      <c r="A123" s="5" t="s">
        <v>228</v>
      </c>
      <c r="B123" s="6" t="s">
        <v>4036</v>
      </c>
      <c r="C123" s="8" t="s">
        <v>535</v>
      </c>
      <c r="D123" s="8" t="s">
        <v>391</v>
      </c>
      <c r="E123" s="7" t="s">
        <v>4182</v>
      </c>
      <c r="F123" s="7" t="s">
        <v>4183</v>
      </c>
      <c r="G123" s="13" t="s">
        <v>76</v>
      </c>
      <c r="H123" s="54">
        <v>46045</v>
      </c>
      <c r="I123" s="52">
        <v>46057</v>
      </c>
      <c r="J123" s="8" t="s">
        <v>156</v>
      </c>
      <c r="K123" s="8" t="s">
        <v>92</v>
      </c>
      <c r="L123" s="9" t="s">
        <v>58</v>
      </c>
      <c r="M123" s="9"/>
      <c r="N123" s="9"/>
      <c r="O123" s="66"/>
      <c r="P123" s="9"/>
      <c r="R123" s="96" t="str">
        <f t="shared" si="4"/>
        <v/>
      </c>
    </row>
    <row r="124" spans="1:18" ht="78.75" x14ac:dyDescent="0.25">
      <c r="A124" s="5" t="s">
        <v>229</v>
      </c>
      <c r="B124" s="6" t="s">
        <v>4037</v>
      </c>
      <c r="C124" s="8" t="s">
        <v>4186</v>
      </c>
      <c r="D124" s="8" t="s">
        <v>361</v>
      </c>
      <c r="E124" s="7" t="s">
        <v>4185</v>
      </c>
      <c r="F124" s="7" t="s">
        <v>4184</v>
      </c>
      <c r="G124" s="13" t="s">
        <v>76</v>
      </c>
      <c r="H124" s="54">
        <v>46045</v>
      </c>
      <c r="I124" s="52">
        <v>46057</v>
      </c>
      <c r="J124" s="8" t="s">
        <v>64</v>
      </c>
      <c r="K124" s="8" t="s">
        <v>94</v>
      </c>
      <c r="L124" s="9" t="s">
        <v>57</v>
      </c>
      <c r="M124" s="9"/>
      <c r="N124" s="9"/>
      <c r="O124" s="66"/>
      <c r="P124" s="9"/>
      <c r="R124" s="96" t="str">
        <f t="shared" si="4"/>
        <v/>
      </c>
    </row>
    <row r="125" spans="1:18" ht="94.5" x14ac:dyDescent="0.25">
      <c r="A125" s="5" t="s">
        <v>230</v>
      </c>
      <c r="B125" s="6" t="s">
        <v>4038</v>
      </c>
      <c r="C125" s="8" t="s">
        <v>91</v>
      </c>
      <c r="D125" s="8" t="s">
        <v>3964</v>
      </c>
      <c r="E125" s="7" t="s">
        <v>4187</v>
      </c>
      <c r="F125" s="7" t="s">
        <v>4188</v>
      </c>
      <c r="G125" s="13" t="s">
        <v>76</v>
      </c>
      <c r="H125" s="54">
        <v>46045</v>
      </c>
      <c r="I125" s="52">
        <v>46057</v>
      </c>
      <c r="J125" s="8" t="s">
        <v>84</v>
      </c>
      <c r="K125" s="8" t="s">
        <v>89</v>
      </c>
      <c r="L125" s="9" t="s">
        <v>58</v>
      </c>
      <c r="M125" s="9"/>
      <c r="N125" s="9"/>
      <c r="O125" s="66"/>
      <c r="P125" s="9"/>
      <c r="R125" s="96" t="str">
        <f t="shared" si="4"/>
        <v/>
      </c>
    </row>
    <row r="126" spans="1:18" ht="110.25" x14ac:dyDescent="0.25">
      <c r="A126" s="5" t="s">
        <v>231</v>
      </c>
      <c r="B126" s="6" t="s">
        <v>4039</v>
      </c>
      <c r="C126" s="8" t="s">
        <v>382</v>
      </c>
      <c r="D126" s="8" t="s">
        <v>383</v>
      </c>
      <c r="E126" s="7" t="s">
        <v>4189</v>
      </c>
      <c r="F126" s="7" t="s">
        <v>4190</v>
      </c>
      <c r="G126" s="13" t="s">
        <v>76</v>
      </c>
      <c r="H126" s="54">
        <v>46045</v>
      </c>
      <c r="I126" s="52">
        <v>46057</v>
      </c>
      <c r="J126" s="8" t="s">
        <v>156</v>
      </c>
      <c r="K126" s="8" t="s">
        <v>96</v>
      </c>
      <c r="L126" s="9" t="s">
        <v>58</v>
      </c>
      <c r="M126" s="9"/>
      <c r="N126" s="9"/>
      <c r="O126" s="66"/>
      <c r="P126" s="9"/>
      <c r="R126" s="96" t="str">
        <f t="shared" si="4"/>
        <v/>
      </c>
    </row>
    <row r="127" spans="1:18" ht="94.5" x14ac:dyDescent="0.25">
      <c r="A127" s="5" t="s">
        <v>232</v>
      </c>
      <c r="B127" s="6" t="s">
        <v>4084</v>
      </c>
      <c r="C127" s="8" t="s">
        <v>4193</v>
      </c>
      <c r="D127" s="8" t="s">
        <v>4194</v>
      </c>
      <c r="E127" s="7" t="s">
        <v>4191</v>
      </c>
      <c r="F127" s="7" t="s">
        <v>4192</v>
      </c>
      <c r="G127" s="13" t="s">
        <v>23</v>
      </c>
      <c r="H127" s="54">
        <v>46045</v>
      </c>
      <c r="I127" s="52">
        <v>46057</v>
      </c>
      <c r="J127" s="8" t="s">
        <v>96</v>
      </c>
      <c r="K127" s="8" t="s">
        <v>92</v>
      </c>
      <c r="L127" s="9" t="s">
        <v>58</v>
      </c>
      <c r="M127" s="9"/>
      <c r="N127" s="9"/>
      <c r="O127" s="66"/>
      <c r="P127" s="9"/>
      <c r="R127" s="96" t="str">
        <f t="shared" si="4"/>
        <v/>
      </c>
    </row>
    <row r="128" spans="1:18" ht="63" x14ac:dyDescent="0.25">
      <c r="A128" s="5" t="s">
        <v>233</v>
      </c>
      <c r="B128" s="6" t="s">
        <v>4085</v>
      </c>
      <c r="C128" s="8" t="s">
        <v>393</v>
      </c>
      <c r="D128" s="8" t="s">
        <v>394</v>
      </c>
      <c r="E128" s="7" t="s">
        <v>4195</v>
      </c>
      <c r="F128" s="7" t="s">
        <v>4196</v>
      </c>
      <c r="G128" s="13" t="s">
        <v>23</v>
      </c>
      <c r="H128" s="54">
        <v>46045</v>
      </c>
      <c r="I128" s="52">
        <v>46057</v>
      </c>
      <c r="J128" s="8" t="s">
        <v>89</v>
      </c>
      <c r="K128" s="8" t="s">
        <v>92</v>
      </c>
      <c r="L128" s="9" t="s">
        <v>57</v>
      </c>
      <c r="M128" s="9"/>
      <c r="N128" s="9"/>
      <c r="O128" s="66"/>
      <c r="P128" s="9"/>
      <c r="R128" s="96" t="str">
        <f t="shared" si="4"/>
        <v/>
      </c>
    </row>
    <row r="129" spans="1:18" ht="78.75" x14ac:dyDescent="0.25">
      <c r="A129" s="5" t="s">
        <v>234</v>
      </c>
      <c r="B129" s="6" t="s">
        <v>4086</v>
      </c>
      <c r="C129" s="8" t="s">
        <v>4199</v>
      </c>
      <c r="D129" s="8" t="s">
        <v>402</v>
      </c>
      <c r="E129" s="7" t="s">
        <v>4197</v>
      </c>
      <c r="F129" s="7" t="s">
        <v>4198</v>
      </c>
      <c r="G129" s="13" t="s">
        <v>24</v>
      </c>
      <c r="H129" s="54">
        <v>46045</v>
      </c>
      <c r="I129" s="52">
        <v>46057</v>
      </c>
      <c r="J129" s="8" t="s">
        <v>84</v>
      </c>
      <c r="K129" s="8" t="s">
        <v>64</v>
      </c>
      <c r="L129" s="9" t="s">
        <v>58</v>
      </c>
      <c r="M129" s="9"/>
      <c r="N129" s="9"/>
      <c r="O129" s="66"/>
      <c r="P129" s="9"/>
      <c r="R129" s="96" t="str">
        <f t="shared" si="4"/>
        <v/>
      </c>
    </row>
    <row r="130" spans="1:18" ht="78.75" x14ac:dyDescent="0.25">
      <c r="A130" s="5" t="s">
        <v>235</v>
      </c>
      <c r="B130" s="6" t="s">
        <v>4087</v>
      </c>
      <c r="C130" s="8" t="s">
        <v>480</v>
      </c>
      <c r="D130" s="8" t="s">
        <v>370</v>
      </c>
      <c r="E130" s="7" t="s">
        <v>4200</v>
      </c>
      <c r="F130" s="7" t="s">
        <v>4201</v>
      </c>
      <c r="G130" s="13" t="s">
        <v>24</v>
      </c>
      <c r="H130" s="54">
        <v>46045</v>
      </c>
      <c r="I130" s="52">
        <v>46057</v>
      </c>
      <c r="J130" s="8" t="s">
        <v>84</v>
      </c>
      <c r="K130" s="8" t="s">
        <v>94</v>
      </c>
      <c r="L130" s="9" t="s">
        <v>57</v>
      </c>
      <c r="M130" s="9"/>
      <c r="N130" s="9"/>
      <c r="O130" s="66"/>
      <c r="P130" s="9"/>
      <c r="R130" s="96" t="str">
        <f t="shared" si="4"/>
        <v/>
      </c>
    </row>
    <row r="131" spans="1:18" ht="79.5" customHeight="1" x14ac:dyDescent="0.25">
      <c r="A131" s="5" t="s">
        <v>236</v>
      </c>
      <c r="B131" s="6" t="s">
        <v>4088</v>
      </c>
      <c r="C131" s="8" t="s">
        <v>930</v>
      </c>
      <c r="D131" s="8" t="s">
        <v>715</v>
      </c>
      <c r="E131" s="7" t="s">
        <v>4202</v>
      </c>
      <c r="F131" s="7" t="s">
        <v>4203</v>
      </c>
      <c r="G131" s="13" t="s">
        <v>24</v>
      </c>
      <c r="H131" s="54">
        <v>46045</v>
      </c>
      <c r="I131" s="52">
        <v>46057</v>
      </c>
      <c r="J131" s="8" t="s">
        <v>156</v>
      </c>
      <c r="K131" s="8" t="s">
        <v>63</v>
      </c>
      <c r="L131" s="9" t="s">
        <v>57</v>
      </c>
      <c r="M131" s="9"/>
      <c r="N131" s="9"/>
      <c r="O131" s="66"/>
      <c r="P131" s="9"/>
      <c r="R131" s="96" t="str">
        <f t="shared" si="4"/>
        <v/>
      </c>
    </row>
    <row r="132" spans="1:18" ht="63" x14ac:dyDescent="0.25">
      <c r="A132" s="5" t="s">
        <v>237</v>
      </c>
      <c r="B132" s="6" t="s">
        <v>4089</v>
      </c>
      <c r="C132" s="8" t="s">
        <v>2144</v>
      </c>
      <c r="D132" s="8" t="s">
        <v>361</v>
      </c>
      <c r="E132" s="7" t="s">
        <v>4169</v>
      </c>
      <c r="F132" s="7" t="s">
        <v>4204</v>
      </c>
      <c r="G132" s="13" t="s">
        <v>76</v>
      </c>
      <c r="H132" s="54">
        <v>46045</v>
      </c>
      <c r="I132" s="52">
        <v>46057</v>
      </c>
      <c r="J132" s="8" t="s">
        <v>94</v>
      </c>
      <c r="K132" s="8" t="s">
        <v>96</v>
      </c>
      <c r="L132" s="9" t="s">
        <v>58</v>
      </c>
      <c r="M132" s="9"/>
      <c r="N132" s="9"/>
      <c r="O132" s="66"/>
      <c r="P132" s="9"/>
      <c r="R132" s="96" t="str">
        <f t="shared" si="4"/>
        <v/>
      </c>
    </row>
    <row r="133" spans="1:18" ht="64.5" customHeight="1" x14ac:dyDescent="0.25">
      <c r="A133" s="5" t="s">
        <v>238</v>
      </c>
      <c r="B133" s="6" t="s">
        <v>4090</v>
      </c>
      <c r="C133" s="8" t="s">
        <v>459</v>
      </c>
      <c r="D133" s="8" t="s">
        <v>361</v>
      </c>
      <c r="E133" s="7" t="s">
        <v>4205</v>
      </c>
      <c r="F133" s="7" t="s">
        <v>4206</v>
      </c>
      <c r="G133" s="13" t="s">
        <v>24</v>
      </c>
      <c r="H133" s="54">
        <v>46045</v>
      </c>
      <c r="I133" s="52">
        <v>46057</v>
      </c>
      <c r="J133" s="8" t="s">
        <v>94</v>
      </c>
      <c r="K133" s="8" t="s">
        <v>84</v>
      </c>
      <c r="L133" s="9" t="s">
        <v>57</v>
      </c>
      <c r="M133" s="9"/>
      <c r="N133" s="9"/>
      <c r="O133" s="66"/>
      <c r="P133" s="9"/>
      <c r="R133" s="96" t="str">
        <f t="shared" si="4"/>
        <v/>
      </c>
    </row>
    <row r="134" spans="1:18" ht="78.75" x14ac:dyDescent="0.25">
      <c r="A134" s="5" t="s">
        <v>239</v>
      </c>
      <c r="B134" s="6" t="s">
        <v>4091</v>
      </c>
      <c r="C134" s="8" t="s">
        <v>1348</v>
      </c>
      <c r="D134" s="8" t="s">
        <v>3948</v>
      </c>
      <c r="E134" s="7" t="s">
        <v>4207</v>
      </c>
      <c r="F134" s="7" t="s">
        <v>4208</v>
      </c>
      <c r="G134" s="13" t="s">
        <v>76</v>
      </c>
      <c r="H134" s="54">
        <v>46045</v>
      </c>
      <c r="I134" s="52">
        <v>46057</v>
      </c>
      <c r="J134" s="8" t="s">
        <v>64</v>
      </c>
      <c r="K134" s="8" t="s">
        <v>92</v>
      </c>
      <c r="L134" s="9" t="s">
        <v>58</v>
      </c>
      <c r="M134" s="9"/>
      <c r="N134" s="9"/>
      <c r="O134" s="66"/>
      <c r="P134" s="9"/>
      <c r="R134" s="96" t="str">
        <f t="shared" si="4"/>
        <v/>
      </c>
    </row>
    <row r="135" spans="1:18" ht="94.5" x14ac:dyDescent="0.25">
      <c r="A135" s="5" t="s">
        <v>240</v>
      </c>
      <c r="B135" s="6" t="s">
        <v>4092</v>
      </c>
      <c r="C135" s="8" t="s">
        <v>354</v>
      </c>
      <c r="D135" s="8" t="s">
        <v>355</v>
      </c>
      <c r="E135" s="7" t="s">
        <v>4209</v>
      </c>
      <c r="F135" s="7" t="s">
        <v>4210</v>
      </c>
      <c r="G135" s="13" t="s">
        <v>76</v>
      </c>
      <c r="H135" s="54">
        <v>46045</v>
      </c>
      <c r="I135" s="52">
        <v>46057</v>
      </c>
      <c r="J135" s="8" t="s">
        <v>64</v>
      </c>
      <c r="K135" s="8" t="s">
        <v>156</v>
      </c>
      <c r="L135" s="9" t="s">
        <v>57</v>
      </c>
      <c r="M135" s="9"/>
      <c r="N135" s="9"/>
      <c r="O135" s="66"/>
      <c r="P135" s="9"/>
      <c r="R135" s="96" t="str">
        <f t="shared" si="4"/>
        <v/>
      </c>
    </row>
    <row r="136" spans="1:18" ht="78.75" x14ac:dyDescent="0.25">
      <c r="A136" s="5" t="s">
        <v>241</v>
      </c>
      <c r="B136" s="6" t="s">
        <v>4093</v>
      </c>
      <c r="C136" s="8" t="s">
        <v>1503</v>
      </c>
      <c r="D136" s="8" t="s">
        <v>416</v>
      </c>
      <c r="E136" s="7" t="s">
        <v>4211</v>
      </c>
      <c r="F136" s="7" t="s">
        <v>4212</v>
      </c>
      <c r="G136" s="13" t="s">
        <v>76</v>
      </c>
      <c r="H136" s="54">
        <v>46045</v>
      </c>
      <c r="I136" s="52">
        <v>46057</v>
      </c>
      <c r="J136" s="8" t="s">
        <v>63</v>
      </c>
      <c r="K136" s="8" t="s">
        <v>92</v>
      </c>
      <c r="L136" s="9" t="s">
        <v>58</v>
      </c>
      <c r="M136" s="9"/>
      <c r="N136" s="9"/>
      <c r="O136" s="66"/>
      <c r="P136" s="9"/>
      <c r="R136" s="96" t="str">
        <f t="shared" si="4"/>
        <v/>
      </c>
    </row>
    <row r="137" spans="1:18" ht="63" x14ac:dyDescent="0.25">
      <c r="A137" s="5" t="s">
        <v>242</v>
      </c>
      <c r="B137" s="6" t="s">
        <v>4094</v>
      </c>
      <c r="C137" s="8" t="s">
        <v>4215</v>
      </c>
      <c r="D137" s="8" t="s">
        <v>4216</v>
      </c>
      <c r="E137" s="7" t="s">
        <v>4213</v>
      </c>
      <c r="F137" s="7" t="s">
        <v>4214</v>
      </c>
      <c r="G137" s="13" t="s">
        <v>25</v>
      </c>
      <c r="H137" s="54">
        <v>46045</v>
      </c>
      <c r="I137" s="52">
        <v>46057</v>
      </c>
      <c r="J137" s="8" t="s">
        <v>64</v>
      </c>
      <c r="K137" s="8" t="s">
        <v>63</v>
      </c>
      <c r="L137" s="9" t="s">
        <v>57</v>
      </c>
      <c r="M137" s="9"/>
      <c r="N137" s="9"/>
      <c r="O137" s="66"/>
      <c r="P137" s="9"/>
      <c r="R137" s="96" t="str">
        <f t="shared" si="4"/>
        <v/>
      </c>
    </row>
    <row r="138" spans="1:18" ht="78.75" x14ac:dyDescent="0.25">
      <c r="A138" s="5" t="s">
        <v>243</v>
      </c>
      <c r="B138" s="6" t="s">
        <v>4095</v>
      </c>
      <c r="C138" s="8" t="s">
        <v>4219</v>
      </c>
      <c r="D138" s="8" t="s">
        <v>715</v>
      </c>
      <c r="E138" s="7" t="s">
        <v>4217</v>
      </c>
      <c r="F138" s="7" t="s">
        <v>4218</v>
      </c>
      <c r="G138" s="13" t="s">
        <v>76</v>
      </c>
      <c r="H138" s="54">
        <v>46048</v>
      </c>
      <c r="I138" s="52">
        <v>46057</v>
      </c>
      <c r="J138" s="8" t="s">
        <v>64</v>
      </c>
      <c r="K138" s="8" t="s">
        <v>96</v>
      </c>
      <c r="L138" s="9" t="s">
        <v>57</v>
      </c>
      <c r="M138" s="9"/>
      <c r="N138" s="9"/>
      <c r="O138" s="66"/>
      <c r="P138" s="9"/>
      <c r="R138" s="96" t="str">
        <f t="shared" si="4"/>
        <v/>
      </c>
    </row>
    <row r="139" spans="1:18" ht="110.25" x14ac:dyDescent="0.25">
      <c r="A139" s="5" t="s">
        <v>244</v>
      </c>
      <c r="B139" s="6" t="s">
        <v>4096</v>
      </c>
      <c r="C139" s="8" t="s">
        <v>1564</v>
      </c>
      <c r="D139" s="8" t="s">
        <v>402</v>
      </c>
      <c r="E139" s="7" t="s">
        <v>4220</v>
      </c>
      <c r="F139" s="7" t="s">
        <v>4221</v>
      </c>
      <c r="G139" s="13" t="s">
        <v>76</v>
      </c>
      <c r="H139" s="54">
        <v>46048</v>
      </c>
      <c r="I139" s="52">
        <v>46057</v>
      </c>
      <c r="J139" s="8" t="s">
        <v>89</v>
      </c>
      <c r="K139" s="8" t="s">
        <v>84</v>
      </c>
      <c r="L139" s="9" t="s">
        <v>57</v>
      </c>
      <c r="M139" s="9"/>
      <c r="N139" s="9"/>
      <c r="O139" s="66"/>
      <c r="P139" s="9"/>
      <c r="R139" s="96" t="str">
        <f t="shared" si="4"/>
        <v/>
      </c>
    </row>
    <row r="140" spans="1:18" ht="63" x14ac:dyDescent="0.25">
      <c r="A140" s="5" t="s">
        <v>245</v>
      </c>
      <c r="B140" s="6" t="s">
        <v>4097</v>
      </c>
      <c r="C140" s="8" t="s">
        <v>936</v>
      </c>
      <c r="D140" s="8" t="s">
        <v>361</v>
      </c>
      <c r="E140" s="7" t="s">
        <v>4223</v>
      </c>
      <c r="F140" s="7" t="s">
        <v>4224</v>
      </c>
      <c r="G140" s="13" t="s">
        <v>76</v>
      </c>
      <c r="H140" s="54">
        <v>46048</v>
      </c>
      <c r="I140" s="52">
        <v>46057</v>
      </c>
      <c r="J140" s="8" t="s">
        <v>96</v>
      </c>
      <c r="K140" s="8" t="s">
        <v>94</v>
      </c>
      <c r="L140" s="9" t="s">
        <v>57</v>
      </c>
      <c r="M140" s="9"/>
      <c r="N140" s="9"/>
      <c r="O140" s="66"/>
      <c r="P140" s="9"/>
      <c r="R140" s="96" t="str">
        <f t="shared" si="4"/>
        <v/>
      </c>
    </row>
    <row r="141" spans="1:18" ht="80.25" customHeight="1" x14ac:dyDescent="0.25">
      <c r="A141" s="5" t="s">
        <v>246</v>
      </c>
      <c r="B141" s="6" t="s">
        <v>4098</v>
      </c>
      <c r="C141" s="8" t="s">
        <v>637</v>
      </c>
      <c r="D141" s="8" t="s">
        <v>361</v>
      </c>
      <c r="E141" s="7" t="s">
        <v>4226</v>
      </c>
      <c r="F141" s="7" t="s">
        <v>4227</v>
      </c>
      <c r="G141" s="13" t="s">
        <v>76</v>
      </c>
      <c r="H141" s="54">
        <v>46048</v>
      </c>
      <c r="I141" s="52">
        <v>46057</v>
      </c>
      <c r="J141" s="8" t="s">
        <v>94</v>
      </c>
      <c r="K141" s="8" t="s">
        <v>156</v>
      </c>
      <c r="L141" s="9" t="s">
        <v>57</v>
      </c>
      <c r="M141" s="9"/>
      <c r="N141" s="9"/>
      <c r="O141" s="66"/>
      <c r="P141" s="9"/>
      <c r="R141" s="96" t="str">
        <f t="shared" si="4"/>
        <v/>
      </c>
    </row>
    <row r="142" spans="1:18" ht="126" x14ac:dyDescent="0.25">
      <c r="A142" s="5" t="s">
        <v>247</v>
      </c>
      <c r="B142" s="6" t="s">
        <v>4099</v>
      </c>
      <c r="C142" s="8" t="s">
        <v>1602</v>
      </c>
      <c r="D142" s="8" t="s">
        <v>402</v>
      </c>
      <c r="E142" s="7" t="s">
        <v>4229</v>
      </c>
      <c r="F142" s="7" t="s">
        <v>4228</v>
      </c>
      <c r="G142" s="13" t="s">
        <v>76</v>
      </c>
      <c r="H142" s="54">
        <v>46048</v>
      </c>
      <c r="I142" s="52">
        <v>46057</v>
      </c>
      <c r="J142" s="8" t="s">
        <v>64</v>
      </c>
      <c r="K142" s="8" t="s">
        <v>96</v>
      </c>
      <c r="L142" s="9" t="s">
        <v>73</v>
      </c>
      <c r="M142" s="9"/>
      <c r="N142" s="9"/>
      <c r="O142" s="66"/>
      <c r="P142" s="9"/>
      <c r="R142" s="96" t="str">
        <f t="shared" si="4"/>
        <v/>
      </c>
    </row>
    <row r="143" spans="1:18" ht="63" x14ac:dyDescent="0.25">
      <c r="A143" s="5" t="s">
        <v>248</v>
      </c>
      <c r="B143" s="6" t="s">
        <v>4100</v>
      </c>
      <c r="C143" s="8" t="s">
        <v>614</v>
      </c>
      <c r="D143" s="8" t="s">
        <v>3948</v>
      </c>
      <c r="E143" s="7" t="s">
        <v>4230</v>
      </c>
      <c r="F143" s="7" t="s">
        <v>4231</v>
      </c>
      <c r="G143" s="13" t="s">
        <v>76</v>
      </c>
      <c r="H143" s="54">
        <v>46048</v>
      </c>
      <c r="I143" s="52">
        <v>46057</v>
      </c>
      <c r="J143" s="8" t="s">
        <v>92</v>
      </c>
      <c r="K143" s="8" t="s">
        <v>156</v>
      </c>
      <c r="L143" s="9" t="s">
        <v>57</v>
      </c>
      <c r="M143" s="9"/>
      <c r="N143" s="9"/>
      <c r="O143" s="66"/>
      <c r="P143" s="9"/>
      <c r="R143" s="96" t="str">
        <f t="shared" si="4"/>
        <v/>
      </c>
    </row>
    <row r="144" spans="1:18" ht="63" x14ac:dyDescent="0.25">
      <c r="A144" s="5" t="s">
        <v>249</v>
      </c>
      <c r="B144" s="6" t="s">
        <v>4101</v>
      </c>
      <c r="C144" s="8" t="s">
        <v>927</v>
      </c>
      <c r="D144" s="8" t="s">
        <v>3943</v>
      </c>
      <c r="E144" s="7" t="s">
        <v>4232</v>
      </c>
      <c r="F144" s="7" t="s">
        <v>4233</v>
      </c>
      <c r="G144" s="13" t="s">
        <v>76</v>
      </c>
      <c r="H144" s="54">
        <v>46049</v>
      </c>
      <c r="I144" s="52">
        <v>46057</v>
      </c>
      <c r="J144" s="8" t="s">
        <v>64</v>
      </c>
      <c r="K144" s="8" t="s">
        <v>84</v>
      </c>
      <c r="L144" s="9" t="s">
        <v>58</v>
      </c>
      <c r="M144" s="9"/>
      <c r="N144" s="9"/>
      <c r="O144" s="66"/>
      <c r="P144" s="9"/>
      <c r="R144" s="96" t="str">
        <f t="shared" si="4"/>
        <v/>
      </c>
    </row>
    <row r="145" spans="1:18" ht="94.5" x14ac:dyDescent="0.25">
      <c r="A145" s="5" t="s">
        <v>250</v>
      </c>
      <c r="B145" s="6" t="s">
        <v>4102</v>
      </c>
      <c r="C145" s="8" t="s">
        <v>1937</v>
      </c>
      <c r="D145" s="8" t="s">
        <v>402</v>
      </c>
      <c r="E145" s="7" t="s">
        <v>4242</v>
      </c>
      <c r="F145" s="7" t="s">
        <v>4243</v>
      </c>
      <c r="G145" s="13" t="s">
        <v>24</v>
      </c>
      <c r="H145" s="54">
        <v>46049</v>
      </c>
      <c r="I145" s="52">
        <v>46057</v>
      </c>
      <c r="J145" s="8" t="s">
        <v>96</v>
      </c>
      <c r="K145" s="8" t="s">
        <v>63</v>
      </c>
      <c r="L145" s="9" t="s">
        <v>57</v>
      </c>
      <c r="M145" s="9"/>
      <c r="N145" s="9"/>
      <c r="O145" s="66"/>
      <c r="P145" s="9"/>
      <c r="R145" s="96" t="str">
        <f t="shared" si="4"/>
        <v/>
      </c>
    </row>
    <row r="146" spans="1:18" ht="63" x14ac:dyDescent="0.25">
      <c r="A146" s="5" t="s">
        <v>251</v>
      </c>
      <c r="B146" s="6" t="s">
        <v>4103</v>
      </c>
      <c r="C146" s="8" t="s">
        <v>2933</v>
      </c>
      <c r="D146" s="8" t="s">
        <v>3948</v>
      </c>
      <c r="E146" s="7" t="s">
        <v>4244</v>
      </c>
      <c r="F146" s="7" t="s">
        <v>4245</v>
      </c>
      <c r="G146" s="13" t="s">
        <v>76</v>
      </c>
      <c r="H146" s="54">
        <v>46049</v>
      </c>
      <c r="I146" s="52">
        <v>46057</v>
      </c>
      <c r="J146" s="8" t="s">
        <v>92</v>
      </c>
      <c r="K146" s="8" t="s">
        <v>63</v>
      </c>
      <c r="L146" s="9" t="s">
        <v>57</v>
      </c>
      <c r="M146" s="9"/>
      <c r="N146" s="9"/>
      <c r="O146" s="66"/>
      <c r="P146" s="9"/>
      <c r="R146" s="96" t="str">
        <f t="shared" si="4"/>
        <v/>
      </c>
    </row>
    <row r="147" spans="1:18" ht="81" customHeight="1" x14ac:dyDescent="0.25">
      <c r="A147" s="5" t="s">
        <v>252</v>
      </c>
      <c r="B147" s="6" t="s">
        <v>4104</v>
      </c>
      <c r="C147" s="8" t="s">
        <v>4260</v>
      </c>
      <c r="D147" s="53" t="s">
        <v>4261</v>
      </c>
      <c r="E147" s="7" t="s">
        <v>4259</v>
      </c>
      <c r="F147" s="7" t="s">
        <v>4262</v>
      </c>
      <c r="G147" s="13" t="s">
        <v>76</v>
      </c>
      <c r="H147" s="54">
        <v>46058</v>
      </c>
      <c r="I147" s="52">
        <v>46070</v>
      </c>
      <c r="J147" s="8" t="s">
        <v>94</v>
      </c>
      <c r="K147" s="8" t="s">
        <v>96</v>
      </c>
      <c r="L147" s="9"/>
      <c r="M147" s="9"/>
      <c r="N147" s="9"/>
      <c r="O147" s="66"/>
      <c r="P147" s="9"/>
      <c r="R147" s="96" t="str">
        <f t="shared" si="4"/>
        <v>SBA 26/146</v>
      </c>
    </row>
    <row r="148" spans="1:18" ht="78.75" x14ac:dyDescent="0.25">
      <c r="A148" s="5" t="s">
        <v>253</v>
      </c>
      <c r="B148" s="6" t="s">
        <v>4105</v>
      </c>
      <c r="C148" s="8" t="s">
        <v>2017</v>
      </c>
      <c r="D148" s="8" t="s">
        <v>387</v>
      </c>
      <c r="E148" s="7" t="s">
        <v>4264</v>
      </c>
      <c r="F148" s="7" t="s">
        <v>4263</v>
      </c>
      <c r="G148" s="13" t="s">
        <v>76</v>
      </c>
      <c r="H148" s="54">
        <v>46058</v>
      </c>
      <c r="I148" s="52">
        <v>46070</v>
      </c>
      <c r="J148" s="8" t="s">
        <v>64</v>
      </c>
      <c r="K148" s="8" t="s">
        <v>93</v>
      </c>
      <c r="L148" s="9"/>
      <c r="M148" s="9"/>
      <c r="N148" s="9"/>
      <c r="O148" s="66"/>
      <c r="P148" s="9"/>
      <c r="R148" s="96" t="str">
        <f t="shared" si="4"/>
        <v>SBA 26/147</v>
      </c>
    </row>
    <row r="149" spans="1:18" ht="78.75" x14ac:dyDescent="0.25">
      <c r="A149" s="5" t="s">
        <v>254</v>
      </c>
      <c r="B149" s="6" t="s">
        <v>4106</v>
      </c>
      <c r="C149" s="8" t="s">
        <v>4186</v>
      </c>
      <c r="D149" s="8" t="s">
        <v>361</v>
      </c>
      <c r="E149" s="7" t="s">
        <v>4265</v>
      </c>
      <c r="F149" s="7" t="s">
        <v>4266</v>
      </c>
      <c r="G149" s="13" t="s">
        <v>76</v>
      </c>
      <c r="H149" s="54">
        <v>46058</v>
      </c>
      <c r="I149" s="52">
        <v>46070</v>
      </c>
      <c r="J149" s="8" t="s">
        <v>91</v>
      </c>
      <c r="K149" s="8" t="s">
        <v>92</v>
      </c>
      <c r="L149" s="9"/>
      <c r="M149" s="9"/>
      <c r="N149" s="9"/>
      <c r="O149" s="66"/>
      <c r="P149" s="9"/>
      <c r="R149" s="96" t="str">
        <f t="shared" si="4"/>
        <v>SBA 26/148</v>
      </c>
    </row>
    <row r="150" spans="1:18" ht="78.75" x14ac:dyDescent="0.25">
      <c r="A150" s="5" t="s">
        <v>255</v>
      </c>
      <c r="B150" s="6" t="s">
        <v>4107</v>
      </c>
      <c r="C150" s="8" t="s">
        <v>4186</v>
      </c>
      <c r="D150" s="8" t="s">
        <v>361</v>
      </c>
      <c r="E150" s="7" t="s">
        <v>4265</v>
      </c>
      <c r="F150" s="7" t="s">
        <v>4267</v>
      </c>
      <c r="G150" s="13" t="s">
        <v>76</v>
      </c>
      <c r="H150" s="54">
        <v>46058</v>
      </c>
      <c r="I150" s="52">
        <v>46070</v>
      </c>
      <c r="J150" s="8" t="s">
        <v>94</v>
      </c>
      <c r="K150" s="8" t="s">
        <v>95</v>
      </c>
      <c r="L150" s="9"/>
      <c r="M150" s="9"/>
      <c r="N150" s="9"/>
      <c r="O150" s="66"/>
      <c r="P150" s="9">
        <f t="shared" si="3"/>
        <v>0</v>
      </c>
      <c r="R150" s="96" t="str">
        <f t="shared" si="4"/>
        <v>SBA 26/149</v>
      </c>
    </row>
    <row r="151" spans="1:18" ht="78.75" x14ac:dyDescent="0.25">
      <c r="A151" s="5" t="s">
        <v>256</v>
      </c>
      <c r="B151" s="6" t="s">
        <v>4108</v>
      </c>
      <c r="C151" s="8" t="s">
        <v>4186</v>
      </c>
      <c r="D151" s="8" t="s">
        <v>361</v>
      </c>
      <c r="E151" s="7" t="s">
        <v>4268</v>
      </c>
      <c r="F151" s="7" t="s">
        <v>4269</v>
      </c>
      <c r="G151" s="13" t="s">
        <v>76</v>
      </c>
      <c r="H151" s="54">
        <v>46058</v>
      </c>
      <c r="I151" s="52">
        <v>46070</v>
      </c>
      <c r="J151" s="8" t="s">
        <v>84</v>
      </c>
      <c r="K151" s="8" t="s">
        <v>93</v>
      </c>
      <c r="L151" s="9"/>
      <c r="M151" s="9"/>
      <c r="N151" s="9"/>
      <c r="O151" s="66"/>
      <c r="P151" s="9">
        <f t="shared" si="3"/>
        <v>0</v>
      </c>
      <c r="R151" s="96" t="str">
        <f t="shared" si="4"/>
        <v>SBA 26/150</v>
      </c>
    </row>
    <row r="152" spans="1:18" ht="63" x14ac:dyDescent="0.25">
      <c r="A152" s="5" t="s">
        <v>257</v>
      </c>
      <c r="B152" s="6" t="s">
        <v>4109</v>
      </c>
      <c r="C152" s="8" t="s">
        <v>390</v>
      </c>
      <c r="D152" s="8" t="s">
        <v>392</v>
      </c>
      <c r="E152" s="7" t="s">
        <v>4271</v>
      </c>
      <c r="F152" s="7" t="s">
        <v>4270</v>
      </c>
      <c r="G152" s="13" t="s">
        <v>76</v>
      </c>
      <c r="H152" s="54">
        <v>46058</v>
      </c>
      <c r="I152" s="52">
        <v>46070</v>
      </c>
      <c r="J152" s="8" t="s">
        <v>64</v>
      </c>
      <c r="K152" s="8" t="s">
        <v>63</v>
      </c>
      <c r="L152" s="9"/>
      <c r="M152" s="9"/>
      <c r="N152" s="9"/>
      <c r="O152" s="66"/>
      <c r="P152" s="9">
        <f t="shared" si="3"/>
        <v>0</v>
      </c>
      <c r="R152" s="96" t="str">
        <f t="shared" si="4"/>
        <v>SBA 26/151</v>
      </c>
    </row>
    <row r="153" spans="1:18" ht="94.5" x14ac:dyDescent="0.25">
      <c r="A153" s="5" t="s">
        <v>258</v>
      </c>
      <c r="B153" s="6" t="s">
        <v>4110</v>
      </c>
      <c r="C153" s="8" t="s">
        <v>360</v>
      </c>
      <c r="D153" s="8" t="s">
        <v>361</v>
      </c>
      <c r="E153" s="7" t="s">
        <v>4272</v>
      </c>
      <c r="F153" s="7" t="s">
        <v>4273</v>
      </c>
      <c r="G153" s="13" t="s">
        <v>23</v>
      </c>
      <c r="H153" s="54">
        <v>46058</v>
      </c>
      <c r="I153" s="52">
        <v>46070</v>
      </c>
      <c r="J153" s="8" t="s">
        <v>91</v>
      </c>
      <c r="K153" s="8" t="s">
        <v>92</v>
      </c>
      <c r="L153" s="9"/>
      <c r="M153" s="9"/>
      <c r="N153" s="9"/>
      <c r="O153" s="66"/>
      <c r="P153" s="9">
        <f t="shared" si="3"/>
        <v>0</v>
      </c>
      <c r="R153" s="96" t="str">
        <f t="shared" si="4"/>
        <v>SBA 26/152</v>
      </c>
    </row>
    <row r="154" spans="1:18" ht="63" x14ac:dyDescent="0.25">
      <c r="A154" s="5" t="s">
        <v>259</v>
      </c>
      <c r="B154" s="6" t="s">
        <v>4111</v>
      </c>
      <c r="C154" s="8" t="s">
        <v>4276</v>
      </c>
      <c r="D154" s="8" t="s">
        <v>3946</v>
      </c>
      <c r="E154" s="7" t="s">
        <v>4274</v>
      </c>
      <c r="F154" s="7" t="s">
        <v>4275</v>
      </c>
      <c r="G154" s="13" t="s">
        <v>76</v>
      </c>
      <c r="H154" s="54">
        <v>46058</v>
      </c>
      <c r="I154" s="52">
        <v>46070</v>
      </c>
      <c r="J154" s="8" t="s">
        <v>96</v>
      </c>
      <c r="K154" s="8" t="s">
        <v>95</v>
      </c>
      <c r="L154" s="9"/>
      <c r="M154" s="9"/>
      <c r="N154" s="9"/>
      <c r="O154" s="66"/>
      <c r="P154" s="9">
        <f t="shared" si="3"/>
        <v>0</v>
      </c>
      <c r="R154" s="96" t="str">
        <f t="shared" si="4"/>
        <v>SBA 26/153</v>
      </c>
    </row>
    <row r="155" spans="1:18" ht="63" x14ac:dyDescent="0.25">
      <c r="A155" s="5" t="s">
        <v>260</v>
      </c>
      <c r="B155" s="6" t="s">
        <v>4112</v>
      </c>
      <c r="C155" s="8" t="s">
        <v>4279</v>
      </c>
      <c r="D155" s="8" t="s">
        <v>4055</v>
      </c>
      <c r="E155" s="7" t="s">
        <v>4277</v>
      </c>
      <c r="F155" s="7" t="s">
        <v>4278</v>
      </c>
      <c r="G155" s="13" t="s">
        <v>23</v>
      </c>
      <c r="H155" s="54">
        <v>46058</v>
      </c>
      <c r="I155" s="52">
        <v>46070</v>
      </c>
      <c r="J155" s="8" t="s">
        <v>64</v>
      </c>
      <c r="K155" s="8" t="s">
        <v>84</v>
      </c>
      <c r="L155" s="9"/>
      <c r="M155" s="9"/>
      <c r="N155" s="9"/>
      <c r="O155" s="66"/>
      <c r="P155" s="9">
        <f t="shared" si="3"/>
        <v>0</v>
      </c>
      <c r="R155" s="96" t="str">
        <f t="shared" si="4"/>
        <v>SBA 26/154</v>
      </c>
    </row>
    <row r="156" spans="1:18" ht="47.25" x14ac:dyDescent="0.25">
      <c r="A156" s="5" t="s">
        <v>261</v>
      </c>
      <c r="B156" s="6" t="s">
        <v>4113</v>
      </c>
      <c r="C156" s="8" t="s">
        <v>2453</v>
      </c>
      <c r="D156" s="8" t="s">
        <v>4021</v>
      </c>
      <c r="E156" s="7" t="s">
        <v>4280</v>
      </c>
      <c r="F156" s="7" t="s">
        <v>4281</v>
      </c>
      <c r="G156" s="13" t="s">
        <v>76</v>
      </c>
      <c r="H156" s="54">
        <v>46058</v>
      </c>
      <c r="I156" s="52">
        <v>46070</v>
      </c>
      <c r="J156" s="8" t="s">
        <v>63</v>
      </c>
      <c r="K156" s="8" t="s">
        <v>88</v>
      </c>
      <c r="L156" s="9"/>
      <c r="M156" s="9"/>
      <c r="N156" s="9"/>
      <c r="O156" s="66"/>
      <c r="P156" s="9">
        <f t="shared" si="3"/>
        <v>0</v>
      </c>
      <c r="R156" s="96" t="str">
        <f t="shared" si="4"/>
        <v>SBA 26/155</v>
      </c>
    </row>
    <row r="157" spans="1:18" ht="78.75" x14ac:dyDescent="0.25">
      <c r="A157" s="5" t="s">
        <v>262</v>
      </c>
      <c r="B157" s="6" t="s">
        <v>4114</v>
      </c>
      <c r="C157" s="8" t="s">
        <v>569</v>
      </c>
      <c r="D157" s="8" t="s">
        <v>402</v>
      </c>
      <c r="E157" s="7" t="s">
        <v>4283</v>
      </c>
      <c r="F157" s="7" t="s">
        <v>4282</v>
      </c>
      <c r="G157" s="13" t="s">
        <v>76</v>
      </c>
      <c r="H157" s="54">
        <v>46058</v>
      </c>
      <c r="I157" s="52">
        <v>46070</v>
      </c>
      <c r="J157" s="8" t="s">
        <v>64</v>
      </c>
      <c r="K157" s="8" t="s">
        <v>93</v>
      </c>
      <c r="L157" s="9"/>
      <c r="M157" s="9"/>
      <c r="N157" s="9"/>
      <c r="O157" s="66"/>
      <c r="P157" s="9">
        <f t="shared" si="3"/>
        <v>0</v>
      </c>
      <c r="R157" s="96" t="str">
        <f t="shared" si="4"/>
        <v>SBA 26/156</v>
      </c>
    </row>
    <row r="158" spans="1:18" ht="94.5" x14ac:dyDescent="0.25">
      <c r="A158" s="5" t="s">
        <v>263</v>
      </c>
      <c r="B158" s="6" t="s">
        <v>4115</v>
      </c>
      <c r="C158" s="8" t="s">
        <v>3658</v>
      </c>
      <c r="D158" s="8" t="s">
        <v>365</v>
      </c>
      <c r="E158" s="7" t="s">
        <v>4284</v>
      </c>
      <c r="F158" s="7" t="s">
        <v>4285</v>
      </c>
      <c r="G158" s="13" t="s">
        <v>23</v>
      </c>
      <c r="H158" s="54">
        <v>46058</v>
      </c>
      <c r="I158" s="52">
        <v>46070</v>
      </c>
      <c r="J158" s="8" t="s">
        <v>63</v>
      </c>
      <c r="K158" s="8" t="s">
        <v>96</v>
      </c>
      <c r="L158" s="9"/>
      <c r="M158" s="9"/>
      <c r="N158" s="9"/>
      <c r="O158" s="66"/>
      <c r="P158" s="9">
        <f t="shared" si="3"/>
        <v>0</v>
      </c>
      <c r="R158" s="96" t="str">
        <f t="shared" si="4"/>
        <v>SBA 26/157</v>
      </c>
    </row>
    <row r="159" spans="1:18" ht="63" x14ac:dyDescent="0.25">
      <c r="A159" s="5" t="s">
        <v>264</v>
      </c>
      <c r="B159" s="6" t="s">
        <v>4116</v>
      </c>
      <c r="C159" s="8" t="s">
        <v>4288</v>
      </c>
      <c r="D159" s="8" t="s">
        <v>387</v>
      </c>
      <c r="E159" s="7" t="s">
        <v>4286</v>
      </c>
      <c r="F159" s="7" t="s">
        <v>4287</v>
      </c>
      <c r="G159" s="13" t="s">
        <v>24</v>
      </c>
      <c r="H159" s="54">
        <v>46058</v>
      </c>
      <c r="I159" s="52">
        <v>46070</v>
      </c>
      <c r="J159" s="8" t="s">
        <v>93</v>
      </c>
      <c r="K159" s="8" t="s">
        <v>84</v>
      </c>
      <c r="L159" s="9"/>
      <c r="M159" s="9"/>
      <c r="N159" s="9"/>
      <c r="O159" s="66"/>
      <c r="P159" s="9">
        <f t="shared" si="3"/>
        <v>0</v>
      </c>
      <c r="R159" s="96" t="str">
        <f t="shared" si="4"/>
        <v>SBA 26/158</v>
      </c>
    </row>
    <row r="160" spans="1:18" ht="94.5" x14ac:dyDescent="0.25">
      <c r="A160" s="5" t="s">
        <v>265</v>
      </c>
      <c r="B160" s="6" t="s">
        <v>4117</v>
      </c>
      <c r="C160" s="8" t="s">
        <v>1735</v>
      </c>
      <c r="D160" s="8" t="s">
        <v>715</v>
      </c>
      <c r="E160" s="7" t="s">
        <v>4319</v>
      </c>
      <c r="F160" s="7" t="s">
        <v>4320</v>
      </c>
      <c r="G160" s="13" t="s">
        <v>24</v>
      </c>
      <c r="H160" s="54">
        <v>46058</v>
      </c>
      <c r="I160" s="52">
        <v>46070</v>
      </c>
      <c r="J160" s="8" t="s">
        <v>88</v>
      </c>
      <c r="K160" s="8" t="s">
        <v>94</v>
      </c>
      <c r="L160" s="9"/>
      <c r="M160" s="9"/>
      <c r="N160" s="9"/>
      <c r="O160" s="66"/>
      <c r="P160" s="9"/>
      <c r="R160" s="96" t="str">
        <f t="shared" si="4"/>
        <v>SBA 26/159</v>
      </c>
    </row>
    <row r="161" spans="1:18" ht="80.25" customHeight="1" x14ac:dyDescent="0.25">
      <c r="A161" s="5" t="s">
        <v>266</v>
      </c>
      <c r="B161" s="6" t="s">
        <v>4118</v>
      </c>
      <c r="C161" s="8" t="s">
        <v>569</v>
      </c>
      <c r="D161" s="8" t="s">
        <v>402</v>
      </c>
      <c r="E161" s="7" t="s">
        <v>4321</v>
      </c>
      <c r="F161" s="7" t="s">
        <v>4322</v>
      </c>
      <c r="G161" s="13" t="s">
        <v>76</v>
      </c>
      <c r="H161" s="54">
        <v>46059</v>
      </c>
      <c r="I161" s="52">
        <v>46070</v>
      </c>
      <c r="J161" s="8" t="s">
        <v>96</v>
      </c>
      <c r="K161" s="8" t="s">
        <v>95</v>
      </c>
      <c r="L161" s="9"/>
      <c r="M161" s="9"/>
      <c r="N161" s="9"/>
      <c r="O161" s="66"/>
      <c r="P161" s="9"/>
      <c r="R161" s="96" t="str">
        <f t="shared" si="4"/>
        <v>SBA 26/160</v>
      </c>
    </row>
    <row r="162" spans="1:18" ht="78.75" x14ac:dyDescent="0.25">
      <c r="A162" s="5" t="s">
        <v>267</v>
      </c>
      <c r="B162" s="6" t="s">
        <v>4119</v>
      </c>
      <c r="C162" s="8" t="s">
        <v>2933</v>
      </c>
      <c r="D162" s="8" t="s">
        <v>3948</v>
      </c>
      <c r="E162" s="7" t="s">
        <v>4323</v>
      </c>
      <c r="F162" s="7" t="s">
        <v>4324</v>
      </c>
      <c r="G162" s="13" t="s">
        <v>76</v>
      </c>
      <c r="H162" s="54">
        <v>46059</v>
      </c>
      <c r="I162" s="52">
        <v>46070</v>
      </c>
      <c r="J162" s="8" t="s">
        <v>94</v>
      </c>
      <c r="K162" s="8" t="s">
        <v>88</v>
      </c>
      <c r="L162" s="9"/>
      <c r="M162" s="9"/>
      <c r="N162" s="9"/>
      <c r="O162" s="66"/>
      <c r="P162" s="9"/>
      <c r="R162" s="96" t="str">
        <f t="shared" si="4"/>
        <v>SBA 26/161</v>
      </c>
    </row>
    <row r="163" spans="1:18" ht="63" x14ac:dyDescent="0.25">
      <c r="A163" s="5" t="s">
        <v>268</v>
      </c>
      <c r="B163" s="6" t="s">
        <v>4120</v>
      </c>
      <c r="C163" s="8" t="s">
        <v>4327</v>
      </c>
      <c r="D163" s="8" t="s">
        <v>4328</v>
      </c>
      <c r="E163" s="7" t="s">
        <v>4325</v>
      </c>
      <c r="F163" s="7" t="s">
        <v>4326</v>
      </c>
      <c r="G163" s="13" t="s">
        <v>76</v>
      </c>
      <c r="H163" s="54">
        <v>46059</v>
      </c>
      <c r="I163" s="52">
        <v>46070</v>
      </c>
      <c r="J163" s="8" t="s">
        <v>91</v>
      </c>
      <c r="K163" s="8" t="s">
        <v>92</v>
      </c>
      <c r="L163" s="9"/>
      <c r="M163" s="9"/>
      <c r="N163" s="9"/>
      <c r="O163" s="66"/>
      <c r="P163" s="9"/>
      <c r="R163" s="96" t="str">
        <f t="shared" si="4"/>
        <v>SBA 26/162</v>
      </c>
    </row>
    <row r="164" spans="1:18" ht="81.75" customHeight="1" x14ac:dyDescent="0.25">
      <c r="A164" s="5" t="s">
        <v>269</v>
      </c>
      <c r="B164" s="6" t="s">
        <v>4121</v>
      </c>
      <c r="C164" s="8" t="s">
        <v>817</v>
      </c>
      <c r="D164" s="8" t="s">
        <v>361</v>
      </c>
      <c r="E164" s="7" t="s">
        <v>4329</v>
      </c>
      <c r="F164" s="7" t="s">
        <v>4330</v>
      </c>
      <c r="G164" s="13" t="s">
        <v>24</v>
      </c>
      <c r="H164" s="54">
        <v>46059</v>
      </c>
      <c r="I164" s="52">
        <v>46070</v>
      </c>
      <c r="J164" s="8" t="s">
        <v>91</v>
      </c>
      <c r="K164" s="8" t="s">
        <v>92</v>
      </c>
      <c r="L164" s="9"/>
      <c r="M164" s="9"/>
      <c r="N164" s="9"/>
      <c r="O164" s="66"/>
      <c r="P164" s="9"/>
      <c r="R164" s="96" t="str">
        <f t="shared" si="4"/>
        <v>SBA 26/163</v>
      </c>
    </row>
    <row r="165" spans="1:18" ht="78.75" x14ac:dyDescent="0.25">
      <c r="A165" s="5" t="s">
        <v>270</v>
      </c>
      <c r="B165" s="6" t="s">
        <v>4122</v>
      </c>
      <c r="C165" s="8" t="s">
        <v>404</v>
      </c>
      <c r="D165" s="8" t="s">
        <v>405</v>
      </c>
      <c r="E165" s="7" t="s">
        <v>4332</v>
      </c>
      <c r="F165" s="7" t="s">
        <v>4331</v>
      </c>
      <c r="G165" s="13" t="s">
        <v>76</v>
      </c>
      <c r="H165" s="54">
        <v>46059</v>
      </c>
      <c r="I165" s="52">
        <v>46070</v>
      </c>
      <c r="J165" s="8" t="s">
        <v>64</v>
      </c>
      <c r="K165" s="8" t="s">
        <v>93</v>
      </c>
      <c r="L165" s="9"/>
      <c r="M165" s="9"/>
      <c r="N165" s="9"/>
      <c r="O165" s="66"/>
      <c r="P165" s="9"/>
      <c r="R165" s="96" t="str">
        <f t="shared" si="4"/>
        <v>SBA 26/164</v>
      </c>
    </row>
    <row r="166" spans="1:18" ht="78.75" x14ac:dyDescent="0.25">
      <c r="A166" s="5" t="s">
        <v>271</v>
      </c>
      <c r="B166" s="6" t="s">
        <v>4123</v>
      </c>
      <c r="C166" s="8" t="s">
        <v>404</v>
      </c>
      <c r="D166" s="8" t="s">
        <v>405</v>
      </c>
      <c r="E166" s="7" t="s">
        <v>4332</v>
      </c>
      <c r="F166" s="7" t="s">
        <v>4333</v>
      </c>
      <c r="G166" s="13" t="s">
        <v>76</v>
      </c>
      <c r="H166" s="54">
        <v>46059</v>
      </c>
      <c r="I166" s="52">
        <v>46070</v>
      </c>
      <c r="J166" s="8" t="s">
        <v>64</v>
      </c>
      <c r="K166" s="8" t="s">
        <v>93</v>
      </c>
      <c r="L166" s="9"/>
      <c r="M166" s="9"/>
      <c r="N166" s="9"/>
      <c r="O166" s="66"/>
      <c r="P166" s="9"/>
      <c r="R166" s="96" t="str">
        <f t="shared" si="4"/>
        <v>SBA 26/165</v>
      </c>
    </row>
    <row r="167" spans="1:18" ht="63" x14ac:dyDescent="0.25">
      <c r="A167" s="5" t="s">
        <v>272</v>
      </c>
      <c r="B167" s="6" t="s">
        <v>4124</v>
      </c>
      <c r="C167" s="8" t="s">
        <v>840</v>
      </c>
      <c r="D167" s="8" t="s">
        <v>3946</v>
      </c>
      <c r="E167" s="7" t="s">
        <v>4334</v>
      </c>
      <c r="F167" s="7" t="s">
        <v>4335</v>
      </c>
      <c r="G167" s="13" t="s">
        <v>76</v>
      </c>
      <c r="H167" s="54">
        <v>46059</v>
      </c>
      <c r="I167" s="52">
        <v>46070</v>
      </c>
      <c r="J167" s="8" t="s">
        <v>93</v>
      </c>
      <c r="K167" s="8" t="s">
        <v>84</v>
      </c>
      <c r="L167" s="9"/>
      <c r="M167" s="9"/>
      <c r="N167" s="9"/>
      <c r="O167" s="66"/>
      <c r="P167" s="9"/>
      <c r="R167" s="96" t="str">
        <f t="shared" si="4"/>
        <v>SBA 26/166</v>
      </c>
    </row>
    <row r="168" spans="1:18" ht="63" x14ac:dyDescent="0.25">
      <c r="A168" s="5" t="s">
        <v>273</v>
      </c>
      <c r="B168" s="6" t="s">
        <v>4125</v>
      </c>
      <c r="C168" s="8" t="s">
        <v>840</v>
      </c>
      <c r="D168" s="8" t="s">
        <v>3946</v>
      </c>
      <c r="E168" s="7" t="s">
        <v>4334</v>
      </c>
      <c r="F168" s="7" t="s">
        <v>4336</v>
      </c>
      <c r="G168" s="13" t="s">
        <v>76</v>
      </c>
      <c r="H168" s="54">
        <v>46059</v>
      </c>
      <c r="I168" s="52">
        <v>46070</v>
      </c>
      <c r="J168" s="8" t="s">
        <v>89</v>
      </c>
      <c r="K168" s="8" t="s">
        <v>92</v>
      </c>
      <c r="L168" s="9"/>
      <c r="M168" s="9"/>
      <c r="N168" s="9"/>
      <c r="O168" s="66"/>
      <c r="P168" s="9"/>
      <c r="R168" s="96" t="str">
        <f t="shared" si="4"/>
        <v>SBA 26/167</v>
      </c>
    </row>
    <row r="169" spans="1:18" ht="78.75" x14ac:dyDescent="0.25">
      <c r="A169" s="5" t="s">
        <v>274</v>
      </c>
      <c r="B169" s="6" t="s">
        <v>4126</v>
      </c>
      <c r="C169" s="8" t="s">
        <v>525</v>
      </c>
      <c r="D169" s="8" t="s">
        <v>3896</v>
      </c>
      <c r="E169" s="7" t="s">
        <v>4337</v>
      </c>
      <c r="F169" s="7" t="s">
        <v>4338</v>
      </c>
      <c r="G169" s="13" t="s">
        <v>76</v>
      </c>
      <c r="H169" s="54">
        <v>46059</v>
      </c>
      <c r="I169" s="52">
        <v>46070</v>
      </c>
      <c r="J169" s="8" t="s">
        <v>91</v>
      </c>
      <c r="K169" s="8" t="s">
        <v>88</v>
      </c>
      <c r="L169" s="9"/>
      <c r="M169" s="9"/>
      <c r="N169" s="9"/>
      <c r="O169" s="66"/>
      <c r="P169" s="9"/>
      <c r="R169" s="96" t="str">
        <f t="shared" si="4"/>
        <v>SBA 26/168</v>
      </c>
    </row>
    <row r="170" spans="1:18" ht="78.75" x14ac:dyDescent="0.25">
      <c r="A170" s="5" t="s">
        <v>275</v>
      </c>
      <c r="B170" s="6" t="s">
        <v>4127</v>
      </c>
      <c r="C170" s="8" t="s">
        <v>1886</v>
      </c>
      <c r="D170" s="8" t="s">
        <v>405</v>
      </c>
      <c r="E170" s="7" t="s">
        <v>4339</v>
      </c>
      <c r="F170" s="7" t="s">
        <v>4340</v>
      </c>
      <c r="G170" s="13" t="s">
        <v>76</v>
      </c>
      <c r="H170" s="54">
        <v>46059</v>
      </c>
      <c r="I170" s="52">
        <v>46070</v>
      </c>
      <c r="J170" s="8" t="s">
        <v>89</v>
      </c>
      <c r="K170" s="8" t="s">
        <v>95</v>
      </c>
      <c r="L170" s="9"/>
      <c r="M170" s="9"/>
      <c r="N170" s="9"/>
      <c r="O170" s="66"/>
      <c r="P170" s="9"/>
      <c r="R170" s="96" t="str">
        <f t="shared" si="4"/>
        <v>SBA 26/169</v>
      </c>
    </row>
    <row r="171" spans="1:18" ht="81.75" customHeight="1" x14ac:dyDescent="0.25">
      <c r="A171" s="5" t="s">
        <v>276</v>
      </c>
      <c r="B171" s="6" t="s">
        <v>4128</v>
      </c>
      <c r="C171" s="8" t="s">
        <v>477</v>
      </c>
      <c r="D171" s="8" t="s">
        <v>405</v>
      </c>
      <c r="E171" s="7" t="s">
        <v>4341</v>
      </c>
      <c r="F171" s="7" t="s">
        <v>4342</v>
      </c>
      <c r="G171" s="13" t="s">
        <v>76</v>
      </c>
      <c r="H171" s="54">
        <v>46059</v>
      </c>
      <c r="I171" s="52">
        <v>46070</v>
      </c>
      <c r="J171" s="8" t="s">
        <v>89</v>
      </c>
      <c r="K171" s="8" t="s">
        <v>95</v>
      </c>
      <c r="L171" s="9"/>
      <c r="M171" s="9"/>
      <c r="N171" s="9"/>
      <c r="O171" s="66"/>
      <c r="P171" s="9"/>
      <c r="R171" s="96" t="str">
        <f t="shared" si="4"/>
        <v>SBA 26/170</v>
      </c>
    </row>
    <row r="172" spans="1:18" ht="63" x14ac:dyDescent="0.25">
      <c r="A172" s="5" t="s">
        <v>277</v>
      </c>
      <c r="B172" s="6" t="s">
        <v>4129</v>
      </c>
      <c r="C172" s="8" t="s">
        <v>569</v>
      </c>
      <c r="D172" s="8" t="s">
        <v>402</v>
      </c>
      <c r="E172" s="7" t="s">
        <v>4343</v>
      </c>
      <c r="F172" s="7" t="s">
        <v>4344</v>
      </c>
      <c r="G172" s="13" t="s">
        <v>76</v>
      </c>
      <c r="H172" s="54">
        <v>46059</v>
      </c>
      <c r="I172" s="52">
        <v>46070</v>
      </c>
      <c r="J172" s="8" t="s">
        <v>96</v>
      </c>
      <c r="K172" s="8" t="s">
        <v>84</v>
      </c>
      <c r="L172" s="9"/>
      <c r="M172" s="9"/>
      <c r="N172" s="9"/>
      <c r="O172" s="66"/>
      <c r="P172" s="9"/>
      <c r="R172" s="96" t="str">
        <f t="shared" si="4"/>
        <v>SBA 26/171</v>
      </c>
    </row>
    <row r="173" spans="1:18" ht="78.75" x14ac:dyDescent="0.25">
      <c r="A173" s="5" t="s">
        <v>278</v>
      </c>
      <c r="B173" s="6" t="s">
        <v>4130</v>
      </c>
      <c r="C173" s="8" t="s">
        <v>817</v>
      </c>
      <c r="D173" s="8" t="s">
        <v>361</v>
      </c>
      <c r="E173" s="7" t="s">
        <v>4345</v>
      </c>
      <c r="F173" s="7" t="s">
        <v>4346</v>
      </c>
      <c r="G173" s="13" t="s">
        <v>76</v>
      </c>
      <c r="H173" s="54">
        <v>46059</v>
      </c>
      <c r="I173" s="52">
        <v>46070</v>
      </c>
      <c r="J173" s="8" t="s">
        <v>88</v>
      </c>
      <c r="K173" s="8" t="s">
        <v>94</v>
      </c>
      <c r="L173" s="9"/>
      <c r="M173" s="9"/>
      <c r="N173" s="9"/>
      <c r="O173" s="66"/>
      <c r="P173" s="9"/>
      <c r="R173" s="96" t="str">
        <f t="shared" si="4"/>
        <v>SBA 26/172</v>
      </c>
    </row>
    <row r="174" spans="1:18" ht="80.25" customHeight="1" x14ac:dyDescent="0.25">
      <c r="A174" s="5" t="s">
        <v>279</v>
      </c>
      <c r="B174" s="6" t="s">
        <v>4131</v>
      </c>
      <c r="C174" s="8" t="s">
        <v>2457</v>
      </c>
      <c r="D174" s="8" t="s">
        <v>426</v>
      </c>
      <c r="E174" s="7" t="s">
        <v>4347</v>
      </c>
      <c r="F174" s="7" t="s">
        <v>4348</v>
      </c>
      <c r="G174" s="13" t="s">
        <v>76</v>
      </c>
      <c r="H174" s="54">
        <v>46059</v>
      </c>
      <c r="I174" s="52">
        <v>46070</v>
      </c>
      <c r="J174" s="8" t="s">
        <v>89</v>
      </c>
      <c r="K174" s="8" t="s">
        <v>63</v>
      </c>
      <c r="L174" s="9"/>
      <c r="M174" s="9"/>
      <c r="N174" s="9"/>
      <c r="O174" s="66"/>
      <c r="P174" s="9"/>
      <c r="R174" s="96" t="str">
        <f t="shared" si="4"/>
        <v>SBA 26/173</v>
      </c>
    </row>
    <row r="175" spans="1:18" ht="94.5" x14ac:dyDescent="0.25">
      <c r="A175" s="5" t="s">
        <v>280</v>
      </c>
      <c r="B175" s="6" t="s">
        <v>4289</v>
      </c>
      <c r="C175" s="8" t="s">
        <v>631</v>
      </c>
      <c r="D175" s="8" t="s">
        <v>3946</v>
      </c>
      <c r="E175" s="7" t="s">
        <v>4349</v>
      </c>
      <c r="F175" s="7" t="s">
        <v>4350</v>
      </c>
      <c r="G175" s="13" t="s">
        <v>25</v>
      </c>
      <c r="H175" s="54">
        <v>46062</v>
      </c>
      <c r="I175" s="52">
        <v>46070</v>
      </c>
      <c r="J175" s="8" t="s">
        <v>89</v>
      </c>
      <c r="K175" s="8" t="s">
        <v>92</v>
      </c>
      <c r="L175" s="9"/>
      <c r="M175" s="9"/>
      <c r="N175" s="9"/>
      <c r="O175" s="66"/>
      <c r="P175" s="9"/>
      <c r="R175" s="96" t="str">
        <f t="shared" si="4"/>
        <v>SBA 26/174</v>
      </c>
    </row>
    <row r="176" spans="1:18" ht="95.25" customHeight="1" x14ac:dyDescent="0.25">
      <c r="A176" s="5" t="s">
        <v>281</v>
      </c>
      <c r="B176" s="6" t="s">
        <v>4290</v>
      </c>
      <c r="C176" s="8" t="s">
        <v>2232</v>
      </c>
      <c r="D176" s="8" t="s">
        <v>383</v>
      </c>
      <c r="E176" s="7" t="s">
        <v>4351</v>
      </c>
      <c r="F176" s="7" t="s">
        <v>4352</v>
      </c>
      <c r="G176" s="13" t="s">
        <v>24</v>
      </c>
      <c r="H176" s="54">
        <v>46062</v>
      </c>
      <c r="I176" s="52">
        <v>46070</v>
      </c>
      <c r="J176" s="8" t="s">
        <v>89</v>
      </c>
      <c r="K176" s="8" t="s">
        <v>91</v>
      </c>
      <c r="L176" s="9"/>
      <c r="M176" s="9"/>
      <c r="N176" s="9"/>
      <c r="O176" s="66"/>
      <c r="P176" s="9"/>
      <c r="R176" s="96" t="str">
        <f t="shared" si="4"/>
        <v>SBA 26/175</v>
      </c>
    </row>
    <row r="177" spans="1:18" ht="94.5" x14ac:dyDescent="0.25">
      <c r="A177" s="5" t="s">
        <v>282</v>
      </c>
      <c r="B177" s="6" t="s">
        <v>4291</v>
      </c>
      <c r="C177" s="8" t="s">
        <v>4355</v>
      </c>
      <c r="D177" s="8" t="s">
        <v>3952</v>
      </c>
      <c r="E177" s="7" t="s">
        <v>4353</v>
      </c>
      <c r="F177" s="7" t="s">
        <v>4354</v>
      </c>
      <c r="G177" s="13" t="s">
        <v>76</v>
      </c>
      <c r="H177" s="54">
        <v>46062</v>
      </c>
      <c r="I177" s="52">
        <v>46070</v>
      </c>
      <c r="J177" s="8" t="s">
        <v>94</v>
      </c>
      <c r="K177" s="8" t="s">
        <v>91</v>
      </c>
      <c r="L177" s="9"/>
      <c r="M177" s="9"/>
      <c r="N177" s="9"/>
      <c r="O177" s="66"/>
      <c r="P177" s="9"/>
      <c r="R177" s="96" t="str">
        <f t="shared" si="4"/>
        <v>SBA 26/176</v>
      </c>
    </row>
    <row r="178" spans="1:18" ht="63" x14ac:dyDescent="0.25">
      <c r="A178" s="5" t="s">
        <v>283</v>
      </c>
      <c r="B178" s="6" t="s">
        <v>4292</v>
      </c>
      <c r="C178" s="8" t="s">
        <v>2725</v>
      </c>
      <c r="D178" s="8" t="s">
        <v>3952</v>
      </c>
      <c r="E178" s="7" t="s">
        <v>4357</v>
      </c>
      <c r="F178" s="7" t="s">
        <v>4356</v>
      </c>
      <c r="G178" s="13" t="s">
        <v>76</v>
      </c>
      <c r="H178" s="54">
        <v>46062</v>
      </c>
      <c r="I178" s="52">
        <v>46070</v>
      </c>
      <c r="J178" s="8" t="s">
        <v>96</v>
      </c>
      <c r="K178" s="8" t="s">
        <v>84</v>
      </c>
      <c r="L178" s="9"/>
      <c r="M178" s="9"/>
      <c r="N178" s="9"/>
      <c r="O178" s="66"/>
      <c r="P178" s="9"/>
      <c r="R178" s="96" t="str">
        <f t="shared" si="4"/>
        <v>SBA 26/177</v>
      </c>
    </row>
    <row r="179" spans="1:18" ht="63" x14ac:dyDescent="0.25">
      <c r="A179" s="5" t="s">
        <v>284</v>
      </c>
      <c r="B179" s="6" t="s">
        <v>4293</v>
      </c>
      <c r="C179" s="8" t="s">
        <v>2725</v>
      </c>
      <c r="D179" s="8" t="s">
        <v>3952</v>
      </c>
      <c r="E179" s="7" t="s">
        <v>4357</v>
      </c>
      <c r="F179" s="7" t="s">
        <v>4358</v>
      </c>
      <c r="G179" s="13" t="s">
        <v>76</v>
      </c>
      <c r="H179" s="54">
        <v>46062</v>
      </c>
      <c r="I179" s="52">
        <v>46070</v>
      </c>
      <c r="J179" s="8" t="s">
        <v>96</v>
      </c>
      <c r="K179" s="8" t="s">
        <v>84</v>
      </c>
      <c r="L179" s="9"/>
      <c r="M179" s="9"/>
      <c r="N179" s="9"/>
      <c r="O179" s="66"/>
      <c r="P179" s="9"/>
      <c r="R179" s="96" t="str">
        <f t="shared" si="4"/>
        <v>SBA 26/178</v>
      </c>
    </row>
    <row r="180" spans="1:18" ht="63" x14ac:dyDescent="0.25">
      <c r="A180" s="5" t="s">
        <v>285</v>
      </c>
      <c r="B180" s="6" t="s">
        <v>4294</v>
      </c>
      <c r="C180" s="8" t="s">
        <v>435</v>
      </c>
      <c r="D180" s="8" t="s">
        <v>4360</v>
      </c>
      <c r="E180" s="7" t="s">
        <v>4361</v>
      </c>
      <c r="F180" s="7" t="s">
        <v>4359</v>
      </c>
      <c r="G180" s="13" t="s">
        <v>76</v>
      </c>
      <c r="H180" s="54">
        <v>46062</v>
      </c>
      <c r="I180" s="52">
        <v>46070</v>
      </c>
      <c r="J180" s="8" t="s">
        <v>95</v>
      </c>
      <c r="K180" s="8" t="s">
        <v>88</v>
      </c>
      <c r="L180" s="9"/>
      <c r="M180" s="9"/>
      <c r="N180" s="9"/>
      <c r="O180" s="66"/>
      <c r="P180" s="9"/>
      <c r="R180" s="96" t="str">
        <f t="shared" si="4"/>
        <v>SBA 26/179</v>
      </c>
    </row>
    <row r="181" spans="1:18" ht="63" x14ac:dyDescent="0.25">
      <c r="A181" s="5" t="s">
        <v>286</v>
      </c>
      <c r="B181" s="6" t="s">
        <v>4295</v>
      </c>
      <c r="C181" s="8" t="s">
        <v>409</v>
      </c>
      <c r="D181" s="8" t="s">
        <v>361</v>
      </c>
      <c r="E181" s="7" t="s">
        <v>4362</v>
      </c>
      <c r="F181" s="7" t="s">
        <v>4363</v>
      </c>
      <c r="G181" s="13" t="s">
        <v>24</v>
      </c>
      <c r="H181" s="54">
        <v>46062</v>
      </c>
      <c r="I181" s="52">
        <v>46070</v>
      </c>
      <c r="J181" s="8" t="s">
        <v>89</v>
      </c>
      <c r="K181" s="8" t="s">
        <v>63</v>
      </c>
      <c r="L181" s="9"/>
      <c r="M181" s="9"/>
      <c r="N181" s="9"/>
      <c r="O181" s="66"/>
      <c r="P181" s="9"/>
      <c r="R181" s="96" t="str">
        <f t="shared" si="4"/>
        <v>SBA 26/180</v>
      </c>
    </row>
    <row r="182" spans="1:18" ht="94.5" x14ac:dyDescent="0.25">
      <c r="A182" s="5" t="s">
        <v>287</v>
      </c>
      <c r="B182" s="6" t="s">
        <v>4296</v>
      </c>
      <c r="C182" s="8" t="s">
        <v>4365</v>
      </c>
      <c r="D182" s="8" t="s">
        <v>4179</v>
      </c>
      <c r="E182" s="7" t="s">
        <v>4366</v>
      </c>
      <c r="F182" s="7" t="s">
        <v>4364</v>
      </c>
      <c r="G182" s="13" t="s">
        <v>25</v>
      </c>
      <c r="H182" s="54">
        <v>46063</v>
      </c>
      <c r="I182" s="52">
        <v>46070</v>
      </c>
      <c r="J182" s="8" t="s">
        <v>89</v>
      </c>
      <c r="K182" s="8" t="s">
        <v>95</v>
      </c>
      <c r="L182" s="9"/>
      <c r="M182" s="9"/>
      <c r="N182" s="9"/>
      <c r="O182" s="66"/>
      <c r="P182" s="9"/>
      <c r="R182" s="96" t="str">
        <f t="shared" si="4"/>
        <v>SBA 26/181</v>
      </c>
    </row>
    <row r="183" spans="1:18" ht="63" x14ac:dyDescent="0.25">
      <c r="A183" s="5" t="s">
        <v>288</v>
      </c>
      <c r="B183" s="6" t="s">
        <v>4297</v>
      </c>
      <c r="C183" s="8" t="s">
        <v>4369</v>
      </c>
      <c r="D183" s="8" t="s">
        <v>4021</v>
      </c>
      <c r="E183" s="7" t="s">
        <v>4367</v>
      </c>
      <c r="F183" s="7" t="s">
        <v>4368</v>
      </c>
      <c r="G183" s="13" t="s">
        <v>76</v>
      </c>
      <c r="H183" s="54">
        <v>46063</v>
      </c>
      <c r="I183" s="52">
        <v>46070</v>
      </c>
      <c r="J183" s="8" t="s">
        <v>64</v>
      </c>
      <c r="K183" s="8" t="s">
        <v>63</v>
      </c>
      <c r="L183" s="9"/>
      <c r="M183" s="9"/>
      <c r="N183" s="9"/>
      <c r="O183" s="66"/>
      <c r="P183" s="9"/>
      <c r="R183" s="96" t="str">
        <f t="shared" si="4"/>
        <v>SBA 26/182</v>
      </c>
    </row>
    <row r="184" spans="1:18" ht="63" x14ac:dyDescent="0.25">
      <c r="A184" s="5" t="s">
        <v>289</v>
      </c>
      <c r="B184" s="6" t="s">
        <v>4298</v>
      </c>
      <c r="C184" s="8" t="s">
        <v>947</v>
      </c>
      <c r="D184" s="8" t="s">
        <v>3957</v>
      </c>
      <c r="E184" s="7" t="s">
        <v>4371</v>
      </c>
      <c r="F184" s="7" t="s">
        <v>4370</v>
      </c>
      <c r="G184" s="13" t="s">
        <v>24</v>
      </c>
      <c r="H184" s="54">
        <v>46063</v>
      </c>
      <c r="I184" s="52">
        <v>46070</v>
      </c>
      <c r="J184" s="8" t="s">
        <v>63</v>
      </c>
      <c r="K184" s="8" t="s">
        <v>92</v>
      </c>
      <c r="L184" s="9"/>
      <c r="M184" s="9"/>
      <c r="N184" s="9"/>
      <c r="O184" s="66"/>
      <c r="P184" s="9"/>
      <c r="R184" s="96" t="str">
        <f t="shared" si="4"/>
        <v>SBA 26/183</v>
      </c>
    </row>
    <row r="185" spans="1:18" ht="78.75" x14ac:dyDescent="0.25">
      <c r="A185" s="5" t="s">
        <v>290</v>
      </c>
      <c r="B185" s="6" t="s">
        <v>4299</v>
      </c>
      <c r="C185" s="8" t="s">
        <v>4374</v>
      </c>
      <c r="D185" s="8" t="s">
        <v>4375</v>
      </c>
      <c r="E185" s="7" t="s">
        <v>4372</v>
      </c>
      <c r="F185" s="7" t="s">
        <v>4373</v>
      </c>
      <c r="G185" s="13" t="s">
        <v>76</v>
      </c>
      <c r="H185" s="54">
        <v>46064</v>
      </c>
      <c r="I185" s="52">
        <v>46070</v>
      </c>
      <c r="J185" s="8" t="s">
        <v>63</v>
      </c>
      <c r="K185" s="8" t="s">
        <v>88</v>
      </c>
      <c r="L185" s="9"/>
      <c r="M185" s="9"/>
      <c r="N185" s="9"/>
      <c r="O185" s="66"/>
      <c r="P185" s="9"/>
      <c r="R185" s="96" t="str">
        <f t="shared" si="4"/>
        <v>SBA 26/184</v>
      </c>
    </row>
    <row r="186" spans="1:18" ht="78.75" customHeight="1" x14ac:dyDescent="0.25">
      <c r="A186" s="5" t="s">
        <v>291</v>
      </c>
      <c r="B186" s="6" t="s">
        <v>4300</v>
      </c>
      <c r="C186" s="8" t="s">
        <v>354</v>
      </c>
      <c r="D186" s="8" t="s">
        <v>355</v>
      </c>
      <c r="E186" s="7" t="s">
        <v>4376</v>
      </c>
      <c r="F186" s="7" t="s">
        <v>4377</v>
      </c>
      <c r="G186" s="13" t="s">
        <v>24</v>
      </c>
      <c r="H186" s="54">
        <v>46064</v>
      </c>
      <c r="I186" s="52">
        <v>46070</v>
      </c>
      <c r="J186" s="8" t="s">
        <v>94</v>
      </c>
      <c r="K186" s="8" t="s">
        <v>93</v>
      </c>
      <c r="L186" s="9"/>
      <c r="M186" s="9"/>
      <c r="N186" s="9"/>
      <c r="O186" s="66"/>
      <c r="P186" s="9"/>
      <c r="R186" s="96" t="str">
        <f t="shared" si="4"/>
        <v>SBA 26/185</v>
      </c>
    </row>
    <row r="187" spans="1:18" ht="96" customHeight="1" x14ac:dyDescent="0.25">
      <c r="A187" s="5" t="s">
        <v>292</v>
      </c>
      <c r="B187" s="6" t="s">
        <v>4301</v>
      </c>
      <c r="C187" s="8" t="s">
        <v>404</v>
      </c>
      <c r="D187" s="8" t="s">
        <v>405</v>
      </c>
      <c r="E187" s="7" t="s">
        <v>4379</v>
      </c>
      <c r="F187" s="7" t="s">
        <v>4378</v>
      </c>
      <c r="G187" s="13" t="s">
        <v>76</v>
      </c>
      <c r="H187" s="54">
        <v>46064</v>
      </c>
      <c r="I187" s="52">
        <v>46070</v>
      </c>
      <c r="J187" s="8" t="s">
        <v>95</v>
      </c>
      <c r="K187" s="8" t="s">
        <v>94</v>
      </c>
      <c r="L187" s="9"/>
      <c r="M187" s="9"/>
      <c r="N187" s="9"/>
      <c r="O187" s="66"/>
      <c r="P187" s="9"/>
      <c r="R187" s="96" t="str">
        <f t="shared" si="4"/>
        <v>SBA 26/186</v>
      </c>
    </row>
    <row r="188" spans="1:18" ht="63" x14ac:dyDescent="0.25">
      <c r="A188" s="5" t="s">
        <v>293</v>
      </c>
      <c r="B188" s="6" t="s">
        <v>4302</v>
      </c>
      <c r="C188" s="8" t="s">
        <v>4429</v>
      </c>
      <c r="D188" s="8" t="s">
        <v>715</v>
      </c>
      <c r="E188" s="7" t="s">
        <v>4427</v>
      </c>
      <c r="F188" s="7" t="s">
        <v>4428</v>
      </c>
      <c r="G188" s="13" t="s">
        <v>76</v>
      </c>
      <c r="H188" s="54">
        <v>46064</v>
      </c>
      <c r="I188" s="52">
        <v>46070</v>
      </c>
      <c r="J188" s="8" t="s">
        <v>64</v>
      </c>
      <c r="K188" s="8" t="s">
        <v>92</v>
      </c>
      <c r="L188" s="9"/>
      <c r="M188" s="9"/>
      <c r="N188" s="9"/>
      <c r="O188" s="66"/>
      <c r="P188" s="9"/>
      <c r="R188" s="96" t="str">
        <f t="shared" si="4"/>
        <v>SBA 26/187</v>
      </c>
    </row>
    <row r="189" spans="1:18" ht="110.25" x14ac:dyDescent="0.25">
      <c r="A189" s="5" t="s">
        <v>294</v>
      </c>
      <c r="B189" s="6" t="s">
        <v>4303</v>
      </c>
      <c r="C189" s="8" t="s">
        <v>4432</v>
      </c>
      <c r="D189" s="8" t="s">
        <v>402</v>
      </c>
      <c r="E189" s="7" t="s">
        <v>4430</v>
      </c>
      <c r="F189" s="7" t="s">
        <v>4431</v>
      </c>
      <c r="G189" s="13" t="s">
        <v>24</v>
      </c>
      <c r="H189" s="54">
        <v>46064</v>
      </c>
      <c r="I189" s="52">
        <v>46070</v>
      </c>
      <c r="J189" s="8" t="s">
        <v>91</v>
      </c>
      <c r="K189" s="8" t="s">
        <v>88</v>
      </c>
      <c r="L189" s="9"/>
      <c r="M189" s="9"/>
      <c r="N189" s="9"/>
      <c r="O189" s="66"/>
      <c r="P189" s="9"/>
      <c r="R189" s="96" t="str">
        <f t="shared" si="4"/>
        <v>SBA 26/188</v>
      </c>
    </row>
    <row r="190" spans="1:18" ht="94.5" x14ac:dyDescent="0.25">
      <c r="A190" s="5" t="s">
        <v>295</v>
      </c>
      <c r="B190" s="6" t="s">
        <v>4304</v>
      </c>
      <c r="C190" s="8" t="s">
        <v>2606</v>
      </c>
      <c r="D190" s="8" t="s">
        <v>1162</v>
      </c>
      <c r="E190" s="7" t="s">
        <v>4436</v>
      </c>
      <c r="F190" s="7" t="s">
        <v>4433</v>
      </c>
      <c r="G190" s="13" t="s">
        <v>76</v>
      </c>
      <c r="H190" s="54">
        <v>46064</v>
      </c>
      <c r="I190" s="52">
        <v>46070</v>
      </c>
      <c r="J190" s="8" t="s">
        <v>93</v>
      </c>
      <c r="K190" s="8" t="s">
        <v>96</v>
      </c>
      <c r="L190" s="9"/>
      <c r="M190" s="9"/>
      <c r="N190" s="9"/>
      <c r="O190" s="66"/>
      <c r="P190" s="9"/>
      <c r="R190" s="96" t="str">
        <f t="shared" si="4"/>
        <v>SBA 26/189</v>
      </c>
    </row>
    <row r="191" spans="1:18" ht="63" x14ac:dyDescent="0.25">
      <c r="A191" s="5" t="s">
        <v>296</v>
      </c>
      <c r="B191" s="6" t="s">
        <v>4305</v>
      </c>
      <c r="C191" s="8" t="s">
        <v>4437</v>
      </c>
      <c r="D191" s="8" t="s">
        <v>837</v>
      </c>
      <c r="E191" s="7" t="s">
        <v>4434</v>
      </c>
      <c r="F191" s="7" t="s">
        <v>4435</v>
      </c>
      <c r="G191" s="13" t="s">
        <v>76</v>
      </c>
      <c r="H191" s="54">
        <v>46064</v>
      </c>
      <c r="I191" s="52">
        <v>46070</v>
      </c>
      <c r="J191" s="8" t="s">
        <v>84</v>
      </c>
      <c r="K191" s="8" t="s">
        <v>89</v>
      </c>
      <c r="L191" s="9"/>
      <c r="M191" s="9"/>
      <c r="N191" s="9"/>
      <c r="O191" s="66"/>
      <c r="P191" s="9"/>
      <c r="R191" s="96" t="str">
        <f t="shared" si="4"/>
        <v>SBA 26/190</v>
      </c>
    </row>
    <row r="192" spans="1:18" x14ac:dyDescent="0.25">
      <c r="A192" s="5" t="s">
        <v>297</v>
      </c>
      <c r="B192" s="6" t="s">
        <v>4306</v>
      </c>
      <c r="C192" s="8"/>
      <c r="D192" s="8"/>
      <c r="E192" s="7"/>
      <c r="F192" s="7"/>
      <c r="G192" s="13"/>
      <c r="H192" s="54"/>
      <c r="I192" s="52"/>
      <c r="J192" s="8"/>
      <c r="K192" s="8"/>
      <c r="L192" s="9"/>
      <c r="M192" s="9"/>
      <c r="N192" s="9"/>
      <c r="O192" s="66"/>
      <c r="P192" s="9"/>
      <c r="R192" s="96" t="str">
        <f t="shared" si="4"/>
        <v>SBA 26/191</v>
      </c>
    </row>
    <row r="193" spans="1:18" x14ac:dyDescent="0.25">
      <c r="A193" s="5" t="s">
        <v>298</v>
      </c>
      <c r="B193" s="6" t="s">
        <v>4307</v>
      </c>
      <c r="C193" s="8"/>
      <c r="D193" s="8"/>
      <c r="E193" s="7"/>
      <c r="F193" s="7"/>
      <c r="G193" s="13"/>
      <c r="H193" s="54"/>
      <c r="I193" s="52"/>
      <c r="J193" s="8"/>
      <c r="K193" s="8"/>
      <c r="L193" s="9"/>
      <c r="M193" s="9"/>
      <c r="N193" s="9"/>
      <c r="O193" s="66"/>
      <c r="P193" s="9"/>
      <c r="R193" s="96" t="str">
        <f t="shared" si="4"/>
        <v>SBA 26/192</v>
      </c>
    </row>
    <row r="194" spans="1:18" x14ac:dyDescent="0.25">
      <c r="A194" s="5" t="s">
        <v>299</v>
      </c>
      <c r="B194" s="6" t="s">
        <v>4308</v>
      </c>
      <c r="C194" s="8"/>
      <c r="D194" s="8"/>
      <c r="E194" s="7"/>
      <c r="F194" s="7"/>
      <c r="G194" s="13"/>
      <c r="H194" s="54"/>
      <c r="I194" s="52"/>
      <c r="J194" s="8"/>
      <c r="K194" s="8"/>
      <c r="L194" s="9"/>
      <c r="M194" s="9"/>
      <c r="N194" s="9"/>
      <c r="O194" s="66"/>
      <c r="P194" s="9"/>
      <c r="R194" s="96" t="str">
        <f t="shared" si="4"/>
        <v>SBA 26/193</v>
      </c>
    </row>
    <row r="195" spans="1:18" x14ac:dyDescent="0.25">
      <c r="A195" s="5" t="s">
        <v>300</v>
      </c>
      <c r="B195" s="6" t="s">
        <v>4309</v>
      </c>
      <c r="C195" s="8"/>
      <c r="D195" s="8"/>
      <c r="E195" s="7"/>
      <c r="F195" s="7"/>
      <c r="G195" s="13"/>
      <c r="H195" s="54"/>
      <c r="I195" s="52"/>
      <c r="J195" s="8"/>
      <c r="K195" s="8"/>
      <c r="L195" s="9"/>
      <c r="M195" s="9"/>
      <c r="N195" s="9"/>
      <c r="O195" s="66"/>
      <c r="P195" s="9"/>
      <c r="R195" s="96" t="str">
        <f t="shared" si="4"/>
        <v>SBA 26/194</v>
      </c>
    </row>
    <row r="196" spans="1:18" x14ac:dyDescent="0.25">
      <c r="A196" s="5" t="s">
        <v>301</v>
      </c>
      <c r="B196" s="6" t="s">
        <v>4310</v>
      </c>
      <c r="C196" s="8"/>
      <c r="D196" s="8"/>
      <c r="E196" s="7"/>
      <c r="F196" s="7"/>
      <c r="G196" s="13"/>
      <c r="H196" s="54"/>
      <c r="I196" s="52"/>
      <c r="J196" s="8"/>
      <c r="K196" s="8"/>
      <c r="L196" s="9"/>
      <c r="M196" s="9"/>
      <c r="N196" s="9"/>
      <c r="O196" s="66"/>
      <c r="P196" s="9"/>
      <c r="R196" s="96" t="str">
        <f t="shared" si="4"/>
        <v>SBA 26/195</v>
      </c>
    </row>
    <row r="197" spans="1:18" x14ac:dyDescent="0.25">
      <c r="A197" s="5" t="s">
        <v>302</v>
      </c>
      <c r="B197" s="6" t="s">
        <v>4311</v>
      </c>
      <c r="C197" s="8"/>
      <c r="D197" s="8"/>
      <c r="E197" s="7"/>
      <c r="F197" s="7"/>
      <c r="G197" s="13"/>
      <c r="H197" s="54"/>
      <c r="I197" s="52"/>
      <c r="J197" s="8"/>
      <c r="K197" s="8"/>
      <c r="L197" s="9"/>
      <c r="M197" s="9"/>
      <c r="N197" s="9"/>
      <c r="O197" s="66"/>
      <c r="P197" s="9"/>
      <c r="R197" s="96" t="str">
        <f t="shared" si="4"/>
        <v>SBA 26/196</v>
      </c>
    </row>
    <row r="198" spans="1:18" x14ac:dyDescent="0.25">
      <c r="A198" s="5" t="s">
        <v>303</v>
      </c>
      <c r="B198" s="6" t="s">
        <v>4312</v>
      </c>
      <c r="C198" s="8"/>
      <c r="D198" s="8"/>
      <c r="E198" s="7"/>
      <c r="F198" s="7"/>
      <c r="G198" s="13"/>
      <c r="H198" s="54"/>
      <c r="I198" s="52"/>
      <c r="J198" s="8"/>
      <c r="K198" s="8"/>
      <c r="L198" s="9"/>
      <c r="M198" s="9"/>
      <c r="N198" s="9"/>
      <c r="O198" s="66"/>
      <c r="P198" s="9"/>
      <c r="R198" s="96" t="str">
        <f t="shared" si="4"/>
        <v>SBA 26/197</v>
      </c>
    </row>
    <row r="199" spans="1:18" x14ac:dyDescent="0.25">
      <c r="A199" s="5" t="s">
        <v>304</v>
      </c>
      <c r="B199" s="6" t="s">
        <v>4313</v>
      </c>
      <c r="C199" s="8"/>
      <c r="D199" s="8"/>
      <c r="E199" s="7"/>
      <c r="F199" s="7"/>
      <c r="G199" s="13"/>
      <c r="H199" s="54"/>
      <c r="I199" s="52"/>
      <c r="J199" s="8"/>
      <c r="K199" s="8"/>
      <c r="L199" s="9"/>
      <c r="M199" s="9"/>
      <c r="N199" s="9"/>
      <c r="O199" s="66"/>
      <c r="P199" s="9"/>
      <c r="R199" s="96" t="str">
        <f t="shared" si="4"/>
        <v>SBA 26/198</v>
      </c>
    </row>
    <row r="200" spans="1:18" x14ac:dyDescent="0.25">
      <c r="A200" s="5" t="s">
        <v>305</v>
      </c>
      <c r="B200" s="6" t="s">
        <v>4314</v>
      </c>
      <c r="C200" s="8"/>
      <c r="D200" s="8"/>
      <c r="E200" s="7"/>
      <c r="F200" s="7"/>
      <c r="G200" s="13"/>
      <c r="H200" s="54"/>
      <c r="I200" s="52"/>
      <c r="J200" s="8"/>
      <c r="K200" s="8"/>
      <c r="L200" s="9"/>
      <c r="M200" s="9"/>
      <c r="N200" s="9"/>
      <c r="O200" s="66"/>
      <c r="P200" s="9"/>
      <c r="R200" s="96" t="str">
        <f t="shared" si="4"/>
        <v>SBA 26/199</v>
      </c>
    </row>
    <row r="201" spans="1:18" x14ac:dyDescent="0.25">
      <c r="A201" s="5" t="s">
        <v>306</v>
      </c>
      <c r="B201" s="6" t="s">
        <v>4315</v>
      </c>
      <c r="C201" s="8"/>
      <c r="D201" s="8"/>
      <c r="E201" s="7"/>
      <c r="F201" s="7"/>
      <c r="G201" s="13"/>
      <c r="H201" s="54"/>
      <c r="I201" s="52"/>
      <c r="J201" s="8"/>
      <c r="K201" s="8"/>
      <c r="L201" s="9"/>
      <c r="M201" s="9"/>
      <c r="N201" s="9"/>
      <c r="O201" s="66"/>
      <c r="P201" s="9"/>
      <c r="R201" s="96" t="str">
        <f t="shared" si="4"/>
        <v>SBA 26/200</v>
      </c>
    </row>
    <row r="202" spans="1:18" x14ac:dyDescent="0.25">
      <c r="A202" s="5" t="s">
        <v>957</v>
      </c>
      <c r="B202" s="6" t="s">
        <v>4316</v>
      </c>
      <c r="C202" s="8"/>
      <c r="D202" s="8"/>
      <c r="E202" s="7"/>
      <c r="F202" s="7"/>
      <c r="G202" s="13"/>
      <c r="H202" s="54"/>
      <c r="I202" s="52"/>
      <c r="J202" s="8"/>
      <c r="K202" s="8"/>
      <c r="L202" s="9"/>
      <c r="M202" s="9"/>
      <c r="N202" s="9"/>
      <c r="O202" s="66"/>
      <c r="P202" s="9"/>
      <c r="R202" s="96" t="str">
        <f t="shared" si="4"/>
        <v>SBA 26/201</v>
      </c>
    </row>
    <row r="203" spans="1:18" x14ac:dyDescent="0.25">
      <c r="A203" s="5" t="s">
        <v>960</v>
      </c>
      <c r="B203" s="6" t="s">
        <v>4317</v>
      </c>
      <c r="C203" s="8"/>
      <c r="D203" s="8"/>
      <c r="E203" s="7"/>
      <c r="F203" s="7"/>
      <c r="G203" s="13"/>
      <c r="H203" s="54"/>
      <c r="I203" s="52"/>
      <c r="J203" s="8"/>
      <c r="K203" s="8"/>
      <c r="L203" s="9"/>
      <c r="M203" s="9"/>
      <c r="N203" s="9"/>
      <c r="O203" s="66"/>
      <c r="P203" s="9"/>
      <c r="R203" s="96" t="str">
        <f t="shared" si="4"/>
        <v>SBA 26/202</v>
      </c>
    </row>
    <row r="204" spans="1:18" x14ac:dyDescent="0.25">
      <c r="A204" s="5" t="s">
        <v>963</v>
      </c>
      <c r="B204" s="6" t="s">
        <v>4318</v>
      </c>
      <c r="C204" s="8"/>
      <c r="D204" s="8"/>
      <c r="E204" s="7"/>
      <c r="F204" s="7"/>
      <c r="G204" s="13"/>
      <c r="H204" s="54"/>
      <c r="I204" s="52"/>
      <c r="J204" s="8"/>
      <c r="K204" s="8"/>
      <c r="L204" s="9"/>
      <c r="M204" s="9"/>
      <c r="N204" s="9"/>
      <c r="O204" s="66"/>
      <c r="P204" s="9"/>
      <c r="R204" s="96" t="str">
        <f t="shared" si="4"/>
        <v>SBA 26/203</v>
      </c>
    </row>
    <row r="205" spans="1:18" x14ac:dyDescent="0.25">
      <c r="A205" s="5" t="s">
        <v>966</v>
      </c>
      <c r="B205" s="6" t="s">
        <v>4380</v>
      </c>
      <c r="C205" s="8"/>
      <c r="D205" s="8"/>
      <c r="E205" s="7"/>
      <c r="F205" s="7"/>
      <c r="G205" s="13"/>
      <c r="H205" s="54"/>
      <c r="I205" s="52"/>
      <c r="J205" s="8"/>
      <c r="K205" s="8"/>
      <c r="L205" s="9"/>
      <c r="M205" s="9"/>
      <c r="N205" s="9"/>
      <c r="O205" s="66"/>
      <c r="P205" s="9"/>
      <c r="R205" s="96" t="str">
        <f t="shared" si="4"/>
        <v>SBA 26/204</v>
      </c>
    </row>
    <row r="206" spans="1:18" x14ac:dyDescent="0.25">
      <c r="A206" s="5" t="s">
        <v>970</v>
      </c>
      <c r="B206" s="6" t="s">
        <v>4381</v>
      </c>
      <c r="C206" s="8"/>
      <c r="D206" s="8"/>
      <c r="E206" s="7"/>
      <c r="F206" s="7"/>
      <c r="G206" s="13"/>
      <c r="H206" s="54"/>
      <c r="I206" s="52"/>
      <c r="J206" s="8"/>
      <c r="K206" s="8"/>
      <c r="L206" s="9"/>
      <c r="M206" s="9"/>
      <c r="N206" s="9"/>
      <c r="O206" s="66"/>
      <c r="P206" s="9"/>
      <c r="R206" s="96" t="str">
        <f t="shared" si="4"/>
        <v>SBA 26/205</v>
      </c>
    </row>
    <row r="207" spans="1:18" x14ac:dyDescent="0.25">
      <c r="A207" s="5" t="s">
        <v>973</v>
      </c>
      <c r="B207" s="6" t="s">
        <v>4382</v>
      </c>
      <c r="C207" s="8"/>
      <c r="D207" s="8"/>
      <c r="E207" s="7"/>
      <c r="F207" s="7"/>
      <c r="G207" s="13"/>
      <c r="H207" s="54"/>
      <c r="I207" s="52"/>
      <c r="J207" s="8"/>
      <c r="K207" s="8"/>
      <c r="L207" s="9"/>
      <c r="M207" s="9"/>
      <c r="N207" s="9"/>
      <c r="O207" s="66"/>
      <c r="P207" s="9"/>
      <c r="R207" s="96" t="str">
        <f t="shared" si="4"/>
        <v>SBA 26/206</v>
      </c>
    </row>
    <row r="208" spans="1:18" x14ac:dyDescent="0.25">
      <c r="A208" s="5" t="s">
        <v>977</v>
      </c>
      <c r="B208" s="6" t="s">
        <v>4383</v>
      </c>
      <c r="C208" s="8"/>
      <c r="D208" s="8"/>
      <c r="E208" s="7"/>
      <c r="F208" s="7"/>
      <c r="G208" s="13"/>
      <c r="H208" s="54"/>
      <c r="I208" s="52"/>
      <c r="J208" s="8"/>
      <c r="K208" s="8"/>
      <c r="L208" s="9"/>
      <c r="M208" s="9"/>
      <c r="N208" s="9"/>
      <c r="O208" s="66"/>
      <c r="P208" s="9"/>
      <c r="R208" s="96" t="str">
        <f t="shared" si="4"/>
        <v>SBA 26/207</v>
      </c>
    </row>
    <row r="209" spans="1:18" x14ac:dyDescent="0.25">
      <c r="A209" s="5" t="s">
        <v>980</v>
      </c>
      <c r="B209" s="6" t="s">
        <v>4384</v>
      </c>
      <c r="C209" s="8"/>
      <c r="D209" s="8"/>
      <c r="E209" s="7"/>
      <c r="F209" s="7"/>
      <c r="G209" s="13"/>
      <c r="H209" s="54"/>
      <c r="I209" s="52"/>
      <c r="J209" s="8"/>
      <c r="K209" s="8"/>
      <c r="L209" s="9"/>
      <c r="M209" s="9"/>
      <c r="N209" s="9"/>
      <c r="O209" s="66"/>
      <c r="P209" s="9"/>
      <c r="R209" s="96" t="str">
        <f t="shared" si="4"/>
        <v>SBA 26/208</v>
      </c>
    </row>
    <row r="210" spans="1:18" x14ac:dyDescent="0.25">
      <c r="A210" s="5" t="s">
        <v>984</v>
      </c>
      <c r="B210" s="6" t="s">
        <v>4385</v>
      </c>
      <c r="C210" s="8"/>
      <c r="D210" s="8"/>
      <c r="E210" s="7"/>
      <c r="F210" s="7"/>
      <c r="G210" s="13"/>
      <c r="H210" s="54"/>
      <c r="I210" s="52"/>
      <c r="J210" s="8"/>
      <c r="K210" s="8"/>
      <c r="L210" s="9"/>
      <c r="M210" s="9"/>
      <c r="N210" s="9"/>
      <c r="O210" s="66"/>
      <c r="P210" s="9"/>
      <c r="R210" s="96" t="str">
        <f t="shared" si="4"/>
        <v>SBA 26/209</v>
      </c>
    </row>
    <row r="211" spans="1:18" x14ac:dyDescent="0.25">
      <c r="A211" s="5" t="s">
        <v>987</v>
      </c>
      <c r="B211" s="6" t="s">
        <v>4386</v>
      </c>
      <c r="C211" s="8"/>
      <c r="D211" s="8"/>
      <c r="E211" s="7"/>
      <c r="F211" s="7"/>
      <c r="G211" s="13"/>
      <c r="H211" s="54"/>
      <c r="I211" s="52"/>
      <c r="J211" s="8"/>
      <c r="K211" s="8"/>
      <c r="L211" s="9"/>
      <c r="M211" s="9"/>
      <c r="N211" s="9"/>
      <c r="O211" s="66"/>
      <c r="P211" s="9"/>
      <c r="R211" s="96" t="str">
        <f t="shared" si="4"/>
        <v>SBA 26/210</v>
      </c>
    </row>
    <row r="212" spans="1:18" x14ac:dyDescent="0.25">
      <c r="A212" s="5" t="s">
        <v>991</v>
      </c>
      <c r="B212" s="6" t="s">
        <v>4387</v>
      </c>
      <c r="C212" s="8"/>
      <c r="D212" s="8"/>
      <c r="E212" s="7"/>
      <c r="F212" s="7"/>
      <c r="G212" s="13"/>
      <c r="H212" s="54"/>
      <c r="I212" s="52"/>
      <c r="J212" s="8"/>
      <c r="K212" s="8"/>
      <c r="L212" s="9"/>
      <c r="M212" s="9"/>
      <c r="N212" s="9"/>
      <c r="O212" s="66"/>
      <c r="P212" s="9"/>
      <c r="R212" s="96" t="str">
        <f t="shared" si="4"/>
        <v>SBA 26/211</v>
      </c>
    </row>
    <row r="213" spans="1:18" x14ac:dyDescent="0.25">
      <c r="A213" s="5" t="s">
        <v>995</v>
      </c>
      <c r="B213" s="6" t="s">
        <v>4388</v>
      </c>
      <c r="C213" s="8"/>
      <c r="D213" s="8"/>
      <c r="E213" s="7"/>
      <c r="F213" s="7"/>
      <c r="G213" s="13"/>
      <c r="H213" s="54"/>
      <c r="I213" s="52"/>
      <c r="J213" s="8"/>
      <c r="K213" s="8"/>
      <c r="L213" s="9"/>
      <c r="M213" s="9"/>
      <c r="N213" s="9"/>
      <c r="O213" s="66"/>
      <c r="P213" s="9"/>
      <c r="R213" s="96" t="str">
        <f t="shared" si="4"/>
        <v>SBA 26/212</v>
      </c>
    </row>
    <row r="214" spans="1:18" x14ac:dyDescent="0.25">
      <c r="A214" s="5" t="s">
        <v>998</v>
      </c>
      <c r="B214" s="6" t="s">
        <v>4389</v>
      </c>
      <c r="C214" s="8"/>
      <c r="D214" s="8"/>
      <c r="E214" s="7"/>
      <c r="F214" s="7"/>
      <c r="G214" s="13"/>
      <c r="H214" s="54"/>
      <c r="I214" s="52"/>
      <c r="J214" s="8"/>
      <c r="K214" s="8"/>
      <c r="L214" s="9"/>
      <c r="M214" s="9"/>
      <c r="N214" s="9"/>
      <c r="O214" s="66"/>
      <c r="P214" s="9"/>
      <c r="R214" s="96" t="str">
        <f t="shared" si="4"/>
        <v>SBA 26/213</v>
      </c>
    </row>
    <row r="215" spans="1:18" x14ac:dyDescent="0.25">
      <c r="A215" s="5" t="s">
        <v>1001</v>
      </c>
      <c r="B215" s="6" t="s">
        <v>4390</v>
      </c>
      <c r="C215" s="8"/>
      <c r="D215" s="8"/>
      <c r="E215" s="7"/>
      <c r="F215" s="7"/>
      <c r="G215" s="13"/>
      <c r="H215" s="54"/>
      <c r="I215" s="52"/>
      <c r="J215" s="8"/>
      <c r="K215" s="8"/>
      <c r="L215" s="9"/>
      <c r="M215" s="9"/>
      <c r="N215" s="9"/>
      <c r="O215" s="66"/>
      <c r="P215" s="9"/>
      <c r="R215" s="96" t="str">
        <f t="shared" si="4"/>
        <v>SBA 26/214</v>
      </c>
    </row>
    <row r="216" spans="1:18" x14ac:dyDescent="0.25">
      <c r="A216" s="5" t="s">
        <v>1004</v>
      </c>
      <c r="B216" s="6" t="s">
        <v>4391</v>
      </c>
      <c r="C216" s="8"/>
      <c r="D216" s="8"/>
      <c r="E216" s="7"/>
      <c r="F216" s="7"/>
      <c r="G216" s="13"/>
      <c r="H216" s="54"/>
      <c r="I216" s="52"/>
      <c r="J216" s="8"/>
      <c r="K216" s="8"/>
      <c r="L216" s="9"/>
      <c r="M216" s="9"/>
      <c r="N216" s="9"/>
      <c r="O216" s="66"/>
      <c r="P216" s="9"/>
      <c r="R216" s="96" t="str">
        <f t="shared" si="4"/>
        <v>SBA 26/215</v>
      </c>
    </row>
    <row r="217" spans="1:18" x14ac:dyDescent="0.25">
      <c r="A217" s="5" t="s">
        <v>1007</v>
      </c>
      <c r="B217" s="6" t="s">
        <v>4392</v>
      </c>
      <c r="C217" s="8"/>
      <c r="D217" s="8"/>
      <c r="E217" s="7"/>
      <c r="F217" s="7"/>
      <c r="G217" s="13"/>
      <c r="H217" s="54"/>
      <c r="I217" s="52"/>
      <c r="J217" s="8"/>
      <c r="K217" s="8"/>
      <c r="L217" s="9"/>
      <c r="M217" s="9"/>
      <c r="N217" s="9"/>
      <c r="O217" s="66"/>
      <c r="P217" s="9"/>
      <c r="R217" s="96" t="str">
        <f t="shared" si="4"/>
        <v>SBA 26/216</v>
      </c>
    </row>
    <row r="218" spans="1:18" x14ac:dyDescent="0.25">
      <c r="A218" s="5" t="s">
        <v>1010</v>
      </c>
      <c r="B218" s="6" t="s">
        <v>4393</v>
      </c>
      <c r="C218" s="8"/>
      <c r="D218" s="8"/>
      <c r="E218" s="7"/>
      <c r="F218" s="7"/>
      <c r="G218" s="13"/>
      <c r="H218" s="54"/>
      <c r="I218" s="52"/>
      <c r="J218" s="8"/>
      <c r="K218" s="8"/>
      <c r="L218" s="9"/>
      <c r="M218" s="9"/>
      <c r="N218" s="9"/>
      <c r="O218" s="66"/>
      <c r="P218" s="9"/>
      <c r="R218" s="96" t="str">
        <f t="shared" si="4"/>
        <v>SBA 26/217</v>
      </c>
    </row>
    <row r="219" spans="1:18" x14ac:dyDescent="0.25">
      <c r="A219" s="5" t="s">
        <v>1014</v>
      </c>
      <c r="B219" s="6" t="s">
        <v>4394</v>
      </c>
      <c r="C219" s="8"/>
      <c r="D219" s="8"/>
      <c r="E219" s="7"/>
      <c r="F219" s="7"/>
      <c r="G219" s="13"/>
      <c r="H219" s="54"/>
      <c r="I219" s="52"/>
      <c r="J219" s="8"/>
      <c r="K219" s="8"/>
      <c r="L219" s="9"/>
      <c r="M219" s="9"/>
      <c r="N219" s="9"/>
      <c r="O219" s="66"/>
      <c r="P219" s="9"/>
      <c r="R219" s="96" t="str">
        <f t="shared" si="4"/>
        <v>SBA 26/218</v>
      </c>
    </row>
    <row r="220" spans="1:18" x14ac:dyDescent="0.25">
      <c r="A220" s="5" t="s">
        <v>1018</v>
      </c>
      <c r="B220" s="6" t="s">
        <v>4395</v>
      </c>
      <c r="C220" s="8"/>
      <c r="D220" s="8"/>
      <c r="E220" s="7"/>
      <c r="F220" s="7"/>
      <c r="G220" s="13"/>
      <c r="H220" s="54"/>
      <c r="I220" s="52"/>
      <c r="J220" s="8"/>
      <c r="K220" s="8"/>
      <c r="L220" s="9"/>
      <c r="M220" s="9"/>
      <c r="N220" s="9"/>
      <c r="O220" s="66"/>
      <c r="P220" s="9"/>
      <c r="R220" s="96" t="str">
        <f t="shared" si="4"/>
        <v>SBA 26/219</v>
      </c>
    </row>
    <row r="221" spans="1:18" x14ac:dyDescent="0.25">
      <c r="A221" s="5" t="s">
        <v>1021</v>
      </c>
      <c r="B221" s="6" t="s">
        <v>4396</v>
      </c>
      <c r="C221" s="8"/>
      <c r="D221" s="8"/>
      <c r="E221" s="7"/>
      <c r="F221" s="7"/>
      <c r="G221" s="13"/>
      <c r="H221" s="54"/>
      <c r="I221" s="52"/>
      <c r="J221" s="8"/>
      <c r="K221" s="8"/>
      <c r="L221" s="9"/>
      <c r="M221" s="9"/>
      <c r="N221" s="9"/>
      <c r="O221" s="66"/>
      <c r="P221" s="9"/>
      <c r="R221" s="96" t="str">
        <f t="shared" si="4"/>
        <v>SBA 26/220</v>
      </c>
    </row>
    <row r="222" spans="1:18" x14ac:dyDescent="0.25">
      <c r="A222" s="5" t="s">
        <v>1025</v>
      </c>
      <c r="B222" s="6" t="s">
        <v>4397</v>
      </c>
      <c r="C222" s="8"/>
      <c r="D222" s="8"/>
      <c r="E222" s="7"/>
      <c r="F222" s="7"/>
      <c r="G222" s="13"/>
      <c r="H222" s="54"/>
      <c r="I222" s="52"/>
      <c r="J222" s="8"/>
      <c r="K222" s="8"/>
      <c r="L222" s="9"/>
      <c r="M222" s="9"/>
      <c r="N222" s="9"/>
      <c r="O222" s="66"/>
      <c r="P222" s="9"/>
      <c r="R222" s="96" t="str">
        <f t="shared" si="4"/>
        <v>SBA 26/221</v>
      </c>
    </row>
    <row r="223" spans="1:18" x14ac:dyDescent="0.25">
      <c r="A223" s="5" t="s">
        <v>1029</v>
      </c>
      <c r="B223" s="6" t="s">
        <v>4398</v>
      </c>
      <c r="C223" s="8"/>
      <c r="D223" s="8"/>
      <c r="E223" s="7"/>
      <c r="F223" s="7"/>
      <c r="G223" s="13"/>
      <c r="H223" s="54"/>
      <c r="I223" s="52"/>
      <c r="J223" s="8"/>
      <c r="K223" s="8"/>
      <c r="L223" s="9"/>
      <c r="M223" s="9"/>
      <c r="N223" s="9"/>
      <c r="O223" s="66"/>
      <c r="P223" s="9"/>
      <c r="R223" s="96" t="str">
        <f t="shared" si="4"/>
        <v>SBA 26/222</v>
      </c>
    </row>
    <row r="224" spans="1:18" x14ac:dyDescent="0.25">
      <c r="A224" s="5" t="s">
        <v>1033</v>
      </c>
      <c r="B224" s="6" t="s">
        <v>4399</v>
      </c>
      <c r="C224" s="8"/>
      <c r="D224" s="8"/>
      <c r="E224" s="7"/>
      <c r="F224" s="7"/>
      <c r="G224" s="13"/>
      <c r="H224" s="54"/>
      <c r="I224" s="52"/>
      <c r="J224" s="8"/>
      <c r="K224" s="8"/>
      <c r="L224" s="9"/>
      <c r="M224" s="9"/>
      <c r="N224" s="9"/>
      <c r="O224" s="66"/>
      <c r="P224" s="9">
        <f t="shared" si="3"/>
        <v>0</v>
      </c>
      <c r="R224" s="96" t="str">
        <f t="shared" si="4"/>
        <v>SBA 26/223</v>
      </c>
    </row>
    <row r="225" spans="1:18" x14ac:dyDescent="0.25">
      <c r="A225" s="5" t="s">
        <v>1036</v>
      </c>
      <c r="B225" s="6" t="s">
        <v>4400</v>
      </c>
      <c r="C225" s="8"/>
      <c r="D225" s="8"/>
      <c r="E225" s="7"/>
      <c r="F225" s="7"/>
      <c r="G225" s="13"/>
      <c r="H225" s="54"/>
      <c r="I225" s="52"/>
      <c r="J225" s="8"/>
      <c r="K225" s="8"/>
      <c r="L225" s="9"/>
      <c r="M225" s="9"/>
      <c r="N225" s="9"/>
      <c r="O225" s="66"/>
      <c r="P225" s="9"/>
      <c r="R225" s="96" t="str">
        <f t="shared" si="4"/>
        <v>SBA 26/224</v>
      </c>
    </row>
    <row r="226" spans="1:18" x14ac:dyDescent="0.25">
      <c r="A226" s="5" t="s">
        <v>1040</v>
      </c>
      <c r="B226" s="6" t="s">
        <v>4401</v>
      </c>
      <c r="C226" s="8"/>
      <c r="D226" s="8"/>
      <c r="E226" s="7"/>
      <c r="F226" s="7"/>
      <c r="G226" s="13"/>
      <c r="H226" s="54"/>
      <c r="I226" s="52"/>
      <c r="J226" s="8"/>
      <c r="K226" s="8"/>
      <c r="L226" s="9"/>
      <c r="M226" s="9"/>
      <c r="N226" s="9"/>
      <c r="O226" s="66"/>
      <c r="P226" s="9"/>
      <c r="R226" s="96" t="str">
        <f t="shared" si="4"/>
        <v>SBA 26/225</v>
      </c>
    </row>
    <row r="227" spans="1:18" x14ac:dyDescent="0.25">
      <c r="A227" s="5" t="s">
        <v>1043</v>
      </c>
      <c r="B227" s="6" t="s">
        <v>4402</v>
      </c>
      <c r="C227" s="8"/>
      <c r="D227" s="8"/>
      <c r="E227" s="7"/>
      <c r="F227" s="7"/>
      <c r="G227" s="13"/>
      <c r="H227" s="54"/>
      <c r="I227" s="52"/>
      <c r="J227" s="8"/>
      <c r="K227" s="8"/>
      <c r="L227" s="9"/>
      <c r="M227" s="9"/>
      <c r="N227" s="9"/>
      <c r="O227" s="66"/>
      <c r="P227" s="9"/>
      <c r="R227" s="96" t="str">
        <f t="shared" si="4"/>
        <v>SBA 26/226</v>
      </c>
    </row>
    <row r="228" spans="1:18" x14ac:dyDescent="0.25">
      <c r="A228" s="5" t="s">
        <v>1047</v>
      </c>
      <c r="B228" s="6" t="s">
        <v>4403</v>
      </c>
      <c r="C228" s="8"/>
      <c r="D228" s="8"/>
      <c r="E228" s="7"/>
      <c r="F228" s="7"/>
      <c r="G228" s="13"/>
      <c r="H228" s="54"/>
      <c r="I228" s="52"/>
      <c r="J228" s="8"/>
      <c r="K228" s="8"/>
      <c r="L228" s="9"/>
      <c r="M228" s="9"/>
      <c r="N228" s="9"/>
      <c r="O228" s="66"/>
      <c r="P228" s="9"/>
      <c r="R228" s="96" t="str">
        <f t="shared" si="4"/>
        <v>SBA 26/227</v>
      </c>
    </row>
    <row r="229" spans="1:18" x14ac:dyDescent="0.25">
      <c r="A229" s="5" t="s">
        <v>1050</v>
      </c>
      <c r="B229" s="6" t="s">
        <v>4404</v>
      </c>
      <c r="C229" s="8"/>
      <c r="D229" s="8"/>
      <c r="E229" s="7"/>
      <c r="F229" s="7"/>
      <c r="G229" s="13"/>
      <c r="H229" s="54"/>
      <c r="I229" s="52"/>
      <c r="J229" s="8"/>
      <c r="K229" s="8"/>
      <c r="L229" s="9"/>
      <c r="M229" s="9"/>
      <c r="N229" s="9"/>
      <c r="O229" s="66"/>
      <c r="P229" s="9"/>
      <c r="R229" s="96" t="str">
        <f t="shared" si="4"/>
        <v>SBA 26/228</v>
      </c>
    </row>
    <row r="230" spans="1:18" x14ac:dyDescent="0.25">
      <c r="A230" s="5" t="s">
        <v>1054</v>
      </c>
      <c r="B230" s="6" t="s">
        <v>4405</v>
      </c>
      <c r="C230" s="8"/>
      <c r="D230" s="8"/>
      <c r="E230" s="7"/>
      <c r="F230" s="7"/>
      <c r="G230" s="13"/>
      <c r="H230" s="54"/>
      <c r="I230" s="52"/>
      <c r="J230" s="8"/>
      <c r="K230" s="8"/>
      <c r="L230" s="9"/>
      <c r="M230" s="9"/>
      <c r="N230" s="9"/>
      <c r="O230" s="66"/>
      <c r="P230" s="9"/>
      <c r="R230" s="96" t="str">
        <f t="shared" si="4"/>
        <v>SBA 26/229</v>
      </c>
    </row>
    <row r="231" spans="1:18" x14ac:dyDescent="0.25">
      <c r="A231" s="5" t="s">
        <v>1057</v>
      </c>
      <c r="B231" s="6" t="s">
        <v>4406</v>
      </c>
      <c r="C231" s="8"/>
      <c r="D231" s="8"/>
      <c r="E231" s="7"/>
      <c r="F231" s="7"/>
      <c r="G231" s="13"/>
      <c r="H231" s="54"/>
      <c r="I231" s="52"/>
      <c r="J231" s="8"/>
      <c r="K231" s="8"/>
      <c r="L231" s="9"/>
      <c r="M231" s="9"/>
      <c r="N231" s="9"/>
      <c r="O231" s="66"/>
      <c r="P231" s="9"/>
      <c r="R231" s="96" t="str">
        <f t="shared" si="4"/>
        <v>SBA 26/230</v>
      </c>
    </row>
    <row r="232" spans="1:18" x14ac:dyDescent="0.25">
      <c r="A232" s="5" t="s">
        <v>1061</v>
      </c>
      <c r="B232" s="6" t="s">
        <v>4407</v>
      </c>
      <c r="C232" s="8"/>
      <c r="D232" s="8"/>
      <c r="E232" s="7"/>
      <c r="F232" s="7"/>
      <c r="G232" s="13"/>
      <c r="H232" s="54"/>
      <c r="I232" s="52"/>
      <c r="J232" s="8"/>
      <c r="K232" s="8"/>
      <c r="L232" s="9"/>
      <c r="M232" s="9"/>
      <c r="N232" s="9"/>
      <c r="O232" s="66"/>
      <c r="P232" s="9"/>
      <c r="R232" s="96" t="str">
        <f t="shared" si="4"/>
        <v>SBA 26/231</v>
      </c>
    </row>
    <row r="233" spans="1:18" x14ac:dyDescent="0.25">
      <c r="A233" s="5" t="s">
        <v>1064</v>
      </c>
      <c r="B233" s="6" t="s">
        <v>4408</v>
      </c>
      <c r="C233" s="8"/>
      <c r="D233" s="8"/>
      <c r="E233" s="7"/>
      <c r="F233" s="7"/>
      <c r="G233" s="13"/>
      <c r="H233" s="54"/>
      <c r="I233" s="52"/>
      <c r="J233" s="8"/>
      <c r="K233" s="8"/>
      <c r="L233" s="9"/>
      <c r="M233" s="9"/>
      <c r="N233" s="9"/>
      <c r="O233" s="66"/>
      <c r="P233" s="9"/>
      <c r="R233" s="96" t="str">
        <f t="shared" si="4"/>
        <v>SBA 26/232</v>
      </c>
    </row>
    <row r="234" spans="1:18" x14ac:dyDescent="0.25">
      <c r="A234" s="5" t="s">
        <v>1068</v>
      </c>
      <c r="B234" s="6" t="s">
        <v>4409</v>
      </c>
      <c r="C234" s="8"/>
      <c r="D234" s="8"/>
      <c r="E234" s="7"/>
      <c r="F234" s="7"/>
      <c r="G234" s="13"/>
      <c r="H234" s="54"/>
      <c r="I234" s="52"/>
      <c r="J234" s="8"/>
      <c r="K234" s="8"/>
      <c r="L234" s="9"/>
      <c r="M234" s="9"/>
      <c r="N234" s="9"/>
      <c r="O234" s="66"/>
      <c r="P234" s="9"/>
      <c r="R234" s="96" t="str">
        <f t="shared" si="4"/>
        <v>SBA 26/233</v>
      </c>
    </row>
    <row r="235" spans="1:18" x14ac:dyDescent="0.25">
      <c r="A235" s="5" t="s">
        <v>1071</v>
      </c>
      <c r="B235" s="6" t="s">
        <v>4410</v>
      </c>
      <c r="C235" s="8"/>
      <c r="D235" s="8"/>
      <c r="E235" s="7"/>
      <c r="F235" s="7"/>
      <c r="G235" s="13"/>
      <c r="H235" s="54"/>
      <c r="I235" s="52"/>
      <c r="J235" s="8"/>
      <c r="K235" s="8"/>
      <c r="L235" s="9"/>
      <c r="M235" s="9"/>
      <c r="N235" s="9"/>
      <c r="O235" s="66"/>
      <c r="P235" s="9"/>
      <c r="R235" s="96" t="str">
        <f t="shared" si="4"/>
        <v>SBA 26/234</v>
      </c>
    </row>
    <row r="236" spans="1:18" x14ac:dyDescent="0.25">
      <c r="A236" s="5" t="s">
        <v>1074</v>
      </c>
      <c r="B236" s="6" t="s">
        <v>4411</v>
      </c>
      <c r="C236" s="8"/>
      <c r="D236" s="8"/>
      <c r="E236" s="7"/>
      <c r="F236" s="7"/>
      <c r="G236" s="13"/>
      <c r="H236" s="54"/>
      <c r="I236" s="52"/>
      <c r="J236" s="8"/>
      <c r="K236" s="8"/>
      <c r="L236" s="9"/>
      <c r="M236" s="9"/>
      <c r="N236" s="9"/>
      <c r="O236" s="66"/>
      <c r="P236" s="9"/>
      <c r="R236" s="96" t="str">
        <f t="shared" si="4"/>
        <v>SBA 26/235</v>
      </c>
    </row>
    <row r="237" spans="1:18" x14ac:dyDescent="0.25">
      <c r="A237" s="5" t="s">
        <v>1078</v>
      </c>
      <c r="B237" s="6" t="s">
        <v>4412</v>
      </c>
      <c r="C237" s="8"/>
      <c r="D237" s="8"/>
      <c r="E237" s="7"/>
      <c r="F237" s="7"/>
      <c r="G237" s="13"/>
      <c r="H237" s="54"/>
      <c r="I237" s="52"/>
      <c r="J237" s="8"/>
      <c r="K237" s="8"/>
      <c r="L237" s="9"/>
      <c r="M237" s="9"/>
      <c r="N237" s="9"/>
      <c r="O237" s="66"/>
      <c r="P237" s="9"/>
      <c r="R237" s="96" t="str">
        <f t="shared" si="4"/>
        <v>SBA 26/236</v>
      </c>
    </row>
    <row r="238" spans="1:18" x14ac:dyDescent="0.25">
      <c r="A238" s="5" t="s">
        <v>1081</v>
      </c>
      <c r="B238" s="6" t="s">
        <v>4413</v>
      </c>
      <c r="C238" s="8"/>
      <c r="D238" s="8"/>
      <c r="E238" s="7"/>
      <c r="F238" s="7"/>
      <c r="G238" s="13"/>
      <c r="H238" s="54"/>
      <c r="I238" s="52"/>
      <c r="J238" s="8"/>
      <c r="K238" s="8"/>
      <c r="L238" s="9"/>
      <c r="M238" s="9"/>
      <c r="N238" s="9"/>
      <c r="O238" s="66"/>
      <c r="P238" s="9">
        <f t="shared" si="3"/>
        <v>0</v>
      </c>
      <c r="R238" s="96" t="str">
        <f t="shared" si="4"/>
        <v>SBA 26/237</v>
      </c>
    </row>
    <row r="239" spans="1:18" x14ac:dyDescent="0.25">
      <c r="A239" s="5" t="s">
        <v>1085</v>
      </c>
      <c r="B239" s="6" t="s">
        <v>4414</v>
      </c>
      <c r="C239" s="8"/>
      <c r="D239" s="8"/>
      <c r="E239" s="7"/>
      <c r="F239" s="7"/>
      <c r="G239" s="13"/>
      <c r="H239" s="54"/>
      <c r="I239" s="52"/>
      <c r="J239" s="8"/>
      <c r="K239" s="8"/>
      <c r="L239" s="9"/>
      <c r="M239" s="9"/>
      <c r="N239" s="9"/>
      <c r="O239" s="66"/>
      <c r="P239" s="9">
        <f t="shared" si="3"/>
        <v>0</v>
      </c>
      <c r="R239" s="96" t="str">
        <f t="shared" si="4"/>
        <v>SBA 26/238</v>
      </c>
    </row>
    <row r="240" spans="1:18" x14ac:dyDescent="0.25">
      <c r="A240" s="5" t="s">
        <v>1089</v>
      </c>
      <c r="B240" s="6" t="s">
        <v>4415</v>
      </c>
      <c r="C240" s="8"/>
      <c r="D240" s="8"/>
      <c r="E240" s="7"/>
      <c r="F240" s="7"/>
      <c r="G240" s="13"/>
      <c r="H240" s="54"/>
      <c r="I240" s="52"/>
      <c r="J240" s="8"/>
      <c r="K240" s="8"/>
      <c r="L240" s="9"/>
      <c r="M240" s="9"/>
      <c r="N240" s="9"/>
      <c r="O240" s="66"/>
      <c r="P240" s="9">
        <f t="shared" si="3"/>
        <v>0</v>
      </c>
      <c r="R240" s="96" t="str">
        <f t="shared" si="4"/>
        <v>SBA 26/239</v>
      </c>
    </row>
    <row r="241" spans="1:18" x14ac:dyDescent="0.25">
      <c r="A241" s="5" t="s">
        <v>1092</v>
      </c>
      <c r="B241" s="6" t="s">
        <v>4416</v>
      </c>
      <c r="C241" s="8"/>
      <c r="D241" s="8"/>
      <c r="E241" s="7"/>
      <c r="F241" s="7"/>
      <c r="G241" s="13"/>
      <c r="H241" s="54"/>
      <c r="I241" s="52"/>
      <c r="J241" s="8"/>
      <c r="K241" s="8"/>
      <c r="L241" s="9"/>
      <c r="M241" s="9"/>
      <c r="N241" s="9"/>
      <c r="O241" s="66"/>
      <c r="P241" s="9">
        <f t="shared" si="3"/>
        <v>0</v>
      </c>
      <c r="R241" s="96" t="str">
        <f t="shared" si="4"/>
        <v>SBA 26/240</v>
      </c>
    </row>
    <row r="242" spans="1:18" x14ac:dyDescent="0.25">
      <c r="A242" s="5" t="s">
        <v>1095</v>
      </c>
      <c r="B242" s="6" t="s">
        <v>4417</v>
      </c>
      <c r="C242" s="8"/>
      <c r="D242" s="8"/>
      <c r="E242" s="7"/>
      <c r="F242" s="7"/>
      <c r="G242" s="13"/>
      <c r="H242" s="54"/>
      <c r="I242" s="52"/>
      <c r="J242" s="8"/>
      <c r="K242" s="8"/>
      <c r="L242" s="9"/>
      <c r="M242" s="9"/>
      <c r="N242" s="9"/>
      <c r="O242" s="66"/>
      <c r="P242" s="9">
        <f t="shared" si="3"/>
        <v>0</v>
      </c>
      <c r="R242" s="96" t="str">
        <f t="shared" si="4"/>
        <v>SBA 26/241</v>
      </c>
    </row>
    <row r="243" spans="1:18" x14ac:dyDescent="0.25">
      <c r="A243" s="5" t="s">
        <v>1098</v>
      </c>
      <c r="B243" s="6" t="s">
        <v>4418</v>
      </c>
      <c r="C243" s="8"/>
      <c r="D243" s="8"/>
      <c r="E243" s="7"/>
      <c r="F243" s="7"/>
      <c r="G243" s="13"/>
      <c r="H243" s="54"/>
      <c r="I243" s="52"/>
      <c r="J243" s="8"/>
      <c r="K243" s="8"/>
      <c r="L243" s="9"/>
      <c r="M243" s="9"/>
      <c r="N243" s="9"/>
      <c r="O243" s="66"/>
      <c r="P243" s="9">
        <f t="shared" si="3"/>
        <v>0</v>
      </c>
      <c r="R243" s="96" t="str">
        <f t="shared" si="4"/>
        <v>SBA 26/242</v>
      </c>
    </row>
    <row r="244" spans="1:18" x14ac:dyDescent="0.25">
      <c r="A244" s="5" t="s">
        <v>1101</v>
      </c>
      <c r="B244" s="6" t="s">
        <v>4419</v>
      </c>
      <c r="C244" s="8"/>
      <c r="D244" s="8"/>
      <c r="E244" s="7"/>
      <c r="F244" s="7"/>
      <c r="G244" s="13"/>
      <c r="H244" s="54"/>
      <c r="I244" s="52"/>
      <c r="J244" s="8"/>
      <c r="K244" s="8"/>
      <c r="L244" s="9"/>
      <c r="M244" s="9"/>
      <c r="N244" s="9"/>
      <c r="O244" s="66"/>
      <c r="P244" s="9">
        <f t="shared" si="3"/>
        <v>0</v>
      </c>
      <c r="R244" s="96" t="str">
        <f t="shared" si="4"/>
        <v>SBA 26/243</v>
      </c>
    </row>
    <row r="245" spans="1:18" x14ac:dyDescent="0.25">
      <c r="A245" s="5" t="s">
        <v>1105</v>
      </c>
      <c r="B245" s="6" t="s">
        <v>4420</v>
      </c>
      <c r="C245" s="8"/>
      <c r="D245" s="8"/>
      <c r="E245" s="7"/>
      <c r="F245" s="7"/>
      <c r="G245" s="13"/>
      <c r="H245" s="54"/>
      <c r="I245" s="52"/>
      <c r="J245" s="8"/>
      <c r="K245" s="8"/>
      <c r="L245" s="9"/>
      <c r="M245" s="9"/>
      <c r="N245" s="9"/>
      <c r="O245" s="66"/>
      <c r="P245" s="9">
        <f t="shared" si="3"/>
        <v>0</v>
      </c>
      <c r="R245" s="96" t="str">
        <f t="shared" si="4"/>
        <v>SBA 26/244</v>
      </c>
    </row>
    <row r="246" spans="1:18" x14ac:dyDescent="0.25">
      <c r="A246" s="5" t="s">
        <v>1109</v>
      </c>
      <c r="B246" s="6" t="s">
        <v>4421</v>
      </c>
      <c r="C246" s="8"/>
      <c r="D246" s="8"/>
      <c r="E246" s="7"/>
      <c r="F246" s="7"/>
      <c r="G246" s="13"/>
      <c r="H246" s="54"/>
      <c r="I246" s="52"/>
      <c r="J246" s="8"/>
      <c r="K246" s="8"/>
      <c r="L246" s="9"/>
      <c r="M246" s="9"/>
      <c r="N246" s="9"/>
      <c r="O246" s="66"/>
      <c r="P246" s="9">
        <f t="shared" si="3"/>
        <v>0</v>
      </c>
      <c r="R246" s="96" t="str">
        <f t="shared" si="4"/>
        <v>SBA 26/245</v>
      </c>
    </row>
    <row r="247" spans="1:18" x14ac:dyDescent="0.25">
      <c r="A247" s="5" t="s">
        <v>1112</v>
      </c>
      <c r="B247" s="6" t="s">
        <v>4422</v>
      </c>
      <c r="C247" s="8"/>
      <c r="D247" s="8"/>
      <c r="E247" s="7"/>
      <c r="F247" s="7"/>
      <c r="G247" s="13"/>
      <c r="H247" s="54"/>
      <c r="I247" s="52"/>
      <c r="J247" s="8"/>
      <c r="K247" s="8"/>
      <c r="L247" s="9"/>
      <c r="M247" s="9"/>
      <c r="N247" s="9"/>
      <c r="O247" s="66"/>
      <c r="P247" s="9">
        <f t="shared" si="3"/>
        <v>0</v>
      </c>
      <c r="R247" s="96" t="str">
        <f t="shared" si="4"/>
        <v>SBA 26/246</v>
      </c>
    </row>
    <row r="248" spans="1:18" x14ac:dyDescent="0.25">
      <c r="A248" s="5" t="s">
        <v>1116</v>
      </c>
      <c r="B248" s="6" t="s">
        <v>4423</v>
      </c>
      <c r="C248" s="8"/>
      <c r="D248" s="8"/>
      <c r="E248" s="7"/>
      <c r="F248" s="7"/>
      <c r="G248" s="13"/>
      <c r="H248" s="54"/>
      <c r="I248" s="52"/>
      <c r="J248" s="8"/>
      <c r="K248" s="8"/>
      <c r="L248" s="9"/>
      <c r="M248" s="9"/>
      <c r="N248" s="9"/>
      <c r="O248" s="66"/>
      <c r="P248" s="9">
        <f t="shared" ref="P248:P251" si="5">IF(O248&lt;&gt;"",O248, IF(N248&lt;&gt;"",N248, IF(M248&lt;&gt;"",M248, L248)))</f>
        <v>0</v>
      </c>
      <c r="R248" s="96" t="str">
        <f t="shared" ref="R248:R251" si="6">IF(AND(L248="", B248&lt;&gt;""), B248, "")</f>
        <v>SBA 26/247</v>
      </c>
    </row>
    <row r="249" spans="1:18" x14ac:dyDescent="0.25">
      <c r="A249" s="5" t="s">
        <v>1119</v>
      </c>
      <c r="B249" s="6" t="s">
        <v>4424</v>
      </c>
      <c r="C249" s="8"/>
      <c r="D249" s="8"/>
      <c r="E249" s="7"/>
      <c r="F249" s="7"/>
      <c r="G249" s="13"/>
      <c r="H249" s="54"/>
      <c r="I249" s="52"/>
      <c r="J249" s="8"/>
      <c r="K249" s="8"/>
      <c r="L249" s="9"/>
      <c r="M249" s="9"/>
      <c r="N249" s="9"/>
      <c r="O249" s="66"/>
      <c r="P249" s="9">
        <f t="shared" si="5"/>
        <v>0</v>
      </c>
      <c r="R249" s="96" t="str">
        <f t="shared" si="6"/>
        <v>SBA 26/248</v>
      </c>
    </row>
    <row r="250" spans="1:18" x14ac:dyDescent="0.25">
      <c r="A250" s="5" t="s">
        <v>1122</v>
      </c>
      <c r="B250" s="6" t="s">
        <v>4425</v>
      </c>
      <c r="C250" s="8"/>
      <c r="D250" s="8"/>
      <c r="E250" s="7"/>
      <c r="F250" s="7"/>
      <c r="G250" s="13"/>
      <c r="H250" s="54"/>
      <c r="I250" s="52"/>
      <c r="J250" s="8"/>
      <c r="K250" s="8"/>
      <c r="L250" s="9"/>
      <c r="M250" s="9"/>
      <c r="N250" s="9"/>
      <c r="O250" s="66"/>
      <c r="P250" s="9">
        <f t="shared" si="5"/>
        <v>0</v>
      </c>
      <c r="R250" s="96" t="str">
        <f t="shared" si="6"/>
        <v>SBA 26/249</v>
      </c>
    </row>
    <row r="251" spans="1:18" x14ac:dyDescent="0.25">
      <c r="A251" s="5" t="s">
        <v>1125</v>
      </c>
      <c r="B251" s="6" t="s">
        <v>4426</v>
      </c>
      <c r="C251" s="8"/>
      <c r="D251" s="8"/>
      <c r="E251" s="7"/>
      <c r="F251" s="7"/>
      <c r="G251" s="13"/>
      <c r="H251" s="54"/>
      <c r="I251" s="52"/>
      <c r="J251" s="8"/>
      <c r="K251" s="8"/>
      <c r="L251" s="9"/>
      <c r="M251" s="9"/>
      <c r="N251" s="9"/>
      <c r="O251" s="66"/>
      <c r="P251" s="9">
        <f t="shared" si="5"/>
        <v>0</v>
      </c>
      <c r="R251" s="96" t="str">
        <f t="shared" si="6"/>
        <v>SBA 26/250</v>
      </c>
    </row>
    <row r="252" spans="1:18" x14ac:dyDescent="0.25">
      <c r="P252" s="71"/>
      <c r="R252" s="96" t="str">
        <f t="shared" ref="R252" si="7">IF(AND(L252="", B252&lt;&gt;""), B252, "")</f>
        <v/>
      </c>
    </row>
    <row r="253" spans="1:18" ht="31.5" x14ac:dyDescent="0.25">
      <c r="F253" s="59" t="s">
        <v>3694</v>
      </c>
      <c r="K253" s="72" t="s">
        <v>57</v>
      </c>
      <c r="L253" s="73">
        <f>COUNTIF(L2:L251,"ONAY")</f>
        <v>83</v>
      </c>
      <c r="M253" s="74">
        <f>COUNTIF(M2:M251,"ONAY")</f>
        <v>10</v>
      </c>
      <c r="N253" s="73">
        <f>COUNTIF(N2:N251,"ONAY")</f>
        <v>3</v>
      </c>
      <c r="O253" s="74">
        <f>COUNTIF(O2:O251,"ONAY")</f>
        <v>0</v>
      </c>
      <c r="P253" s="74">
        <f>COUNTIF(P2:P251,"ONAY")</f>
        <v>72</v>
      </c>
    </row>
    <row r="254" spans="1:18" ht="31.5" x14ac:dyDescent="0.25">
      <c r="F254" s="59" t="s">
        <v>3696</v>
      </c>
      <c r="K254" s="75" t="s">
        <v>58</v>
      </c>
      <c r="L254" s="76">
        <f>COUNTIF(L2:L251,"DÜZELTME")</f>
        <v>52</v>
      </c>
      <c r="M254" s="77">
        <f>COUNTIF(M2:M251,"DÜZELTME")</f>
        <v>0</v>
      </c>
      <c r="N254" s="76">
        <f>COUNTIF(N2:N251,"DÜZELTME")</f>
        <v>0</v>
      </c>
      <c r="O254" s="77">
        <f>COUNTIF(O2:O251,"DÜZELTME")</f>
        <v>0</v>
      </c>
      <c r="P254" s="77">
        <f>COUNTIF(P2:P251,"DÜZELTME")</f>
        <v>18</v>
      </c>
    </row>
    <row r="255" spans="1:18" ht="47.25" x14ac:dyDescent="0.25">
      <c r="F255" s="59" t="s">
        <v>3698</v>
      </c>
      <c r="K255" s="78" t="s">
        <v>73</v>
      </c>
      <c r="L255" s="79">
        <f>COUNTIF(L2:L251,"KAEK")</f>
        <v>3</v>
      </c>
      <c r="M255" s="80">
        <f>COUNTIF(M2:M251,"KAEK")</f>
        <v>0</v>
      </c>
      <c r="N255" s="79">
        <f>COUNTIF(N2:N251,"KAEK")</f>
        <v>1</v>
      </c>
      <c r="O255" s="80">
        <f>COUNTIF(O2:O251,"KAEK")</f>
        <v>0</v>
      </c>
      <c r="P255" s="80">
        <f>COUNTIF(P2:P251,"KAEK")</f>
        <v>2</v>
      </c>
    </row>
    <row r="256" spans="1:18" ht="63" x14ac:dyDescent="0.25">
      <c r="F256" s="59" t="s">
        <v>3700</v>
      </c>
      <c r="K256" s="81" t="s">
        <v>86</v>
      </c>
      <c r="L256" s="82">
        <f>COUNTIF(L2:L251,"GÖRÜŞ")</f>
        <v>2</v>
      </c>
      <c r="M256" s="83">
        <f>COUNTIF(M2:M251,"GÖRÜŞ")</f>
        <v>7</v>
      </c>
      <c r="N256" s="82">
        <f>COUNTIF(N2:N251,"GÖRÜŞ")</f>
        <v>0</v>
      </c>
      <c r="O256" s="83">
        <f>COUNTIF(O2:O251,"GÖRÜŞ")</f>
        <v>0</v>
      </c>
      <c r="P256" s="83">
        <f>COUNTIF(P2:P251,"GÖRÜŞ")</f>
        <v>5</v>
      </c>
    </row>
    <row r="257" spans="6:16" ht="47.25" x14ac:dyDescent="0.25">
      <c r="F257" s="59" t="s">
        <v>3702</v>
      </c>
      <c r="K257" s="84" t="s">
        <v>59</v>
      </c>
      <c r="L257" s="85">
        <f>COUNTIF(L2:L251,"KAPSAM DIŞI")</f>
        <v>1</v>
      </c>
      <c r="M257" s="86">
        <f>COUNTIF(M2:M251,"KAPSAM DIŞI")</f>
        <v>0</v>
      </c>
      <c r="N257" s="85">
        <f>COUNTIF(N2:N251,"KAPSAM DIŞI")</f>
        <v>0</v>
      </c>
      <c r="O257" s="86">
        <f>COUNTIF(O2:O251,"KAPSAM DIŞI")</f>
        <v>0</v>
      </c>
      <c r="P257" s="86">
        <f>COUNTIF(P2:P251,"KAPSAM DIŞI")</f>
        <v>1</v>
      </c>
    </row>
    <row r="258" spans="6:16" ht="31.5" x14ac:dyDescent="0.25">
      <c r="F258" s="59" t="s">
        <v>3704</v>
      </c>
      <c r="K258" s="87" t="s">
        <v>307</v>
      </c>
      <c r="L258" s="88">
        <f>COUNTIF(L2:L251,"RET")</f>
        <v>2</v>
      </c>
      <c r="M258" s="89">
        <f>COUNTIF(M2:M251,"RET")</f>
        <v>0</v>
      </c>
      <c r="N258" s="88">
        <f>COUNTIF(N2:N251,"RET")</f>
        <v>0</v>
      </c>
      <c r="O258" s="89">
        <f>COUNTIF(O2:O251,"RET")</f>
        <v>0</v>
      </c>
      <c r="P258" s="89">
        <f>COUNTIF(P2:P251,"RET")</f>
        <v>2</v>
      </c>
    </row>
    <row r="259" spans="6:16" ht="31.5" x14ac:dyDescent="0.25">
      <c r="F259" s="59" t="s">
        <v>3706</v>
      </c>
      <c r="K259" s="93" t="s">
        <v>78</v>
      </c>
      <c r="L259" s="94">
        <f>COUNTIF(L2:L251,"GERİ ÇEKİLDİ")</f>
        <v>0</v>
      </c>
      <c r="M259" s="95">
        <f>COUNTIF(M2:M251,"GERİ ÇEKİLDİ")</f>
        <v>0</v>
      </c>
      <c r="N259" s="94">
        <f>COUNTIF(N2:N251,"GERİ ÇEKİLDİ")</f>
        <v>0</v>
      </c>
      <c r="O259" s="95">
        <f>COUNTIF(O2:O251,"GERİ ÇEKİLDİ")</f>
        <v>0</v>
      </c>
      <c r="P259" s="95">
        <f>COUNTIF(P2:P251,"GERİ ÇEKİLDİ")</f>
        <v>0</v>
      </c>
    </row>
    <row r="260" spans="6:16" ht="47.25" x14ac:dyDescent="0.25">
      <c r="F260" s="59" t="s">
        <v>3708</v>
      </c>
      <c r="K260" s="90" t="s">
        <v>60</v>
      </c>
      <c r="L260" s="91">
        <f>SUM(L253:L259)</f>
        <v>143</v>
      </c>
      <c r="M260" s="92">
        <f>SUM(M253:M259)</f>
        <v>17</v>
      </c>
      <c r="N260" s="91">
        <f t="shared" ref="N260:O260" si="8">SUM(N253:N259)</f>
        <v>4</v>
      </c>
      <c r="O260" s="92">
        <f t="shared" si="8"/>
        <v>0</v>
      </c>
      <c r="P260" s="92">
        <f t="shared" ref="P260" si="9">SUM(P253:P259)</f>
        <v>100</v>
      </c>
    </row>
    <row r="261" spans="6:16" ht="31.5" x14ac:dyDescent="0.25">
      <c r="F261" s="59" t="s">
        <v>3710</v>
      </c>
    </row>
    <row r="262" spans="6:16" ht="47.25" x14ac:dyDescent="0.25">
      <c r="F262" s="59" t="s">
        <v>3713</v>
      </c>
    </row>
    <row r="263" spans="6:16" ht="63" x14ac:dyDescent="0.25">
      <c r="F263" s="59" t="s">
        <v>3716</v>
      </c>
      <c r="L263" s="10">
        <f>COUNTIF(L2:L251,"")</f>
        <v>107</v>
      </c>
    </row>
    <row r="264" spans="6:16" ht="31.5" x14ac:dyDescent="0.25">
      <c r="F264" s="59" t="s">
        <v>3718</v>
      </c>
      <c r="L264" s="10" cm="1">
        <f t="array" ref="L264">SUMPRODUCT(--(LEN(TRIM(L2:L251))=0))</f>
        <v>107</v>
      </c>
    </row>
    <row r="265" spans="6:16" ht="31.5" x14ac:dyDescent="0.25">
      <c r="F265" s="59" t="s">
        <v>3720</v>
      </c>
      <c r="L265" s="51" t="str">
        <f>IF(COUNTIF(L2:L251,"")&gt;0, "⚠ DİKKAT: Boş bırakılan alanlar var!", "✓ Tüm alanlar dolu")</f>
        <v>⚠ DİKKAT: Boş bırakılan alanlar var!</v>
      </c>
      <c r="M265" s="51"/>
    </row>
    <row r="266" spans="6:16" ht="31.5" x14ac:dyDescent="0.25">
      <c r="F266" s="59" t="s">
        <v>3723</v>
      </c>
      <c r="L266" s="51" t="str" cm="1">
        <f t="array" ref="L266">IF(SUMPRODUCT(--(LEN(TRIM(L2:L251))=0))&gt;0,
"⚠ DİKKAT: Boş bırakılan alanlar var!",
"✓ Tüm alanlar dolu")</f>
        <v>⚠ DİKKAT: Boş bırakılan alanlar var!</v>
      </c>
      <c r="M266" s="51"/>
    </row>
    <row r="267" spans="6:16" ht="31.5" x14ac:dyDescent="0.25">
      <c r="F267" s="59" t="s">
        <v>3725</v>
      </c>
    </row>
    <row r="268" spans="6:16" ht="31.5" x14ac:dyDescent="0.25">
      <c r="F268" s="59" t="s">
        <v>3727</v>
      </c>
    </row>
    <row r="269" spans="6:16" ht="47.25" x14ac:dyDescent="0.25">
      <c r="F269" s="59" t="s">
        <v>3729</v>
      </c>
      <c r="L269" s="10" t="str" cm="1">
        <f t="array" ref="L269:L375">_xlfn._xlws.FILTER("L"&amp;ROW(L2:L251), LEN(TRIM(L2:L251))=0)</f>
        <v>L59</v>
      </c>
    </row>
    <row r="270" spans="6:16" ht="31.5" x14ac:dyDescent="0.25">
      <c r="F270" s="59" t="s">
        <v>3731</v>
      </c>
      <c r="L270" s="10" t="str">
        <v>L73</v>
      </c>
    </row>
    <row r="271" spans="6:16" ht="47.25" x14ac:dyDescent="0.25">
      <c r="F271" s="59" t="s">
        <v>3734</v>
      </c>
      <c r="L271" s="10" t="str">
        <v>L147</v>
      </c>
    </row>
    <row r="272" spans="6:16" ht="47.25" x14ac:dyDescent="0.25">
      <c r="F272" s="59" t="s">
        <v>3736</v>
      </c>
      <c r="L272" s="10" t="str">
        <v>L148</v>
      </c>
    </row>
    <row r="273" spans="6:12" ht="47.25" x14ac:dyDescent="0.25">
      <c r="F273" s="59" t="s">
        <v>3738</v>
      </c>
      <c r="L273" s="10" t="str">
        <v>L149</v>
      </c>
    </row>
    <row r="274" spans="6:12" ht="47.25" x14ac:dyDescent="0.25">
      <c r="F274" s="59" t="s">
        <v>3741</v>
      </c>
      <c r="L274" s="10" t="str">
        <v>L150</v>
      </c>
    </row>
    <row r="275" spans="6:12" ht="31.5" x14ac:dyDescent="0.25">
      <c r="F275" s="59" t="s">
        <v>3743</v>
      </c>
      <c r="L275" s="10" t="str">
        <v>L151</v>
      </c>
    </row>
    <row r="276" spans="6:12" ht="31.5" x14ac:dyDescent="0.25">
      <c r="F276" s="59" t="s">
        <v>3745</v>
      </c>
      <c r="L276" s="10" t="str">
        <v>L152</v>
      </c>
    </row>
    <row r="277" spans="6:12" ht="31.5" x14ac:dyDescent="0.25">
      <c r="F277" s="59" t="s">
        <v>3747</v>
      </c>
      <c r="L277" s="10" t="str">
        <v>L153</v>
      </c>
    </row>
    <row r="278" spans="6:12" ht="31.5" x14ac:dyDescent="0.25">
      <c r="F278" s="59" t="s">
        <v>3749</v>
      </c>
      <c r="L278" s="10" t="str">
        <v>L154</v>
      </c>
    </row>
    <row r="279" spans="6:12" ht="47.25" x14ac:dyDescent="0.25">
      <c r="F279" s="59" t="s">
        <v>3751</v>
      </c>
      <c r="L279" s="10" t="str">
        <v>L155</v>
      </c>
    </row>
    <row r="280" spans="6:12" ht="47.25" x14ac:dyDescent="0.25">
      <c r="F280" s="59" t="s">
        <v>3753</v>
      </c>
      <c r="L280" s="10" t="str">
        <v>L156</v>
      </c>
    </row>
    <row r="281" spans="6:12" ht="47.25" x14ac:dyDescent="0.25">
      <c r="F281" s="59" t="s">
        <v>3755</v>
      </c>
      <c r="L281" s="10" t="str">
        <v>L157</v>
      </c>
    </row>
    <row r="282" spans="6:12" ht="31.5" x14ac:dyDescent="0.25">
      <c r="F282" s="59" t="s">
        <v>3757</v>
      </c>
      <c r="L282" s="10" t="str">
        <v>L158</v>
      </c>
    </row>
    <row r="283" spans="6:12" ht="63" x14ac:dyDescent="0.25">
      <c r="F283" s="59" t="s">
        <v>3759</v>
      </c>
      <c r="L283" s="10" t="str">
        <v>L159</v>
      </c>
    </row>
    <row r="284" spans="6:12" ht="47.25" x14ac:dyDescent="0.25">
      <c r="F284" s="59" t="s">
        <v>3761</v>
      </c>
      <c r="L284" s="10" t="str">
        <v>L160</v>
      </c>
    </row>
    <row r="285" spans="6:12" ht="63" x14ac:dyDescent="0.25">
      <c r="F285" s="59" t="s">
        <v>3764</v>
      </c>
      <c r="L285" s="10" t="str">
        <v>L161</v>
      </c>
    </row>
    <row r="286" spans="6:12" ht="47.25" x14ac:dyDescent="0.25">
      <c r="F286" s="59" t="s">
        <v>3766</v>
      </c>
      <c r="L286" s="10" t="str">
        <v>L162</v>
      </c>
    </row>
    <row r="287" spans="6:12" ht="47.25" x14ac:dyDescent="0.25">
      <c r="F287" s="59" t="s">
        <v>3768</v>
      </c>
      <c r="L287" s="10" t="str">
        <v>L163</v>
      </c>
    </row>
    <row r="288" spans="6:12" ht="47.25" x14ac:dyDescent="0.25">
      <c r="F288" s="59" t="s">
        <v>3771</v>
      </c>
      <c r="L288" s="10" t="str">
        <v>L164</v>
      </c>
    </row>
    <row r="289" spans="6:12" ht="47.25" x14ac:dyDescent="0.25">
      <c r="F289" s="59" t="s">
        <v>3773</v>
      </c>
      <c r="L289" s="10" t="str">
        <v>L165</v>
      </c>
    </row>
    <row r="290" spans="6:12" ht="47.25" x14ac:dyDescent="0.25">
      <c r="F290" s="59" t="s">
        <v>3775</v>
      </c>
      <c r="L290" s="10" t="str">
        <v>L166</v>
      </c>
    </row>
    <row r="291" spans="6:12" ht="63" x14ac:dyDescent="0.25">
      <c r="F291" s="59" t="s">
        <v>3777</v>
      </c>
      <c r="L291" s="10" t="str">
        <v>L167</v>
      </c>
    </row>
    <row r="292" spans="6:12" ht="78.75" x14ac:dyDescent="0.25">
      <c r="F292" s="59" t="s">
        <v>3779</v>
      </c>
      <c r="L292" s="10" t="str">
        <v>L168</v>
      </c>
    </row>
    <row r="293" spans="6:12" ht="31.5" x14ac:dyDescent="0.25">
      <c r="F293" s="59" t="s">
        <v>3781</v>
      </c>
      <c r="L293" s="10" t="str">
        <v>L169</v>
      </c>
    </row>
    <row r="294" spans="6:12" ht="47.25" x14ac:dyDescent="0.25">
      <c r="F294" s="59" t="s">
        <v>3783</v>
      </c>
      <c r="L294" s="10" t="str">
        <v>L170</v>
      </c>
    </row>
    <row r="295" spans="6:12" ht="63" x14ac:dyDescent="0.25">
      <c r="F295" s="59" t="s">
        <v>3786</v>
      </c>
      <c r="L295" s="10" t="str">
        <v>L171</v>
      </c>
    </row>
    <row r="296" spans="6:12" ht="63" x14ac:dyDescent="0.25">
      <c r="F296" s="59" t="s">
        <v>3788</v>
      </c>
      <c r="L296" s="10" t="str">
        <v>L172</v>
      </c>
    </row>
    <row r="297" spans="6:12" ht="31.5" x14ac:dyDescent="0.25">
      <c r="F297" s="59" t="s">
        <v>3790</v>
      </c>
      <c r="L297" s="10" t="str">
        <v>L173</v>
      </c>
    </row>
    <row r="298" spans="6:12" ht="31.5" x14ac:dyDescent="0.25">
      <c r="F298" s="59" t="s">
        <v>3792</v>
      </c>
      <c r="L298" s="10" t="str">
        <v>L174</v>
      </c>
    </row>
    <row r="299" spans="6:12" ht="31.5" x14ac:dyDescent="0.25">
      <c r="F299" s="59" t="s">
        <v>3794</v>
      </c>
      <c r="L299" s="10" t="str">
        <v>L175</v>
      </c>
    </row>
    <row r="300" spans="6:12" ht="31.5" x14ac:dyDescent="0.25">
      <c r="F300" s="59" t="s">
        <v>3796</v>
      </c>
      <c r="L300" s="10" t="str">
        <v>L176</v>
      </c>
    </row>
    <row r="301" spans="6:12" ht="31.5" x14ac:dyDescent="0.25">
      <c r="F301" s="59" t="s">
        <v>3798</v>
      </c>
      <c r="L301" s="10" t="str">
        <v>L177</v>
      </c>
    </row>
    <row r="302" spans="6:12" ht="31.5" x14ac:dyDescent="0.25">
      <c r="F302" s="59" t="s">
        <v>3800</v>
      </c>
      <c r="L302" s="10" t="str">
        <v>L178</v>
      </c>
    </row>
    <row r="303" spans="6:12" ht="31.5" x14ac:dyDescent="0.25">
      <c r="F303" s="59" t="s">
        <v>3802</v>
      </c>
      <c r="L303" s="10" t="str">
        <v>L179</v>
      </c>
    </row>
    <row r="304" spans="6:12" ht="47.25" x14ac:dyDescent="0.25">
      <c r="F304" s="59" t="s">
        <v>3804</v>
      </c>
      <c r="L304" s="10" t="str">
        <v>L180</v>
      </c>
    </row>
    <row r="305" spans="6:12" ht="31.5" x14ac:dyDescent="0.25">
      <c r="F305" s="59" t="s">
        <v>3807</v>
      </c>
      <c r="L305" s="10" t="str">
        <v>L181</v>
      </c>
    </row>
    <row r="306" spans="6:12" ht="63" x14ac:dyDescent="0.25">
      <c r="F306" s="59" t="s">
        <v>3810</v>
      </c>
      <c r="L306" s="10" t="str">
        <v>L182</v>
      </c>
    </row>
    <row r="307" spans="6:12" ht="47.25" x14ac:dyDescent="0.25">
      <c r="F307" s="59" t="s">
        <v>3812</v>
      </c>
      <c r="L307" s="10" t="str">
        <v>L183</v>
      </c>
    </row>
    <row r="308" spans="6:12" ht="47.25" x14ac:dyDescent="0.25">
      <c r="F308" s="59" t="s">
        <v>3815</v>
      </c>
      <c r="L308" s="10" t="str">
        <v>L184</v>
      </c>
    </row>
    <row r="309" spans="6:12" ht="31.5" x14ac:dyDescent="0.25">
      <c r="F309" s="59" t="s">
        <v>3817</v>
      </c>
      <c r="L309" s="10" t="str">
        <v>L185</v>
      </c>
    </row>
    <row r="310" spans="6:12" ht="31.5" x14ac:dyDescent="0.25">
      <c r="F310" s="59" t="s">
        <v>3820</v>
      </c>
      <c r="L310" s="10" t="str">
        <v>L186</v>
      </c>
    </row>
    <row r="311" spans="6:12" ht="47.25" x14ac:dyDescent="0.25">
      <c r="F311" s="59" t="s">
        <v>3823</v>
      </c>
      <c r="L311" s="10" t="str">
        <v>L187</v>
      </c>
    </row>
    <row r="312" spans="6:12" ht="31.5" x14ac:dyDescent="0.25">
      <c r="F312" s="59" t="s">
        <v>3825</v>
      </c>
      <c r="L312" s="10" t="str">
        <v>L188</v>
      </c>
    </row>
    <row r="313" spans="6:12" ht="47.25" x14ac:dyDescent="0.25">
      <c r="F313" s="59" t="s">
        <v>3828</v>
      </c>
      <c r="L313" s="10" t="str">
        <v>L189</v>
      </c>
    </row>
    <row r="314" spans="6:12" ht="63" x14ac:dyDescent="0.25">
      <c r="F314" s="59" t="s">
        <v>3830</v>
      </c>
      <c r="L314" s="10" t="str">
        <v>L190</v>
      </c>
    </row>
    <row r="315" spans="6:12" ht="31.5" x14ac:dyDescent="0.25">
      <c r="F315" s="59" t="s">
        <v>3832</v>
      </c>
      <c r="L315" s="10" t="str">
        <v>L191</v>
      </c>
    </row>
    <row r="316" spans="6:12" ht="47.25" x14ac:dyDescent="0.25">
      <c r="F316" s="59" t="s">
        <v>3835</v>
      </c>
      <c r="L316" s="10" t="str">
        <v>L192</v>
      </c>
    </row>
    <row r="317" spans="6:12" ht="31.5" x14ac:dyDescent="0.25">
      <c r="F317" s="59" t="s">
        <v>3837</v>
      </c>
      <c r="L317" s="10" t="str">
        <v>L193</v>
      </c>
    </row>
    <row r="318" spans="6:12" ht="31.5" x14ac:dyDescent="0.25">
      <c r="F318" s="59" t="s">
        <v>3839</v>
      </c>
      <c r="L318" s="10" t="str">
        <v>L194</v>
      </c>
    </row>
    <row r="319" spans="6:12" ht="63" x14ac:dyDescent="0.25">
      <c r="F319" s="59" t="s">
        <v>3841</v>
      </c>
      <c r="L319" s="10" t="str">
        <v>L195</v>
      </c>
    </row>
    <row r="320" spans="6:12" ht="47.25" x14ac:dyDescent="0.25">
      <c r="F320" s="59" t="s">
        <v>3843</v>
      </c>
      <c r="L320" s="10" t="str">
        <v>L196</v>
      </c>
    </row>
    <row r="321" spans="6:12" ht="31.5" x14ac:dyDescent="0.25">
      <c r="F321" s="59" t="s">
        <v>3846</v>
      </c>
      <c r="L321" s="10" t="str">
        <v>L197</v>
      </c>
    </row>
    <row r="322" spans="6:12" ht="31.5" x14ac:dyDescent="0.25">
      <c r="F322" s="59" t="s">
        <v>3848</v>
      </c>
      <c r="L322" s="10" t="str">
        <v>L198</v>
      </c>
    </row>
    <row r="323" spans="6:12" ht="31.5" x14ac:dyDescent="0.25">
      <c r="F323" s="59" t="s">
        <v>3850</v>
      </c>
      <c r="L323" s="10" t="str">
        <v>L199</v>
      </c>
    </row>
    <row r="324" spans="6:12" ht="31.5" x14ac:dyDescent="0.25">
      <c r="F324" s="7" t="s">
        <v>417</v>
      </c>
      <c r="L324" s="10" t="str">
        <v>L200</v>
      </c>
    </row>
    <row r="325" spans="6:12" ht="63" x14ac:dyDescent="0.25">
      <c r="F325" s="7" t="s">
        <v>420</v>
      </c>
      <c r="L325" s="10" t="str">
        <v>L201</v>
      </c>
    </row>
    <row r="326" spans="6:12" ht="63" x14ac:dyDescent="0.25">
      <c r="F326" s="7" t="s">
        <v>423</v>
      </c>
      <c r="L326" s="10" t="str">
        <v>L202</v>
      </c>
    </row>
    <row r="327" spans="6:12" ht="31.5" x14ac:dyDescent="0.25">
      <c r="F327" s="7" t="s">
        <v>427</v>
      </c>
      <c r="L327" s="10" t="str">
        <v>L203</v>
      </c>
    </row>
    <row r="328" spans="6:12" ht="47.25" x14ac:dyDescent="0.25">
      <c r="F328" s="7" t="s">
        <v>430</v>
      </c>
      <c r="L328" s="10" t="str">
        <v>L204</v>
      </c>
    </row>
    <row r="329" spans="6:12" ht="31.5" x14ac:dyDescent="0.25">
      <c r="F329" s="7" t="s">
        <v>433</v>
      </c>
      <c r="L329" s="10" t="str">
        <v>L205</v>
      </c>
    </row>
    <row r="330" spans="6:12" ht="31.5" x14ac:dyDescent="0.25">
      <c r="F330" s="7" t="s">
        <v>436</v>
      </c>
      <c r="L330" s="10" t="str">
        <v>L206</v>
      </c>
    </row>
    <row r="331" spans="6:12" ht="63" x14ac:dyDescent="0.25">
      <c r="F331" s="7" t="s">
        <v>439</v>
      </c>
      <c r="L331" s="10" t="str">
        <v>L207</v>
      </c>
    </row>
    <row r="332" spans="6:12" ht="31.5" x14ac:dyDescent="0.25">
      <c r="F332" s="7" t="s">
        <v>442</v>
      </c>
      <c r="L332" s="10" t="str">
        <v>L208</v>
      </c>
    </row>
    <row r="333" spans="6:12" ht="47.25" x14ac:dyDescent="0.25">
      <c r="F333" s="7" t="s">
        <v>445</v>
      </c>
      <c r="L333" s="10" t="str">
        <v>L209</v>
      </c>
    </row>
    <row r="334" spans="6:12" ht="47.25" x14ac:dyDescent="0.25">
      <c r="F334" s="7" t="s">
        <v>448</v>
      </c>
      <c r="L334" s="10" t="str">
        <v>L210</v>
      </c>
    </row>
    <row r="335" spans="6:12" ht="47.25" x14ac:dyDescent="0.25">
      <c r="F335" s="7" t="s">
        <v>451</v>
      </c>
      <c r="L335" s="10" t="str">
        <v>L211</v>
      </c>
    </row>
    <row r="336" spans="6:12" ht="47.25" x14ac:dyDescent="0.25">
      <c r="F336" s="7" t="s">
        <v>454</v>
      </c>
      <c r="L336" s="10" t="str">
        <v>L212</v>
      </c>
    </row>
    <row r="337" spans="6:12" ht="31.5" x14ac:dyDescent="0.25">
      <c r="F337" s="7" t="s">
        <v>457</v>
      </c>
      <c r="L337" s="10" t="str">
        <v>L213</v>
      </c>
    </row>
    <row r="338" spans="6:12" ht="47.25" x14ac:dyDescent="0.25">
      <c r="F338" s="7" t="s">
        <v>460</v>
      </c>
      <c r="L338" s="10" t="str">
        <v>L214</v>
      </c>
    </row>
    <row r="339" spans="6:12" ht="31.5" x14ac:dyDescent="0.25">
      <c r="F339" s="7" t="s">
        <v>463</v>
      </c>
      <c r="L339" s="10" t="str">
        <v>L215</v>
      </c>
    </row>
    <row r="340" spans="6:12" ht="47.25" x14ac:dyDescent="0.25">
      <c r="F340" s="7" t="s">
        <v>466</v>
      </c>
      <c r="L340" s="10" t="str">
        <v>L216</v>
      </c>
    </row>
    <row r="341" spans="6:12" ht="47.25" x14ac:dyDescent="0.25">
      <c r="F341" s="7" t="s">
        <v>469</v>
      </c>
      <c r="L341" s="10" t="str">
        <v>L217</v>
      </c>
    </row>
    <row r="342" spans="6:12" ht="47.25" x14ac:dyDescent="0.25">
      <c r="F342" s="7" t="s">
        <v>472</v>
      </c>
      <c r="L342" s="10" t="str">
        <v>L218</v>
      </c>
    </row>
    <row r="343" spans="6:12" ht="47.25" x14ac:dyDescent="0.25">
      <c r="F343" s="7" t="s">
        <v>475</v>
      </c>
      <c r="L343" s="10" t="str">
        <v>L219</v>
      </c>
    </row>
    <row r="344" spans="6:12" ht="47.25" x14ac:dyDescent="0.25">
      <c r="F344" s="7" t="s">
        <v>478</v>
      </c>
      <c r="L344" s="10" t="str">
        <v>L220</v>
      </c>
    </row>
    <row r="345" spans="6:12" ht="78.75" x14ac:dyDescent="0.25">
      <c r="F345" s="7" t="s">
        <v>481</v>
      </c>
      <c r="L345" s="10" t="str">
        <v>L221</v>
      </c>
    </row>
    <row r="346" spans="6:12" ht="78.75" x14ac:dyDescent="0.25">
      <c r="F346" s="7" t="s">
        <v>484</v>
      </c>
      <c r="L346" s="10" t="str">
        <v>L222</v>
      </c>
    </row>
    <row r="347" spans="6:12" ht="31.5" x14ac:dyDescent="0.25">
      <c r="F347" s="7" t="s">
        <v>487</v>
      </c>
      <c r="L347" s="10" t="str">
        <v>L223</v>
      </c>
    </row>
    <row r="348" spans="6:12" ht="31.5" x14ac:dyDescent="0.25">
      <c r="F348" s="7" t="s">
        <v>490</v>
      </c>
      <c r="L348" s="10" t="str">
        <v>L224</v>
      </c>
    </row>
    <row r="349" spans="6:12" ht="63" x14ac:dyDescent="0.25">
      <c r="F349" s="7" t="s">
        <v>493</v>
      </c>
      <c r="L349" s="10" t="str">
        <v>L225</v>
      </c>
    </row>
    <row r="350" spans="6:12" ht="31.5" x14ac:dyDescent="0.25">
      <c r="F350" s="7" t="s">
        <v>496</v>
      </c>
      <c r="L350" s="10" t="str">
        <v>L226</v>
      </c>
    </row>
    <row r="351" spans="6:12" ht="47.25" x14ac:dyDescent="0.25">
      <c r="F351" s="7" t="s">
        <v>499</v>
      </c>
      <c r="L351" s="10" t="str">
        <v>L227</v>
      </c>
    </row>
    <row r="352" spans="6:12" ht="47.25" x14ac:dyDescent="0.25">
      <c r="F352" s="7" t="s">
        <v>501</v>
      </c>
      <c r="L352" s="10" t="str">
        <v>L228</v>
      </c>
    </row>
    <row r="353" spans="6:12" ht="63" x14ac:dyDescent="0.25">
      <c r="F353" s="7" t="s">
        <v>503</v>
      </c>
      <c r="L353" s="10" t="str">
        <v>L229</v>
      </c>
    </row>
    <row r="354" spans="6:12" ht="31.5" x14ac:dyDescent="0.25">
      <c r="F354" s="7" t="s">
        <v>505</v>
      </c>
      <c r="L354" s="10" t="str">
        <v>L230</v>
      </c>
    </row>
    <row r="355" spans="6:12" ht="47.25" x14ac:dyDescent="0.25">
      <c r="F355" s="7" t="s">
        <v>508</v>
      </c>
      <c r="L355" s="10" t="str">
        <v>L231</v>
      </c>
    </row>
    <row r="356" spans="6:12" ht="63" x14ac:dyDescent="0.25">
      <c r="F356" s="7" t="s">
        <v>511</v>
      </c>
      <c r="L356" s="10" t="str">
        <v>L232</v>
      </c>
    </row>
    <row r="357" spans="6:12" ht="47.25" x14ac:dyDescent="0.25">
      <c r="F357" s="7" t="s">
        <v>514</v>
      </c>
      <c r="L357" s="10" t="str">
        <v>L233</v>
      </c>
    </row>
    <row r="358" spans="6:12" ht="47.25" x14ac:dyDescent="0.25">
      <c r="F358" s="7" t="s">
        <v>516</v>
      </c>
      <c r="L358" s="10" t="str">
        <v>L234</v>
      </c>
    </row>
    <row r="359" spans="6:12" ht="47.25" x14ac:dyDescent="0.25">
      <c r="F359" s="7" t="s">
        <v>519</v>
      </c>
      <c r="L359" s="10" t="str">
        <v>L235</v>
      </c>
    </row>
    <row r="360" spans="6:12" ht="47.25" x14ac:dyDescent="0.25">
      <c r="F360" s="7" t="s">
        <v>521</v>
      </c>
      <c r="L360" s="10" t="str">
        <v>L236</v>
      </c>
    </row>
    <row r="361" spans="6:12" ht="47.25" x14ac:dyDescent="0.25">
      <c r="F361" s="7" t="s">
        <v>523</v>
      </c>
      <c r="L361" s="10" t="str">
        <v>L237</v>
      </c>
    </row>
    <row r="362" spans="6:12" ht="31.5" x14ac:dyDescent="0.25">
      <c r="F362" s="7" t="s">
        <v>526</v>
      </c>
      <c r="L362" s="10" t="str">
        <v>L238</v>
      </c>
    </row>
    <row r="363" spans="6:12" ht="31.5" x14ac:dyDescent="0.25">
      <c r="F363" s="7" t="s">
        <v>528</v>
      </c>
      <c r="L363" s="10" t="str">
        <v>L239</v>
      </c>
    </row>
    <row r="364" spans="6:12" ht="63" x14ac:dyDescent="0.25">
      <c r="F364" s="7" t="s">
        <v>531</v>
      </c>
      <c r="L364" s="10" t="str">
        <v>L240</v>
      </c>
    </row>
    <row r="365" spans="6:12" ht="47.25" x14ac:dyDescent="0.25">
      <c r="F365" s="7" t="s">
        <v>533</v>
      </c>
      <c r="L365" s="10" t="str">
        <v>L241</v>
      </c>
    </row>
    <row r="366" spans="6:12" ht="47.25" x14ac:dyDescent="0.25">
      <c r="F366" s="7" t="s">
        <v>536</v>
      </c>
      <c r="L366" s="10" t="str">
        <v>L242</v>
      </c>
    </row>
    <row r="367" spans="6:12" ht="47.25" x14ac:dyDescent="0.25">
      <c r="F367" s="7" t="s">
        <v>539</v>
      </c>
      <c r="L367" s="10" t="str">
        <v>L243</v>
      </c>
    </row>
    <row r="368" spans="6:12" ht="63" x14ac:dyDescent="0.25">
      <c r="F368" s="7" t="s">
        <v>542</v>
      </c>
      <c r="L368" s="10" t="str">
        <v>L244</v>
      </c>
    </row>
    <row r="369" spans="6:12" ht="31.5" x14ac:dyDescent="0.25">
      <c r="F369" s="7" t="s">
        <v>544</v>
      </c>
      <c r="L369" s="10" t="str">
        <v>L245</v>
      </c>
    </row>
    <row r="370" spans="6:12" ht="31.5" x14ac:dyDescent="0.25">
      <c r="F370" s="7" t="s">
        <v>547</v>
      </c>
      <c r="L370" s="10" t="str">
        <v>L246</v>
      </c>
    </row>
    <row r="371" spans="6:12" ht="63" x14ac:dyDescent="0.25">
      <c r="F371" s="7" t="s">
        <v>550</v>
      </c>
      <c r="L371" s="10" t="str">
        <v>L247</v>
      </c>
    </row>
    <row r="372" spans="6:12" ht="47.25" x14ac:dyDescent="0.25">
      <c r="F372" s="7" t="s">
        <v>552</v>
      </c>
      <c r="L372" s="10" t="str">
        <v>L248</v>
      </c>
    </row>
    <row r="373" spans="6:12" ht="47.25" x14ac:dyDescent="0.25">
      <c r="F373" s="7" t="s">
        <v>555</v>
      </c>
      <c r="L373" s="10" t="str">
        <v>L249</v>
      </c>
    </row>
    <row r="374" spans="6:12" ht="31.5" x14ac:dyDescent="0.25">
      <c r="F374" s="7" t="s">
        <v>558</v>
      </c>
      <c r="L374" s="10" t="str">
        <v>L250</v>
      </c>
    </row>
    <row r="375" spans="6:12" ht="63" x14ac:dyDescent="0.25">
      <c r="F375" s="7" t="s">
        <v>561</v>
      </c>
      <c r="L375" s="10" t="str">
        <v>L251</v>
      </c>
    </row>
    <row r="376" spans="6:12" ht="78.75" x14ac:dyDescent="0.25">
      <c r="F376" s="7" t="s">
        <v>564</v>
      </c>
    </row>
    <row r="377" spans="6:12" ht="31.5" x14ac:dyDescent="0.25">
      <c r="F377" s="7" t="s">
        <v>567</v>
      </c>
    </row>
    <row r="378" spans="6:12" ht="31.5" x14ac:dyDescent="0.25">
      <c r="F378" s="7" t="s">
        <v>570</v>
      </c>
    </row>
    <row r="379" spans="6:12" ht="31.5" x14ac:dyDescent="0.25">
      <c r="F379" s="7" t="s">
        <v>572</v>
      </c>
    </row>
    <row r="380" spans="6:12" ht="31.5" x14ac:dyDescent="0.25">
      <c r="F380" s="7" t="s">
        <v>575</v>
      </c>
    </row>
    <row r="381" spans="6:12" ht="31.5" x14ac:dyDescent="0.25">
      <c r="F381" s="7" t="s">
        <v>578</v>
      </c>
    </row>
    <row r="382" spans="6:12" ht="31.5" x14ac:dyDescent="0.25">
      <c r="F382" s="7" t="s">
        <v>581</v>
      </c>
    </row>
    <row r="383" spans="6:12" ht="47.25" x14ac:dyDescent="0.25">
      <c r="F383" s="7" t="s">
        <v>583</v>
      </c>
    </row>
    <row r="384" spans="6:12" ht="47.25" x14ac:dyDescent="0.25">
      <c r="F384" s="7" t="s">
        <v>586</v>
      </c>
    </row>
    <row r="385" spans="6:6" ht="47.25" x14ac:dyDescent="0.25">
      <c r="F385" s="7" t="s">
        <v>588</v>
      </c>
    </row>
    <row r="386" spans="6:6" ht="78.75" x14ac:dyDescent="0.25">
      <c r="F386" s="7" t="s">
        <v>591</v>
      </c>
    </row>
    <row r="387" spans="6:6" ht="47.25" x14ac:dyDescent="0.25">
      <c r="F387" s="7" t="s">
        <v>594</v>
      </c>
    </row>
    <row r="388" spans="6:6" ht="47.25" x14ac:dyDescent="0.25">
      <c r="F388" s="7" t="s">
        <v>597</v>
      </c>
    </row>
    <row r="389" spans="6:6" ht="47.25" x14ac:dyDescent="0.25">
      <c r="F389" s="7" t="s">
        <v>600</v>
      </c>
    </row>
    <row r="390" spans="6:6" ht="47.25" x14ac:dyDescent="0.25">
      <c r="F390" s="7" t="s">
        <v>602</v>
      </c>
    </row>
    <row r="391" spans="6:6" ht="31.5" x14ac:dyDescent="0.25">
      <c r="F391" s="7" t="s">
        <v>605</v>
      </c>
    </row>
    <row r="392" spans="6:6" ht="47.25" x14ac:dyDescent="0.25">
      <c r="F392" s="7" t="s">
        <v>607</v>
      </c>
    </row>
    <row r="393" spans="6:6" ht="31.5" x14ac:dyDescent="0.25">
      <c r="F393" s="7" t="s">
        <v>609</v>
      </c>
    </row>
    <row r="394" spans="6:6" ht="110.25" x14ac:dyDescent="0.25">
      <c r="F394" s="7" t="s">
        <v>612</v>
      </c>
    </row>
    <row r="395" spans="6:6" ht="31.5" x14ac:dyDescent="0.25">
      <c r="F395" s="7" t="s">
        <v>615</v>
      </c>
    </row>
    <row r="396" spans="6:6" ht="47.25" x14ac:dyDescent="0.25">
      <c r="F396" s="7" t="s">
        <v>617</v>
      </c>
    </row>
    <row r="397" spans="6:6" ht="31.5" x14ac:dyDescent="0.25">
      <c r="F397" s="7" t="s">
        <v>619</v>
      </c>
    </row>
    <row r="398" spans="6:6" ht="47.25" x14ac:dyDescent="0.25">
      <c r="F398" s="7" t="s">
        <v>621</v>
      </c>
    </row>
    <row r="399" spans="6:6" ht="63" x14ac:dyDescent="0.25">
      <c r="F399" s="7" t="s">
        <v>624</v>
      </c>
    </row>
    <row r="400" spans="6:6" ht="63" x14ac:dyDescent="0.25">
      <c r="F400" s="7" t="s">
        <v>626</v>
      </c>
    </row>
    <row r="401" spans="6:6" ht="31.5" x14ac:dyDescent="0.25">
      <c r="F401" s="7" t="s">
        <v>629</v>
      </c>
    </row>
    <row r="402" spans="6:6" ht="47.25" x14ac:dyDescent="0.25">
      <c r="F402" s="7" t="s">
        <v>632</v>
      </c>
    </row>
    <row r="403" spans="6:6" ht="47.25" x14ac:dyDescent="0.25">
      <c r="F403" s="7" t="s">
        <v>635</v>
      </c>
    </row>
    <row r="404" spans="6:6" ht="47.25" x14ac:dyDescent="0.25">
      <c r="F404" s="7" t="s">
        <v>638</v>
      </c>
    </row>
    <row r="405" spans="6:6" ht="47.25" x14ac:dyDescent="0.25">
      <c r="F405" s="7" t="s">
        <v>641</v>
      </c>
    </row>
    <row r="406" spans="6:6" ht="47.25" x14ac:dyDescent="0.25">
      <c r="F406" s="7" t="s">
        <v>644</v>
      </c>
    </row>
    <row r="407" spans="6:6" ht="47.25" x14ac:dyDescent="0.25">
      <c r="F407" s="7" t="s">
        <v>647</v>
      </c>
    </row>
    <row r="408" spans="6:6" ht="63" x14ac:dyDescent="0.25">
      <c r="F408" s="7" t="s">
        <v>650</v>
      </c>
    </row>
    <row r="409" spans="6:6" ht="63" x14ac:dyDescent="0.25">
      <c r="F409" s="7" t="s">
        <v>652</v>
      </c>
    </row>
    <row r="410" spans="6:6" ht="78.75" x14ac:dyDescent="0.25">
      <c r="F410" s="7" t="s">
        <v>655</v>
      </c>
    </row>
    <row r="411" spans="6:6" ht="47.25" x14ac:dyDescent="0.25">
      <c r="F411" s="7" t="s">
        <v>658</v>
      </c>
    </row>
    <row r="412" spans="6:6" ht="31.5" x14ac:dyDescent="0.25">
      <c r="F412" s="7" t="s">
        <v>661</v>
      </c>
    </row>
    <row r="413" spans="6:6" ht="31.5" x14ac:dyDescent="0.25">
      <c r="F413" s="7" t="s">
        <v>664</v>
      </c>
    </row>
    <row r="414" spans="6:6" x14ac:dyDescent="0.25">
      <c r="F414" s="7" t="s">
        <v>667</v>
      </c>
    </row>
    <row r="415" spans="6:6" ht="31.5" x14ac:dyDescent="0.25">
      <c r="F415" s="7" t="s">
        <v>670</v>
      </c>
    </row>
    <row r="416" spans="6:6" ht="47.25" x14ac:dyDescent="0.25">
      <c r="F416" s="7" t="s">
        <v>673</v>
      </c>
    </row>
    <row r="417" spans="6:6" ht="47.25" x14ac:dyDescent="0.25">
      <c r="F417" s="7" t="s">
        <v>676</v>
      </c>
    </row>
    <row r="418" spans="6:6" ht="47.25" x14ac:dyDescent="0.25">
      <c r="F418" s="7" t="s">
        <v>679</v>
      </c>
    </row>
    <row r="419" spans="6:6" ht="47.25" x14ac:dyDescent="0.25">
      <c r="F419" s="7" t="s">
        <v>682</v>
      </c>
    </row>
    <row r="420" spans="6:6" ht="47.25" x14ac:dyDescent="0.25">
      <c r="F420" s="7" t="s">
        <v>684</v>
      </c>
    </row>
    <row r="421" spans="6:6" ht="47.25" x14ac:dyDescent="0.25">
      <c r="F421" s="7" t="s">
        <v>686</v>
      </c>
    </row>
    <row r="422" spans="6:6" ht="31.5" x14ac:dyDescent="0.25">
      <c r="F422" s="7" t="s">
        <v>688</v>
      </c>
    </row>
    <row r="423" spans="6:6" ht="47.25" x14ac:dyDescent="0.25">
      <c r="F423" s="7" t="s">
        <v>690</v>
      </c>
    </row>
    <row r="424" spans="6:6" ht="47.25" x14ac:dyDescent="0.25">
      <c r="F424" s="7" t="s">
        <v>693</v>
      </c>
    </row>
    <row r="425" spans="6:6" ht="47.25" x14ac:dyDescent="0.25">
      <c r="F425" s="7" t="s">
        <v>695</v>
      </c>
    </row>
    <row r="426" spans="6:6" ht="47.25" x14ac:dyDescent="0.25">
      <c r="F426" s="7" t="s">
        <v>698</v>
      </c>
    </row>
    <row r="427" spans="6:6" ht="31.5" x14ac:dyDescent="0.25">
      <c r="F427" s="7" t="s">
        <v>701</v>
      </c>
    </row>
    <row r="428" spans="6:6" ht="31.5" x14ac:dyDescent="0.25">
      <c r="F428" s="7" t="s">
        <v>704</v>
      </c>
    </row>
    <row r="429" spans="6:6" ht="47.25" x14ac:dyDescent="0.25">
      <c r="F429" s="7" t="s">
        <v>707</v>
      </c>
    </row>
    <row r="430" spans="6:6" ht="63" x14ac:dyDescent="0.25">
      <c r="F430" s="7" t="s">
        <v>709</v>
      </c>
    </row>
    <row r="431" spans="6:6" ht="31.5" x14ac:dyDescent="0.25">
      <c r="F431" s="7" t="s">
        <v>712</v>
      </c>
    </row>
    <row r="432" spans="6:6" ht="31.5" x14ac:dyDescent="0.25">
      <c r="F432" s="7" t="s">
        <v>716</v>
      </c>
    </row>
    <row r="433" spans="6:6" ht="63" x14ac:dyDescent="0.25">
      <c r="F433" s="7" t="s">
        <v>719</v>
      </c>
    </row>
    <row r="434" spans="6:6" ht="47.25" x14ac:dyDescent="0.25">
      <c r="F434" s="7" t="s">
        <v>722</v>
      </c>
    </row>
    <row r="435" spans="6:6" ht="31.5" x14ac:dyDescent="0.25">
      <c r="F435" s="7" t="s">
        <v>724</v>
      </c>
    </row>
    <row r="436" spans="6:6" ht="47.25" x14ac:dyDescent="0.25">
      <c r="F436" s="7" t="s">
        <v>727</v>
      </c>
    </row>
    <row r="437" spans="6:6" ht="47.25" x14ac:dyDescent="0.25">
      <c r="F437" s="7" t="s">
        <v>730</v>
      </c>
    </row>
    <row r="438" spans="6:6" ht="31.5" x14ac:dyDescent="0.25">
      <c r="F438" s="7" t="s">
        <v>733</v>
      </c>
    </row>
    <row r="439" spans="6:6" ht="31.5" x14ac:dyDescent="0.25">
      <c r="F439" s="7" t="s">
        <v>735</v>
      </c>
    </row>
    <row r="440" spans="6:6" ht="63" x14ac:dyDescent="0.25">
      <c r="F440" s="7" t="s">
        <v>738</v>
      </c>
    </row>
    <row r="441" spans="6:6" ht="31.5" x14ac:dyDescent="0.25">
      <c r="F441" s="7" t="s">
        <v>741</v>
      </c>
    </row>
    <row r="442" spans="6:6" ht="47.25" x14ac:dyDescent="0.25">
      <c r="F442" s="7" t="s">
        <v>744</v>
      </c>
    </row>
    <row r="443" spans="6:6" ht="31.5" x14ac:dyDescent="0.25">
      <c r="F443" s="7" t="s">
        <v>747</v>
      </c>
    </row>
    <row r="444" spans="6:6" ht="63" x14ac:dyDescent="0.25">
      <c r="F444" s="7" t="s">
        <v>749</v>
      </c>
    </row>
    <row r="445" spans="6:6" ht="78.75" x14ac:dyDescent="0.25">
      <c r="F445" s="7" t="s">
        <v>752</v>
      </c>
    </row>
    <row r="446" spans="6:6" ht="31.5" x14ac:dyDescent="0.25">
      <c r="F446" s="7" t="s">
        <v>755</v>
      </c>
    </row>
    <row r="447" spans="6:6" ht="47.25" x14ac:dyDescent="0.25">
      <c r="F447" s="7" t="s">
        <v>757</v>
      </c>
    </row>
    <row r="448" spans="6:6" ht="47.25" x14ac:dyDescent="0.25">
      <c r="F448" s="7" t="s">
        <v>759</v>
      </c>
    </row>
    <row r="449" spans="6:6" ht="47.25" x14ac:dyDescent="0.25">
      <c r="F449" s="7" t="s">
        <v>762</v>
      </c>
    </row>
    <row r="450" spans="6:6" ht="31.5" x14ac:dyDescent="0.25">
      <c r="F450" s="7" t="s">
        <v>764</v>
      </c>
    </row>
    <row r="451" spans="6:6" ht="31.5" x14ac:dyDescent="0.25">
      <c r="F451" s="7" t="s">
        <v>767</v>
      </c>
    </row>
    <row r="452" spans="6:6" ht="31.5" x14ac:dyDescent="0.25">
      <c r="F452" s="7" t="s">
        <v>769</v>
      </c>
    </row>
    <row r="453" spans="6:6" ht="31.5" x14ac:dyDescent="0.25">
      <c r="F453" s="7" t="s">
        <v>772</v>
      </c>
    </row>
    <row r="454" spans="6:6" ht="47.25" x14ac:dyDescent="0.25">
      <c r="F454" s="7" t="s">
        <v>774</v>
      </c>
    </row>
    <row r="455" spans="6:6" ht="47.25" x14ac:dyDescent="0.25">
      <c r="F455" s="7" t="s">
        <v>776</v>
      </c>
    </row>
    <row r="456" spans="6:6" ht="63" x14ac:dyDescent="0.25">
      <c r="F456" s="7" t="s">
        <v>779</v>
      </c>
    </row>
    <row r="457" spans="6:6" ht="63" x14ac:dyDescent="0.25">
      <c r="F457" s="7" t="s">
        <v>782</v>
      </c>
    </row>
    <row r="458" spans="6:6" ht="31.5" x14ac:dyDescent="0.25">
      <c r="F458" s="7" t="s">
        <v>784</v>
      </c>
    </row>
    <row r="459" spans="6:6" ht="31.5" x14ac:dyDescent="0.25">
      <c r="F459" s="7" t="s">
        <v>787</v>
      </c>
    </row>
    <row r="460" spans="6:6" ht="47.25" x14ac:dyDescent="0.25">
      <c r="F460" s="7" t="s">
        <v>789</v>
      </c>
    </row>
    <row r="461" spans="6:6" ht="31.5" x14ac:dyDescent="0.25">
      <c r="F461" s="7" t="s">
        <v>792</v>
      </c>
    </row>
    <row r="462" spans="6:6" ht="31.5" x14ac:dyDescent="0.25">
      <c r="F462" s="7" t="s">
        <v>795</v>
      </c>
    </row>
    <row r="463" spans="6:6" ht="63" x14ac:dyDescent="0.25">
      <c r="F463" s="7" t="s">
        <v>798</v>
      </c>
    </row>
    <row r="464" spans="6:6" ht="31.5" x14ac:dyDescent="0.25">
      <c r="F464" s="7" t="s">
        <v>800</v>
      </c>
    </row>
    <row r="465" spans="6:6" ht="47.25" x14ac:dyDescent="0.25">
      <c r="F465" s="7" t="s">
        <v>803</v>
      </c>
    </row>
    <row r="466" spans="6:6" ht="47.25" x14ac:dyDescent="0.25">
      <c r="F466" s="7" t="s">
        <v>805</v>
      </c>
    </row>
    <row r="467" spans="6:6" ht="47.25" x14ac:dyDescent="0.25">
      <c r="F467" s="7" t="s">
        <v>808</v>
      </c>
    </row>
    <row r="468" spans="6:6" ht="47.25" x14ac:dyDescent="0.25">
      <c r="F468" s="7" t="s">
        <v>811</v>
      </c>
    </row>
    <row r="469" spans="6:6" ht="47.25" x14ac:dyDescent="0.25">
      <c r="F469" s="7" t="s">
        <v>813</v>
      </c>
    </row>
    <row r="470" spans="6:6" ht="47.25" x14ac:dyDescent="0.25">
      <c r="F470" s="7" t="s">
        <v>815</v>
      </c>
    </row>
    <row r="471" spans="6:6" ht="47.25" x14ac:dyDescent="0.25">
      <c r="F471" s="7" t="s">
        <v>818</v>
      </c>
    </row>
    <row r="472" spans="6:6" ht="63" x14ac:dyDescent="0.25">
      <c r="F472" s="7" t="s">
        <v>821</v>
      </c>
    </row>
    <row r="473" spans="6:6" ht="47.25" x14ac:dyDescent="0.25">
      <c r="F473" s="7" t="s">
        <v>824</v>
      </c>
    </row>
    <row r="474" spans="6:6" ht="47.25" x14ac:dyDescent="0.25">
      <c r="F474" s="7" t="s">
        <v>827</v>
      </c>
    </row>
    <row r="475" spans="6:6" ht="31.5" x14ac:dyDescent="0.25">
      <c r="F475" s="7" t="s">
        <v>830</v>
      </c>
    </row>
    <row r="476" spans="6:6" ht="31.5" x14ac:dyDescent="0.25">
      <c r="F476" s="7" t="s">
        <v>832</v>
      </c>
    </row>
    <row r="477" spans="6:6" ht="47.25" x14ac:dyDescent="0.25">
      <c r="F477" s="7" t="s">
        <v>834</v>
      </c>
    </row>
    <row r="478" spans="6:6" ht="47.25" x14ac:dyDescent="0.25">
      <c r="F478" s="7" t="s">
        <v>838</v>
      </c>
    </row>
    <row r="479" spans="6:6" ht="31.5" x14ac:dyDescent="0.25">
      <c r="F479" s="7" t="s">
        <v>841</v>
      </c>
    </row>
    <row r="480" spans="6:6" ht="31.5" x14ac:dyDescent="0.25">
      <c r="F480" s="7" t="s">
        <v>843</v>
      </c>
    </row>
    <row r="481" spans="6:6" ht="31.5" x14ac:dyDescent="0.25">
      <c r="F481" s="7" t="s">
        <v>846</v>
      </c>
    </row>
    <row r="482" spans="6:6" ht="31.5" x14ac:dyDescent="0.25">
      <c r="F482" s="7" t="s">
        <v>849</v>
      </c>
    </row>
    <row r="483" spans="6:6" ht="31.5" x14ac:dyDescent="0.25">
      <c r="F483" s="7" t="s">
        <v>852</v>
      </c>
    </row>
    <row r="484" spans="6:6" ht="63" x14ac:dyDescent="0.25">
      <c r="F484" s="7" t="s">
        <v>855</v>
      </c>
    </row>
    <row r="485" spans="6:6" ht="31.5" x14ac:dyDescent="0.25">
      <c r="F485" s="7" t="s">
        <v>857</v>
      </c>
    </row>
    <row r="486" spans="6:6" ht="47.25" x14ac:dyDescent="0.25">
      <c r="F486" s="7" t="s">
        <v>859</v>
      </c>
    </row>
    <row r="487" spans="6:6" ht="47.25" x14ac:dyDescent="0.25">
      <c r="F487" s="7" t="s">
        <v>862</v>
      </c>
    </row>
    <row r="488" spans="6:6" ht="47.25" x14ac:dyDescent="0.25">
      <c r="F488" s="7" t="s">
        <v>864</v>
      </c>
    </row>
    <row r="489" spans="6:6" ht="47.25" x14ac:dyDescent="0.25">
      <c r="F489" s="7" t="s">
        <v>867</v>
      </c>
    </row>
    <row r="490" spans="6:6" ht="47.25" x14ac:dyDescent="0.25">
      <c r="F490" s="7" t="s">
        <v>869</v>
      </c>
    </row>
    <row r="491" spans="6:6" ht="47.25" x14ac:dyDescent="0.25">
      <c r="F491" s="7" t="s">
        <v>871</v>
      </c>
    </row>
    <row r="492" spans="6:6" ht="47.25" x14ac:dyDescent="0.25">
      <c r="F492" s="7" t="s">
        <v>874</v>
      </c>
    </row>
    <row r="493" spans="6:6" ht="31.5" x14ac:dyDescent="0.25">
      <c r="F493" s="7" t="s">
        <v>876</v>
      </c>
    </row>
    <row r="494" spans="6:6" ht="31.5" x14ac:dyDescent="0.25">
      <c r="F494" s="7" t="s">
        <v>879</v>
      </c>
    </row>
    <row r="495" spans="6:6" ht="47.25" x14ac:dyDescent="0.25">
      <c r="F495" s="7" t="s">
        <v>881</v>
      </c>
    </row>
    <row r="496" spans="6:6" ht="31.5" x14ac:dyDescent="0.25">
      <c r="F496" s="7" t="s">
        <v>884</v>
      </c>
    </row>
    <row r="497" spans="6:6" ht="47.25" x14ac:dyDescent="0.25">
      <c r="F497" s="7" t="s">
        <v>886</v>
      </c>
    </row>
    <row r="498" spans="6:6" ht="47.25" x14ac:dyDescent="0.25">
      <c r="F498" s="7" t="s">
        <v>889</v>
      </c>
    </row>
    <row r="499" spans="6:6" ht="31.5" x14ac:dyDescent="0.25">
      <c r="F499" s="7" t="s">
        <v>892</v>
      </c>
    </row>
    <row r="500" spans="6:6" ht="47.25" x14ac:dyDescent="0.25">
      <c r="F500" s="7" t="s">
        <v>894</v>
      </c>
    </row>
    <row r="501" spans="6:6" ht="31.5" x14ac:dyDescent="0.25">
      <c r="F501" s="7" t="s">
        <v>897</v>
      </c>
    </row>
    <row r="502" spans="6:6" ht="47.25" x14ac:dyDescent="0.25">
      <c r="F502" s="7" t="s">
        <v>900</v>
      </c>
    </row>
    <row r="503" spans="6:6" ht="31.5" x14ac:dyDescent="0.25">
      <c r="F503" s="7" t="s">
        <v>902</v>
      </c>
    </row>
    <row r="504" spans="6:6" ht="31.5" x14ac:dyDescent="0.25">
      <c r="F504" s="7" t="s">
        <v>904</v>
      </c>
    </row>
    <row r="505" spans="6:6" ht="31.5" x14ac:dyDescent="0.25">
      <c r="F505" s="7" t="s">
        <v>907</v>
      </c>
    </row>
    <row r="506" spans="6:6" ht="63" x14ac:dyDescent="0.25">
      <c r="F506" s="7" t="s">
        <v>909</v>
      </c>
    </row>
    <row r="507" spans="6:6" ht="31.5" x14ac:dyDescent="0.25">
      <c r="F507" s="7" t="s">
        <v>912</v>
      </c>
    </row>
    <row r="508" spans="6:6" ht="31.5" x14ac:dyDescent="0.25">
      <c r="F508" s="7" t="s">
        <v>915</v>
      </c>
    </row>
    <row r="509" spans="6:6" ht="47.25" x14ac:dyDescent="0.25">
      <c r="F509" s="7" t="s">
        <v>918</v>
      </c>
    </row>
    <row r="510" spans="6:6" ht="31.5" x14ac:dyDescent="0.25">
      <c r="F510" s="7" t="s">
        <v>920</v>
      </c>
    </row>
    <row r="511" spans="6:6" ht="31.5" x14ac:dyDescent="0.25">
      <c r="F511" s="7" t="s">
        <v>922</v>
      </c>
    </row>
    <row r="512" spans="6:6" ht="31.5" x14ac:dyDescent="0.25">
      <c r="F512" s="7" t="s">
        <v>925</v>
      </c>
    </row>
    <row r="513" spans="6:6" ht="47.25" x14ac:dyDescent="0.25">
      <c r="F513" s="7" t="s">
        <v>928</v>
      </c>
    </row>
    <row r="514" spans="6:6" ht="47.25" x14ac:dyDescent="0.25">
      <c r="F514" s="7" t="s">
        <v>931</v>
      </c>
    </row>
    <row r="515" spans="6:6" ht="47.25" x14ac:dyDescent="0.25">
      <c r="F515" s="7" t="s">
        <v>934</v>
      </c>
    </row>
    <row r="516" spans="6:6" ht="78.75" x14ac:dyDescent="0.25">
      <c r="F516" s="7" t="s">
        <v>937</v>
      </c>
    </row>
    <row r="517" spans="6:6" ht="31.5" x14ac:dyDescent="0.25">
      <c r="F517" s="7" t="s">
        <v>939</v>
      </c>
    </row>
    <row r="518" spans="6:6" ht="47.25" x14ac:dyDescent="0.25">
      <c r="F518" s="7" t="s">
        <v>942</v>
      </c>
    </row>
    <row r="519" spans="6:6" ht="63" x14ac:dyDescent="0.25">
      <c r="F519" s="7" t="s">
        <v>945</v>
      </c>
    </row>
    <row r="520" spans="6:6" ht="47.25" x14ac:dyDescent="0.25">
      <c r="F520" s="7" t="s">
        <v>948</v>
      </c>
    </row>
    <row r="521" spans="6:6" ht="47.25" x14ac:dyDescent="0.25">
      <c r="F521" s="7" t="s">
        <v>951</v>
      </c>
    </row>
    <row r="522" spans="6:6" ht="47.25" x14ac:dyDescent="0.25">
      <c r="F522" s="7" t="s">
        <v>953</v>
      </c>
    </row>
    <row r="523" spans="6:6" ht="47.25" x14ac:dyDescent="0.25">
      <c r="F523" s="7" t="s">
        <v>956</v>
      </c>
    </row>
    <row r="524" spans="6:6" ht="31.5" x14ac:dyDescent="0.25">
      <c r="F524" s="7" t="s">
        <v>959</v>
      </c>
    </row>
    <row r="525" spans="6:6" ht="47.25" x14ac:dyDescent="0.25">
      <c r="F525" s="7" t="s">
        <v>962</v>
      </c>
    </row>
    <row r="526" spans="6:6" ht="78.75" x14ac:dyDescent="0.25">
      <c r="F526" s="7" t="s">
        <v>965</v>
      </c>
    </row>
    <row r="527" spans="6:6" ht="47.25" x14ac:dyDescent="0.25">
      <c r="F527" s="7" t="s">
        <v>969</v>
      </c>
    </row>
    <row r="528" spans="6:6" ht="47.25" x14ac:dyDescent="0.25">
      <c r="F528" s="7" t="s">
        <v>972</v>
      </c>
    </row>
    <row r="529" spans="6:6" ht="47.25" x14ac:dyDescent="0.25">
      <c r="F529" s="7" t="s">
        <v>976</v>
      </c>
    </row>
    <row r="530" spans="6:6" ht="31.5" x14ac:dyDescent="0.25">
      <c r="F530" s="7" t="s">
        <v>979</v>
      </c>
    </row>
    <row r="531" spans="6:6" ht="63" x14ac:dyDescent="0.25">
      <c r="F531" s="7" t="s">
        <v>983</v>
      </c>
    </row>
    <row r="532" spans="6:6" ht="47.25" x14ac:dyDescent="0.25">
      <c r="F532" s="7" t="s">
        <v>986</v>
      </c>
    </row>
    <row r="533" spans="6:6" ht="47.25" x14ac:dyDescent="0.25">
      <c r="F533" s="7" t="s">
        <v>990</v>
      </c>
    </row>
    <row r="534" spans="6:6" ht="47.25" x14ac:dyDescent="0.25">
      <c r="F534" s="7" t="s">
        <v>994</v>
      </c>
    </row>
    <row r="535" spans="6:6" ht="47.25" x14ac:dyDescent="0.25">
      <c r="F535" s="7" t="s">
        <v>997</v>
      </c>
    </row>
    <row r="536" spans="6:6" ht="31.5" x14ac:dyDescent="0.25">
      <c r="F536" s="7" t="s">
        <v>1000</v>
      </c>
    </row>
    <row r="537" spans="6:6" ht="31.5" x14ac:dyDescent="0.25">
      <c r="F537" s="7" t="s">
        <v>1003</v>
      </c>
    </row>
    <row r="538" spans="6:6" ht="31.5" x14ac:dyDescent="0.25">
      <c r="F538" s="7" t="s">
        <v>1006</v>
      </c>
    </row>
    <row r="539" spans="6:6" ht="31.5" x14ac:dyDescent="0.25">
      <c r="F539" s="7" t="s">
        <v>1009</v>
      </c>
    </row>
    <row r="540" spans="6:6" ht="31.5" x14ac:dyDescent="0.25">
      <c r="F540" s="7" t="s">
        <v>1013</v>
      </c>
    </row>
    <row r="541" spans="6:6" ht="31.5" x14ac:dyDescent="0.25">
      <c r="F541" s="7" t="s">
        <v>1017</v>
      </c>
    </row>
    <row r="542" spans="6:6" ht="47.25" x14ac:dyDescent="0.25">
      <c r="F542" s="7" t="s">
        <v>1020</v>
      </c>
    </row>
    <row r="543" spans="6:6" ht="31.5" x14ac:dyDescent="0.25">
      <c r="F543" s="7" t="s">
        <v>1024</v>
      </c>
    </row>
    <row r="544" spans="6:6" ht="31.5" x14ac:dyDescent="0.25">
      <c r="F544" s="7" t="s">
        <v>1028</v>
      </c>
    </row>
    <row r="545" spans="6:6" ht="31.5" x14ac:dyDescent="0.25">
      <c r="F545" s="7" t="s">
        <v>1032</v>
      </c>
    </row>
    <row r="546" spans="6:6" ht="63" x14ac:dyDescent="0.25">
      <c r="F546" s="7" t="s">
        <v>1035</v>
      </c>
    </row>
    <row r="547" spans="6:6" ht="31.5" x14ac:dyDescent="0.25">
      <c r="F547" s="7" t="s">
        <v>1039</v>
      </c>
    </row>
    <row r="548" spans="6:6" ht="63" x14ac:dyDescent="0.25">
      <c r="F548" s="7" t="s">
        <v>1042</v>
      </c>
    </row>
    <row r="549" spans="6:6" ht="47.25" x14ac:dyDescent="0.25">
      <c r="F549" s="7" t="s">
        <v>1046</v>
      </c>
    </row>
    <row r="550" spans="6:6" ht="63" x14ac:dyDescent="0.25">
      <c r="F550" s="7" t="s">
        <v>1049</v>
      </c>
    </row>
    <row r="551" spans="6:6" ht="31.5" x14ac:dyDescent="0.25">
      <c r="F551" s="7" t="s">
        <v>1053</v>
      </c>
    </row>
    <row r="552" spans="6:6" ht="63" x14ac:dyDescent="0.25">
      <c r="F552" s="7" t="s">
        <v>1056</v>
      </c>
    </row>
    <row r="553" spans="6:6" ht="63" x14ac:dyDescent="0.25">
      <c r="F553" s="7" t="s">
        <v>1060</v>
      </c>
    </row>
    <row r="554" spans="6:6" ht="31.5" x14ac:dyDescent="0.25">
      <c r="F554" s="7" t="s">
        <v>1063</v>
      </c>
    </row>
    <row r="555" spans="6:6" ht="31.5" x14ac:dyDescent="0.25">
      <c r="F555" s="7" t="s">
        <v>1067</v>
      </c>
    </row>
    <row r="556" spans="6:6" ht="31.5" x14ac:dyDescent="0.25">
      <c r="F556" s="7" t="s">
        <v>1070</v>
      </c>
    </row>
    <row r="557" spans="6:6" ht="47.25" x14ac:dyDescent="0.25">
      <c r="F557" s="7" t="s">
        <v>1073</v>
      </c>
    </row>
    <row r="558" spans="6:6" ht="31.5" x14ac:dyDescent="0.25">
      <c r="F558" s="7" t="s">
        <v>1077</v>
      </c>
    </row>
    <row r="559" spans="6:6" ht="31.5" x14ac:dyDescent="0.25">
      <c r="F559" s="7" t="s">
        <v>1080</v>
      </c>
    </row>
    <row r="560" spans="6:6" ht="31.5" x14ac:dyDescent="0.25">
      <c r="F560" s="7" t="s">
        <v>1084</v>
      </c>
    </row>
    <row r="561" spans="6:6" ht="31.5" x14ac:dyDescent="0.25">
      <c r="F561" s="7" t="s">
        <v>1088</v>
      </c>
    </row>
    <row r="562" spans="6:6" ht="47.25" x14ac:dyDescent="0.25">
      <c r="F562" s="7" t="s">
        <v>1091</v>
      </c>
    </row>
    <row r="563" spans="6:6" ht="63" x14ac:dyDescent="0.25">
      <c r="F563" s="7" t="s">
        <v>1094</v>
      </c>
    </row>
    <row r="564" spans="6:6" ht="63" x14ac:dyDescent="0.25">
      <c r="F564" s="7" t="s">
        <v>1097</v>
      </c>
    </row>
    <row r="565" spans="6:6" ht="47.25" x14ac:dyDescent="0.25">
      <c r="F565" s="7" t="s">
        <v>1100</v>
      </c>
    </row>
    <row r="566" spans="6:6" ht="47.25" x14ac:dyDescent="0.25">
      <c r="F566" s="7" t="s">
        <v>1104</v>
      </c>
    </row>
    <row r="567" spans="6:6" ht="47.25" x14ac:dyDescent="0.25">
      <c r="F567" s="7" t="s">
        <v>1108</v>
      </c>
    </row>
    <row r="568" spans="6:6" ht="31.5" x14ac:dyDescent="0.25">
      <c r="F568" s="7" t="s">
        <v>1111</v>
      </c>
    </row>
    <row r="569" spans="6:6" ht="47.25" x14ac:dyDescent="0.25">
      <c r="F569" s="7" t="s">
        <v>1115</v>
      </c>
    </row>
    <row r="570" spans="6:6" ht="31.5" x14ac:dyDescent="0.25">
      <c r="F570" s="7" t="s">
        <v>1118</v>
      </c>
    </row>
    <row r="571" spans="6:6" ht="47.25" x14ac:dyDescent="0.25">
      <c r="F571" s="7" t="s">
        <v>1121</v>
      </c>
    </row>
    <row r="572" spans="6:6" ht="31.5" x14ac:dyDescent="0.25">
      <c r="F572" s="7" t="s">
        <v>1124</v>
      </c>
    </row>
    <row r="573" spans="6:6" ht="31.5" x14ac:dyDescent="0.25">
      <c r="F573" s="7" t="s">
        <v>1127</v>
      </c>
    </row>
    <row r="574" spans="6:6" ht="94.5" x14ac:dyDescent="0.25">
      <c r="F574" s="7" t="s">
        <v>1130</v>
      </c>
    </row>
    <row r="575" spans="6:6" ht="31.5" x14ac:dyDescent="0.25">
      <c r="F575" s="7" t="s">
        <v>1134</v>
      </c>
    </row>
    <row r="576" spans="6:6" ht="47.25" x14ac:dyDescent="0.25">
      <c r="F576" s="7" t="s">
        <v>1137</v>
      </c>
    </row>
    <row r="577" spans="6:6" ht="47.25" x14ac:dyDescent="0.25">
      <c r="F577" s="7" t="s">
        <v>1141</v>
      </c>
    </row>
    <row r="578" spans="6:6" ht="31.5" x14ac:dyDescent="0.25">
      <c r="F578" s="7" t="s">
        <v>1144</v>
      </c>
    </row>
    <row r="579" spans="6:6" ht="63" x14ac:dyDescent="0.25">
      <c r="F579" s="7" t="s">
        <v>1147</v>
      </c>
    </row>
    <row r="580" spans="6:6" ht="31.5" x14ac:dyDescent="0.25">
      <c r="F580" s="7" t="s">
        <v>1151</v>
      </c>
    </row>
    <row r="581" spans="6:6" ht="47.25" x14ac:dyDescent="0.25">
      <c r="F581" s="7" t="s">
        <v>1154</v>
      </c>
    </row>
    <row r="582" spans="6:6" ht="31.5" x14ac:dyDescent="0.25">
      <c r="F582" s="7" t="s">
        <v>1158</v>
      </c>
    </row>
    <row r="583" spans="6:6" ht="31.5" x14ac:dyDescent="0.25">
      <c r="F583" s="7" t="s">
        <v>1163</v>
      </c>
    </row>
    <row r="584" spans="6:6" ht="47.25" x14ac:dyDescent="0.25">
      <c r="F584" s="7" t="s">
        <v>1167</v>
      </c>
    </row>
    <row r="585" spans="6:6" ht="47.25" x14ac:dyDescent="0.25">
      <c r="F585" s="7" t="s">
        <v>1171</v>
      </c>
    </row>
    <row r="586" spans="6:6" ht="47.25" x14ac:dyDescent="0.25">
      <c r="F586" s="7" t="s">
        <v>1174</v>
      </c>
    </row>
    <row r="587" spans="6:6" ht="47.25" x14ac:dyDescent="0.25">
      <c r="F587" s="7" t="s">
        <v>1177</v>
      </c>
    </row>
    <row r="588" spans="6:6" ht="47.25" x14ac:dyDescent="0.25">
      <c r="F588" s="7" t="s">
        <v>1181</v>
      </c>
    </row>
    <row r="589" spans="6:6" ht="31.5" x14ac:dyDescent="0.25">
      <c r="F589" s="7" t="s">
        <v>1184</v>
      </c>
    </row>
    <row r="590" spans="6:6" ht="47.25" x14ac:dyDescent="0.25">
      <c r="F590" s="7" t="s">
        <v>1188</v>
      </c>
    </row>
    <row r="591" spans="6:6" ht="47.25" x14ac:dyDescent="0.25">
      <c r="F591" s="7" t="s">
        <v>1191</v>
      </c>
    </row>
    <row r="592" spans="6:6" ht="31.5" x14ac:dyDescent="0.25">
      <c r="F592" s="7" t="s">
        <v>1195</v>
      </c>
    </row>
    <row r="593" spans="6:6" ht="31.5" x14ac:dyDescent="0.25">
      <c r="F593" s="7" t="s">
        <v>1199</v>
      </c>
    </row>
    <row r="594" spans="6:6" ht="31.5" x14ac:dyDescent="0.25">
      <c r="F594" s="7" t="s">
        <v>1203</v>
      </c>
    </row>
    <row r="595" spans="6:6" ht="47.25" x14ac:dyDescent="0.25">
      <c r="F595" s="7" t="s">
        <v>1207</v>
      </c>
    </row>
    <row r="596" spans="6:6" ht="31.5" x14ac:dyDescent="0.25">
      <c r="F596" s="7" t="s">
        <v>1210</v>
      </c>
    </row>
    <row r="597" spans="6:6" ht="31.5" x14ac:dyDescent="0.25">
      <c r="F597" s="7" t="s">
        <v>1213</v>
      </c>
    </row>
    <row r="598" spans="6:6" ht="63" x14ac:dyDescent="0.25">
      <c r="F598" s="7" t="s">
        <v>1217</v>
      </c>
    </row>
    <row r="599" spans="6:6" ht="47.25" x14ac:dyDescent="0.25">
      <c r="F599" s="7" t="s">
        <v>1221</v>
      </c>
    </row>
    <row r="600" spans="6:6" ht="47.25" x14ac:dyDescent="0.25">
      <c r="F600" s="7" t="s">
        <v>1225</v>
      </c>
    </row>
    <row r="601" spans="6:6" ht="47.25" x14ac:dyDescent="0.25">
      <c r="F601" s="7" t="s">
        <v>1228</v>
      </c>
    </row>
    <row r="602" spans="6:6" ht="47.25" x14ac:dyDescent="0.25">
      <c r="F602" s="7" t="s">
        <v>1232</v>
      </c>
    </row>
    <row r="603" spans="6:6" ht="63" x14ac:dyDescent="0.25">
      <c r="F603" s="7" t="s">
        <v>1235</v>
      </c>
    </row>
    <row r="604" spans="6:6" ht="63" x14ac:dyDescent="0.25">
      <c r="F604" s="7" t="s">
        <v>1239</v>
      </c>
    </row>
    <row r="605" spans="6:6" ht="47.25" x14ac:dyDescent="0.25">
      <c r="F605" s="7" t="s">
        <v>1243</v>
      </c>
    </row>
    <row r="606" spans="6:6" ht="63" x14ac:dyDescent="0.25">
      <c r="F606" s="7" t="s">
        <v>1247</v>
      </c>
    </row>
    <row r="607" spans="6:6" ht="78.75" x14ac:dyDescent="0.25">
      <c r="F607" s="7" t="s">
        <v>1250</v>
      </c>
    </row>
    <row r="608" spans="6:6" ht="31.5" x14ac:dyDescent="0.25">
      <c r="F608" s="7" t="s">
        <v>1254</v>
      </c>
    </row>
    <row r="609" spans="6:6" ht="78.75" x14ac:dyDescent="0.25">
      <c r="F609" s="7" t="s">
        <v>1257</v>
      </c>
    </row>
    <row r="610" spans="6:6" ht="47.25" x14ac:dyDescent="0.25">
      <c r="F610" s="7" t="s">
        <v>1261</v>
      </c>
    </row>
    <row r="611" spans="6:6" ht="31.5" x14ac:dyDescent="0.25">
      <c r="F611" s="7" t="s">
        <v>1264</v>
      </c>
    </row>
    <row r="612" spans="6:6" ht="78.75" x14ac:dyDescent="0.25">
      <c r="F612" s="7" t="s">
        <v>1267</v>
      </c>
    </row>
    <row r="613" spans="6:6" ht="31.5" x14ac:dyDescent="0.25">
      <c r="F613" s="7" t="s">
        <v>1271</v>
      </c>
    </row>
    <row r="614" spans="6:6" ht="47.25" x14ac:dyDescent="0.25">
      <c r="F614" s="7" t="s">
        <v>1274</v>
      </c>
    </row>
    <row r="615" spans="6:6" ht="31.5" x14ac:dyDescent="0.25">
      <c r="F615" s="7" t="s">
        <v>1277</v>
      </c>
    </row>
    <row r="616" spans="6:6" ht="63" x14ac:dyDescent="0.25">
      <c r="F616" s="7" t="s">
        <v>1281</v>
      </c>
    </row>
    <row r="617" spans="6:6" ht="78.75" x14ac:dyDescent="0.25">
      <c r="F617" s="7" t="s">
        <v>1285</v>
      </c>
    </row>
    <row r="618" spans="6:6" ht="63" x14ac:dyDescent="0.25">
      <c r="F618" s="7" t="s">
        <v>1288</v>
      </c>
    </row>
    <row r="619" spans="6:6" ht="31.5" x14ac:dyDescent="0.25">
      <c r="F619" s="7" t="s">
        <v>1292</v>
      </c>
    </row>
    <row r="620" spans="6:6" ht="31.5" x14ac:dyDescent="0.25">
      <c r="F620" s="7" t="s">
        <v>1295</v>
      </c>
    </row>
    <row r="621" spans="6:6" ht="31.5" x14ac:dyDescent="0.25">
      <c r="F621" s="7" t="s">
        <v>1299</v>
      </c>
    </row>
    <row r="622" spans="6:6" ht="47.25" x14ac:dyDescent="0.25">
      <c r="F622" s="7" t="s">
        <v>1303</v>
      </c>
    </row>
    <row r="623" spans="6:6" ht="47.25" x14ac:dyDescent="0.25">
      <c r="F623" s="7" t="s">
        <v>1307</v>
      </c>
    </row>
    <row r="624" spans="6:6" ht="31.5" x14ac:dyDescent="0.25">
      <c r="F624" s="7" t="s">
        <v>1311</v>
      </c>
    </row>
    <row r="625" spans="6:6" ht="31.5" x14ac:dyDescent="0.25">
      <c r="F625" s="7" t="s">
        <v>1315</v>
      </c>
    </row>
    <row r="626" spans="6:6" x14ac:dyDescent="0.25">
      <c r="F626" s="7" t="s">
        <v>1318</v>
      </c>
    </row>
    <row r="627" spans="6:6" ht="31.5" x14ac:dyDescent="0.25">
      <c r="F627" s="7" t="s">
        <v>1321</v>
      </c>
    </row>
    <row r="628" spans="6:6" ht="31.5" x14ac:dyDescent="0.25">
      <c r="F628" s="7" t="s">
        <v>1324</v>
      </c>
    </row>
    <row r="629" spans="6:6" ht="31.5" x14ac:dyDescent="0.25">
      <c r="F629" s="7" t="s">
        <v>1327</v>
      </c>
    </row>
    <row r="630" spans="6:6" ht="63" x14ac:dyDescent="0.25">
      <c r="F630" s="7" t="s">
        <v>1331</v>
      </c>
    </row>
    <row r="631" spans="6:6" ht="47.25" x14ac:dyDescent="0.25">
      <c r="F631" s="7" t="s">
        <v>1335</v>
      </c>
    </row>
    <row r="632" spans="6:6" ht="47.25" x14ac:dyDescent="0.25">
      <c r="F632" s="7" t="s">
        <v>1338</v>
      </c>
    </row>
    <row r="633" spans="6:6" ht="31.5" x14ac:dyDescent="0.25">
      <c r="F633" s="7" t="s">
        <v>1342</v>
      </c>
    </row>
    <row r="634" spans="6:6" ht="31.5" x14ac:dyDescent="0.25">
      <c r="F634" s="7" t="s">
        <v>1345</v>
      </c>
    </row>
    <row r="635" spans="6:6" ht="31.5" x14ac:dyDescent="0.25">
      <c r="F635" s="7" t="s">
        <v>1349</v>
      </c>
    </row>
    <row r="636" spans="6:6" ht="47.25" x14ac:dyDescent="0.25">
      <c r="F636" s="7" t="s">
        <v>1352</v>
      </c>
    </row>
    <row r="637" spans="6:6" ht="47.25" x14ac:dyDescent="0.25">
      <c r="F637" s="7" t="s">
        <v>1355</v>
      </c>
    </row>
    <row r="638" spans="6:6" ht="31.5" x14ac:dyDescent="0.25">
      <c r="F638" s="7" t="s">
        <v>1358</v>
      </c>
    </row>
    <row r="639" spans="6:6" ht="47.25" x14ac:dyDescent="0.25">
      <c r="F639" s="7" t="s">
        <v>1361</v>
      </c>
    </row>
    <row r="640" spans="6:6" ht="31.5" x14ac:dyDescent="0.25">
      <c r="F640" s="7" t="s">
        <v>1364</v>
      </c>
    </row>
    <row r="641" spans="6:6" ht="47.25" x14ac:dyDescent="0.25">
      <c r="F641" s="7" t="s">
        <v>1367</v>
      </c>
    </row>
    <row r="642" spans="6:6" ht="31.5" x14ac:dyDescent="0.25">
      <c r="F642" s="7" t="s">
        <v>1371</v>
      </c>
    </row>
    <row r="643" spans="6:6" ht="63" x14ac:dyDescent="0.25">
      <c r="F643" s="7" t="s">
        <v>1375</v>
      </c>
    </row>
    <row r="644" spans="6:6" ht="47.25" x14ac:dyDescent="0.25">
      <c r="F644" s="7" t="s">
        <v>1378</v>
      </c>
    </row>
    <row r="645" spans="6:6" ht="47.25" x14ac:dyDescent="0.25">
      <c r="F645" s="7" t="s">
        <v>1381</v>
      </c>
    </row>
    <row r="646" spans="6:6" ht="31.5" x14ac:dyDescent="0.25">
      <c r="F646" s="7" t="s">
        <v>1384</v>
      </c>
    </row>
    <row r="647" spans="6:6" ht="47.25" x14ac:dyDescent="0.25">
      <c r="F647" s="7" t="s">
        <v>1387</v>
      </c>
    </row>
    <row r="648" spans="6:6" ht="31.5" x14ac:dyDescent="0.25">
      <c r="F648" s="7" t="s">
        <v>1390</v>
      </c>
    </row>
    <row r="649" spans="6:6" ht="63" x14ac:dyDescent="0.25">
      <c r="F649" s="7" t="s">
        <v>1394</v>
      </c>
    </row>
    <row r="650" spans="6:6" ht="63" x14ac:dyDescent="0.25">
      <c r="F650" s="7" t="s">
        <v>1398</v>
      </c>
    </row>
    <row r="651" spans="6:6" ht="47.25" x14ac:dyDescent="0.25">
      <c r="F651" s="7" t="s">
        <v>1402</v>
      </c>
    </row>
    <row r="652" spans="6:6" ht="31.5" x14ac:dyDescent="0.25">
      <c r="F652" s="7" t="s">
        <v>1405</v>
      </c>
    </row>
    <row r="653" spans="6:6" ht="47.25" x14ac:dyDescent="0.25">
      <c r="F653" s="7" t="s">
        <v>1409</v>
      </c>
    </row>
    <row r="654" spans="6:6" ht="47.25" x14ac:dyDescent="0.25">
      <c r="F654" s="7" t="s">
        <v>1412</v>
      </c>
    </row>
    <row r="655" spans="6:6" ht="63" x14ac:dyDescent="0.25">
      <c r="F655" s="7" t="s">
        <v>1415</v>
      </c>
    </row>
    <row r="656" spans="6:6" ht="47.25" x14ac:dyDescent="0.25">
      <c r="F656" s="7" t="s">
        <v>1419</v>
      </c>
    </row>
    <row r="657" spans="6:6" ht="31.5" x14ac:dyDescent="0.25">
      <c r="F657" s="7" t="s">
        <v>1422</v>
      </c>
    </row>
    <row r="658" spans="6:6" ht="47.25" x14ac:dyDescent="0.25">
      <c r="F658" s="7" t="s">
        <v>1426</v>
      </c>
    </row>
    <row r="659" spans="6:6" ht="47.25" x14ac:dyDescent="0.25">
      <c r="F659" s="7" t="s">
        <v>1430</v>
      </c>
    </row>
    <row r="660" spans="6:6" ht="31.5" x14ac:dyDescent="0.25">
      <c r="F660" s="7" t="s">
        <v>1434</v>
      </c>
    </row>
    <row r="661" spans="6:6" ht="63" x14ac:dyDescent="0.25">
      <c r="F661" s="7" t="s">
        <v>1438</v>
      </c>
    </row>
    <row r="662" spans="6:6" ht="47.25" x14ac:dyDescent="0.25">
      <c r="F662" s="7" t="s">
        <v>1441</v>
      </c>
    </row>
    <row r="663" spans="6:6" ht="47.25" x14ac:dyDescent="0.25">
      <c r="F663" s="7" t="s">
        <v>1445</v>
      </c>
    </row>
    <row r="664" spans="6:6" ht="47.25" x14ac:dyDescent="0.25">
      <c r="F664" s="7" t="s">
        <v>1449</v>
      </c>
    </row>
    <row r="665" spans="6:6" ht="31.5" x14ac:dyDescent="0.25">
      <c r="F665" s="7" t="s">
        <v>1452</v>
      </c>
    </row>
    <row r="666" spans="6:6" ht="47.25" x14ac:dyDescent="0.25">
      <c r="F666" s="7" t="s">
        <v>1455</v>
      </c>
    </row>
    <row r="667" spans="6:6" ht="31.5" x14ac:dyDescent="0.25">
      <c r="F667" s="7" t="s">
        <v>1458</v>
      </c>
    </row>
    <row r="668" spans="6:6" ht="31.5" x14ac:dyDescent="0.25">
      <c r="F668" s="7" t="s">
        <v>1461</v>
      </c>
    </row>
    <row r="669" spans="6:6" ht="47.25" x14ac:dyDescent="0.25">
      <c r="F669" s="7" t="s">
        <v>1464</v>
      </c>
    </row>
    <row r="670" spans="6:6" ht="63" x14ac:dyDescent="0.25">
      <c r="F670" s="7" t="s">
        <v>1467</v>
      </c>
    </row>
    <row r="671" spans="6:6" ht="47.25" x14ac:dyDescent="0.25">
      <c r="F671" s="7" t="s">
        <v>1471</v>
      </c>
    </row>
    <row r="672" spans="6:6" ht="63" x14ac:dyDescent="0.25">
      <c r="F672" s="7" t="s">
        <v>1474</v>
      </c>
    </row>
    <row r="673" spans="6:6" ht="47.25" x14ac:dyDescent="0.25">
      <c r="F673" s="7" t="s">
        <v>1477</v>
      </c>
    </row>
    <row r="674" spans="6:6" ht="47.25" x14ac:dyDescent="0.25">
      <c r="F674" s="7" t="s">
        <v>1480</v>
      </c>
    </row>
    <row r="675" spans="6:6" ht="31.5" x14ac:dyDescent="0.25">
      <c r="F675" s="7" t="s">
        <v>1483</v>
      </c>
    </row>
    <row r="676" spans="6:6" ht="63" x14ac:dyDescent="0.25">
      <c r="F676" s="7" t="s">
        <v>1487</v>
      </c>
    </row>
    <row r="677" spans="6:6" ht="31.5" x14ac:dyDescent="0.25">
      <c r="F677" s="7" t="s">
        <v>1490</v>
      </c>
    </row>
    <row r="678" spans="6:6" ht="63" x14ac:dyDescent="0.25">
      <c r="F678" s="7" t="s">
        <v>1494</v>
      </c>
    </row>
    <row r="679" spans="6:6" ht="47.25" x14ac:dyDescent="0.25">
      <c r="F679" s="7" t="s">
        <v>1497</v>
      </c>
    </row>
    <row r="680" spans="6:6" ht="47.25" x14ac:dyDescent="0.25">
      <c r="F680" s="7" t="s">
        <v>1500</v>
      </c>
    </row>
    <row r="681" spans="6:6" ht="47.25" x14ac:dyDescent="0.25">
      <c r="F681" s="7" t="s">
        <v>1504</v>
      </c>
    </row>
    <row r="682" spans="6:6" ht="47.25" x14ac:dyDescent="0.25">
      <c r="F682" s="7" t="s">
        <v>1507</v>
      </c>
    </row>
    <row r="683" spans="6:6" ht="47.25" x14ac:dyDescent="0.25">
      <c r="F683" s="7" t="s">
        <v>1510</v>
      </c>
    </row>
    <row r="684" spans="6:6" ht="47.25" x14ac:dyDescent="0.25">
      <c r="F684" s="7" t="s">
        <v>1515</v>
      </c>
    </row>
    <row r="685" spans="6:6" ht="47.25" x14ac:dyDescent="0.25">
      <c r="F685" s="7" t="s">
        <v>1518</v>
      </c>
    </row>
    <row r="686" spans="6:6" ht="31.5" x14ac:dyDescent="0.25">
      <c r="F686" s="7" t="s">
        <v>1521</v>
      </c>
    </row>
    <row r="687" spans="6:6" ht="63" x14ac:dyDescent="0.25">
      <c r="F687" s="7" t="s">
        <v>1524</v>
      </c>
    </row>
    <row r="688" spans="6:6" ht="63" x14ac:dyDescent="0.25">
      <c r="F688" s="7" t="s">
        <v>1527</v>
      </c>
    </row>
    <row r="689" spans="6:6" ht="63" x14ac:dyDescent="0.25">
      <c r="F689" s="7" t="s">
        <v>1531</v>
      </c>
    </row>
    <row r="690" spans="6:6" ht="47.25" x14ac:dyDescent="0.25">
      <c r="F690" s="7" t="s">
        <v>1535</v>
      </c>
    </row>
    <row r="691" spans="6:6" ht="31.5" x14ac:dyDescent="0.25">
      <c r="F691" s="7" t="s">
        <v>1539</v>
      </c>
    </row>
    <row r="692" spans="6:6" ht="47.25" x14ac:dyDescent="0.25">
      <c r="F692" s="7" t="s">
        <v>1542</v>
      </c>
    </row>
    <row r="693" spans="6:6" ht="47.25" x14ac:dyDescent="0.25">
      <c r="F693" s="7" t="s">
        <v>1545</v>
      </c>
    </row>
    <row r="694" spans="6:6" ht="31.5" x14ac:dyDescent="0.25">
      <c r="F694" s="7" t="s">
        <v>1549</v>
      </c>
    </row>
    <row r="695" spans="6:6" ht="94.5" x14ac:dyDescent="0.25">
      <c r="F695" s="7" t="s">
        <v>1553</v>
      </c>
    </row>
    <row r="696" spans="6:6" ht="31.5" x14ac:dyDescent="0.25">
      <c r="F696" s="7" t="s">
        <v>1557</v>
      </c>
    </row>
    <row r="697" spans="6:6" ht="31.5" x14ac:dyDescent="0.25">
      <c r="F697" s="7" t="s">
        <v>1561</v>
      </c>
    </row>
    <row r="698" spans="6:6" x14ac:dyDescent="0.25">
      <c r="F698" s="7" t="s">
        <v>1565</v>
      </c>
    </row>
    <row r="699" spans="6:6" ht="47.25" x14ac:dyDescent="0.25">
      <c r="F699" s="7" t="s">
        <v>1568</v>
      </c>
    </row>
    <row r="700" spans="6:6" ht="31.5" x14ac:dyDescent="0.25">
      <c r="F700" s="7" t="s">
        <v>1571</v>
      </c>
    </row>
    <row r="701" spans="6:6" ht="47.25" x14ac:dyDescent="0.25">
      <c r="F701" s="7" t="s">
        <v>1574</v>
      </c>
    </row>
    <row r="702" spans="6:6" ht="47.25" x14ac:dyDescent="0.25">
      <c r="F702" s="7" t="s">
        <v>1577</v>
      </c>
    </row>
    <row r="703" spans="6:6" ht="47.25" x14ac:dyDescent="0.25">
      <c r="F703" s="7" t="s">
        <v>1580</v>
      </c>
    </row>
    <row r="704" spans="6:6" ht="47.25" x14ac:dyDescent="0.25">
      <c r="F704" s="7" t="s">
        <v>1583</v>
      </c>
    </row>
    <row r="705" spans="6:6" ht="47.25" x14ac:dyDescent="0.25">
      <c r="F705" s="56" t="s">
        <v>1586</v>
      </c>
    </row>
    <row r="706" spans="6:6" ht="47.25" x14ac:dyDescent="0.25">
      <c r="F706" s="7" t="s">
        <v>1589</v>
      </c>
    </row>
    <row r="707" spans="6:6" ht="63" x14ac:dyDescent="0.25">
      <c r="F707" s="7" t="s">
        <v>1593</v>
      </c>
    </row>
    <row r="708" spans="6:6" ht="47.25" x14ac:dyDescent="0.25">
      <c r="F708" s="7" t="s">
        <v>1596</v>
      </c>
    </row>
    <row r="709" spans="6:6" ht="47.25" x14ac:dyDescent="0.25">
      <c r="F709" s="7" t="s">
        <v>1599</v>
      </c>
    </row>
    <row r="710" spans="6:6" ht="31.5" x14ac:dyDescent="0.25">
      <c r="F710" s="7" t="s">
        <v>1603</v>
      </c>
    </row>
    <row r="711" spans="6:6" ht="63" x14ac:dyDescent="0.25">
      <c r="F711" s="7" t="s">
        <v>1607</v>
      </c>
    </row>
    <row r="712" spans="6:6" ht="47.25" x14ac:dyDescent="0.25">
      <c r="F712" s="7" t="s">
        <v>1610</v>
      </c>
    </row>
    <row r="713" spans="6:6" ht="47.25" x14ac:dyDescent="0.25">
      <c r="F713" s="7" t="s">
        <v>1613</v>
      </c>
    </row>
    <row r="714" spans="6:6" ht="47.25" x14ac:dyDescent="0.25">
      <c r="F714" s="7" t="s">
        <v>1616</v>
      </c>
    </row>
    <row r="715" spans="6:6" ht="31.5" x14ac:dyDescent="0.25">
      <c r="F715" s="7" t="s">
        <v>1619</v>
      </c>
    </row>
    <row r="716" spans="6:6" ht="47.25" x14ac:dyDescent="0.25">
      <c r="F716" s="7" t="s">
        <v>1622</v>
      </c>
    </row>
    <row r="717" spans="6:6" ht="31.5" x14ac:dyDescent="0.25">
      <c r="F717" s="7" t="s">
        <v>1625</v>
      </c>
    </row>
    <row r="718" spans="6:6" ht="31.5" x14ac:dyDescent="0.25">
      <c r="F718" s="7" t="s">
        <v>1628</v>
      </c>
    </row>
    <row r="719" spans="6:6" ht="31.5" x14ac:dyDescent="0.25">
      <c r="F719" s="7" t="s">
        <v>1631</v>
      </c>
    </row>
    <row r="720" spans="6:6" ht="31.5" x14ac:dyDescent="0.25">
      <c r="F720" s="7" t="s">
        <v>1634</v>
      </c>
    </row>
    <row r="721" spans="6:6" ht="47.25" x14ac:dyDescent="0.25">
      <c r="F721" s="7" t="s">
        <v>1638</v>
      </c>
    </row>
    <row r="722" spans="6:6" ht="47.25" x14ac:dyDescent="0.25">
      <c r="F722" s="7" t="s">
        <v>1641</v>
      </c>
    </row>
    <row r="723" spans="6:6" ht="63" x14ac:dyDescent="0.25">
      <c r="F723" s="7" t="s">
        <v>1644</v>
      </c>
    </row>
    <row r="724" spans="6:6" ht="63" x14ac:dyDescent="0.25">
      <c r="F724" s="7" t="s">
        <v>1647</v>
      </c>
    </row>
    <row r="725" spans="6:6" ht="31.5" x14ac:dyDescent="0.25">
      <c r="F725" s="7" t="s">
        <v>1651</v>
      </c>
    </row>
    <row r="726" spans="6:6" ht="31.5" x14ac:dyDescent="0.25">
      <c r="F726" s="7" t="s">
        <v>1655</v>
      </c>
    </row>
    <row r="727" spans="6:6" ht="31.5" x14ac:dyDescent="0.25">
      <c r="F727" s="7" t="s">
        <v>1658</v>
      </c>
    </row>
    <row r="728" spans="6:6" ht="31.5" x14ac:dyDescent="0.25">
      <c r="F728" s="7" t="s">
        <v>1661</v>
      </c>
    </row>
    <row r="729" spans="6:6" ht="63" x14ac:dyDescent="0.25">
      <c r="F729" s="7" t="s">
        <v>1664</v>
      </c>
    </row>
    <row r="730" spans="6:6" ht="31.5" x14ac:dyDescent="0.25">
      <c r="F730" s="7" t="s">
        <v>1667</v>
      </c>
    </row>
    <row r="731" spans="6:6" ht="31.5" x14ac:dyDescent="0.25">
      <c r="F731" s="7" t="s">
        <v>1671</v>
      </c>
    </row>
    <row r="732" spans="6:6" ht="47.25" x14ac:dyDescent="0.25">
      <c r="F732" s="7" t="s">
        <v>1674</v>
      </c>
    </row>
    <row r="733" spans="6:6" ht="47.25" x14ac:dyDescent="0.25">
      <c r="F733" s="7" t="s">
        <v>1678</v>
      </c>
    </row>
    <row r="734" spans="6:6" ht="47.25" x14ac:dyDescent="0.25">
      <c r="F734" s="7" t="s">
        <v>1682</v>
      </c>
    </row>
    <row r="735" spans="6:6" ht="31.5" x14ac:dyDescent="0.25">
      <c r="F735" s="7" t="s">
        <v>1685</v>
      </c>
    </row>
    <row r="736" spans="6:6" ht="63" x14ac:dyDescent="0.25">
      <c r="F736" s="7" t="s">
        <v>1689</v>
      </c>
    </row>
    <row r="737" spans="6:6" ht="31.5" x14ac:dyDescent="0.25">
      <c r="F737" s="7" t="s">
        <v>1692</v>
      </c>
    </row>
    <row r="738" spans="6:6" ht="63" x14ac:dyDescent="0.25">
      <c r="F738" s="7" t="s">
        <v>1695</v>
      </c>
    </row>
    <row r="739" spans="6:6" ht="47.25" x14ac:dyDescent="0.25">
      <c r="F739" s="7" t="s">
        <v>1698</v>
      </c>
    </row>
    <row r="740" spans="6:6" ht="63" x14ac:dyDescent="0.25">
      <c r="F740" s="7" t="s">
        <v>1701</v>
      </c>
    </row>
    <row r="741" spans="6:6" ht="31.5" x14ac:dyDescent="0.25">
      <c r="F741" s="7" t="s">
        <v>1704</v>
      </c>
    </row>
    <row r="742" spans="6:6" ht="47.25" x14ac:dyDescent="0.25">
      <c r="F742" s="7" t="s">
        <v>1707</v>
      </c>
    </row>
    <row r="743" spans="6:6" ht="47.25" x14ac:dyDescent="0.25">
      <c r="F743" s="7" t="s">
        <v>1710</v>
      </c>
    </row>
    <row r="744" spans="6:6" ht="47.25" x14ac:dyDescent="0.25">
      <c r="F744" s="7" t="s">
        <v>1714</v>
      </c>
    </row>
    <row r="745" spans="6:6" ht="31.5" x14ac:dyDescent="0.25">
      <c r="F745" s="7" t="s">
        <v>1717</v>
      </c>
    </row>
    <row r="746" spans="6:6" ht="31.5" x14ac:dyDescent="0.25">
      <c r="F746" s="7" t="s">
        <v>1720</v>
      </c>
    </row>
    <row r="747" spans="6:6" ht="47.25" x14ac:dyDescent="0.25">
      <c r="F747" s="7" t="s">
        <v>1724</v>
      </c>
    </row>
    <row r="748" spans="6:6" ht="47.25" x14ac:dyDescent="0.25">
      <c r="F748" s="7" t="s">
        <v>1728</v>
      </c>
    </row>
    <row r="749" spans="6:6" ht="47.25" x14ac:dyDescent="0.25">
      <c r="F749" s="7" t="s">
        <v>1732</v>
      </c>
    </row>
    <row r="750" spans="6:6" ht="47.25" x14ac:dyDescent="0.25">
      <c r="F750" s="7" t="s">
        <v>1736</v>
      </c>
    </row>
    <row r="751" spans="6:6" ht="31.5" x14ac:dyDescent="0.25">
      <c r="F751" s="7" t="s">
        <v>1739</v>
      </c>
    </row>
    <row r="752" spans="6:6" ht="63" x14ac:dyDescent="0.25">
      <c r="F752" s="7" t="s">
        <v>1743</v>
      </c>
    </row>
    <row r="753" spans="6:6" ht="31.5" x14ac:dyDescent="0.25">
      <c r="F753" s="7" t="s">
        <v>1746</v>
      </c>
    </row>
    <row r="754" spans="6:6" ht="63" x14ac:dyDescent="0.25">
      <c r="F754" s="7" t="s">
        <v>1749</v>
      </c>
    </row>
    <row r="755" spans="6:6" ht="31.5" x14ac:dyDescent="0.25">
      <c r="F755" s="7" t="s">
        <v>1753</v>
      </c>
    </row>
    <row r="756" spans="6:6" ht="47.25" x14ac:dyDescent="0.25">
      <c r="F756" s="7" t="s">
        <v>1757</v>
      </c>
    </row>
    <row r="757" spans="6:6" ht="31.5" x14ac:dyDescent="0.25">
      <c r="F757" s="7" t="s">
        <v>1761</v>
      </c>
    </row>
    <row r="758" spans="6:6" ht="63" x14ac:dyDescent="0.25">
      <c r="F758" s="7" t="s">
        <v>1764</v>
      </c>
    </row>
    <row r="759" spans="6:6" ht="31.5" x14ac:dyDescent="0.25">
      <c r="F759" s="7" t="s">
        <v>1767</v>
      </c>
    </row>
    <row r="760" spans="6:6" ht="47.25" x14ac:dyDescent="0.25">
      <c r="F760" s="7" t="s">
        <v>1770</v>
      </c>
    </row>
    <row r="761" spans="6:6" ht="63" x14ac:dyDescent="0.25">
      <c r="F761" s="7" t="s">
        <v>1774</v>
      </c>
    </row>
    <row r="762" spans="6:6" ht="47.25" x14ac:dyDescent="0.25">
      <c r="F762" s="7" t="s">
        <v>1777</v>
      </c>
    </row>
    <row r="763" spans="6:6" ht="78.75" x14ac:dyDescent="0.25">
      <c r="F763" s="7" t="s">
        <v>1780</v>
      </c>
    </row>
    <row r="764" spans="6:6" ht="63" x14ac:dyDescent="0.25">
      <c r="F764" s="7" t="s">
        <v>1784</v>
      </c>
    </row>
    <row r="765" spans="6:6" ht="63" x14ac:dyDescent="0.25">
      <c r="F765" s="7" t="s">
        <v>1787</v>
      </c>
    </row>
    <row r="766" spans="6:6" ht="31.5" x14ac:dyDescent="0.25">
      <c r="F766" s="7" t="s">
        <v>1790</v>
      </c>
    </row>
    <row r="767" spans="6:6" ht="31.5" x14ac:dyDescent="0.25">
      <c r="F767" s="7" t="s">
        <v>1793</v>
      </c>
    </row>
    <row r="768" spans="6:6" ht="31.5" x14ac:dyDescent="0.25">
      <c r="F768" s="7" t="s">
        <v>1796</v>
      </c>
    </row>
    <row r="769" spans="6:6" ht="31.5" x14ac:dyDescent="0.25">
      <c r="F769" s="7" t="s">
        <v>1799</v>
      </c>
    </row>
    <row r="770" spans="6:6" ht="47.25" x14ac:dyDescent="0.25">
      <c r="F770" s="7" t="s">
        <v>1802</v>
      </c>
    </row>
    <row r="771" spans="6:6" ht="31.5" x14ac:dyDescent="0.25">
      <c r="F771" s="7" t="s">
        <v>1806</v>
      </c>
    </row>
    <row r="772" spans="6:6" ht="47.25" x14ac:dyDescent="0.25">
      <c r="F772" s="7" t="s">
        <v>1809</v>
      </c>
    </row>
    <row r="773" spans="6:6" ht="31.5" x14ac:dyDescent="0.25">
      <c r="F773" s="7" t="s">
        <v>1813</v>
      </c>
    </row>
    <row r="774" spans="6:6" ht="47.25" x14ac:dyDescent="0.25">
      <c r="F774" s="7" t="s">
        <v>1816</v>
      </c>
    </row>
    <row r="775" spans="6:6" ht="31.5" x14ac:dyDescent="0.25">
      <c r="F775" s="7" t="s">
        <v>1820</v>
      </c>
    </row>
    <row r="776" spans="6:6" ht="31.5" x14ac:dyDescent="0.25">
      <c r="F776" s="7" t="s">
        <v>1823</v>
      </c>
    </row>
    <row r="777" spans="6:6" ht="31.5" x14ac:dyDescent="0.25">
      <c r="F777" s="7" t="s">
        <v>1827</v>
      </c>
    </row>
    <row r="778" spans="6:6" ht="47.25" x14ac:dyDescent="0.25">
      <c r="F778" s="7" t="s">
        <v>1831</v>
      </c>
    </row>
    <row r="779" spans="6:6" ht="47.25" x14ac:dyDescent="0.25">
      <c r="F779" s="7" t="s">
        <v>1835</v>
      </c>
    </row>
    <row r="780" spans="6:6" ht="47.25" x14ac:dyDescent="0.25">
      <c r="F780" s="7" t="s">
        <v>1838</v>
      </c>
    </row>
    <row r="781" spans="6:6" ht="47.25" x14ac:dyDescent="0.25">
      <c r="F781" s="7" t="s">
        <v>1841</v>
      </c>
    </row>
    <row r="782" spans="6:6" ht="47.25" x14ac:dyDescent="0.25">
      <c r="F782" s="7" t="s">
        <v>1844</v>
      </c>
    </row>
    <row r="783" spans="6:6" ht="63" x14ac:dyDescent="0.25">
      <c r="F783" s="7" t="s">
        <v>1848</v>
      </c>
    </row>
    <row r="784" spans="6:6" ht="47.25" x14ac:dyDescent="0.25">
      <c r="F784" s="7" t="s">
        <v>1851</v>
      </c>
    </row>
    <row r="785" spans="6:6" ht="47.25" x14ac:dyDescent="0.25">
      <c r="F785" s="7" t="s">
        <v>1854</v>
      </c>
    </row>
    <row r="786" spans="6:6" ht="31.5" x14ac:dyDescent="0.25">
      <c r="F786" s="7" t="s">
        <v>1858</v>
      </c>
    </row>
    <row r="787" spans="6:6" ht="31.5" x14ac:dyDescent="0.25">
      <c r="F787" s="7" t="s">
        <v>1861</v>
      </c>
    </row>
    <row r="788" spans="6:6" ht="31.5" x14ac:dyDescent="0.25">
      <c r="F788" s="7" t="s">
        <v>1864</v>
      </c>
    </row>
    <row r="789" spans="6:6" ht="47.25" x14ac:dyDescent="0.25">
      <c r="F789" s="7" t="s">
        <v>1868</v>
      </c>
    </row>
    <row r="790" spans="6:6" ht="47.25" x14ac:dyDescent="0.25">
      <c r="F790" s="7" t="s">
        <v>1872</v>
      </c>
    </row>
    <row r="791" spans="6:6" ht="47.25" x14ac:dyDescent="0.25">
      <c r="F791" s="7" t="s">
        <v>1875</v>
      </c>
    </row>
    <row r="792" spans="6:6" ht="63" x14ac:dyDescent="0.25">
      <c r="F792" s="7" t="s">
        <v>1879</v>
      </c>
    </row>
    <row r="793" spans="6:6" ht="47.25" x14ac:dyDescent="0.25">
      <c r="F793" s="7" t="s">
        <v>1883</v>
      </c>
    </row>
    <row r="794" spans="6:6" ht="31.5" x14ac:dyDescent="0.25">
      <c r="F794" s="7" t="s">
        <v>1887</v>
      </c>
    </row>
    <row r="795" spans="6:6" ht="63" x14ac:dyDescent="0.25">
      <c r="F795" s="7" t="s">
        <v>1890</v>
      </c>
    </row>
    <row r="796" spans="6:6" ht="31.5" x14ac:dyDescent="0.25">
      <c r="F796" s="7" t="s">
        <v>1893</v>
      </c>
    </row>
    <row r="797" spans="6:6" ht="47.25" x14ac:dyDescent="0.25">
      <c r="F797" s="7" t="s">
        <v>1896</v>
      </c>
    </row>
    <row r="798" spans="6:6" ht="47.25" x14ac:dyDescent="0.25">
      <c r="F798" s="7" t="s">
        <v>1899</v>
      </c>
    </row>
    <row r="799" spans="6:6" ht="47.25" x14ac:dyDescent="0.25">
      <c r="F799" s="7" t="s">
        <v>1902</v>
      </c>
    </row>
    <row r="800" spans="6:6" ht="47.25" x14ac:dyDescent="0.25">
      <c r="F800" s="7" t="s">
        <v>1905</v>
      </c>
    </row>
    <row r="801" spans="6:6" ht="47.25" x14ac:dyDescent="0.25">
      <c r="F801" s="7" t="s">
        <v>1909</v>
      </c>
    </row>
    <row r="802" spans="6:6" ht="63" x14ac:dyDescent="0.25">
      <c r="F802" s="7" t="s">
        <v>1912</v>
      </c>
    </row>
    <row r="803" spans="6:6" ht="78.75" x14ac:dyDescent="0.25">
      <c r="F803" s="7" t="s">
        <v>1915</v>
      </c>
    </row>
    <row r="804" spans="6:6" ht="63" x14ac:dyDescent="0.25">
      <c r="F804" s="7" t="s">
        <v>1918</v>
      </c>
    </row>
    <row r="805" spans="6:6" ht="47.25" x14ac:dyDescent="0.25">
      <c r="F805" s="7" t="s">
        <v>1574</v>
      </c>
    </row>
    <row r="806" spans="6:6" ht="47.25" x14ac:dyDescent="0.25">
      <c r="F806" s="7" t="s">
        <v>1924</v>
      </c>
    </row>
    <row r="807" spans="6:6" ht="63" x14ac:dyDescent="0.25">
      <c r="F807" s="7" t="s">
        <v>1928</v>
      </c>
    </row>
    <row r="808" spans="6:6" ht="63" x14ac:dyDescent="0.25">
      <c r="F808" s="7" t="s">
        <v>1931</v>
      </c>
    </row>
    <row r="809" spans="6:6" ht="63" x14ac:dyDescent="0.25">
      <c r="F809" s="7" t="s">
        <v>1934</v>
      </c>
    </row>
    <row r="810" spans="6:6" ht="78.75" x14ac:dyDescent="0.25">
      <c r="F810" s="7" t="s">
        <v>1938</v>
      </c>
    </row>
    <row r="811" spans="6:6" ht="31.5" x14ac:dyDescent="0.25">
      <c r="F811" s="7" t="s">
        <v>1942</v>
      </c>
    </row>
    <row r="812" spans="6:6" ht="47.25" x14ac:dyDescent="0.25">
      <c r="F812" s="7" t="s">
        <v>1945</v>
      </c>
    </row>
    <row r="813" spans="6:6" ht="31.5" x14ac:dyDescent="0.25">
      <c r="F813" s="7" t="s">
        <v>1948</v>
      </c>
    </row>
    <row r="814" spans="6:6" ht="47.25" x14ac:dyDescent="0.25">
      <c r="F814" s="7" t="s">
        <v>1952</v>
      </c>
    </row>
    <row r="815" spans="6:6" ht="31.5" x14ac:dyDescent="0.25">
      <c r="F815" s="7" t="s">
        <v>1956</v>
      </c>
    </row>
    <row r="816" spans="6:6" ht="31.5" x14ac:dyDescent="0.25">
      <c r="F816" s="7" t="s">
        <v>1959</v>
      </c>
    </row>
    <row r="817" spans="6:6" ht="31.5" x14ac:dyDescent="0.25">
      <c r="F817" s="7" t="s">
        <v>1962</v>
      </c>
    </row>
    <row r="818" spans="6:6" ht="31.5" x14ac:dyDescent="0.25">
      <c r="F818" s="7" t="s">
        <v>1966</v>
      </c>
    </row>
    <row r="819" spans="6:6" ht="47.25" x14ac:dyDescent="0.25">
      <c r="F819" s="7" t="s">
        <v>1969</v>
      </c>
    </row>
    <row r="820" spans="6:6" ht="31.5" x14ac:dyDescent="0.25">
      <c r="F820" s="7" t="s">
        <v>1972</v>
      </c>
    </row>
    <row r="821" spans="6:6" ht="31.5" x14ac:dyDescent="0.25">
      <c r="F821" s="7" t="s">
        <v>1976</v>
      </c>
    </row>
    <row r="822" spans="6:6" ht="47.25" x14ac:dyDescent="0.25">
      <c r="F822" s="7" t="s">
        <v>1979</v>
      </c>
    </row>
    <row r="823" spans="6:6" ht="47.25" x14ac:dyDescent="0.25">
      <c r="F823" s="7" t="s">
        <v>1982</v>
      </c>
    </row>
    <row r="824" spans="6:6" ht="31.5" x14ac:dyDescent="0.25">
      <c r="F824" s="7" t="s">
        <v>1985</v>
      </c>
    </row>
    <row r="825" spans="6:6" ht="63" x14ac:dyDescent="0.25">
      <c r="F825" s="7" t="s">
        <v>1988</v>
      </c>
    </row>
    <row r="826" spans="6:6" ht="47.25" x14ac:dyDescent="0.25">
      <c r="F826" s="7" t="s">
        <v>1991</v>
      </c>
    </row>
    <row r="827" spans="6:6" ht="47.25" x14ac:dyDescent="0.25">
      <c r="F827" s="7" t="s">
        <v>1994</v>
      </c>
    </row>
    <row r="828" spans="6:6" ht="63" x14ac:dyDescent="0.25">
      <c r="F828" s="7" t="s">
        <v>1997</v>
      </c>
    </row>
    <row r="829" spans="6:6" ht="94.5" x14ac:dyDescent="0.25">
      <c r="F829" s="7" t="s">
        <v>2000</v>
      </c>
    </row>
    <row r="830" spans="6:6" ht="110.25" x14ac:dyDescent="0.25">
      <c r="F830" s="7" t="s">
        <v>2003</v>
      </c>
    </row>
    <row r="831" spans="6:6" ht="47.25" x14ac:dyDescent="0.25">
      <c r="F831" s="7" t="s">
        <v>2007</v>
      </c>
    </row>
    <row r="832" spans="6:6" ht="63" x14ac:dyDescent="0.25">
      <c r="F832" s="7" t="s">
        <v>2011</v>
      </c>
    </row>
    <row r="833" spans="6:6" ht="31.5" x14ac:dyDescent="0.25">
      <c r="F833" s="7" t="s">
        <v>2014</v>
      </c>
    </row>
    <row r="834" spans="6:6" ht="47.25" x14ac:dyDescent="0.25">
      <c r="F834" s="7" t="s">
        <v>2018</v>
      </c>
    </row>
    <row r="835" spans="6:6" ht="47.25" x14ac:dyDescent="0.25">
      <c r="F835" s="7" t="s">
        <v>2021</v>
      </c>
    </row>
    <row r="836" spans="6:6" ht="47.25" x14ac:dyDescent="0.25">
      <c r="F836" s="7" t="s">
        <v>2024</v>
      </c>
    </row>
    <row r="837" spans="6:6" ht="47.25" x14ac:dyDescent="0.25">
      <c r="F837" s="7" t="s">
        <v>2028</v>
      </c>
    </row>
    <row r="838" spans="6:6" ht="63" x14ac:dyDescent="0.25">
      <c r="F838" s="7" t="s">
        <v>2032</v>
      </c>
    </row>
    <row r="839" spans="6:6" ht="31.5" x14ac:dyDescent="0.25">
      <c r="F839" s="7" t="s">
        <v>2036</v>
      </c>
    </row>
    <row r="840" spans="6:6" ht="63" x14ac:dyDescent="0.25">
      <c r="F840" s="7" t="s">
        <v>2039</v>
      </c>
    </row>
    <row r="841" spans="6:6" ht="47.25" x14ac:dyDescent="0.25">
      <c r="F841" s="7" t="s">
        <v>2043</v>
      </c>
    </row>
    <row r="842" spans="6:6" ht="31.5" x14ac:dyDescent="0.25">
      <c r="F842" s="7" t="s">
        <v>2046</v>
      </c>
    </row>
    <row r="843" spans="6:6" ht="47.25" x14ac:dyDescent="0.25">
      <c r="F843" s="7" t="s">
        <v>2050</v>
      </c>
    </row>
    <row r="844" spans="6:6" ht="47.25" x14ac:dyDescent="0.25">
      <c r="F844" s="7" t="s">
        <v>2053</v>
      </c>
    </row>
    <row r="845" spans="6:6" ht="47.25" x14ac:dyDescent="0.25">
      <c r="F845" s="7" t="s">
        <v>2056</v>
      </c>
    </row>
    <row r="846" spans="6:6" ht="47.25" x14ac:dyDescent="0.25">
      <c r="F846" s="7" t="s">
        <v>2059</v>
      </c>
    </row>
    <row r="847" spans="6:6" ht="31.5" x14ac:dyDescent="0.25">
      <c r="F847" s="7" t="s">
        <v>2063</v>
      </c>
    </row>
    <row r="848" spans="6:6" ht="63" x14ac:dyDescent="0.25">
      <c r="F848" s="7" t="s">
        <v>2066</v>
      </c>
    </row>
    <row r="849" spans="6:6" ht="31.5" x14ac:dyDescent="0.25">
      <c r="F849" s="7" t="s">
        <v>2070</v>
      </c>
    </row>
    <row r="850" spans="6:6" ht="63" x14ac:dyDescent="0.25">
      <c r="F850" s="7" t="s">
        <v>2073</v>
      </c>
    </row>
    <row r="851" spans="6:6" ht="31.5" x14ac:dyDescent="0.25">
      <c r="F851" s="7" t="s">
        <v>2076</v>
      </c>
    </row>
    <row r="852" spans="6:6" ht="31.5" x14ac:dyDescent="0.25">
      <c r="F852" s="7" t="s">
        <v>2079</v>
      </c>
    </row>
    <row r="853" spans="6:6" ht="47.25" x14ac:dyDescent="0.25">
      <c r="F853" s="7" t="s">
        <v>2083</v>
      </c>
    </row>
    <row r="854" spans="6:6" ht="31.5" x14ac:dyDescent="0.25">
      <c r="F854" s="7" t="s">
        <v>2086</v>
      </c>
    </row>
    <row r="855" spans="6:6" ht="31.5" x14ac:dyDescent="0.25">
      <c r="F855" s="7" t="s">
        <v>2089</v>
      </c>
    </row>
    <row r="856" spans="6:6" ht="31.5" x14ac:dyDescent="0.25">
      <c r="F856" s="7" t="s">
        <v>2093</v>
      </c>
    </row>
    <row r="857" spans="6:6" ht="31.5" x14ac:dyDescent="0.25">
      <c r="F857" s="7" t="s">
        <v>2096</v>
      </c>
    </row>
    <row r="858" spans="6:6" ht="31.5" x14ac:dyDescent="0.25">
      <c r="F858" s="7" t="s">
        <v>2099</v>
      </c>
    </row>
    <row r="859" spans="6:6" ht="47.25" x14ac:dyDescent="0.25">
      <c r="F859" s="7" t="s">
        <v>2103</v>
      </c>
    </row>
    <row r="860" spans="6:6" ht="31.5" x14ac:dyDescent="0.25">
      <c r="F860" s="7" t="s">
        <v>2106</v>
      </c>
    </row>
    <row r="861" spans="6:6" ht="47.25" x14ac:dyDescent="0.25">
      <c r="F861" s="7" t="s">
        <v>2109</v>
      </c>
    </row>
    <row r="862" spans="6:6" ht="31.5" x14ac:dyDescent="0.25">
      <c r="F862" s="7" t="s">
        <v>2112</v>
      </c>
    </row>
    <row r="863" spans="6:6" ht="47.25" x14ac:dyDescent="0.25">
      <c r="F863" s="7" t="s">
        <v>2115</v>
      </c>
    </row>
    <row r="864" spans="6:6" ht="47.25" x14ac:dyDescent="0.25">
      <c r="F864" s="7" t="s">
        <v>2119</v>
      </c>
    </row>
    <row r="865" spans="6:6" ht="47.25" x14ac:dyDescent="0.25">
      <c r="F865" s="7" t="s">
        <v>2122</v>
      </c>
    </row>
    <row r="866" spans="6:6" ht="31.5" x14ac:dyDescent="0.25">
      <c r="F866" s="7" t="s">
        <v>2126</v>
      </c>
    </row>
    <row r="867" spans="6:6" ht="31.5" x14ac:dyDescent="0.25">
      <c r="F867" s="7" t="s">
        <v>2130</v>
      </c>
    </row>
    <row r="868" spans="6:6" ht="47.25" x14ac:dyDescent="0.25">
      <c r="F868" s="7" t="s">
        <v>2133</v>
      </c>
    </row>
    <row r="869" spans="6:6" ht="31.5" x14ac:dyDescent="0.25">
      <c r="F869" s="7" t="s">
        <v>2137</v>
      </c>
    </row>
    <row r="870" spans="6:6" ht="31.5" x14ac:dyDescent="0.25">
      <c r="F870" s="7" t="s">
        <v>2141</v>
      </c>
    </row>
    <row r="871" spans="6:6" ht="78.75" x14ac:dyDescent="0.25">
      <c r="F871" s="7" t="s">
        <v>2145</v>
      </c>
    </row>
    <row r="872" spans="6:6" ht="47.25" x14ac:dyDescent="0.25">
      <c r="F872" s="7" t="s">
        <v>2148</v>
      </c>
    </row>
    <row r="873" spans="6:6" ht="47.25" x14ac:dyDescent="0.25">
      <c r="F873" s="7" t="s">
        <v>2151</v>
      </c>
    </row>
    <row r="874" spans="6:6" ht="31.5" x14ac:dyDescent="0.25">
      <c r="F874" s="7" t="s">
        <v>2154</v>
      </c>
    </row>
    <row r="875" spans="6:6" ht="63" x14ac:dyDescent="0.25">
      <c r="F875" s="7" t="s">
        <v>2158</v>
      </c>
    </row>
    <row r="876" spans="6:6" ht="47.25" x14ac:dyDescent="0.25">
      <c r="F876" s="7" t="s">
        <v>2162</v>
      </c>
    </row>
    <row r="877" spans="6:6" ht="47.25" x14ac:dyDescent="0.25">
      <c r="F877" s="7" t="s">
        <v>2166</v>
      </c>
    </row>
    <row r="878" spans="6:6" ht="47.25" x14ac:dyDescent="0.25">
      <c r="F878" s="7" t="s">
        <v>2170</v>
      </c>
    </row>
    <row r="879" spans="6:6" ht="31.5" x14ac:dyDescent="0.25">
      <c r="F879" s="7" t="s">
        <v>2173</v>
      </c>
    </row>
    <row r="880" spans="6:6" ht="31.5" x14ac:dyDescent="0.25">
      <c r="F880" s="7" t="s">
        <v>2176</v>
      </c>
    </row>
    <row r="881" spans="6:6" ht="47.25" x14ac:dyDescent="0.25">
      <c r="F881" s="7" t="s">
        <v>2179</v>
      </c>
    </row>
    <row r="882" spans="6:6" ht="47.25" x14ac:dyDescent="0.25">
      <c r="F882" s="7" t="s">
        <v>2183</v>
      </c>
    </row>
    <row r="883" spans="6:6" ht="63" x14ac:dyDescent="0.25">
      <c r="F883" s="7" t="s">
        <v>2186</v>
      </c>
    </row>
    <row r="884" spans="6:6" ht="47.25" x14ac:dyDescent="0.25">
      <c r="F884" s="7" t="s">
        <v>2189</v>
      </c>
    </row>
    <row r="885" spans="6:6" ht="47.25" x14ac:dyDescent="0.25">
      <c r="F885" s="7" t="s">
        <v>2192</v>
      </c>
    </row>
    <row r="886" spans="6:6" ht="31.5" x14ac:dyDescent="0.25">
      <c r="F886" s="7" t="s">
        <v>2195</v>
      </c>
    </row>
    <row r="887" spans="6:6" ht="31.5" x14ac:dyDescent="0.25">
      <c r="F887" s="7" t="s">
        <v>2198</v>
      </c>
    </row>
    <row r="888" spans="6:6" ht="31.5" x14ac:dyDescent="0.25">
      <c r="F888" s="7" t="s">
        <v>2201</v>
      </c>
    </row>
    <row r="889" spans="6:6" ht="63" x14ac:dyDescent="0.25">
      <c r="F889" s="7" t="s">
        <v>2205</v>
      </c>
    </row>
    <row r="890" spans="6:6" ht="31.5" x14ac:dyDescent="0.25">
      <c r="F890" s="7" t="s">
        <v>2208</v>
      </c>
    </row>
    <row r="891" spans="6:6" ht="47.25" x14ac:dyDescent="0.25">
      <c r="F891" s="7" t="s">
        <v>2212</v>
      </c>
    </row>
    <row r="892" spans="6:6" ht="47.25" x14ac:dyDescent="0.25">
      <c r="F892" s="7" t="s">
        <v>2215</v>
      </c>
    </row>
    <row r="893" spans="6:6" ht="47.25" x14ac:dyDescent="0.25">
      <c r="F893" s="7" t="s">
        <v>2219</v>
      </c>
    </row>
    <row r="894" spans="6:6" ht="47.25" x14ac:dyDescent="0.25">
      <c r="F894" s="7" t="s">
        <v>2222</v>
      </c>
    </row>
    <row r="895" spans="6:6" ht="47.25" x14ac:dyDescent="0.25">
      <c r="F895" s="7" t="s">
        <v>2225</v>
      </c>
    </row>
    <row r="896" spans="6:6" ht="63" x14ac:dyDescent="0.25">
      <c r="F896" s="7" t="s">
        <v>2229</v>
      </c>
    </row>
    <row r="897" spans="6:6" ht="94.5" x14ac:dyDescent="0.25">
      <c r="F897" s="7" t="s">
        <v>2233</v>
      </c>
    </row>
    <row r="898" spans="6:6" ht="47.25" x14ac:dyDescent="0.25">
      <c r="F898" s="7" t="s">
        <v>2237</v>
      </c>
    </row>
    <row r="899" spans="6:6" ht="63" x14ac:dyDescent="0.25">
      <c r="F899" s="7" t="s">
        <v>2240</v>
      </c>
    </row>
    <row r="900" spans="6:6" x14ac:dyDescent="0.25">
      <c r="F900" s="7" t="s">
        <v>2243</v>
      </c>
    </row>
    <row r="901" spans="6:6" ht="47.25" x14ac:dyDescent="0.25">
      <c r="F901" s="7" t="s">
        <v>2246</v>
      </c>
    </row>
    <row r="902" spans="6:6" ht="47.25" x14ac:dyDescent="0.25">
      <c r="F902" s="7" t="s">
        <v>2249</v>
      </c>
    </row>
    <row r="903" spans="6:6" ht="47.25" x14ac:dyDescent="0.25">
      <c r="F903" s="7" t="s">
        <v>2252</v>
      </c>
    </row>
    <row r="904" spans="6:6" ht="63" x14ac:dyDescent="0.25">
      <c r="F904" s="7" t="s">
        <v>2255</v>
      </c>
    </row>
    <row r="905" spans="6:6" ht="63" x14ac:dyDescent="0.25">
      <c r="F905" s="7" t="s">
        <v>2258</v>
      </c>
    </row>
    <row r="906" spans="6:6" ht="47.25" x14ac:dyDescent="0.25">
      <c r="F906" s="7" t="s">
        <v>2261</v>
      </c>
    </row>
    <row r="907" spans="6:6" ht="47.25" x14ac:dyDescent="0.25">
      <c r="F907" s="7" t="s">
        <v>2264</v>
      </c>
    </row>
    <row r="908" spans="6:6" ht="31.5" x14ac:dyDescent="0.25">
      <c r="F908" s="7" t="s">
        <v>2268</v>
      </c>
    </row>
    <row r="909" spans="6:6" ht="47.25" x14ac:dyDescent="0.25">
      <c r="F909" s="7" t="s">
        <v>2271</v>
      </c>
    </row>
    <row r="910" spans="6:6" ht="63" x14ac:dyDescent="0.25">
      <c r="F910" s="7" t="s">
        <v>2275</v>
      </c>
    </row>
    <row r="911" spans="6:6" ht="47.25" x14ac:dyDescent="0.25">
      <c r="F911" s="7" t="s">
        <v>2278</v>
      </c>
    </row>
    <row r="912" spans="6:6" ht="31.5" x14ac:dyDescent="0.25">
      <c r="F912" s="7" t="s">
        <v>2282</v>
      </c>
    </row>
    <row r="913" spans="6:6" ht="47.25" x14ac:dyDescent="0.25">
      <c r="F913" s="7" t="s">
        <v>2285</v>
      </c>
    </row>
    <row r="914" spans="6:6" ht="31.5" x14ac:dyDescent="0.25">
      <c r="F914" s="7" t="s">
        <v>2288</v>
      </c>
    </row>
    <row r="915" spans="6:6" ht="31.5" x14ac:dyDescent="0.25">
      <c r="F915" s="7" t="s">
        <v>2291</v>
      </c>
    </row>
    <row r="916" spans="6:6" ht="47.25" x14ac:dyDescent="0.25">
      <c r="F916" s="7" t="s">
        <v>2294</v>
      </c>
    </row>
    <row r="917" spans="6:6" ht="31.5" x14ac:dyDescent="0.25">
      <c r="F917" s="7" t="s">
        <v>2297</v>
      </c>
    </row>
    <row r="918" spans="6:6" ht="47.25" x14ac:dyDescent="0.25">
      <c r="F918" s="7" t="s">
        <v>2301</v>
      </c>
    </row>
    <row r="919" spans="6:6" ht="47.25" x14ac:dyDescent="0.25">
      <c r="F919" s="7" t="s">
        <v>2305</v>
      </c>
    </row>
    <row r="920" spans="6:6" ht="63" x14ac:dyDescent="0.25">
      <c r="F920" s="7" t="s">
        <v>2308</v>
      </c>
    </row>
    <row r="921" spans="6:6" ht="31.5" x14ac:dyDescent="0.25">
      <c r="F921" s="7" t="s">
        <v>2311</v>
      </c>
    </row>
    <row r="922" spans="6:6" ht="31.5" x14ac:dyDescent="0.25">
      <c r="F922" s="7" t="s">
        <v>2315</v>
      </c>
    </row>
    <row r="923" spans="6:6" ht="31.5" x14ac:dyDescent="0.25">
      <c r="F923" s="7" t="s">
        <v>2319</v>
      </c>
    </row>
    <row r="924" spans="6:6" ht="63" x14ac:dyDescent="0.25">
      <c r="F924" s="7" t="s">
        <v>2322</v>
      </c>
    </row>
    <row r="925" spans="6:6" ht="47.25" x14ac:dyDescent="0.25">
      <c r="F925" s="7" t="s">
        <v>2325</v>
      </c>
    </row>
    <row r="926" spans="6:6" ht="63" x14ac:dyDescent="0.25">
      <c r="F926" s="7" t="s">
        <v>2329</v>
      </c>
    </row>
    <row r="927" spans="6:6" ht="63" x14ac:dyDescent="0.25">
      <c r="F927" s="7" t="s">
        <v>2332</v>
      </c>
    </row>
    <row r="928" spans="6:6" ht="47.25" x14ac:dyDescent="0.25">
      <c r="F928" s="7" t="s">
        <v>2335</v>
      </c>
    </row>
    <row r="929" spans="6:6" ht="31.5" x14ac:dyDescent="0.25">
      <c r="F929" s="7" t="s">
        <v>2338</v>
      </c>
    </row>
    <row r="930" spans="6:6" ht="31.5" x14ac:dyDescent="0.25">
      <c r="F930" s="7" t="s">
        <v>2341</v>
      </c>
    </row>
    <row r="931" spans="6:6" ht="47.25" x14ac:dyDescent="0.25">
      <c r="F931" s="7" t="s">
        <v>2345</v>
      </c>
    </row>
    <row r="932" spans="6:6" ht="31.5" x14ac:dyDescent="0.25">
      <c r="F932" s="7" t="s">
        <v>2348</v>
      </c>
    </row>
    <row r="933" spans="6:6" ht="47.25" x14ac:dyDescent="0.25">
      <c r="F933" s="7" t="s">
        <v>2351</v>
      </c>
    </row>
    <row r="934" spans="6:6" ht="31.5" x14ac:dyDescent="0.25">
      <c r="F934" s="7" t="s">
        <v>2354</v>
      </c>
    </row>
    <row r="935" spans="6:6" ht="31.5" x14ac:dyDescent="0.25">
      <c r="F935" s="7" t="s">
        <v>2357</v>
      </c>
    </row>
    <row r="936" spans="6:6" ht="31.5" x14ac:dyDescent="0.25">
      <c r="F936" s="7" t="s">
        <v>2360</v>
      </c>
    </row>
    <row r="937" spans="6:6" ht="31.5" x14ac:dyDescent="0.25">
      <c r="F937" s="7" t="s">
        <v>2363</v>
      </c>
    </row>
    <row r="938" spans="6:6" ht="31.5" x14ac:dyDescent="0.25">
      <c r="F938" s="7" t="s">
        <v>2366</v>
      </c>
    </row>
    <row r="939" spans="6:6" ht="47.25" x14ac:dyDescent="0.25">
      <c r="F939" s="7" t="s">
        <v>2369</v>
      </c>
    </row>
    <row r="940" spans="6:6" ht="47.25" x14ac:dyDescent="0.25">
      <c r="F940" s="7" t="s">
        <v>2372</v>
      </c>
    </row>
    <row r="941" spans="6:6" ht="47.25" x14ac:dyDescent="0.25">
      <c r="F941" s="7" t="s">
        <v>2376</v>
      </c>
    </row>
    <row r="942" spans="6:6" ht="63" x14ac:dyDescent="0.25">
      <c r="F942" s="7" t="s">
        <v>2380</v>
      </c>
    </row>
    <row r="943" spans="6:6" ht="47.25" x14ac:dyDescent="0.25">
      <c r="F943" s="7" t="s">
        <v>2383</v>
      </c>
    </row>
    <row r="944" spans="6:6" ht="47.25" x14ac:dyDescent="0.25">
      <c r="F944" s="7" t="s">
        <v>2386</v>
      </c>
    </row>
    <row r="945" spans="6:6" ht="63" x14ac:dyDescent="0.25">
      <c r="F945" s="7" t="s">
        <v>2389</v>
      </c>
    </row>
    <row r="946" spans="6:6" ht="47.25" x14ac:dyDescent="0.25">
      <c r="F946" s="7" t="s">
        <v>2393</v>
      </c>
    </row>
    <row r="947" spans="6:6" ht="47.25" x14ac:dyDescent="0.25">
      <c r="F947" s="7" t="s">
        <v>2396</v>
      </c>
    </row>
    <row r="948" spans="6:6" ht="63" x14ac:dyDescent="0.25">
      <c r="F948" s="7" t="s">
        <v>2399</v>
      </c>
    </row>
    <row r="949" spans="6:6" ht="63" x14ac:dyDescent="0.25">
      <c r="F949" s="7" t="s">
        <v>2402</v>
      </c>
    </row>
    <row r="950" spans="6:6" ht="47.25" x14ac:dyDescent="0.25">
      <c r="F950" s="7" t="s">
        <v>2405</v>
      </c>
    </row>
    <row r="951" spans="6:6" ht="47.25" x14ac:dyDescent="0.25">
      <c r="F951" s="7" t="s">
        <v>2409</v>
      </c>
    </row>
    <row r="952" spans="6:6" ht="31.5" x14ac:dyDescent="0.25">
      <c r="F952" s="7" t="s">
        <v>2412</v>
      </c>
    </row>
    <row r="953" spans="6:6" ht="47.25" x14ac:dyDescent="0.25">
      <c r="F953" s="7" t="s">
        <v>2415</v>
      </c>
    </row>
    <row r="954" spans="6:6" ht="63" x14ac:dyDescent="0.25">
      <c r="F954" s="7" t="s">
        <v>2418</v>
      </c>
    </row>
    <row r="955" spans="6:6" ht="31.5" x14ac:dyDescent="0.25">
      <c r="F955" s="7" t="s">
        <v>2422</v>
      </c>
    </row>
    <row r="956" spans="6:6" ht="31.5" x14ac:dyDescent="0.25">
      <c r="F956" s="7" t="s">
        <v>2426</v>
      </c>
    </row>
    <row r="957" spans="6:6" ht="63" x14ac:dyDescent="0.25">
      <c r="F957" s="7" t="s">
        <v>2429</v>
      </c>
    </row>
    <row r="958" spans="6:6" ht="31.5" x14ac:dyDescent="0.25">
      <c r="F958" s="7" t="s">
        <v>2432</v>
      </c>
    </row>
    <row r="959" spans="6:6" ht="63" x14ac:dyDescent="0.25">
      <c r="F959" s="7" t="s">
        <v>2436</v>
      </c>
    </row>
    <row r="960" spans="6:6" ht="47.25" x14ac:dyDescent="0.25">
      <c r="F960" s="7" t="s">
        <v>2439</v>
      </c>
    </row>
    <row r="961" spans="6:6" ht="31.5" x14ac:dyDescent="0.25">
      <c r="F961" s="7" t="s">
        <v>2443</v>
      </c>
    </row>
    <row r="962" spans="6:6" ht="63" x14ac:dyDescent="0.25">
      <c r="F962" s="7" t="s">
        <v>2446</v>
      </c>
    </row>
    <row r="963" spans="6:6" ht="47.25" x14ac:dyDescent="0.25">
      <c r="F963" s="7" t="s">
        <v>2450</v>
      </c>
    </row>
    <row r="964" spans="6:6" ht="31.5" x14ac:dyDescent="0.25">
      <c r="F964" s="7" t="s">
        <v>2454</v>
      </c>
    </row>
    <row r="965" spans="6:6" ht="47.25" x14ac:dyDescent="0.25">
      <c r="F965" s="7" t="s">
        <v>2458</v>
      </c>
    </row>
    <row r="966" spans="6:6" ht="31.5" x14ac:dyDescent="0.25">
      <c r="F966" s="7" t="s">
        <v>2461</v>
      </c>
    </row>
    <row r="967" spans="6:6" ht="78.75" x14ac:dyDescent="0.25">
      <c r="F967" s="7" t="s">
        <v>2465</v>
      </c>
    </row>
    <row r="968" spans="6:6" ht="31.5" x14ac:dyDescent="0.25">
      <c r="F968" s="7" t="s">
        <v>2468</v>
      </c>
    </row>
    <row r="969" spans="6:6" ht="31.5" x14ac:dyDescent="0.25">
      <c r="F969" s="7" t="s">
        <v>2471</v>
      </c>
    </row>
    <row r="970" spans="6:6" ht="31.5" x14ac:dyDescent="0.25">
      <c r="F970" s="7" t="s">
        <v>2474</v>
      </c>
    </row>
    <row r="971" spans="6:6" ht="31.5" x14ac:dyDescent="0.25">
      <c r="F971" s="7" t="s">
        <v>2478</v>
      </c>
    </row>
    <row r="972" spans="6:6" ht="63" x14ac:dyDescent="0.25">
      <c r="F972" s="7" t="s">
        <v>2481</v>
      </c>
    </row>
    <row r="973" spans="6:6" ht="47.25" x14ac:dyDescent="0.25">
      <c r="F973" s="7" t="s">
        <v>2484</v>
      </c>
    </row>
    <row r="974" spans="6:6" ht="47.25" x14ac:dyDescent="0.25">
      <c r="F974" s="7" t="s">
        <v>2487</v>
      </c>
    </row>
    <row r="975" spans="6:6" ht="47.25" x14ac:dyDescent="0.25">
      <c r="F975" s="7" t="s">
        <v>2490</v>
      </c>
    </row>
    <row r="976" spans="6:6" ht="47.25" x14ac:dyDescent="0.25">
      <c r="F976" s="7" t="s">
        <v>2493</v>
      </c>
    </row>
    <row r="977" spans="6:6" ht="47.25" x14ac:dyDescent="0.25">
      <c r="F977" s="7" t="s">
        <v>2497</v>
      </c>
    </row>
    <row r="978" spans="6:6" ht="63" x14ac:dyDescent="0.25">
      <c r="F978" s="7" t="s">
        <v>2500</v>
      </c>
    </row>
    <row r="979" spans="6:6" ht="31.5" x14ac:dyDescent="0.25">
      <c r="F979" s="7" t="s">
        <v>2504</v>
      </c>
    </row>
    <row r="980" spans="6:6" ht="31.5" x14ac:dyDescent="0.25">
      <c r="F980" s="7" t="s">
        <v>2507</v>
      </c>
    </row>
    <row r="981" spans="6:6" ht="31.5" x14ac:dyDescent="0.25">
      <c r="F981" s="7" t="s">
        <v>2510</v>
      </c>
    </row>
    <row r="982" spans="6:6" ht="47.25" x14ac:dyDescent="0.25">
      <c r="F982" s="7" t="s">
        <v>2514</v>
      </c>
    </row>
    <row r="983" spans="6:6" ht="31.5" x14ac:dyDescent="0.25">
      <c r="F983" s="7" t="s">
        <v>2517</v>
      </c>
    </row>
    <row r="984" spans="6:6" ht="31.5" x14ac:dyDescent="0.25">
      <c r="F984" s="7" t="s">
        <v>2520</v>
      </c>
    </row>
    <row r="985" spans="6:6" ht="47.25" x14ac:dyDescent="0.25">
      <c r="F985" s="7" t="s">
        <v>2524</v>
      </c>
    </row>
    <row r="986" spans="6:6" ht="31.5" x14ac:dyDescent="0.25">
      <c r="F986" s="7" t="s">
        <v>2527</v>
      </c>
    </row>
    <row r="987" spans="6:6" ht="31.5" x14ac:dyDescent="0.25">
      <c r="F987" s="7" t="s">
        <v>2531</v>
      </c>
    </row>
    <row r="988" spans="6:6" ht="31.5" x14ac:dyDescent="0.25">
      <c r="F988" s="7" t="s">
        <v>2535</v>
      </c>
    </row>
    <row r="989" spans="6:6" ht="31.5" x14ac:dyDescent="0.25">
      <c r="F989" s="7" t="s">
        <v>2539</v>
      </c>
    </row>
    <row r="990" spans="6:6" ht="47.25" x14ac:dyDescent="0.25">
      <c r="F990" s="7" t="s">
        <v>2543</v>
      </c>
    </row>
    <row r="991" spans="6:6" ht="31.5" x14ac:dyDescent="0.25">
      <c r="F991" s="7" t="s">
        <v>2546</v>
      </c>
    </row>
    <row r="992" spans="6:6" ht="31.5" x14ac:dyDescent="0.25">
      <c r="F992" s="7" t="s">
        <v>2549</v>
      </c>
    </row>
    <row r="993" spans="6:6" ht="31.5" x14ac:dyDescent="0.25">
      <c r="F993" s="7" t="s">
        <v>2553</v>
      </c>
    </row>
    <row r="994" spans="6:6" ht="47.25" x14ac:dyDescent="0.25">
      <c r="F994" s="7" t="s">
        <v>2557</v>
      </c>
    </row>
    <row r="995" spans="6:6" ht="31.5" x14ac:dyDescent="0.25">
      <c r="F995" s="7" t="s">
        <v>2560</v>
      </c>
    </row>
    <row r="996" spans="6:6" ht="63" x14ac:dyDescent="0.25">
      <c r="F996" s="7" t="s">
        <v>2564</v>
      </c>
    </row>
    <row r="997" spans="6:6" ht="31.5" x14ac:dyDescent="0.25">
      <c r="F997" s="7" t="s">
        <v>2567</v>
      </c>
    </row>
    <row r="998" spans="6:6" ht="63" x14ac:dyDescent="0.25">
      <c r="F998" s="7" t="s">
        <v>2570</v>
      </c>
    </row>
    <row r="999" spans="6:6" ht="31.5" x14ac:dyDescent="0.25">
      <c r="F999" s="7" t="s">
        <v>2573</v>
      </c>
    </row>
    <row r="1000" spans="6:6" ht="31.5" x14ac:dyDescent="0.25">
      <c r="F1000" s="7" t="s">
        <v>2576</v>
      </c>
    </row>
    <row r="1001" spans="6:6" ht="47.25" x14ac:dyDescent="0.25">
      <c r="F1001" s="7" t="s">
        <v>2579</v>
      </c>
    </row>
    <row r="1002" spans="6:6" ht="47.25" x14ac:dyDescent="0.25">
      <c r="F1002" s="7" t="s">
        <v>2582</v>
      </c>
    </row>
    <row r="1003" spans="6:6" ht="47.25" x14ac:dyDescent="0.25">
      <c r="F1003" s="7" t="s">
        <v>2585</v>
      </c>
    </row>
    <row r="1004" spans="6:6" ht="31.5" x14ac:dyDescent="0.25">
      <c r="F1004" s="7" t="s">
        <v>2589</v>
      </c>
    </row>
    <row r="1005" spans="6:6" ht="47.25" x14ac:dyDescent="0.25">
      <c r="F1005" s="7" t="s">
        <v>2592</v>
      </c>
    </row>
    <row r="1006" spans="6:6" ht="31.5" x14ac:dyDescent="0.25">
      <c r="F1006" s="7" t="s">
        <v>2595</v>
      </c>
    </row>
    <row r="1007" spans="6:6" ht="31.5" x14ac:dyDescent="0.25">
      <c r="F1007" s="7" t="s">
        <v>2599</v>
      </c>
    </row>
    <row r="1008" spans="6:6" ht="47.25" x14ac:dyDescent="0.25">
      <c r="F1008" s="7" t="s">
        <v>2603</v>
      </c>
    </row>
    <row r="1009" spans="6:6" ht="31.5" x14ac:dyDescent="0.25">
      <c r="F1009" s="7" t="s">
        <v>2607</v>
      </c>
    </row>
    <row r="1010" spans="6:6" ht="63" x14ac:dyDescent="0.25">
      <c r="F1010" s="7" t="s">
        <v>2610</v>
      </c>
    </row>
    <row r="1011" spans="6:6" ht="47.25" x14ac:dyDescent="0.25">
      <c r="F1011" s="7" t="s">
        <v>2614</v>
      </c>
    </row>
    <row r="1012" spans="6:6" ht="47.25" x14ac:dyDescent="0.25">
      <c r="F1012" s="7" t="s">
        <v>2617</v>
      </c>
    </row>
    <row r="1013" spans="6:6" ht="47.25" x14ac:dyDescent="0.25">
      <c r="F1013" s="7" t="s">
        <v>2621</v>
      </c>
    </row>
    <row r="1014" spans="6:6" ht="31.5" x14ac:dyDescent="0.25">
      <c r="F1014" s="7" t="s">
        <v>2624</v>
      </c>
    </row>
    <row r="1015" spans="6:6" ht="47.25" x14ac:dyDescent="0.25">
      <c r="F1015" s="7" t="s">
        <v>2628</v>
      </c>
    </row>
    <row r="1016" spans="6:6" ht="31.5" x14ac:dyDescent="0.25">
      <c r="F1016" s="7" t="s">
        <v>2632</v>
      </c>
    </row>
    <row r="1017" spans="6:6" ht="31.5" x14ac:dyDescent="0.25">
      <c r="F1017" s="7" t="s">
        <v>2635</v>
      </c>
    </row>
    <row r="1018" spans="6:6" ht="47.25" x14ac:dyDescent="0.25">
      <c r="F1018" s="7" t="s">
        <v>2638</v>
      </c>
    </row>
    <row r="1019" spans="6:6" ht="31.5" x14ac:dyDescent="0.25">
      <c r="F1019" s="7" t="s">
        <v>2641</v>
      </c>
    </row>
    <row r="1020" spans="6:6" ht="47.25" x14ac:dyDescent="0.25">
      <c r="F1020" s="7" t="s">
        <v>2645</v>
      </c>
    </row>
    <row r="1021" spans="6:6" ht="47.25" x14ac:dyDescent="0.25">
      <c r="F1021" s="7" t="s">
        <v>2648</v>
      </c>
    </row>
    <row r="1022" spans="6:6" ht="31.5" x14ac:dyDescent="0.25">
      <c r="F1022" s="7" t="s">
        <v>2652</v>
      </c>
    </row>
    <row r="1023" spans="6:6" ht="63" x14ac:dyDescent="0.25">
      <c r="F1023" s="7" t="s">
        <v>2656</v>
      </c>
    </row>
    <row r="1024" spans="6:6" ht="47.25" x14ac:dyDescent="0.25">
      <c r="F1024" s="7" t="s">
        <v>2659</v>
      </c>
    </row>
    <row r="1025" spans="6:6" ht="31.5" x14ac:dyDescent="0.25">
      <c r="F1025" s="7" t="s">
        <v>2663</v>
      </c>
    </row>
    <row r="1026" spans="6:6" ht="47.25" x14ac:dyDescent="0.25">
      <c r="F1026" s="7" t="s">
        <v>2666</v>
      </c>
    </row>
    <row r="1027" spans="6:6" ht="47.25" x14ac:dyDescent="0.25">
      <c r="F1027" s="7" t="s">
        <v>2669</v>
      </c>
    </row>
    <row r="1028" spans="6:6" ht="47.25" x14ac:dyDescent="0.25">
      <c r="F1028" s="7" t="s">
        <v>2672</v>
      </c>
    </row>
    <row r="1029" spans="6:6" ht="63" x14ac:dyDescent="0.25">
      <c r="F1029" s="7" t="s">
        <v>2676</v>
      </c>
    </row>
    <row r="1030" spans="6:6" ht="63" x14ac:dyDescent="0.25">
      <c r="F1030" s="7" t="s">
        <v>2680</v>
      </c>
    </row>
    <row r="1031" spans="6:6" ht="31.5" x14ac:dyDescent="0.25">
      <c r="F1031" s="7" t="s">
        <v>2683</v>
      </c>
    </row>
    <row r="1032" spans="6:6" ht="31.5" x14ac:dyDescent="0.25">
      <c r="F1032" s="7" t="s">
        <v>2686</v>
      </c>
    </row>
    <row r="1033" spans="6:6" ht="47.25" x14ac:dyDescent="0.25">
      <c r="F1033" s="7" t="s">
        <v>2689</v>
      </c>
    </row>
    <row r="1034" spans="6:6" ht="47.25" x14ac:dyDescent="0.25">
      <c r="F1034" s="7" t="s">
        <v>2693</v>
      </c>
    </row>
    <row r="1035" spans="6:6" ht="31.5" x14ac:dyDescent="0.25">
      <c r="F1035" s="7" t="s">
        <v>2696</v>
      </c>
    </row>
    <row r="1036" spans="6:6" ht="47.25" x14ac:dyDescent="0.25">
      <c r="F1036" s="7" t="s">
        <v>2700</v>
      </c>
    </row>
    <row r="1037" spans="6:6" ht="31.5" x14ac:dyDescent="0.25">
      <c r="F1037" s="7" t="s">
        <v>2703</v>
      </c>
    </row>
    <row r="1038" spans="6:6" ht="47.25" x14ac:dyDescent="0.25">
      <c r="F1038" s="7" t="s">
        <v>2706</v>
      </c>
    </row>
    <row r="1039" spans="6:6" ht="47.25" x14ac:dyDescent="0.25">
      <c r="F1039" s="7" t="s">
        <v>2709</v>
      </c>
    </row>
    <row r="1040" spans="6:6" ht="47.25" x14ac:dyDescent="0.25">
      <c r="F1040" s="7" t="s">
        <v>2712</v>
      </c>
    </row>
    <row r="1041" spans="6:6" ht="31.5" x14ac:dyDescent="0.25">
      <c r="F1041" s="7" t="s">
        <v>2716</v>
      </c>
    </row>
    <row r="1042" spans="6:6" ht="47.25" x14ac:dyDescent="0.25">
      <c r="F1042" s="7" t="s">
        <v>2719</v>
      </c>
    </row>
    <row r="1043" spans="6:6" ht="31.5" x14ac:dyDescent="0.25">
      <c r="F1043" s="7" t="s">
        <v>2722</v>
      </c>
    </row>
    <row r="1044" spans="6:6" ht="47.25" x14ac:dyDescent="0.25">
      <c r="F1044" s="7" t="s">
        <v>2726</v>
      </c>
    </row>
    <row r="1045" spans="6:6" ht="47.25" x14ac:dyDescent="0.25">
      <c r="F1045" s="7" t="s">
        <v>2730</v>
      </c>
    </row>
    <row r="1046" spans="6:6" ht="63" x14ac:dyDescent="0.25">
      <c r="F1046" s="7" t="s">
        <v>2733</v>
      </c>
    </row>
    <row r="1047" spans="6:6" ht="63" x14ac:dyDescent="0.25">
      <c r="F1047" s="7" t="s">
        <v>2736</v>
      </c>
    </row>
    <row r="1048" spans="6:6" ht="47.25" x14ac:dyDescent="0.25">
      <c r="F1048" s="7" t="s">
        <v>2739</v>
      </c>
    </row>
    <row r="1049" spans="6:6" ht="78.75" x14ac:dyDescent="0.25">
      <c r="F1049" s="7" t="s">
        <v>2742</v>
      </c>
    </row>
    <row r="1050" spans="6:6" ht="63" x14ac:dyDescent="0.25">
      <c r="F1050" s="7" t="s">
        <v>2745</v>
      </c>
    </row>
    <row r="1051" spans="6:6" ht="31.5" x14ac:dyDescent="0.25">
      <c r="F1051" s="7" t="s">
        <v>2748</v>
      </c>
    </row>
    <row r="1052" spans="6:6" ht="31.5" x14ac:dyDescent="0.25">
      <c r="F1052" s="7" t="s">
        <v>2751</v>
      </c>
    </row>
    <row r="1053" spans="6:6" ht="47.25" x14ac:dyDescent="0.25">
      <c r="F1053" s="7" t="s">
        <v>2754</v>
      </c>
    </row>
    <row r="1054" spans="6:6" ht="31.5" x14ac:dyDescent="0.25">
      <c r="F1054" s="7" t="s">
        <v>2757</v>
      </c>
    </row>
    <row r="1055" spans="6:6" ht="47.25" x14ac:dyDescent="0.25">
      <c r="F1055" s="7" t="s">
        <v>2760</v>
      </c>
    </row>
    <row r="1056" spans="6:6" ht="47.25" x14ac:dyDescent="0.25">
      <c r="F1056" s="7" t="s">
        <v>2763</v>
      </c>
    </row>
    <row r="1057" spans="6:6" ht="47.25" x14ac:dyDescent="0.25">
      <c r="F1057" s="7" t="s">
        <v>2766</v>
      </c>
    </row>
    <row r="1058" spans="6:6" ht="47.25" x14ac:dyDescent="0.25">
      <c r="F1058" s="7" t="s">
        <v>2769</v>
      </c>
    </row>
    <row r="1059" spans="6:6" ht="63" x14ac:dyDescent="0.25">
      <c r="F1059" s="7" t="s">
        <v>2772</v>
      </c>
    </row>
    <row r="1060" spans="6:6" ht="47.25" x14ac:dyDescent="0.25">
      <c r="F1060" s="7" t="s">
        <v>2776</v>
      </c>
    </row>
    <row r="1061" spans="6:6" ht="47.25" x14ac:dyDescent="0.25">
      <c r="F1061" s="7" t="s">
        <v>2780</v>
      </c>
    </row>
    <row r="1062" spans="6:6" ht="47.25" x14ac:dyDescent="0.25">
      <c r="F1062" s="7" t="s">
        <v>2783</v>
      </c>
    </row>
    <row r="1063" spans="6:6" ht="47.25" x14ac:dyDescent="0.25">
      <c r="F1063" s="7" t="s">
        <v>2786</v>
      </c>
    </row>
    <row r="1064" spans="6:6" ht="47.25" x14ac:dyDescent="0.25">
      <c r="F1064" s="7" t="s">
        <v>2790</v>
      </c>
    </row>
    <row r="1065" spans="6:6" ht="63" x14ac:dyDescent="0.25">
      <c r="F1065" s="7" t="s">
        <v>2793</v>
      </c>
    </row>
    <row r="1066" spans="6:6" ht="31.5" x14ac:dyDescent="0.25">
      <c r="F1066" s="7" t="s">
        <v>2796</v>
      </c>
    </row>
    <row r="1067" spans="6:6" ht="78.75" x14ac:dyDescent="0.25">
      <c r="F1067" s="7" t="s">
        <v>2800</v>
      </c>
    </row>
    <row r="1068" spans="6:6" ht="63" x14ac:dyDescent="0.25">
      <c r="F1068" s="7" t="s">
        <v>2803</v>
      </c>
    </row>
    <row r="1069" spans="6:6" ht="78.75" x14ac:dyDescent="0.25">
      <c r="F1069" s="7" t="s">
        <v>2806</v>
      </c>
    </row>
    <row r="1070" spans="6:6" ht="31.5" x14ac:dyDescent="0.25">
      <c r="F1070" s="7" t="s">
        <v>2810</v>
      </c>
    </row>
    <row r="1071" spans="6:6" ht="31.5" x14ac:dyDescent="0.25">
      <c r="F1071" s="7" t="s">
        <v>2813</v>
      </c>
    </row>
    <row r="1072" spans="6:6" ht="47.25" x14ac:dyDescent="0.25">
      <c r="F1072" s="7" t="s">
        <v>2816</v>
      </c>
    </row>
    <row r="1073" spans="6:6" ht="63" x14ac:dyDescent="0.25">
      <c r="F1073" s="7" t="s">
        <v>2820</v>
      </c>
    </row>
    <row r="1074" spans="6:6" ht="31.5" x14ac:dyDescent="0.25">
      <c r="F1074" s="7" t="s">
        <v>2823</v>
      </c>
    </row>
    <row r="1075" spans="6:6" ht="31.5" x14ac:dyDescent="0.25">
      <c r="F1075" s="7" t="s">
        <v>2826</v>
      </c>
    </row>
    <row r="1076" spans="6:6" x14ac:dyDescent="0.25">
      <c r="F1076" s="7" t="s">
        <v>2830</v>
      </c>
    </row>
    <row r="1077" spans="6:6" ht="31.5" x14ac:dyDescent="0.25">
      <c r="F1077" s="7" t="s">
        <v>2833</v>
      </c>
    </row>
    <row r="1078" spans="6:6" ht="63" x14ac:dyDescent="0.25">
      <c r="F1078" s="7" t="s">
        <v>2836</v>
      </c>
    </row>
    <row r="1079" spans="6:6" ht="78.75" x14ac:dyDescent="0.25">
      <c r="F1079" s="7" t="s">
        <v>2839</v>
      </c>
    </row>
    <row r="1080" spans="6:6" ht="47.25" x14ac:dyDescent="0.25">
      <c r="F1080" s="7" t="s">
        <v>2843</v>
      </c>
    </row>
    <row r="1081" spans="6:6" ht="31.5" x14ac:dyDescent="0.25">
      <c r="F1081" s="7" t="s">
        <v>2846</v>
      </c>
    </row>
    <row r="1082" spans="6:6" ht="63" x14ac:dyDescent="0.25">
      <c r="F1082" s="7" t="s">
        <v>2850</v>
      </c>
    </row>
    <row r="1083" spans="6:6" ht="47.25" x14ac:dyDescent="0.25">
      <c r="F1083" s="7" t="s">
        <v>2853</v>
      </c>
    </row>
    <row r="1084" spans="6:6" ht="63" x14ac:dyDescent="0.25">
      <c r="F1084" s="7" t="s">
        <v>2856</v>
      </c>
    </row>
    <row r="1085" spans="6:6" ht="31.5" x14ac:dyDescent="0.25">
      <c r="F1085" s="7" t="s">
        <v>2859</v>
      </c>
    </row>
    <row r="1086" spans="6:6" ht="31.5" x14ac:dyDescent="0.25">
      <c r="F1086" s="7" t="s">
        <v>2863</v>
      </c>
    </row>
    <row r="1087" spans="6:6" ht="47.25" x14ac:dyDescent="0.25">
      <c r="F1087" s="7" t="s">
        <v>2866</v>
      </c>
    </row>
    <row r="1088" spans="6:6" ht="47.25" x14ac:dyDescent="0.25">
      <c r="F1088" s="7" t="s">
        <v>2869</v>
      </c>
    </row>
    <row r="1089" spans="6:6" ht="63" x14ac:dyDescent="0.25">
      <c r="F1089" s="7" t="s">
        <v>2873</v>
      </c>
    </row>
    <row r="1090" spans="6:6" ht="31.5" x14ac:dyDescent="0.25">
      <c r="F1090" s="7" t="s">
        <v>2876</v>
      </c>
    </row>
    <row r="1091" spans="6:6" ht="47.25" x14ac:dyDescent="0.25">
      <c r="F1091" s="7" t="s">
        <v>2880</v>
      </c>
    </row>
    <row r="1092" spans="6:6" ht="31.5" x14ac:dyDescent="0.25">
      <c r="F1092" s="7" t="s">
        <v>2884</v>
      </c>
    </row>
    <row r="1093" spans="6:6" ht="63" x14ac:dyDescent="0.25">
      <c r="F1093" s="7" t="s">
        <v>2888</v>
      </c>
    </row>
    <row r="1094" spans="6:6" ht="47.25" x14ac:dyDescent="0.25">
      <c r="F1094" s="7" t="s">
        <v>2891</v>
      </c>
    </row>
    <row r="1095" spans="6:6" ht="47.25" x14ac:dyDescent="0.25">
      <c r="F1095" s="7" t="s">
        <v>2895</v>
      </c>
    </row>
    <row r="1096" spans="6:6" ht="31.5" x14ac:dyDescent="0.25">
      <c r="F1096" s="7" t="s">
        <v>2898</v>
      </c>
    </row>
    <row r="1097" spans="6:6" ht="31.5" x14ac:dyDescent="0.25">
      <c r="F1097" s="7" t="s">
        <v>2902</v>
      </c>
    </row>
    <row r="1098" spans="6:6" ht="63" x14ac:dyDescent="0.25">
      <c r="F1098" s="7" t="s">
        <v>2905</v>
      </c>
    </row>
    <row r="1099" spans="6:6" ht="31.5" x14ac:dyDescent="0.25">
      <c r="F1099" s="7" t="s">
        <v>2908</v>
      </c>
    </row>
    <row r="1100" spans="6:6" ht="47.25" x14ac:dyDescent="0.25">
      <c r="F1100" s="7" t="s">
        <v>2911</v>
      </c>
    </row>
    <row r="1101" spans="6:6" ht="31.5" x14ac:dyDescent="0.25">
      <c r="F1101" s="7" t="s">
        <v>2914</v>
      </c>
    </row>
    <row r="1102" spans="6:6" ht="31.5" x14ac:dyDescent="0.25">
      <c r="F1102" s="7" t="s">
        <v>2917</v>
      </c>
    </row>
    <row r="1103" spans="6:6" ht="47.25" x14ac:dyDescent="0.25">
      <c r="F1103" s="7" t="s">
        <v>2920</v>
      </c>
    </row>
    <row r="1104" spans="6:6" ht="31.5" x14ac:dyDescent="0.25">
      <c r="F1104" s="7" t="s">
        <v>2923</v>
      </c>
    </row>
    <row r="1105" spans="6:6" ht="63" x14ac:dyDescent="0.25">
      <c r="F1105" s="7" t="s">
        <v>2926</v>
      </c>
    </row>
    <row r="1106" spans="6:6" ht="31.5" x14ac:dyDescent="0.25">
      <c r="F1106" s="7" t="s">
        <v>2930</v>
      </c>
    </row>
    <row r="1107" spans="6:6" ht="31.5" x14ac:dyDescent="0.25">
      <c r="F1107" s="7" t="s">
        <v>2934</v>
      </c>
    </row>
    <row r="1108" spans="6:6" ht="47.25" x14ac:dyDescent="0.25">
      <c r="F1108" s="7" t="s">
        <v>2937</v>
      </c>
    </row>
    <row r="1109" spans="6:6" ht="63" x14ac:dyDescent="0.25">
      <c r="F1109" s="7" t="s">
        <v>2940</v>
      </c>
    </row>
    <row r="1110" spans="6:6" ht="31.5" x14ac:dyDescent="0.25">
      <c r="F1110" s="7" t="s">
        <v>2943</v>
      </c>
    </row>
    <row r="1111" spans="6:6" ht="47.25" x14ac:dyDescent="0.25">
      <c r="F1111" s="7" t="s">
        <v>2947</v>
      </c>
    </row>
    <row r="1112" spans="6:6" ht="47.25" x14ac:dyDescent="0.25">
      <c r="F1112" s="7" t="s">
        <v>2950</v>
      </c>
    </row>
    <row r="1113" spans="6:6" ht="31.5" x14ac:dyDescent="0.25">
      <c r="F1113" s="7" t="s">
        <v>2954</v>
      </c>
    </row>
    <row r="1114" spans="6:6" ht="47.25" x14ac:dyDescent="0.25">
      <c r="F1114" s="7" t="s">
        <v>2958</v>
      </c>
    </row>
    <row r="1115" spans="6:6" ht="47.25" x14ac:dyDescent="0.25">
      <c r="F1115" s="7" t="s">
        <v>2961</v>
      </c>
    </row>
    <row r="1116" spans="6:6" ht="31.5" x14ac:dyDescent="0.25">
      <c r="F1116" s="7" t="s">
        <v>2964</v>
      </c>
    </row>
    <row r="1117" spans="6:6" ht="31.5" x14ac:dyDescent="0.25">
      <c r="F1117" s="7" t="s">
        <v>2967</v>
      </c>
    </row>
    <row r="1118" spans="6:6" ht="47.25" x14ac:dyDescent="0.25">
      <c r="F1118" s="7" t="s">
        <v>2970</v>
      </c>
    </row>
    <row r="1119" spans="6:6" ht="47.25" x14ac:dyDescent="0.25">
      <c r="F1119" s="7" t="s">
        <v>2973</v>
      </c>
    </row>
    <row r="1120" spans="6:6" ht="63" x14ac:dyDescent="0.25">
      <c r="F1120" s="7" t="s">
        <v>2977</v>
      </c>
    </row>
    <row r="1121" spans="6:6" ht="47.25" x14ac:dyDescent="0.25">
      <c r="F1121" s="7" t="s">
        <v>2980</v>
      </c>
    </row>
    <row r="1122" spans="6:6" ht="31.5" x14ac:dyDescent="0.25">
      <c r="F1122" s="7" t="s">
        <v>2983</v>
      </c>
    </row>
    <row r="1123" spans="6:6" ht="31.5" x14ac:dyDescent="0.25">
      <c r="F1123" s="7" t="s">
        <v>2986</v>
      </c>
    </row>
    <row r="1124" spans="6:6" ht="31.5" x14ac:dyDescent="0.25">
      <c r="F1124" s="7" t="s">
        <v>2989</v>
      </c>
    </row>
    <row r="1125" spans="6:6" ht="31.5" x14ac:dyDescent="0.25">
      <c r="F1125" s="7" t="s">
        <v>2992</v>
      </c>
    </row>
    <row r="1126" spans="6:6" ht="47.25" x14ac:dyDescent="0.25">
      <c r="F1126" s="7" t="s">
        <v>2995</v>
      </c>
    </row>
    <row r="1127" spans="6:6" ht="31.5" x14ac:dyDescent="0.25">
      <c r="F1127" s="7" t="s">
        <v>2998</v>
      </c>
    </row>
    <row r="1128" spans="6:6" ht="47.25" x14ac:dyDescent="0.25">
      <c r="F1128" s="7" t="s">
        <v>3002</v>
      </c>
    </row>
    <row r="1129" spans="6:6" ht="31.5" x14ac:dyDescent="0.25">
      <c r="F1129" s="7" t="s">
        <v>3005</v>
      </c>
    </row>
    <row r="1130" spans="6:6" ht="47.25" x14ac:dyDescent="0.25">
      <c r="F1130" s="7" t="s">
        <v>3008</v>
      </c>
    </row>
    <row r="1131" spans="6:6" ht="63" x14ac:dyDescent="0.25">
      <c r="F1131" s="7" t="s">
        <v>3011</v>
      </c>
    </row>
    <row r="1132" spans="6:6" ht="63" x14ac:dyDescent="0.25">
      <c r="F1132" s="7" t="s">
        <v>3014</v>
      </c>
    </row>
    <row r="1133" spans="6:6" ht="63" x14ac:dyDescent="0.25">
      <c r="F1133" s="7" t="s">
        <v>3017</v>
      </c>
    </row>
    <row r="1134" spans="6:6" ht="63" x14ac:dyDescent="0.25">
      <c r="F1134" s="7" t="s">
        <v>3020</v>
      </c>
    </row>
    <row r="1135" spans="6:6" ht="63" x14ac:dyDescent="0.25">
      <c r="F1135" s="7" t="s">
        <v>3024</v>
      </c>
    </row>
    <row r="1136" spans="6:6" ht="47.25" x14ac:dyDescent="0.25">
      <c r="F1136" s="7" t="s">
        <v>3027</v>
      </c>
    </row>
    <row r="1137" spans="6:6" ht="47.25" x14ac:dyDescent="0.25">
      <c r="F1137" s="7" t="s">
        <v>3030</v>
      </c>
    </row>
    <row r="1138" spans="6:6" ht="47.25" x14ac:dyDescent="0.25">
      <c r="F1138" s="7" t="s">
        <v>3033</v>
      </c>
    </row>
    <row r="1139" spans="6:6" ht="31.5" x14ac:dyDescent="0.25">
      <c r="F1139" s="7" t="s">
        <v>3037</v>
      </c>
    </row>
    <row r="1140" spans="6:6" ht="31.5" x14ac:dyDescent="0.25">
      <c r="F1140" s="7" t="s">
        <v>3040</v>
      </c>
    </row>
    <row r="1141" spans="6:6" ht="31.5" x14ac:dyDescent="0.25">
      <c r="F1141" s="7" t="s">
        <v>3043</v>
      </c>
    </row>
    <row r="1142" spans="6:6" ht="31.5" x14ac:dyDescent="0.25">
      <c r="F1142" s="7" t="s">
        <v>3046</v>
      </c>
    </row>
    <row r="1143" spans="6:6" ht="31.5" x14ac:dyDescent="0.25">
      <c r="F1143" s="7" t="s">
        <v>3049</v>
      </c>
    </row>
    <row r="1144" spans="6:6" ht="47.25" x14ac:dyDescent="0.25">
      <c r="F1144" s="7" t="s">
        <v>3052</v>
      </c>
    </row>
    <row r="1145" spans="6:6" ht="47.25" x14ac:dyDescent="0.25">
      <c r="F1145" s="7" t="s">
        <v>3055</v>
      </c>
    </row>
    <row r="1146" spans="6:6" ht="31.5" x14ac:dyDescent="0.25">
      <c r="F1146" s="7" t="s">
        <v>3059</v>
      </c>
    </row>
    <row r="1147" spans="6:6" ht="63" x14ac:dyDescent="0.25">
      <c r="F1147" s="7" t="s">
        <v>3062</v>
      </c>
    </row>
    <row r="1148" spans="6:6" ht="47.25" x14ac:dyDescent="0.25">
      <c r="F1148" s="7" t="s">
        <v>3065</v>
      </c>
    </row>
    <row r="1149" spans="6:6" ht="47.25" x14ac:dyDescent="0.25">
      <c r="F1149" s="7" t="s">
        <v>3068</v>
      </c>
    </row>
    <row r="1150" spans="6:6" ht="63" x14ac:dyDescent="0.25">
      <c r="F1150" s="7" t="s">
        <v>3072</v>
      </c>
    </row>
    <row r="1151" spans="6:6" ht="47.25" x14ac:dyDescent="0.25">
      <c r="F1151" s="7" t="s">
        <v>3075</v>
      </c>
    </row>
    <row r="1152" spans="6:6" ht="47.25" x14ac:dyDescent="0.25">
      <c r="F1152" s="7" t="s">
        <v>3078</v>
      </c>
    </row>
    <row r="1153" spans="6:6" ht="31.5" x14ac:dyDescent="0.25">
      <c r="F1153" s="7" t="s">
        <v>3082</v>
      </c>
    </row>
    <row r="1154" spans="6:6" ht="63" x14ac:dyDescent="0.25">
      <c r="F1154" s="7" t="s">
        <v>3085</v>
      </c>
    </row>
    <row r="1155" spans="6:6" ht="47.25" x14ac:dyDescent="0.25">
      <c r="F1155" s="7" t="s">
        <v>3088</v>
      </c>
    </row>
    <row r="1156" spans="6:6" ht="47.25" x14ac:dyDescent="0.25">
      <c r="F1156" s="7" t="s">
        <v>3091</v>
      </c>
    </row>
    <row r="1157" spans="6:6" ht="47.25" x14ac:dyDescent="0.25">
      <c r="F1157" s="7" t="s">
        <v>3094</v>
      </c>
    </row>
    <row r="1158" spans="6:6" ht="31.5" x14ac:dyDescent="0.25">
      <c r="F1158" s="7" t="s">
        <v>3097</v>
      </c>
    </row>
    <row r="1159" spans="6:6" ht="31.5" x14ac:dyDescent="0.25">
      <c r="F1159" s="7" t="s">
        <v>3100</v>
      </c>
    </row>
    <row r="1160" spans="6:6" ht="47.25" x14ac:dyDescent="0.25">
      <c r="F1160" s="7" t="s">
        <v>3103</v>
      </c>
    </row>
    <row r="1161" spans="6:6" ht="78.75" x14ac:dyDescent="0.25">
      <c r="F1161" s="7" t="s">
        <v>3107</v>
      </c>
    </row>
    <row r="1162" spans="6:6" ht="31.5" x14ac:dyDescent="0.25">
      <c r="F1162" s="7" t="s">
        <v>3110</v>
      </c>
    </row>
    <row r="1163" spans="6:6" ht="47.25" x14ac:dyDescent="0.25">
      <c r="F1163" s="7" t="s">
        <v>3113</v>
      </c>
    </row>
    <row r="1164" spans="6:6" ht="31.5" x14ac:dyDescent="0.25">
      <c r="F1164" s="7" t="s">
        <v>3116</v>
      </c>
    </row>
    <row r="1165" spans="6:6" ht="31.5" x14ac:dyDescent="0.25">
      <c r="F1165" s="7" t="s">
        <v>3119</v>
      </c>
    </row>
    <row r="1166" spans="6:6" ht="31.5" x14ac:dyDescent="0.25">
      <c r="F1166" s="7" t="s">
        <v>3122</v>
      </c>
    </row>
    <row r="1167" spans="6:6" ht="47.25" x14ac:dyDescent="0.25">
      <c r="F1167" s="7" t="s">
        <v>3125</v>
      </c>
    </row>
    <row r="1168" spans="6:6" ht="31.5" x14ac:dyDescent="0.25">
      <c r="F1168" s="7" t="s">
        <v>3128</v>
      </c>
    </row>
    <row r="1169" spans="6:6" ht="31.5" x14ac:dyDescent="0.25">
      <c r="F1169" s="7" t="s">
        <v>3131</v>
      </c>
    </row>
    <row r="1170" spans="6:6" ht="47.25" x14ac:dyDescent="0.25">
      <c r="F1170" s="7" t="s">
        <v>3134</v>
      </c>
    </row>
    <row r="1171" spans="6:6" ht="31.5" x14ac:dyDescent="0.25">
      <c r="F1171" s="7" t="s">
        <v>3138</v>
      </c>
    </row>
    <row r="1172" spans="6:6" ht="31.5" x14ac:dyDescent="0.25">
      <c r="F1172" s="7" t="s">
        <v>3142</v>
      </c>
    </row>
    <row r="1173" spans="6:6" ht="31.5" x14ac:dyDescent="0.25">
      <c r="F1173" s="7" t="s">
        <v>3145</v>
      </c>
    </row>
    <row r="1174" spans="6:6" ht="63" x14ac:dyDescent="0.25">
      <c r="F1174" s="7" t="s">
        <v>3148</v>
      </c>
    </row>
    <row r="1175" spans="6:6" ht="63" x14ac:dyDescent="0.25">
      <c r="F1175" s="7" t="s">
        <v>3152</v>
      </c>
    </row>
    <row r="1176" spans="6:6" ht="47.25" x14ac:dyDescent="0.25">
      <c r="F1176" s="7" t="s">
        <v>3155</v>
      </c>
    </row>
    <row r="1177" spans="6:6" ht="47.25" x14ac:dyDescent="0.25">
      <c r="F1177" s="7" t="s">
        <v>3158</v>
      </c>
    </row>
    <row r="1178" spans="6:6" ht="47.25" x14ac:dyDescent="0.25">
      <c r="F1178" s="7" t="s">
        <v>3161</v>
      </c>
    </row>
    <row r="1179" spans="6:6" ht="47.25" x14ac:dyDescent="0.25">
      <c r="F1179" s="7" t="s">
        <v>3164</v>
      </c>
    </row>
    <row r="1180" spans="6:6" ht="31.5" x14ac:dyDescent="0.25">
      <c r="F1180" s="7" t="s">
        <v>3167</v>
      </c>
    </row>
    <row r="1181" spans="6:6" ht="63" x14ac:dyDescent="0.25">
      <c r="F1181" s="7" t="s">
        <v>3170</v>
      </c>
    </row>
    <row r="1182" spans="6:6" ht="47.25" x14ac:dyDescent="0.25">
      <c r="F1182" s="7" t="s">
        <v>3173</v>
      </c>
    </row>
    <row r="1183" spans="6:6" ht="31.5" x14ac:dyDescent="0.25">
      <c r="F1183" s="7" t="s">
        <v>3176</v>
      </c>
    </row>
    <row r="1184" spans="6:6" ht="31.5" x14ac:dyDescent="0.25">
      <c r="F1184" s="7" t="s">
        <v>3180</v>
      </c>
    </row>
    <row r="1185" spans="6:6" ht="31.5" x14ac:dyDescent="0.25">
      <c r="F1185" s="7" t="s">
        <v>3183</v>
      </c>
    </row>
    <row r="1186" spans="6:6" ht="47.25" x14ac:dyDescent="0.25">
      <c r="F1186" s="7" t="s">
        <v>3187</v>
      </c>
    </row>
    <row r="1187" spans="6:6" ht="47.25" x14ac:dyDescent="0.25">
      <c r="F1187" s="7" t="s">
        <v>3190</v>
      </c>
    </row>
    <row r="1188" spans="6:6" ht="31.5" x14ac:dyDescent="0.25">
      <c r="F1188" s="7" t="s">
        <v>3193</v>
      </c>
    </row>
    <row r="1189" spans="6:6" ht="47.25" x14ac:dyDescent="0.25">
      <c r="F1189" s="7" t="s">
        <v>3196</v>
      </c>
    </row>
    <row r="1190" spans="6:6" ht="47.25" x14ac:dyDescent="0.25">
      <c r="F1190" s="7" t="s">
        <v>3199</v>
      </c>
    </row>
    <row r="1191" spans="6:6" ht="31.5" x14ac:dyDescent="0.25">
      <c r="F1191" s="7" t="s">
        <v>3202</v>
      </c>
    </row>
    <row r="1192" spans="6:6" ht="31.5" x14ac:dyDescent="0.25">
      <c r="F1192" s="7" t="s">
        <v>3205</v>
      </c>
    </row>
    <row r="1193" spans="6:6" ht="63" x14ac:dyDescent="0.25">
      <c r="F1193" s="7" t="s">
        <v>3209</v>
      </c>
    </row>
    <row r="1194" spans="6:6" ht="47.25" x14ac:dyDescent="0.25">
      <c r="F1194" s="7" t="s">
        <v>3212</v>
      </c>
    </row>
    <row r="1195" spans="6:6" ht="31.5" x14ac:dyDescent="0.25">
      <c r="F1195" s="7" t="s">
        <v>3215</v>
      </c>
    </row>
    <row r="1196" spans="6:6" ht="47.25" x14ac:dyDescent="0.25">
      <c r="F1196" s="7" t="s">
        <v>3218</v>
      </c>
    </row>
    <row r="1197" spans="6:6" ht="47.25" x14ac:dyDescent="0.25">
      <c r="F1197" s="7" t="s">
        <v>3222</v>
      </c>
    </row>
    <row r="1198" spans="6:6" ht="63" x14ac:dyDescent="0.25">
      <c r="F1198" s="7" t="s">
        <v>3226</v>
      </c>
    </row>
    <row r="1199" spans="6:6" ht="31.5" x14ac:dyDescent="0.25">
      <c r="F1199" s="7" t="s">
        <v>3229</v>
      </c>
    </row>
    <row r="1200" spans="6:6" ht="31.5" x14ac:dyDescent="0.25">
      <c r="F1200" s="7" t="s">
        <v>3232</v>
      </c>
    </row>
    <row r="1201" spans="6:6" ht="47.25" x14ac:dyDescent="0.25">
      <c r="F1201" s="7" t="s">
        <v>3236</v>
      </c>
    </row>
    <row r="1202" spans="6:6" ht="31.5" x14ac:dyDescent="0.25">
      <c r="F1202" s="7" t="s">
        <v>3239</v>
      </c>
    </row>
    <row r="1203" spans="6:6" ht="47.25" x14ac:dyDescent="0.25">
      <c r="F1203" s="7" t="s">
        <v>3242</v>
      </c>
    </row>
    <row r="1204" spans="6:6" ht="47.25" x14ac:dyDescent="0.25">
      <c r="F1204" s="7" t="s">
        <v>3245</v>
      </c>
    </row>
    <row r="1205" spans="6:6" ht="78.75" x14ac:dyDescent="0.25">
      <c r="F1205" s="7" t="s">
        <v>3248</v>
      </c>
    </row>
    <row r="1206" spans="6:6" ht="31.5" x14ac:dyDescent="0.25">
      <c r="F1206" s="7" t="s">
        <v>3251</v>
      </c>
    </row>
    <row r="1207" spans="6:6" ht="31.5" x14ac:dyDescent="0.25">
      <c r="F1207" s="7" t="s">
        <v>3254</v>
      </c>
    </row>
    <row r="1208" spans="6:6" ht="63" x14ac:dyDescent="0.25">
      <c r="F1208" s="7" t="s">
        <v>3258</v>
      </c>
    </row>
    <row r="1209" spans="6:6" ht="31.5" x14ac:dyDescent="0.25">
      <c r="F1209" s="7" t="s">
        <v>3261</v>
      </c>
    </row>
    <row r="1210" spans="6:6" ht="31.5" x14ac:dyDescent="0.25">
      <c r="F1210" s="7" t="s">
        <v>3264</v>
      </c>
    </row>
    <row r="1211" spans="6:6" ht="31.5" x14ac:dyDescent="0.25">
      <c r="F1211" s="7" t="s">
        <v>3267</v>
      </c>
    </row>
    <row r="1212" spans="6:6" ht="47.25" x14ac:dyDescent="0.25">
      <c r="F1212" s="7" t="s">
        <v>3270</v>
      </c>
    </row>
    <row r="1213" spans="6:6" ht="47.25" x14ac:dyDescent="0.25">
      <c r="F1213" s="7" t="s">
        <v>3274</v>
      </c>
    </row>
    <row r="1214" spans="6:6" ht="31.5" x14ac:dyDescent="0.25">
      <c r="F1214" s="7" t="s">
        <v>3277</v>
      </c>
    </row>
    <row r="1215" spans="6:6" ht="63" x14ac:dyDescent="0.25">
      <c r="F1215" s="7" t="s">
        <v>3280</v>
      </c>
    </row>
    <row r="1216" spans="6:6" ht="47.25" x14ac:dyDescent="0.25">
      <c r="F1216" s="7" t="s">
        <v>3283</v>
      </c>
    </row>
    <row r="1217" spans="6:6" ht="47.25" x14ac:dyDescent="0.25">
      <c r="F1217" s="7" t="s">
        <v>3286</v>
      </c>
    </row>
    <row r="1218" spans="6:6" ht="63" x14ac:dyDescent="0.25">
      <c r="F1218" s="7" t="s">
        <v>3289</v>
      </c>
    </row>
    <row r="1219" spans="6:6" ht="47.25" x14ac:dyDescent="0.25">
      <c r="F1219" s="7" t="s">
        <v>3292</v>
      </c>
    </row>
    <row r="1220" spans="6:6" ht="31.5" x14ac:dyDescent="0.25">
      <c r="F1220" s="7" t="s">
        <v>3296</v>
      </c>
    </row>
    <row r="1221" spans="6:6" ht="63" x14ac:dyDescent="0.25">
      <c r="F1221" s="7" t="s">
        <v>3299</v>
      </c>
    </row>
    <row r="1222" spans="6:6" ht="47.25" x14ac:dyDescent="0.25">
      <c r="F1222" s="7" t="s">
        <v>3302</v>
      </c>
    </row>
    <row r="1223" spans="6:6" ht="63" x14ac:dyDescent="0.25">
      <c r="F1223" s="7" t="s">
        <v>3306</v>
      </c>
    </row>
    <row r="1224" spans="6:6" ht="47.25" x14ac:dyDescent="0.25">
      <c r="F1224" s="7" t="s">
        <v>3309</v>
      </c>
    </row>
    <row r="1225" spans="6:6" ht="31.5" x14ac:dyDescent="0.25">
      <c r="F1225" s="7" t="s">
        <v>3312</v>
      </c>
    </row>
    <row r="1226" spans="6:6" ht="47.25" x14ac:dyDescent="0.25">
      <c r="F1226" s="7" t="s">
        <v>3315</v>
      </c>
    </row>
    <row r="1227" spans="6:6" ht="31.5" x14ac:dyDescent="0.25">
      <c r="F1227" s="7" t="s">
        <v>3319</v>
      </c>
    </row>
    <row r="1228" spans="6:6" ht="63" x14ac:dyDescent="0.25">
      <c r="F1228" s="7" t="s">
        <v>3322</v>
      </c>
    </row>
    <row r="1229" spans="6:6" ht="47.25" x14ac:dyDescent="0.25">
      <c r="F1229" s="7" t="s">
        <v>3326</v>
      </c>
    </row>
    <row r="1230" spans="6:6" ht="31.5" x14ac:dyDescent="0.25">
      <c r="F1230" s="7" t="s">
        <v>3330</v>
      </c>
    </row>
    <row r="1231" spans="6:6" ht="47.25" x14ac:dyDescent="0.25">
      <c r="F1231" s="7" t="s">
        <v>3333</v>
      </c>
    </row>
    <row r="1232" spans="6:6" ht="31.5" x14ac:dyDescent="0.25">
      <c r="F1232" s="7" t="s">
        <v>3337</v>
      </c>
    </row>
    <row r="1233" spans="6:6" ht="47.25" x14ac:dyDescent="0.25">
      <c r="F1233" s="7" t="s">
        <v>3340</v>
      </c>
    </row>
    <row r="1234" spans="6:6" ht="47.25" x14ac:dyDescent="0.25">
      <c r="F1234" s="7" t="s">
        <v>3343</v>
      </c>
    </row>
    <row r="1235" spans="6:6" ht="63" x14ac:dyDescent="0.25">
      <c r="F1235" s="7" t="s">
        <v>3347</v>
      </c>
    </row>
    <row r="1236" spans="6:6" ht="47.25" x14ac:dyDescent="0.25">
      <c r="F1236" s="7" t="s">
        <v>3350</v>
      </c>
    </row>
    <row r="1237" spans="6:6" ht="78.75" x14ac:dyDescent="0.25">
      <c r="F1237" s="7" t="s">
        <v>3353</v>
      </c>
    </row>
    <row r="1238" spans="6:6" ht="31.5" x14ac:dyDescent="0.25">
      <c r="F1238" s="7" t="s">
        <v>3356</v>
      </c>
    </row>
    <row r="1239" spans="6:6" ht="47.25" x14ac:dyDescent="0.25">
      <c r="F1239" s="7" t="s">
        <v>3360</v>
      </c>
    </row>
    <row r="1240" spans="6:6" ht="47.25" x14ac:dyDescent="0.25">
      <c r="F1240" s="7" t="s">
        <v>3363</v>
      </c>
    </row>
    <row r="1241" spans="6:6" ht="31.5" x14ac:dyDescent="0.25">
      <c r="F1241" s="7" t="s">
        <v>3366</v>
      </c>
    </row>
    <row r="1242" spans="6:6" ht="47.25" x14ac:dyDescent="0.25">
      <c r="F1242" s="7" t="s">
        <v>3370</v>
      </c>
    </row>
    <row r="1243" spans="6:6" ht="47.25" x14ac:dyDescent="0.25">
      <c r="F1243" s="7" t="s">
        <v>3373</v>
      </c>
    </row>
    <row r="1244" spans="6:6" ht="47.25" x14ac:dyDescent="0.25">
      <c r="F1244" s="7" t="s">
        <v>3377</v>
      </c>
    </row>
    <row r="1245" spans="6:6" ht="63" x14ac:dyDescent="0.25">
      <c r="F1245" s="7" t="s">
        <v>3380</v>
      </c>
    </row>
    <row r="1246" spans="6:6" ht="63" x14ac:dyDescent="0.25">
      <c r="F1246" s="7" t="s">
        <v>3383</v>
      </c>
    </row>
    <row r="1247" spans="6:6" ht="47.25" x14ac:dyDescent="0.25">
      <c r="F1247" s="7" t="s">
        <v>3386</v>
      </c>
    </row>
    <row r="1248" spans="6:6" ht="47.25" x14ac:dyDescent="0.25">
      <c r="F1248" s="7" t="s">
        <v>3389</v>
      </c>
    </row>
    <row r="1249" spans="6:6" ht="47.25" x14ac:dyDescent="0.25">
      <c r="F1249" s="7" t="s">
        <v>3392</v>
      </c>
    </row>
    <row r="1250" spans="6:6" ht="31.5" x14ac:dyDescent="0.25">
      <c r="F1250" s="7" t="s">
        <v>3395</v>
      </c>
    </row>
    <row r="1251" spans="6:6" ht="31.5" x14ac:dyDescent="0.25">
      <c r="F1251" s="7" t="s">
        <v>3399</v>
      </c>
    </row>
    <row r="1252" spans="6:6" ht="31.5" x14ac:dyDescent="0.25">
      <c r="F1252" s="7" t="s">
        <v>3402</v>
      </c>
    </row>
    <row r="1253" spans="6:6" ht="47.25" x14ac:dyDescent="0.25">
      <c r="F1253" s="7" t="s">
        <v>3405</v>
      </c>
    </row>
    <row r="1254" spans="6:6" ht="31.5" x14ac:dyDescent="0.25">
      <c r="F1254" s="7" t="s">
        <v>3409</v>
      </c>
    </row>
    <row r="1255" spans="6:6" ht="31.5" x14ac:dyDescent="0.25">
      <c r="F1255" s="7" t="s">
        <v>3412</v>
      </c>
    </row>
    <row r="1256" spans="6:6" ht="63" x14ac:dyDescent="0.25">
      <c r="F1256" s="7" t="s">
        <v>3415</v>
      </c>
    </row>
    <row r="1257" spans="6:6" ht="47.25" x14ac:dyDescent="0.25">
      <c r="F1257" s="7" t="s">
        <v>3419</v>
      </c>
    </row>
    <row r="1258" spans="6:6" ht="31.5" x14ac:dyDescent="0.25">
      <c r="F1258" s="7" t="s">
        <v>3422</v>
      </c>
    </row>
    <row r="1259" spans="6:6" ht="31.5" x14ac:dyDescent="0.25">
      <c r="F1259" s="7" t="s">
        <v>3425</v>
      </c>
    </row>
    <row r="1260" spans="6:6" ht="31.5" x14ac:dyDescent="0.25">
      <c r="F1260" s="7" t="s">
        <v>3428</v>
      </c>
    </row>
    <row r="1261" spans="6:6" ht="31.5" x14ac:dyDescent="0.25">
      <c r="F1261" s="7" t="s">
        <v>3431</v>
      </c>
    </row>
    <row r="1262" spans="6:6" ht="31.5" x14ac:dyDescent="0.25">
      <c r="F1262" s="7" t="s">
        <v>3434</v>
      </c>
    </row>
    <row r="1263" spans="6:6" ht="47.25" x14ac:dyDescent="0.25">
      <c r="F1263" s="7" t="s">
        <v>3437</v>
      </c>
    </row>
    <row r="1264" spans="6:6" x14ac:dyDescent="0.25">
      <c r="F1264" s="7" t="s">
        <v>3440</v>
      </c>
    </row>
    <row r="1265" spans="6:6" ht="47.25" x14ac:dyDescent="0.25">
      <c r="F1265" s="7" t="s">
        <v>3443</v>
      </c>
    </row>
    <row r="1266" spans="6:6" ht="47.25" x14ac:dyDescent="0.25">
      <c r="F1266" s="7" t="s">
        <v>3447</v>
      </c>
    </row>
    <row r="1267" spans="6:6" ht="31.5" x14ac:dyDescent="0.25">
      <c r="F1267" s="7" t="s">
        <v>3451</v>
      </c>
    </row>
    <row r="1268" spans="6:6" ht="47.25" x14ac:dyDescent="0.25">
      <c r="F1268" s="7" t="s">
        <v>3454</v>
      </c>
    </row>
    <row r="1269" spans="6:6" ht="47.25" x14ac:dyDescent="0.25">
      <c r="F1269" s="7" t="s">
        <v>3458</v>
      </c>
    </row>
    <row r="1270" spans="6:6" ht="63" x14ac:dyDescent="0.25">
      <c r="F1270" s="7" t="s">
        <v>3462</v>
      </c>
    </row>
    <row r="1271" spans="6:6" ht="31.5" x14ac:dyDescent="0.25">
      <c r="F1271" s="7" t="s">
        <v>3466</v>
      </c>
    </row>
    <row r="1272" spans="6:6" ht="47.25" x14ac:dyDescent="0.25">
      <c r="F1272" s="7" t="s">
        <v>3469</v>
      </c>
    </row>
    <row r="1273" spans="6:6" ht="31.5" x14ac:dyDescent="0.25">
      <c r="F1273" s="7" t="s">
        <v>3472</v>
      </c>
    </row>
    <row r="1274" spans="6:6" ht="47.25" x14ac:dyDescent="0.25">
      <c r="F1274" s="7" t="s">
        <v>3475</v>
      </c>
    </row>
    <row r="1275" spans="6:6" ht="47.25" x14ac:dyDescent="0.25">
      <c r="F1275" s="7" t="s">
        <v>3478</v>
      </c>
    </row>
    <row r="1276" spans="6:6" ht="47.25" x14ac:dyDescent="0.25">
      <c r="F1276" s="7" t="s">
        <v>3482</v>
      </c>
    </row>
    <row r="1277" spans="6:6" ht="47.25" x14ac:dyDescent="0.25">
      <c r="F1277" s="7" t="s">
        <v>3485</v>
      </c>
    </row>
    <row r="1278" spans="6:6" ht="63" x14ac:dyDescent="0.25">
      <c r="F1278" s="7" t="s">
        <v>3488</v>
      </c>
    </row>
    <row r="1279" spans="6:6" ht="47.25" x14ac:dyDescent="0.25">
      <c r="F1279" s="7" t="s">
        <v>3491</v>
      </c>
    </row>
    <row r="1280" spans="6:6" ht="47.25" x14ac:dyDescent="0.25">
      <c r="F1280" s="7" t="s">
        <v>3494</v>
      </c>
    </row>
    <row r="1281" spans="6:6" ht="47.25" x14ac:dyDescent="0.25">
      <c r="F1281" s="7" t="s">
        <v>3497</v>
      </c>
    </row>
    <row r="1282" spans="6:6" ht="63" x14ac:dyDescent="0.25">
      <c r="F1282" s="7" t="s">
        <v>3500</v>
      </c>
    </row>
    <row r="1283" spans="6:6" ht="47.25" x14ac:dyDescent="0.25">
      <c r="F1283" s="7" t="s">
        <v>3503</v>
      </c>
    </row>
    <row r="1284" spans="6:6" ht="31.5" x14ac:dyDescent="0.25">
      <c r="F1284" s="7" t="s">
        <v>3506</v>
      </c>
    </row>
    <row r="1285" spans="6:6" ht="31.5" x14ac:dyDescent="0.25">
      <c r="F1285" s="7" t="s">
        <v>3509</v>
      </c>
    </row>
    <row r="1286" spans="6:6" ht="47.25" x14ac:dyDescent="0.25">
      <c r="F1286" s="7" t="s">
        <v>3513</v>
      </c>
    </row>
    <row r="1287" spans="6:6" ht="47.25" x14ac:dyDescent="0.25">
      <c r="F1287" s="7" t="s">
        <v>3516</v>
      </c>
    </row>
    <row r="1288" spans="6:6" ht="63" x14ac:dyDescent="0.25">
      <c r="F1288" s="7" t="s">
        <v>3519</v>
      </c>
    </row>
    <row r="1289" spans="6:6" ht="31.5" x14ac:dyDescent="0.25">
      <c r="F1289" s="7" t="s">
        <v>3522</v>
      </c>
    </row>
    <row r="1290" spans="6:6" ht="47.25" x14ac:dyDescent="0.25">
      <c r="F1290" s="7" t="s">
        <v>3525</v>
      </c>
    </row>
    <row r="1291" spans="6:6" ht="47.25" x14ac:dyDescent="0.25">
      <c r="F1291" s="7" t="s">
        <v>3528</v>
      </c>
    </row>
    <row r="1292" spans="6:6" ht="47.25" x14ac:dyDescent="0.25">
      <c r="F1292" s="7" t="s">
        <v>3531</v>
      </c>
    </row>
    <row r="1293" spans="6:6" ht="47.25" x14ac:dyDescent="0.25">
      <c r="F1293" s="7" t="s">
        <v>3534</v>
      </c>
    </row>
    <row r="1294" spans="6:6" ht="47.25" x14ac:dyDescent="0.25">
      <c r="F1294" s="7" t="s">
        <v>3538</v>
      </c>
    </row>
    <row r="1295" spans="6:6" ht="47.25" x14ac:dyDescent="0.25">
      <c r="F1295" s="7" t="s">
        <v>3542</v>
      </c>
    </row>
    <row r="1296" spans="6:6" ht="47.25" x14ac:dyDescent="0.25">
      <c r="F1296" s="7" t="s">
        <v>3545</v>
      </c>
    </row>
    <row r="1297" spans="6:6" ht="47.25" x14ac:dyDescent="0.25">
      <c r="F1297" s="7" t="s">
        <v>3549</v>
      </c>
    </row>
    <row r="1298" spans="6:6" ht="47.25" x14ac:dyDescent="0.25">
      <c r="F1298" s="7" t="s">
        <v>3552</v>
      </c>
    </row>
    <row r="1299" spans="6:6" ht="47.25" x14ac:dyDescent="0.25">
      <c r="F1299" s="7" t="s">
        <v>3555</v>
      </c>
    </row>
    <row r="1300" spans="6:6" ht="47.25" x14ac:dyDescent="0.25">
      <c r="F1300" s="7" t="s">
        <v>3559</v>
      </c>
    </row>
    <row r="1301" spans="6:6" ht="31.5" x14ac:dyDescent="0.25">
      <c r="F1301" s="7" t="s">
        <v>3562</v>
      </c>
    </row>
    <row r="1302" spans="6:6" ht="47.25" x14ac:dyDescent="0.25">
      <c r="F1302" s="7" t="s">
        <v>3566</v>
      </c>
    </row>
    <row r="1303" spans="6:6" ht="31.5" x14ac:dyDescent="0.25">
      <c r="F1303" s="7" t="s">
        <v>3569</v>
      </c>
    </row>
    <row r="1304" spans="6:6" ht="47.25" x14ac:dyDescent="0.25">
      <c r="F1304" s="7" t="s">
        <v>3572</v>
      </c>
    </row>
    <row r="1305" spans="6:6" ht="47.25" x14ac:dyDescent="0.25">
      <c r="F1305" s="7" t="s">
        <v>3575</v>
      </c>
    </row>
    <row r="1306" spans="6:6" ht="31.5" x14ac:dyDescent="0.25">
      <c r="F1306" s="7" t="s">
        <v>3579</v>
      </c>
    </row>
    <row r="1307" spans="6:6" ht="47.25" x14ac:dyDescent="0.25">
      <c r="F1307" s="7" t="s">
        <v>3582</v>
      </c>
    </row>
    <row r="1308" spans="6:6" ht="47.25" x14ac:dyDescent="0.25">
      <c r="F1308" s="7" t="s">
        <v>3586</v>
      </c>
    </row>
    <row r="1309" spans="6:6" ht="47.25" x14ac:dyDescent="0.25">
      <c r="F1309" s="7" t="s">
        <v>3589</v>
      </c>
    </row>
    <row r="1310" spans="6:6" ht="47.25" x14ac:dyDescent="0.25">
      <c r="F1310" s="7" t="s">
        <v>3592</v>
      </c>
    </row>
    <row r="1311" spans="6:6" ht="47.25" x14ac:dyDescent="0.25">
      <c r="F1311" s="7" t="s">
        <v>3595</v>
      </c>
    </row>
    <row r="1312" spans="6:6" ht="31.5" x14ac:dyDescent="0.25">
      <c r="F1312" s="7" t="s">
        <v>3598</v>
      </c>
    </row>
    <row r="1313" spans="6:6" ht="47.25" x14ac:dyDescent="0.25">
      <c r="F1313" s="7" t="s">
        <v>3601</v>
      </c>
    </row>
    <row r="1314" spans="6:6" ht="47.25" x14ac:dyDescent="0.25">
      <c r="F1314" s="7" t="s">
        <v>3605</v>
      </c>
    </row>
    <row r="1315" spans="6:6" ht="31.5" x14ac:dyDescent="0.25">
      <c r="F1315" s="7" t="s">
        <v>3608</v>
      </c>
    </row>
    <row r="1316" spans="6:6" ht="47.25" x14ac:dyDescent="0.25">
      <c r="F1316" s="7" t="s">
        <v>3611</v>
      </c>
    </row>
    <row r="1317" spans="6:6" ht="78.75" x14ac:dyDescent="0.25">
      <c r="F1317" s="7" t="s">
        <v>3614</v>
      </c>
    </row>
    <row r="1318" spans="6:6" ht="47.25" x14ac:dyDescent="0.25">
      <c r="F1318" s="7" t="s">
        <v>3617</v>
      </c>
    </row>
    <row r="1319" spans="6:6" ht="47.25" x14ac:dyDescent="0.25">
      <c r="F1319" s="7" t="s">
        <v>3620</v>
      </c>
    </row>
    <row r="1320" spans="6:6" ht="47.25" x14ac:dyDescent="0.25">
      <c r="F1320" s="7" t="s">
        <v>3623</v>
      </c>
    </row>
    <row r="1321" spans="6:6" ht="31.5" x14ac:dyDescent="0.25">
      <c r="F1321" s="7" t="s">
        <v>3626</v>
      </c>
    </row>
    <row r="1322" spans="6:6" ht="63" x14ac:dyDescent="0.25">
      <c r="F1322" s="7" t="s">
        <v>3630</v>
      </c>
    </row>
    <row r="1323" spans="6:6" ht="31.5" x14ac:dyDescent="0.25">
      <c r="F1323" s="7" t="s">
        <v>3633</v>
      </c>
    </row>
    <row r="1324" spans="6:6" ht="63" x14ac:dyDescent="0.25">
      <c r="F1324" s="7" t="s">
        <v>3637</v>
      </c>
    </row>
    <row r="1325" spans="6:6" ht="63" x14ac:dyDescent="0.25">
      <c r="F1325" s="7" t="s">
        <v>3640</v>
      </c>
    </row>
    <row r="1326" spans="6:6" ht="31.5" x14ac:dyDescent="0.25">
      <c r="F1326" s="7" t="s">
        <v>3643</v>
      </c>
    </row>
    <row r="1327" spans="6:6" ht="31.5" x14ac:dyDescent="0.25">
      <c r="F1327" s="7" t="s">
        <v>3646</v>
      </c>
    </row>
    <row r="1328" spans="6:6" ht="31.5" x14ac:dyDescent="0.25">
      <c r="F1328" s="7" t="s">
        <v>3649</v>
      </c>
    </row>
    <row r="1329" spans="6:6" ht="47.25" x14ac:dyDescent="0.25">
      <c r="F1329" s="7" t="s">
        <v>3652</v>
      </c>
    </row>
    <row r="1330" spans="6:6" ht="94.5" x14ac:dyDescent="0.25">
      <c r="F1330" s="7" t="s">
        <v>3655</v>
      </c>
    </row>
    <row r="1331" spans="6:6" ht="31.5" x14ac:dyDescent="0.25">
      <c r="F1331" s="7" t="s">
        <v>3659</v>
      </c>
    </row>
    <row r="1332" spans="6:6" ht="31.5" x14ac:dyDescent="0.25">
      <c r="F1332" s="7" t="s">
        <v>3662</v>
      </c>
    </row>
    <row r="1333" spans="6:6" ht="31.5" x14ac:dyDescent="0.25">
      <c r="F1333" s="7" t="s">
        <v>3665</v>
      </c>
    </row>
  </sheetData>
  <phoneticPr fontId="6" type="noConversion"/>
  <conditionalFormatting sqref="A2:K251">
    <cfRule type="expression" dxfId="47" priority="25">
      <formula>ISEVEN(ROW())</formula>
    </cfRule>
  </conditionalFormatting>
  <conditionalFormatting sqref="F1:F1048576">
    <cfRule type="duplicateValues" dxfId="46" priority="23"/>
  </conditionalFormatting>
  <conditionalFormatting sqref="L2:O251 P2:P252 P261:P1048576">
    <cfRule type="containsText" dxfId="45" priority="9" operator="containsText" text="GERİ ÇEKİLDİ">
      <formula>NOT(ISERROR(SEARCH("GERİ ÇEKİLDİ",L2)))</formula>
    </cfRule>
    <cfRule type="containsText" dxfId="44" priority="10" operator="containsText" text="RET">
      <formula>NOT(ISERROR(SEARCH("RET",L2)))</formula>
    </cfRule>
    <cfRule type="containsText" dxfId="43" priority="11" operator="containsText" text="KAPSAM DIŞI">
      <formula>NOT(ISERROR(SEARCH("KAPSAM DIŞI",L2)))</formula>
    </cfRule>
    <cfRule type="containsText" dxfId="42" priority="12" operator="containsText" text="KAEK">
      <formula>NOT(ISERROR(SEARCH("KAEK",L2)))</formula>
    </cfRule>
    <cfRule type="containsText" dxfId="41" priority="13" operator="containsText" text="GÖRÜŞ">
      <formula>NOT(ISERROR(SEARCH("GÖRÜŞ",L2)))</formula>
    </cfRule>
    <cfRule type="containsText" dxfId="40" priority="14" operator="containsText" text="DÜZELTME">
      <formula>NOT(ISERROR(SEARCH("DÜZELTME",L2)))</formula>
    </cfRule>
    <cfRule type="containsText" dxfId="39" priority="15" operator="containsText" text="ONAY">
      <formula>NOT(ISERROR(SEARCH("ONAY",L2)))</formula>
    </cfRule>
  </conditionalFormatting>
  <conditionalFormatting sqref="R1:R1048576">
    <cfRule type="notContainsBlanks" dxfId="38" priority="1">
      <formula>LEN(TRIM(R1))&gt;0</formula>
    </cfRule>
  </conditionalFormatting>
  <dataValidations count="1">
    <dataValidation type="list" allowBlank="1" showInputMessage="1" showErrorMessage="1" sqref="L2:O251" xr:uid="{BD46CA0B-A3CD-47FD-AE0B-218242C35360}">
      <formula1>"ONAY,DÜZELTME,KAEK,GÖRÜŞ,KAPSAM DIŞI,RET,GERİ ÇEKİLDİ"</formula1>
    </dataValidation>
  </dataValidations>
  <printOptions horizontalCentered="1"/>
  <pageMargins left="0.19685039370078741" right="0.19685039370078741" top="0.19685039370078741" bottom="0.39370078740157483" header="0.31496062992125984" footer="0.19685039370078741"/>
  <pageSetup paperSize="8" scale="14" fitToHeight="1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6E3CC-6809-4A10-B448-6F0162336DE6}">
  <sheetPr>
    <tabColor rgb="FFFFFF00"/>
  </sheetPr>
  <dimension ref="A1:AQ36"/>
  <sheetViews>
    <sheetView showZeros="0" tabSelected="1" zoomScale="50" zoomScaleNormal="50" workbookViewId="0">
      <selection activeCell="J21" sqref="J21"/>
    </sheetView>
  </sheetViews>
  <sheetFormatPr defaultRowHeight="15.75" x14ac:dyDescent="0.25"/>
  <cols>
    <col min="1" max="1" width="9.140625" style="1"/>
    <col min="2" max="2" width="58.42578125" style="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16384" width="9.140625" style="1"/>
  </cols>
  <sheetData>
    <row r="1" spans="1:43" ht="30.75" customHeight="1" x14ac:dyDescent="0.25"/>
    <row r="2" spans="1:43" s="14" customFormat="1" ht="288.75" customHeight="1" x14ac:dyDescent="0.25">
      <c r="A2" s="190" t="s">
        <v>65</v>
      </c>
      <c r="B2" s="20" t="s">
        <v>67</v>
      </c>
      <c r="C2" s="191" t="s">
        <v>66</v>
      </c>
      <c r="D2" s="32" t="s">
        <v>4438</v>
      </c>
      <c r="E2" s="32" t="s">
        <v>4439</v>
      </c>
      <c r="F2" s="32" t="s">
        <v>4440</v>
      </c>
      <c r="G2" s="32" t="s">
        <v>4441</v>
      </c>
      <c r="H2" s="32" t="s">
        <v>4442</v>
      </c>
      <c r="I2" s="32" t="s">
        <v>4443</v>
      </c>
      <c r="J2" s="32" t="s">
        <v>4444</v>
      </c>
      <c r="K2" s="36" t="s">
        <v>4452</v>
      </c>
      <c r="L2" s="33" t="s">
        <v>4445</v>
      </c>
      <c r="M2" s="32" t="s">
        <v>4446</v>
      </c>
      <c r="N2" s="32" t="s">
        <v>4447</v>
      </c>
      <c r="O2" s="32" t="s">
        <v>4448</v>
      </c>
      <c r="P2" s="32" t="s">
        <v>4449</v>
      </c>
      <c r="Q2" s="32" t="s">
        <v>4450</v>
      </c>
      <c r="R2" s="32" t="s">
        <v>4451</v>
      </c>
      <c r="S2" s="37" t="s">
        <v>4453</v>
      </c>
      <c r="T2" s="32" t="s">
        <v>4454</v>
      </c>
      <c r="U2" s="32" t="s">
        <v>4455</v>
      </c>
      <c r="V2" s="32" t="s">
        <v>4456</v>
      </c>
      <c r="W2" s="32" t="s">
        <v>4457</v>
      </c>
      <c r="X2" s="32" t="s">
        <v>4458</v>
      </c>
      <c r="Y2" s="32" t="s">
        <v>4459</v>
      </c>
      <c r="Z2" s="32" t="s">
        <v>4460</v>
      </c>
      <c r="AA2" s="38" t="s">
        <v>4461</v>
      </c>
      <c r="AB2" s="32" t="s">
        <v>4462</v>
      </c>
      <c r="AC2" s="32" t="s">
        <v>4463</v>
      </c>
      <c r="AD2" s="32" t="s">
        <v>4464</v>
      </c>
      <c r="AE2" s="32" t="s">
        <v>4465</v>
      </c>
      <c r="AF2" s="32" t="s">
        <v>4466</v>
      </c>
      <c r="AG2" s="32" t="s">
        <v>4467</v>
      </c>
      <c r="AH2" s="32" t="s">
        <v>4468</v>
      </c>
      <c r="AI2" s="38" t="s">
        <v>4469</v>
      </c>
      <c r="AJ2" s="34" t="s">
        <v>4470</v>
      </c>
      <c r="AK2" s="34" t="s">
        <v>4472</v>
      </c>
      <c r="AL2" s="34" t="s">
        <v>4471</v>
      </c>
      <c r="AM2" s="34" t="s">
        <v>4473</v>
      </c>
      <c r="AN2" s="34" t="s">
        <v>4474</v>
      </c>
      <c r="AO2" s="34" t="s">
        <v>4475</v>
      </c>
      <c r="AP2" s="34" t="s">
        <v>4476</v>
      </c>
      <c r="AQ2" s="34" t="s">
        <v>4248</v>
      </c>
    </row>
    <row r="3" spans="1:43" s="14" customFormat="1" ht="30.75" x14ac:dyDescent="0.25">
      <c r="A3" s="21" t="s">
        <v>1</v>
      </c>
      <c r="B3" s="22" t="s">
        <v>89</v>
      </c>
      <c r="C3" s="12">
        <f>COUNTIF(Başvuru!J2:K1142,"Prof. Dr. Ayşe Nurten AKARSU")</f>
        <v>31</v>
      </c>
      <c r="D3" s="12" cm="1">
        <f t="array" ref="D3">SUMPRODUCT(((Başvuru!J2:K1142)="Prof. Dr. Ayşe Nurten AKARSU")*(Başvuru!G2:G1142="Bireysel Araştırma")*(Başvuru!L2:L1142="ONAY"))</f>
        <v>9</v>
      </c>
      <c r="E3" s="12" cm="1">
        <f t="array" ref="E3">SUMPRODUCT(((Başvuru!J2:K1142)="Prof. Dr. Ayşe Nurten AKARSU")*(Başvuru!G2:G1142="Bireysel Araştırma")*(Başvuru!L2:L1142="DÜZELTME"))</f>
        <v>9</v>
      </c>
      <c r="F3" s="12" cm="1">
        <f t="array" ref="F3">SUMPRODUCT(((Başvuru!J2:K1142)="Prof. Dr. Ayşe Nurten AKARSU")*(Başvuru!G2:G1142="Bireysel Araştırma")*(Başvuru!L2:L1142="KAEK"))</f>
        <v>0</v>
      </c>
      <c r="G3" s="12" cm="1">
        <f t="array" ref="G3">SUMPRODUCT(((Başvuru!J2:K1142)="Prof. Dr. Ayşe Nurten AKARSU")*(Başvuru!G2:G1142="Bireysel Araştırma")*(Başvuru!L2:L1142="GÖRÜŞ"))</f>
        <v>0</v>
      </c>
      <c r="H3" s="12" cm="1">
        <f t="array" ref="H3">SUMPRODUCT(((Başvuru!J2:K1142)="Prof. Dr. Ayşe Nurten AKARSU")*(Başvuru!G2:G1142="Bireysel Araştırma")*(Başvuru!L2:L1142="RET"))</f>
        <v>0</v>
      </c>
      <c r="I3" s="12" cm="1">
        <f t="array" ref="I3">SUMPRODUCT(((Başvuru!J2:K1142)="Prof. Dr. Ayşe Nurten AKARSU")*(Başvuru!G2:G1142="Bireysel Araştırma")*(Başvuru!L2:L1142="KAPSAM DIŞI"))</f>
        <v>0</v>
      </c>
      <c r="J3" s="12" cm="1">
        <f t="array" ref="J3">SUMPRODUCT(((Başvuru!J2:K1142)="Prof. Dr. Ayşe Nurten AKARSU")*(Başvuru!G2:G1142="Bireysel Araştırma")*(Başvuru!L2:L1142="GERİ ÇEKİLDİ"))</f>
        <v>0</v>
      </c>
      <c r="K3" s="12">
        <f>SUM(D3:J3)</f>
        <v>18</v>
      </c>
      <c r="L3" s="12" cm="1">
        <f t="array" ref="L3">SUMPRODUCT(((Başvuru!J2:K1142)="Prof. Dr. Ayşe Nurten AKARSU")*(Başvuru!G2:G1142="Yüksek Lisans Tezi")*(Başvuru!L2:L1142="ONAY"))</f>
        <v>0</v>
      </c>
      <c r="M3" s="12" cm="1">
        <f t="array" ref="M3">SUMPRODUCT(((Başvuru!J2:K1142)="Prof. Dr. Ayşe Nurten AKARSU")*(Başvuru!G2:G1142="Yüksek Lisans Tezi")*(Başvuru!L2:L1142="DÜZELTME"))</f>
        <v>0</v>
      </c>
      <c r="N3" s="12" cm="1">
        <f t="array" ref="N3">SUMPRODUCT(((Başvuru!J2:K1142)="Prof. Dr. Ayşe Nurten AKARSU")*(Başvuru!G2:G1142="Yüksek Lisans Tezi")*(Başvuru!L2:L1142="KAEK"))</f>
        <v>0</v>
      </c>
      <c r="O3" s="12" cm="1">
        <f t="array" ref="O3">SUMPRODUCT(((Başvuru!J2:K1142)="Prof. Dr. Ayşe Nurten AKARSU")*(Başvuru!G2:G1142="Yüksek Lisans Tezi")*(Başvuru!L2:L1142="GÖRÜŞ"))</f>
        <v>0</v>
      </c>
      <c r="P3" s="12" cm="1">
        <f t="array" ref="P3">SUMPRODUCT(((Başvuru!J2:K1142)="Prof. Dr. Ayşe Nurten AKARSU")*(Başvuru!G2:G1142="Yüksek Lisans Tezi")*(Başvuru!L2:L1142="RET"))</f>
        <v>0</v>
      </c>
      <c r="Q3" s="12" cm="1">
        <f t="array" ref="Q3">SUMPRODUCT(((Başvuru!J2:K1142)="Prof. Dr. Ayşe Nurten AKARSU")*(Başvuru!G2:G1142="Yüksek Lisans Tezi")*(Başvuru!L2:L1142="KAPSAM DIŞI"))</f>
        <v>0</v>
      </c>
      <c r="R3" s="12" cm="1">
        <f t="array" ref="R3">SUMPRODUCT(((Başvuru!J2:K1142)="Prof. Dr. Ayşe Nurten AKARSU")*(Başvuru!G2:G1142="Yüksek Lisans Tezi")*(Başvuru!L2:L1142="GERİ ÇEKİLDİ"))</f>
        <v>0</v>
      </c>
      <c r="S3" s="12">
        <f>SUM(L3:R3)</f>
        <v>0</v>
      </c>
      <c r="T3" s="12" cm="1">
        <f t="array" ref="T3">SUMPRODUCT(((Başvuru!J2:K1142)="Prof. Dr. Ayşe Nurten AKARSU")*(Başvuru!G2:G1142="Doktora Tezi")*(Başvuru!L2:L1142="ONAY"))</f>
        <v>2</v>
      </c>
      <c r="U3" s="12" cm="1">
        <f t="array" ref="U3">SUMPRODUCT(((Başvuru!J2:K1142)="Prof. Dr. Ayşe Nurten AKARSU")*(Başvuru!G2:G1142="Doktora Tezi")*(Başvuru!L2:L1142="DÜZELTME"))</f>
        <v>2</v>
      </c>
      <c r="V3" s="12" cm="1">
        <f t="array" ref="V3">SUMPRODUCT(((Başvuru!J2:K1142)="Prof. Dr. Ayşe Nurten AKARSU")*(Başvuru!G2:G1142="Doktora Tezi")*(Başvuru!L2:L1142="KAEK"))</f>
        <v>0</v>
      </c>
      <c r="W3" s="12" cm="1">
        <f t="array" ref="W3">SUMPRODUCT(((Başvuru!J2:K1142)="Prof. Dr. Ayşe Nurten AKARSU")*(Başvuru!G2:G1142="Doktora Tezi")*(Başvuru!L2:L1142="GÖRÜŞ"))</f>
        <v>0</v>
      </c>
      <c r="X3" s="12" cm="1">
        <f t="array" ref="X3">SUMPRODUCT(((Başvuru!J2:K1142)="Prof. Dr. Ayşe Nurten AKARSU")*(Başvuru!G2:G1142="Doktora Tezi")*(Başvuru!L2:L1142="RET"))</f>
        <v>0</v>
      </c>
      <c r="Y3" s="12" cm="1">
        <f t="array" ref="Y3">SUMPRODUCT(((Başvuru!J2:K1142)="Prof. Dr. Ayşe Nurten AKARSU")*(Başvuru!G2:G1142="Doktora Tezi")*(Başvuru!L2:L1142="KAPSAM DIŞI"))</f>
        <v>0</v>
      </c>
      <c r="Z3" s="12" cm="1">
        <f t="array" ref="Z3">SUMPRODUCT(((Başvuru!J2:K1142)="Prof. Dr. Ayşe Nurten AKARSU")*(Başvuru!G2:G1142="Doktora Tezi")*(Başvuru!L2:L1142="GERİ ÇEKİLDİ"))</f>
        <v>0</v>
      </c>
      <c r="AA3" s="12">
        <f>SUM(T3:Z3)</f>
        <v>4</v>
      </c>
      <c r="AB3" s="12" cm="1">
        <f t="array" ref="AB3">SUMPRODUCT(((Başvuru!J2:K1142)="Prof. Dr. Ayşe Nurten AKARSU")*(Başvuru!G2:G1142="Uzmanlık Tezi")*(Başvuru!L2:L1142="ONAY"))</f>
        <v>0</v>
      </c>
      <c r="AC3" s="12" cm="1">
        <f t="array" ref="AC3">SUMPRODUCT(((Başvuru!J2:K1142)="Prof. Dr. Ayşe Nurten AKARSU")*(Başvuru!G2:G1142="Uzmanlık Tezi")*(Başvuru!L2:L1142="DÜZELTME"))</f>
        <v>0</v>
      </c>
      <c r="AD3" s="12" cm="1">
        <f t="array" ref="AD3">SUMPRODUCT(((Başvuru!J2:K1142)="Prof. Dr. Ayşe Nurten AKARSU")*(Başvuru!G2:G1142="Uzmanlık Tezi")*(Başvuru!L2:L1142="KAEK"))</f>
        <v>0</v>
      </c>
      <c r="AE3" s="12" cm="1">
        <f t="array" ref="AE3">SUMPRODUCT(((Başvuru!J2:K1142)="Prof. Dr. Ayşe Nurten AKARSU")*(Başvuru!G2:G1142="Uzmanlık Tezi")*(Başvuru!L2:L1142="GÖRÜŞ"))</f>
        <v>0</v>
      </c>
      <c r="AF3" s="12" cm="1">
        <f t="array" ref="AF3">SUMPRODUCT(((Başvuru!J2:K1142)="Prof. Dr. Ayşe Nurten AKARSU")*(Başvuru!G2:G1142="Uzmanlık Tezi")*(Başvuru!L2:L1142="RET"))</f>
        <v>0</v>
      </c>
      <c r="AG3" s="12" cm="1">
        <f t="array" ref="AG3">SUMPRODUCT(((Başvuru!J2:K1142)="Prof. Dr. Ayşe Nurten AKARSU")*(Başvuru!G2:G1142="Uzmanlık Tezi")*(Başvuru!L2:L1142="KAPSAM DIŞI"))</f>
        <v>0</v>
      </c>
      <c r="AH3" s="12" cm="1">
        <f t="array" ref="AH3">SUMPRODUCT(((Başvuru!J2:K1142)="Prof. Dr. Ayşe Nurten AKARSU")*(Başvuru!G2:G1142="Uzmanlık Tezi")*(Başvuru!L2:L1142="GERİ ÇEKİLDİ"))</f>
        <v>0</v>
      </c>
      <c r="AI3" s="12">
        <f>SUM(AB3:AH3)</f>
        <v>0</v>
      </c>
      <c r="AJ3" s="31">
        <f>SUM(D3,L3,T3,AB3)</f>
        <v>11</v>
      </c>
      <c r="AK3" s="31">
        <f>SUM(E3,M3,U3,AC3)</f>
        <v>11</v>
      </c>
      <c r="AL3" s="31">
        <f t="shared" ref="AL3:AP14" si="0">SUM(F3,N3,V3,AD3)</f>
        <v>0</v>
      </c>
      <c r="AM3" s="31">
        <f t="shared" si="0"/>
        <v>0</v>
      </c>
      <c r="AN3" s="31">
        <f t="shared" si="0"/>
        <v>0</v>
      </c>
      <c r="AO3" s="31">
        <f t="shared" si="0"/>
        <v>0</v>
      </c>
      <c r="AP3" s="31">
        <f t="shared" si="0"/>
        <v>0</v>
      </c>
      <c r="AQ3" s="31">
        <f>SUM(AJ3:AP3)</f>
        <v>22</v>
      </c>
    </row>
    <row r="4" spans="1:43" s="14" customFormat="1" ht="30" customHeight="1" x14ac:dyDescent="0.25">
      <c r="A4" s="21" t="s">
        <v>2</v>
      </c>
      <c r="B4" s="22" t="s">
        <v>63</v>
      </c>
      <c r="C4" s="12">
        <f>COUNTIF(Başvuru!J2:K1142,"Prof. Dr. M. Özgür UYANIK")</f>
        <v>35</v>
      </c>
      <c r="D4" s="12" cm="1">
        <f t="array" ref="D4">SUMPRODUCT(((Başvuru!J2:K1142)="Prof. Dr. M. Özgür UYANIK")*(Başvuru!G2:G1142="Bireysel Araştırma")*(Başvuru!L2:L1142="ONAY"))</f>
        <v>8</v>
      </c>
      <c r="E4" s="12" cm="1">
        <f t="array" ref="E4">SUMPRODUCT(((Başvuru!J2:K1142)="Prof. Dr. M. Özgür UYANIK")*(Başvuru!G2:G1142="Bireysel Araştırma")*(Başvuru!L2:L1142="DÜZELTME"))</f>
        <v>5</v>
      </c>
      <c r="F4" s="12" cm="1">
        <f t="array" ref="F4">SUMPRODUCT(((Başvuru!J2:K1142)="Prof. Dr. M. Özgür UYANIK")*(Başvuru!G2:G1142="Bireysel Araştırma")*(Başvuru!L2:L1142="KAEK"))</f>
        <v>1</v>
      </c>
      <c r="G4" s="12" cm="1">
        <f t="array" ref="G4">SUMPRODUCT(((Başvuru!J2:K1142)="Prof. Dr. M. Özgür UYANIK")*(Başvuru!G2:G1142="Bireysel Araştırma")*(Başvuru!L2:L1142="GÖRÜŞ"))</f>
        <v>0</v>
      </c>
      <c r="H4" s="12" cm="1">
        <f t="array" ref="H4">SUMPRODUCT(((Başvuru!J2:K1142)="Prof. Dr. M. Özgür UYANIK")*(Başvuru!G2:G1142="Bireysel Araştırma")*(Başvuru!L2:L1142="RET"))</f>
        <v>1</v>
      </c>
      <c r="I4" s="12" cm="1">
        <f t="array" ref="I4">SUMPRODUCT(((Başvuru!J2:K1142)="Prof. Dr. M. Özgür UYANIK")*(Başvuru!G2:G1142="Bireysel Araştırma")*(Başvuru!L2:L1142="KAPSAM DIŞI"))</f>
        <v>0</v>
      </c>
      <c r="J4" s="12" cm="1">
        <f t="array" ref="J4">SUMPRODUCT(((Başvuru!J2:K1142)="Prof. Dr. M. Özgür UYANIK")*(Başvuru!G2:G1142="Bireysel Araştırma")*(Başvuru!L2:L1142="GERİ ÇEKİLDİ"))</f>
        <v>0</v>
      </c>
      <c r="K4" s="12">
        <f t="shared" ref="K4:K14" si="1">SUM(D4:J4)</f>
        <v>15</v>
      </c>
      <c r="L4" s="12" cm="1">
        <f t="array" ref="L4">SUMPRODUCT(((Başvuru!J2:K1142)="Prof. Dr. M. Özgür UYANIK")*(Başvuru!G2:G1142="Yüksek Lisans Tezi")*(Başvuru!L2:L1142="ONAY"))</f>
        <v>1</v>
      </c>
      <c r="M4" s="12" cm="1">
        <f t="array" ref="M4">SUMPRODUCT(((Başvuru!J2:K1142)="Prof. Dr. M. Özgür UYANIK")*(Başvuru!G2:G1142="Yüksek Lisans Tezi")*(Başvuru!L2:L1142="DÜZELTME"))</f>
        <v>0</v>
      </c>
      <c r="N4" s="12" cm="1">
        <f t="array" ref="N4">SUMPRODUCT(((Başvuru!J2:K1142)="Prof. Dr. M. Özgür UYANIK")*(Başvuru!G2:G1142="Yüksek Lisans Tezi")*(Başvuru!L2:L1142="KAEK"))</f>
        <v>0</v>
      </c>
      <c r="O4" s="12" cm="1">
        <f t="array" ref="O4">SUMPRODUCT(((Başvuru!J2:K1142)="Prof. Dr. M. Özgür UYANIK")*(Başvuru!G2:G1142="Yüksek Lisans Tezi")*(Başvuru!L2:L1142="GÖRÜŞ"))</f>
        <v>0</v>
      </c>
      <c r="P4" s="12" cm="1">
        <f t="array" ref="P4">SUMPRODUCT(((Başvuru!J2:K1142)="Prof. Dr. M. Özgür UYANIK")*(Başvuru!G2:G1142="Yüksek Lisans Tezi")*(Başvuru!L2:L1142="RET"))</f>
        <v>0</v>
      </c>
      <c r="Q4" s="12" cm="1">
        <f t="array" ref="Q4">SUMPRODUCT(((Başvuru!J2:K1142)="Prof. Dr. M. Özgür UYANIK")*(Başvuru!G2:G1142="Yüksek Lisans Tezi")*(Başvuru!L2:L1142="KAPSAM DIŞI"))</f>
        <v>0</v>
      </c>
      <c r="R4" s="12" cm="1">
        <f t="array" ref="R4">SUMPRODUCT(((Başvuru!J2:K1142)="Prof. Dr. M. Özgür UYANIK")*(Başvuru!G2:G1142="Yüksek Lisans Tezi")*(Başvuru!L2:L1142="GERİ ÇEKİLDİ"))</f>
        <v>0</v>
      </c>
      <c r="S4" s="12">
        <f t="shared" ref="S4:S14" si="2">SUM(L4:R4)</f>
        <v>1</v>
      </c>
      <c r="T4" s="12" cm="1">
        <f t="array" ref="T4">SUMPRODUCT(((Başvuru!J2:K1142)="Prof. Dr. M. Özgür UYANIK")*(Başvuru!G2:G1142="Doktora Tezi")*(Başvuru!L2:L1142="ONAY"))</f>
        <v>0</v>
      </c>
      <c r="U4" s="12" cm="1">
        <f t="array" ref="U4">SUMPRODUCT(((Başvuru!J2:K1142)="Prof. Dr. M. Özgür UYANIK")*(Başvuru!G2:G1142="Doktora Tezi")*(Başvuru!L2:L1142="DÜZELTME"))</f>
        <v>1</v>
      </c>
      <c r="V4" s="12" cm="1">
        <f t="array" ref="V4">SUMPRODUCT(((Başvuru!J2:K1142)="Prof. Dr. M. Özgür UYANIK")*(Başvuru!G2:G1142="Doktora Tezi")*(Başvuru!L2:L1142="KAEK"))</f>
        <v>0</v>
      </c>
      <c r="W4" s="12" cm="1">
        <f t="array" ref="W4">SUMPRODUCT(((Başvuru!J2:K1142)="Prof. Dr. M. Özgür UYANIK")*(Başvuru!G2:G1142="Doktora Tezi")*(Başvuru!L2:L1142="GÖRÜŞ"))</f>
        <v>0</v>
      </c>
      <c r="X4" s="12" cm="1">
        <f t="array" ref="X4">SUMPRODUCT(((Başvuru!J2:K1142)="Prof. Dr. M. Özgür UYANIK")*(Başvuru!G2:G1142="Doktora Tezi")*(Başvuru!L2:L1142="RET"))</f>
        <v>0</v>
      </c>
      <c r="Y4" s="12" cm="1">
        <f t="array" ref="Y4">SUMPRODUCT(((Başvuru!J2:K1142)="Prof. Dr. M. Özgür UYANIK")*(Başvuru!G2:G1142="Doktora Tezi")*(Başvuru!L2:L1142="KAPSAM DIŞI"))</f>
        <v>0</v>
      </c>
      <c r="Z4" s="12" cm="1">
        <f t="array" ref="Z4">SUMPRODUCT(((Başvuru!J2:K1142)="Prof. Dr. M. Özgür UYANIK")*(Başvuru!G2:G1142="Doktora Tezi")*(Başvuru!L2:L1142="GERİ ÇEKİLDİ"))</f>
        <v>0</v>
      </c>
      <c r="AA4" s="12">
        <f t="shared" ref="AA4:AA14" si="3">SUM(T4:Z4)</f>
        <v>1</v>
      </c>
      <c r="AB4" s="12" cm="1">
        <f t="array" ref="AB4">SUMPRODUCT(((Başvuru!J2:K1142)="Prof. Dr. M. Özgür UYANIK")*(Başvuru!G2:G1142="Uzmanlık Tezi")*(Başvuru!L2:L1142="ONAY"))</f>
        <v>8</v>
      </c>
      <c r="AC4" s="12" cm="1">
        <f t="array" ref="AC4">SUMPRODUCT(((Başvuru!J2:K1142)="Prof. Dr. M. Özgür UYANIK")*(Başvuru!G2:G1142="Uzmanlık Tezi")*(Başvuru!L2:L1142="DÜZELTME"))</f>
        <v>1</v>
      </c>
      <c r="AD4" s="12" cm="1">
        <f t="array" ref="AD4">SUMPRODUCT(((Başvuru!J2:K1142)="Prof. Dr. M. Özgür UYANIK")*(Başvuru!G2:G1142="Uzmanlık Tezi")*(Başvuru!L2:L1142="KAEK"))</f>
        <v>0</v>
      </c>
      <c r="AE4" s="12" cm="1">
        <f t="array" ref="AE4">SUMPRODUCT(((Başvuru!J2:K1142)="Prof. Dr. M. Özgür UYANIK")*(Başvuru!G2:G1142="Uzmanlık Tezi")*(Başvuru!L2:L1142="GÖRÜŞ"))</f>
        <v>0</v>
      </c>
      <c r="AF4" s="12" cm="1">
        <f t="array" ref="AF4">SUMPRODUCT(((Başvuru!J2:K1142)="Prof. Dr. M. Özgür UYANIK")*(Başvuru!G2:G1142="Uzmanlık Tezi")*(Başvuru!L2:L1142="RET"))</f>
        <v>0</v>
      </c>
      <c r="AG4" s="12" cm="1">
        <f t="array" ref="AG4">SUMPRODUCT(((Başvuru!J2:K1142)="Prof. Dr. M. Özgür UYANIK")*(Başvuru!G2:G1142="Uzmanlık Tezi")*(Başvuru!L2:L1142="KAPSAM DIŞI"))</f>
        <v>0</v>
      </c>
      <c r="AH4" s="12" cm="1">
        <f t="array" ref="AH4">SUMPRODUCT(((Başvuru!J2:K1142)="Prof. Dr. M. Özgür UYANIK")*(Başvuru!G2:G1142="Uzmanlık Tezi")*(Başvuru!L2:L1142="GERİ ÇEKİLDİ"))</f>
        <v>0</v>
      </c>
      <c r="AI4" s="12">
        <f t="shared" ref="AI4:AI14" si="4">SUM(AB4:AH4)</f>
        <v>9</v>
      </c>
      <c r="AJ4" s="31">
        <f t="shared" ref="AJ4:AK14" si="5">SUM(D4,L4,T4,AB4)</f>
        <v>17</v>
      </c>
      <c r="AK4" s="31">
        <f t="shared" si="5"/>
        <v>7</v>
      </c>
      <c r="AL4" s="31">
        <f t="shared" si="0"/>
        <v>1</v>
      </c>
      <c r="AM4" s="31">
        <f t="shared" si="0"/>
        <v>0</v>
      </c>
      <c r="AN4" s="31">
        <f t="shared" si="0"/>
        <v>1</v>
      </c>
      <c r="AO4" s="31">
        <f t="shared" si="0"/>
        <v>0</v>
      </c>
      <c r="AP4" s="31">
        <f t="shared" si="0"/>
        <v>0</v>
      </c>
      <c r="AQ4" s="31">
        <f t="shared" ref="AQ4:AQ14" si="6">SUM(AJ4:AP4)</f>
        <v>26</v>
      </c>
    </row>
    <row r="5" spans="1:43" s="14" customFormat="1" ht="30" customHeight="1" x14ac:dyDescent="0.25">
      <c r="A5" s="21" t="s">
        <v>3</v>
      </c>
      <c r="B5" s="22" t="s">
        <v>156</v>
      </c>
      <c r="C5" s="12">
        <f>COUNTIF(Başvuru!J2:K1142,"Prof. Dr. Melih Önder BABAOĞLU")</f>
        <v>28</v>
      </c>
      <c r="D5" s="12" cm="1">
        <f t="array" ref="D5">SUMPRODUCT(((Başvuru!J2:K1142)="Prof. Dr. Melih Önder BABAOĞLU")*(Başvuru!G2:G1142="Bireysel Araştırma")*(Başvuru!L2:L1142="ONAY"))</f>
        <v>10</v>
      </c>
      <c r="E5" s="12" cm="1">
        <f t="array" ref="E5">SUMPRODUCT(((Başvuru!J2:K1142)="Prof. Dr. Melih Önder BABAOĞLU")*(Başvuru!G2:G1142="Bireysel Araştırma")*(Başvuru!L2:L1142="DÜZELTME"))</f>
        <v>7</v>
      </c>
      <c r="F5" s="12" cm="1">
        <f t="array" ref="F5">SUMPRODUCT(((Başvuru!J2:K1142)="Prof. Dr. Melih Önder BABAOĞLU")*(Başvuru!G2:G1142="Bireysel Araştırma")*(Başvuru!L2:L1142="KAEK"))</f>
        <v>0</v>
      </c>
      <c r="G5" s="12" cm="1">
        <f t="array" ref="G5">SUMPRODUCT(((Başvuru!J2:K1142)="Prof. Dr. Melih Önder BABAOĞLU")*(Başvuru!G2:G1142="Bireysel Araştırma")*(Başvuru!L2:L1142="GÖRÜŞ"))</f>
        <v>0</v>
      </c>
      <c r="H5" s="12" cm="1">
        <f t="array" ref="H5">SUMPRODUCT(((Başvuru!J2:K1142)="Prof. Dr. Melih Önder BABAOĞLU")*(Başvuru!G2:G1142="Bireysel Araştırma")*(Başvuru!L2:L1142="RET"))</f>
        <v>1</v>
      </c>
      <c r="I5" s="12" cm="1">
        <f t="array" ref="I5">SUMPRODUCT(((Başvuru!J2:K1142)="Prof. Dr. Melih Önder BABAOĞLU")*(Başvuru!G2:G1142="Bireysel Araştırma")*(Başvuru!L2:L1142="KAPSAM DIŞI"))</f>
        <v>0</v>
      </c>
      <c r="J5" s="12" cm="1">
        <f t="array" ref="J5">SUMPRODUCT(((Başvuru!J2:K1142)="Prof. Dr. Melih Önder BABAOĞLU")*(Başvuru!G2:G1142="Bireysel Araştırma")*(Başvuru!L2:L1142="GERİ ÇEKİLDİ"))</f>
        <v>0</v>
      </c>
      <c r="K5" s="12">
        <f t="shared" ref="K5" si="7">SUM(D5:J5)</f>
        <v>18</v>
      </c>
      <c r="L5" s="12" cm="1">
        <f t="array" ref="L5">SUMPRODUCT(((Başvuru!J2:K1142)="Prof. Dr. Melih Önder BABAOĞLU")*(Başvuru!G2:G1142="Yüksek Lisans Tezi")*(Başvuru!L2:L1142="ONAY"))</f>
        <v>0</v>
      </c>
      <c r="M5" s="12" cm="1">
        <f t="array" ref="M5">SUMPRODUCT(((Başvuru!J2:K1142)="Prof. Dr. Melih Önder BABAOĞLU")*(Başvuru!G2:G1142="Yüksek Lisans Tezi")*(Başvuru!L2:L1142="DÜZELTME"))</f>
        <v>1</v>
      </c>
      <c r="N5" s="12" cm="1">
        <f t="array" ref="N5">SUMPRODUCT(((Başvuru!J2:K1142)="Prof. Dr. Melih Önder BABAOĞLU")*(Başvuru!G2:G1142="Yüksek Lisans Tezi")*(Başvuru!L2:L1142="KAEK"))</f>
        <v>0</v>
      </c>
      <c r="O5" s="12" cm="1">
        <f t="array" ref="O5">SUMPRODUCT(((Başvuru!J2:K1142)="Prof. Dr. Melih Önder BABAOĞLU")*(Başvuru!G2:G1142="Yüksek Lisans Tezi")*(Başvuru!L2:L1142="GÖRÜŞ"))</f>
        <v>0</v>
      </c>
      <c r="P5" s="12" cm="1">
        <f t="array" ref="P5">SUMPRODUCT(((Başvuru!J2:K1142)="Prof. Dr. Melih Önder BABAOĞLU")*(Başvuru!G2:G1142="Yüksek Lisans Tezi")*(Başvuru!L2:L1142="RET"))</f>
        <v>0</v>
      </c>
      <c r="Q5" s="12" cm="1">
        <f t="array" ref="Q5">SUMPRODUCT(((Başvuru!J2:K1142)="Prof. Dr. Melih Önder BABAOĞLU")*(Başvuru!G2:G1142="Yüksek Lisans Tezi")*(Başvuru!L2:L1142="KAPSAM DIŞI"))</f>
        <v>0</v>
      </c>
      <c r="R5" s="12" cm="1">
        <f t="array" ref="R5">SUMPRODUCT(((Başvuru!J2:K1142)="Prof. Dr. Melih Önder BABAOĞLU")*(Başvuru!G2:G1142="Yüksek Lisans Tezi")*(Başvuru!L2:L1142="GERİ ÇEKİLDİ"))</f>
        <v>0</v>
      </c>
      <c r="S5" s="12">
        <f t="shared" ref="S5" si="8">SUM(L5:R5)</f>
        <v>1</v>
      </c>
      <c r="T5" s="12" cm="1">
        <f t="array" ref="T5">SUMPRODUCT(((Başvuru!J2:K1142)="Prof. Dr. Melih Önder BABAOĞLU")*(Başvuru!G2:G1142="Doktora Tezi")*(Başvuru!L2:L1142="ONAY"))</f>
        <v>0</v>
      </c>
      <c r="U5" s="12" cm="1">
        <f t="array" ref="U5">SUMPRODUCT(((Başvuru!J2:K1142)="Prof. Dr. Melih Önder BABAOĞLU")*(Başvuru!G2:G1142="Doktora Tezi")*(Başvuru!L2:L1142="DÜZELTME"))</f>
        <v>2</v>
      </c>
      <c r="V5" s="12" cm="1">
        <f t="array" ref="V5">SUMPRODUCT(((Başvuru!J2:K1142)="Prof. Dr. Melih Önder BABAOĞLU")*(Başvuru!G2:G1142="Doktora Tezi")*(Başvuru!L2:L1142="KAEK"))</f>
        <v>0</v>
      </c>
      <c r="W5" s="12" cm="1">
        <f t="array" ref="W5">SUMPRODUCT(((Başvuru!J2:K1142)="Prof. Dr. Melih Önder BABAOĞLU")*(Başvuru!G2:G1142="Doktora Tezi")*(Başvuru!L2:L1142="GÖRÜŞ"))</f>
        <v>0</v>
      </c>
      <c r="X5" s="12" cm="1">
        <f t="array" ref="X5">SUMPRODUCT(((Başvuru!J2:K1142)="Prof. Dr. Melih Önder BABAOĞLU")*(Başvuru!G2:G1142="Doktora Tezi")*(Başvuru!L2:L1142="RET"))</f>
        <v>0</v>
      </c>
      <c r="Y5" s="12" cm="1">
        <f t="array" ref="Y5">SUMPRODUCT(((Başvuru!J2:K1142)="Prof. Dr. Melih Önder BABAOĞLU")*(Başvuru!G2:G1142="Doktora Tezi")*(Başvuru!L2:L1142="KAPSAM DIŞI"))</f>
        <v>0</v>
      </c>
      <c r="Z5" s="12" cm="1">
        <f t="array" ref="Z5">SUMPRODUCT(((Başvuru!J2:K1142)="Prof. Dr. Melih Önder BABAOĞLU")*(Başvuru!G2:G1142="Doktora Tezi")*(Başvuru!L2:L1142="GERİ ÇEKİLDİ"))</f>
        <v>0</v>
      </c>
      <c r="AA5" s="12">
        <f t="shared" ref="AA5" si="9">SUM(T5:Z5)</f>
        <v>2</v>
      </c>
      <c r="AB5" s="12" cm="1">
        <f t="array" ref="AB5">SUMPRODUCT(((Başvuru!J2:K1142)="Prof. Dr. Melih Önder BABAOĞLU")*(Başvuru!G2:G1142="Uzmanlık Tezi")*(Başvuru!L2:L1142="ONAY"))</f>
        <v>2</v>
      </c>
      <c r="AC5" s="12" cm="1">
        <f t="array" ref="AC5">SUMPRODUCT(((Başvuru!J2:K1142)="Prof. Dr. Melih Önder BABAOĞLU")*(Başvuru!G2:G1142="Uzmanlık Tezi")*(Başvuru!L2:L1142="DÜZELTME"))</f>
        <v>3</v>
      </c>
      <c r="AD5" s="12" cm="1">
        <f t="array" ref="AD5">SUMPRODUCT(((Başvuru!J2:K1142)="Prof. Dr. Melih Önder BABAOĞLU")*(Başvuru!G2:G1142="Uzmanlık Tezi")*(Başvuru!L2:L1142="KAEK"))</f>
        <v>0</v>
      </c>
      <c r="AE5" s="12" cm="1">
        <f t="array" ref="AE5">SUMPRODUCT(((Başvuru!J2:K1142)="Prof. Dr. Melih Önder BABAOĞLU")*(Başvuru!G2:G1142="Uzmanlık Tezi")*(Başvuru!L2:L1142="GÖRÜŞ"))</f>
        <v>0</v>
      </c>
      <c r="AF5" s="12" cm="1">
        <f t="array" ref="AF5">SUMPRODUCT(((Başvuru!J2:K1142)="Prof. Dr. Melih Önder BABAOĞLU")*(Başvuru!G2:G1142="Uzmanlık Tezi")*(Başvuru!L2:L1142="RET"))</f>
        <v>0</v>
      </c>
      <c r="AG5" s="12" cm="1">
        <f t="array" ref="AG5">SUMPRODUCT(((Başvuru!J2:K1142)="Prof. Dr. Melih Önder BABAOĞLU")*(Başvuru!G2:G1142="Uzmanlık Tezi")*(Başvuru!L2:L1142="KAPSAM DIŞI"))</f>
        <v>1</v>
      </c>
      <c r="AH5" s="12" cm="1">
        <f t="array" ref="AH5">SUMPRODUCT(((Başvuru!J2:K1142)="Prof. Dr. Melih Önder BABAOĞLU")*(Başvuru!G2:G1142="Uzmanlık Tezi")*(Başvuru!L2:L1142="GERİ ÇEKİLDİ"))</f>
        <v>0</v>
      </c>
      <c r="AI5" s="12">
        <f t="shared" ref="AI5" si="10">SUM(AB5:AH5)</f>
        <v>6</v>
      </c>
      <c r="AJ5" s="31">
        <f t="shared" ref="AJ5" si="11">SUM(D5,L5,T5,AB5)</f>
        <v>12</v>
      </c>
      <c r="AK5" s="31">
        <f t="shared" ref="AK5" si="12">SUM(E5,M5,U5,AC5)</f>
        <v>13</v>
      </c>
      <c r="AL5" s="31">
        <f t="shared" ref="AL5" si="13">SUM(F5,N5,V5,AD5)</f>
        <v>0</v>
      </c>
      <c r="AM5" s="31">
        <f t="shared" ref="AM5" si="14">SUM(G5,O5,W5,AE5)</f>
        <v>0</v>
      </c>
      <c r="AN5" s="31">
        <f t="shared" ref="AN5" si="15">SUM(H5,P5,X5,AF5)</f>
        <v>1</v>
      </c>
      <c r="AO5" s="31">
        <f t="shared" ref="AO5" si="16">SUM(I5,Q5,Y5,AG5)</f>
        <v>1</v>
      </c>
      <c r="AP5" s="31">
        <f t="shared" ref="AP5" si="17">SUM(J5,R5,Z5,AH5)</f>
        <v>0</v>
      </c>
      <c r="AQ5" s="31">
        <f t="shared" ref="AQ5" si="18">SUM(AJ5:AP5)</f>
        <v>27</v>
      </c>
    </row>
    <row r="6" spans="1:43" s="14" customFormat="1" ht="30" customHeight="1" x14ac:dyDescent="0.25">
      <c r="A6" s="21" t="s">
        <v>4</v>
      </c>
      <c r="B6" s="22" t="s">
        <v>88</v>
      </c>
      <c r="C6" s="12">
        <f>COUNTIF(Başvuru!J2:K1142,"Prof. Dr. Ayşe KİN İŞLER")</f>
        <v>25</v>
      </c>
      <c r="D6" s="12" cm="1">
        <f t="array" ref="D6">SUMPRODUCT(((Başvuru!J2:K1142)="Prof. Dr. Ayşe KİN İŞLER")*(Başvuru!G2:G1142="Bireysel Araştırma")*(Başvuru!L2:L1142="ONAY"))</f>
        <v>10</v>
      </c>
      <c r="E6" s="12" cm="1">
        <f t="array" ref="E6">SUMPRODUCT(((Başvuru!J2:K1142)="Prof. Dr. Ayşe KİN İŞLER")*(Başvuru!G2:G1142="Bireysel Araştırma")*(Başvuru!L2:L1142="DÜZELTME"))</f>
        <v>2</v>
      </c>
      <c r="F6" s="12" cm="1">
        <f t="array" ref="F6">SUMPRODUCT(((Başvuru!J2:K1142)="Prof. Dr. Ayşe KİN İŞLER")*(Başvuru!G2:G1142="Bireysel Araştırma")*(Başvuru!L2:L1142="KAEK"))</f>
        <v>0</v>
      </c>
      <c r="G6" s="12" cm="1">
        <f t="array" ref="G6">SUMPRODUCT(((Başvuru!J2:K1142)="Prof. Dr. Ayşe KİN İŞLER")*(Başvuru!G2:G1142="Bireysel Araştırma")*(Başvuru!L2:L1142="GÖRÜŞ"))</f>
        <v>2</v>
      </c>
      <c r="H6" s="12" cm="1">
        <f t="array" ref="H6">SUMPRODUCT(((Başvuru!J2:K1142)="Prof. Dr. Ayşe KİN İŞLER")*(Başvuru!G2:G1142="Bireysel Araştırma")*(Başvuru!L2:L1142="RET"))</f>
        <v>0</v>
      </c>
      <c r="I6" s="12" cm="1">
        <f t="array" ref="I6">SUMPRODUCT(((Başvuru!J2:K1142)="Prof. Dr. Ayşe KİN İŞLER")*(Başvuru!G2:G1142="Bireysel Araştırma")*(Başvuru!L2:L1142="KAPSAM DIŞI"))</f>
        <v>0</v>
      </c>
      <c r="J6" s="12" cm="1">
        <f t="array" ref="J6">SUMPRODUCT(((Başvuru!J2:K1142)="Prof. Dr. Ayşe KİN İŞLER")*(Başvuru!G2:G1142="Bireysel Araştırma")*(Başvuru!L2:L1142="GERİ ÇEKİLDİ"))</f>
        <v>0</v>
      </c>
      <c r="K6" s="12">
        <f t="shared" si="1"/>
        <v>14</v>
      </c>
      <c r="L6" s="12" cm="1">
        <f t="array" ref="L6">SUMPRODUCT(((Başvuru!J2:K1142)="Prof. Dr. Ayşe KİN İŞLER")*(Başvuru!G2:G1142="Yüksek Lisans Tezi")*(Başvuru!L2:L1142="ONAY"))</f>
        <v>0</v>
      </c>
      <c r="M6" s="12" cm="1">
        <f t="array" ref="M6">SUMPRODUCT(((Başvuru!J2:K1142)="Prof. Dr. Ayşe KİN İŞLER")*(Başvuru!G2:G1142="Yüksek Lisans Tezi")*(Başvuru!L2:L1142="DÜZELTME"))</f>
        <v>0</v>
      </c>
      <c r="N6" s="12" cm="1">
        <f t="array" ref="N6">SUMPRODUCT(((Başvuru!J2:K1142)="Prof. Dr. Ayşe KİN İŞLER")*(Başvuru!G2:G1142="Yüksek Lisans Tezi")*(Başvuru!L2:L1142="KAEK"))</f>
        <v>0</v>
      </c>
      <c r="O6" s="12" cm="1">
        <f t="array" ref="O6">SUMPRODUCT(((Başvuru!J2:K1142)="Prof. Dr. Ayşe KİN İŞLER")*(Başvuru!G2:G1142="Yüksek Lisans Tezi")*(Başvuru!L2:L1142="GÖRÜŞ"))</f>
        <v>0</v>
      </c>
      <c r="P6" s="12" cm="1">
        <f t="array" ref="P6">SUMPRODUCT(((Başvuru!J2:K1142)="Prof. Dr. Ayşe KİN İŞLER")*(Başvuru!G2:G1142="Yüksek Lisans Tezi")*(Başvuru!L2:L1142="RET"))</f>
        <v>0</v>
      </c>
      <c r="Q6" s="12" cm="1">
        <f t="array" ref="Q6">SUMPRODUCT(((Başvuru!J2:K1142)="Prof. Dr. Ayşe KİN İŞLER")*(Başvuru!G2:G1142="Yüksek Lisans Tezi")*(Başvuru!L2:L1142="KAPSAM DIŞI"))</f>
        <v>0</v>
      </c>
      <c r="R6" s="12" cm="1">
        <f t="array" ref="R6">SUMPRODUCT(((Başvuru!J2:K1142)="Prof. Dr. Ayşe KİN İŞLER")*(Başvuru!G2:G1142="Yüksek Lisans Tezi")*(Başvuru!L2:L1142="GERİ ÇEKİLDİ"))</f>
        <v>0</v>
      </c>
      <c r="S6" s="12">
        <f t="shared" si="2"/>
        <v>0</v>
      </c>
      <c r="T6" s="12" cm="1">
        <f t="array" ref="T6">SUMPRODUCT(((Başvuru!J2:K1142)="Prof. Dr. Ayşe KİN İŞLER")*(Başvuru!G2:G1142="Doktora Tezi")*(Başvuru!L2:L1142="ONAY"))</f>
        <v>1</v>
      </c>
      <c r="U6" s="12" cm="1">
        <f t="array" ref="U6">SUMPRODUCT(((Başvuru!J2:K1142)="Prof. Dr. Ayşe KİN İŞLER")*(Başvuru!G2:G1142="Doktora Tezi")*(Başvuru!L2:L1142="DÜZELTME"))</f>
        <v>1</v>
      </c>
      <c r="V6" s="12" cm="1">
        <f t="array" ref="V6">SUMPRODUCT(((Başvuru!J2:K1142)="Prof. Dr. Ayşe KİN İŞLER")*(Başvuru!G2:G1142="Doktora Tezi")*(Başvuru!L2:L1142="KAEK"))</f>
        <v>0</v>
      </c>
      <c r="W6" s="12" cm="1">
        <f t="array" ref="W6">SUMPRODUCT(((Başvuru!J2:K1142)="Prof. Dr. Ayşe KİN İŞLER")*(Başvuru!G2:G1142="Doktora Tezi")*(Başvuru!L2:L1142="GÖRÜŞ"))</f>
        <v>0</v>
      </c>
      <c r="X6" s="12" cm="1">
        <f t="array" ref="X6">SUMPRODUCT(((Başvuru!J2:K1142)="Prof. Dr. Ayşe KİN İŞLER")*(Başvuru!G2:G1142="Doktora Tezi")*(Başvuru!L2:L1142="RET"))</f>
        <v>0</v>
      </c>
      <c r="Y6" s="12" cm="1">
        <f t="array" ref="Y6">SUMPRODUCT(((Başvuru!J2:K1142)="Prof. Dr. Ayşe KİN İŞLER")*(Başvuru!G2:G1142="Doktora Tezi")*(Başvuru!L2:L1142="KAPSAM DIŞI"))</f>
        <v>0</v>
      </c>
      <c r="Z6" s="12" cm="1">
        <f t="array" ref="Z6">SUMPRODUCT(((Başvuru!J2:K1142)="Prof. Dr. Ayşe KİN İŞLER")*(Başvuru!G2:G1142="Doktora Tezi")*(Başvuru!L2:L1142="GERİ ÇEKİLDİ"))</f>
        <v>0</v>
      </c>
      <c r="AA6" s="12">
        <f t="shared" si="3"/>
        <v>2</v>
      </c>
      <c r="AB6" s="12" cm="1">
        <f t="array" ref="AB6">SUMPRODUCT(((Başvuru!J2:K1142)="Prof. Dr. Ayşe KİN İŞLER")*(Başvuru!G2:G1142="Uzmanlık Tezi")*(Başvuru!L2:L1142="ONAY"))</f>
        <v>1</v>
      </c>
      <c r="AC6" s="12" cm="1">
        <f t="array" ref="AC6">SUMPRODUCT(((Başvuru!J2:K1142)="Prof. Dr. Ayşe KİN İŞLER")*(Başvuru!G2:G1142="Uzmanlık Tezi")*(Başvuru!L2:L1142="DÜZELTME"))</f>
        <v>0</v>
      </c>
      <c r="AD6" s="12" cm="1">
        <f t="array" ref="AD6">SUMPRODUCT(((Başvuru!J2:K1142)="Prof. Dr. Ayşe KİN İŞLER")*(Başvuru!G2:G1142="Uzmanlık Tezi")*(Başvuru!L2:L1142="KAEK"))</f>
        <v>0</v>
      </c>
      <c r="AE6" s="12" cm="1">
        <f t="array" ref="AE6">SUMPRODUCT(((Başvuru!J2:K1142)="Prof. Dr. Ayşe KİN İŞLER")*(Başvuru!G2:G1142="Uzmanlık Tezi")*(Başvuru!L2:L1142="GÖRÜŞ"))</f>
        <v>0</v>
      </c>
      <c r="AF6" s="12" cm="1">
        <f t="array" ref="AF6">SUMPRODUCT(((Başvuru!J2:K1142)="Prof. Dr. Ayşe KİN İŞLER")*(Başvuru!G2:G1142="Uzmanlık Tezi")*(Başvuru!L2:L1142="RET"))</f>
        <v>0</v>
      </c>
      <c r="AG6" s="12" cm="1">
        <f t="array" ref="AG6">SUMPRODUCT(((Başvuru!J2:K1142)="Prof. Dr. Ayşe KİN İŞLER")*(Başvuru!G2:G1142="Uzmanlık Tezi")*(Başvuru!L2:L1142="KAPSAM DIŞI"))</f>
        <v>0</v>
      </c>
      <c r="AH6" s="12" cm="1">
        <f t="array" ref="AH6">SUMPRODUCT(((Başvuru!J2:K1142)="Prof. Dr. Ayşe KİN İŞLER")*(Başvuru!G2:G1142="Uzmanlık Tezi")*(Başvuru!L2:L1142="GERİ ÇEKİLDİ"))</f>
        <v>0</v>
      </c>
      <c r="AI6" s="12">
        <f t="shared" si="4"/>
        <v>1</v>
      </c>
      <c r="AJ6" s="31">
        <f t="shared" si="5"/>
        <v>12</v>
      </c>
      <c r="AK6" s="31">
        <f t="shared" si="5"/>
        <v>3</v>
      </c>
      <c r="AL6" s="31">
        <f t="shared" si="0"/>
        <v>0</v>
      </c>
      <c r="AM6" s="31">
        <f t="shared" si="0"/>
        <v>2</v>
      </c>
      <c r="AN6" s="31">
        <f t="shared" si="0"/>
        <v>0</v>
      </c>
      <c r="AO6" s="31">
        <f t="shared" si="0"/>
        <v>0</v>
      </c>
      <c r="AP6" s="31">
        <f t="shared" si="0"/>
        <v>0</v>
      </c>
      <c r="AQ6" s="31">
        <f t="shared" si="6"/>
        <v>17</v>
      </c>
    </row>
    <row r="7" spans="1:43" s="14" customFormat="1" ht="30" customHeight="1" x14ac:dyDescent="0.25">
      <c r="A7" s="21" t="s">
        <v>5</v>
      </c>
      <c r="B7" s="22" t="s">
        <v>91</v>
      </c>
      <c r="C7" s="12">
        <f>COUNTIF(Başvuru!J2:K1142,"Prof. Dr. Yavuz AYHAN")</f>
        <v>25</v>
      </c>
      <c r="D7" s="12" cm="1">
        <f t="array" ref="D7">SUMPRODUCT(((Başvuru!J2:K1142)="Prof. Dr. Yavuz AYHAN")*(Başvuru!G2:G1142="Bireysel Araştırma")*(Başvuru!L2:L1142="ONAY"))</f>
        <v>7</v>
      </c>
      <c r="E7" s="12" cm="1">
        <f t="array" ref="E7">SUMPRODUCT(((Başvuru!J2:K1142)="Prof. Dr. Yavuz AYHAN")*(Başvuru!G2:G1142="Bireysel Araştırma")*(Başvuru!L2:L1142="DÜZELTME"))</f>
        <v>4</v>
      </c>
      <c r="F7" s="12" cm="1">
        <f t="array" ref="F7">SUMPRODUCT(((Başvuru!J2:K1142)="Prof. Dr. Yavuz AYHAN")*(Başvuru!G2:G1142="Bireysel Araştırma")*(Başvuru!L2:L1142="KAEK"))</f>
        <v>0</v>
      </c>
      <c r="G7" s="12" cm="1">
        <f t="array" ref="G7">SUMPRODUCT(((Başvuru!J2:K1142)="Prof. Dr. Yavuz AYHAN")*(Başvuru!G2:G1142="Bireysel Araştırma")*(Başvuru!L2:L1142="GÖRÜŞ"))</f>
        <v>0</v>
      </c>
      <c r="H7" s="12" cm="1">
        <f t="array" ref="H7">SUMPRODUCT(((Başvuru!J2:K1142)="Prof. Dr. Yavuz AYHAN")*(Başvuru!G2:G1142="Bireysel Araştırma")*(Başvuru!L2:L1142="RET"))</f>
        <v>0</v>
      </c>
      <c r="I7" s="12" cm="1">
        <f t="array" ref="I7">SUMPRODUCT(((Başvuru!J2:K1142)="Prof. Dr. Yavuz AYHAN")*(Başvuru!G2:G1142="Bireysel Araştırma")*(Başvuru!L2:L1142="KAPSAM DIŞI"))</f>
        <v>0</v>
      </c>
      <c r="J7" s="12" cm="1">
        <f t="array" ref="J7">SUMPRODUCT(((Başvuru!J2:K1142)="Prof. Dr. Yavuz AYHAN")*(Başvuru!G2:G1142="Bireysel Araştırma")*(Başvuru!L2:L1142="GERİ ÇEKİLDİ"))</f>
        <v>0</v>
      </c>
      <c r="K7" s="12">
        <f t="shared" si="1"/>
        <v>11</v>
      </c>
      <c r="L7" s="12" cm="1">
        <f t="array" ref="L7">SUMPRODUCT(((Başvuru!J2:K1142)="Prof. Dr. Yavuz AYHAN")*(Başvuru!G2:G1142="Yüksek Lisans Tezi")*(Başvuru!L2:L1142="ONAY"))</f>
        <v>0</v>
      </c>
      <c r="M7" s="12" cm="1">
        <f t="array" ref="M7">SUMPRODUCT(((Başvuru!J2:K1142)="Prof. Dr. Yavuz AYHAN")*(Başvuru!G2:G1142="Yüksek Lisans Tezi")*(Başvuru!L2:L1142="DÜZELTME"))</f>
        <v>0</v>
      </c>
      <c r="N7" s="12" cm="1">
        <f t="array" ref="N7">SUMPRODUCT(((Başvuru!J2:K1142)="Prof. Dr. Yavuz AYHAN")*(Başvuru!G2:G1142="Yüksek Lisans Tezi")*(Başvuru!L2:L1142="KAEK"))</f>
        <v>0</v>
      </c>
      <c r="O7" s="12" cm="1">
        <f t="array" ref="O7">SUMPRODUCT(((Başvuru!J2:K1142)="Prof. Dr. Yavuz AYHAN")*(Başvuru!G2:G1142="Yüksek Lisans Tezi")*(Başvuru!L2:L1142="GÖRÜŞ"))</f>
        <v>0</v>
      </c>
      <c r="P7" s="12" cm="1">
        <f t="array" ref="P7">SUMPRODUCT(((Başvuru!J2:K1142)="Prof. Dr. Yavuz AYHAN")*(Başvuru!G2:G1142="Yüksek Lisans Tezi")*(Başvuru!L2:L1142="RET"))</f>
        <v>0</v>
      </c>
      <c r="Q7" s="12" cm="1">
        <f t="array" ref="Q7">SUMPRODUCT(((Başvuru!J2:K1142)="Prof. Dr. Yavuz AYHAN")*(Başvuru!G2:G1142="Yüksek Lisans Tezi")*(Başvuru!L2:L1142="KAPSAM DIŞI"))</f>
        <v>0</v>
      </c>
      <c r="R7" s="12" cm="1">
        <f t="array" ref="R7">SUMPRODUCT(((Başvuru!J2:K1142)="Prof. Dr. Yavuz AYHAN")*(Başvuru!G2:G1142="Yüksek Lisans Tezi")*(Başvuru!L2:L1142="GERİ ÇEKİLDİ"))</f>
        <v>0</v>
      </c>
      <c r="S7" s="12">
        <f t="shared" si="2"/>
        <v>0</v>
      </c>
      <c r="T7" s="12" cm="1">
        <f t="array" ref="T7">SUMPRODUCT(((Başvuru!J2:K1142)="Prof. Dr. Yavuz AYHAN")*(Başvuru!G2:G1142="Doktora Tezi")*(Başvuru!L2:L1142="ONAY"))</f>
        <v>0</v>
      </c>
      <c r="U7" s="12" cm="1">
        <f t="array" ref="U7">SUMPRODUCT(((Başvuru!J2:K1142)="Prof. Dr. Yavuz AYHAN")*(Başvuru!G2:G1142="Doktora Tezi")*(Başvuru!L2:L1142="DÜZELTME"))</f>
        <v>1</v>
      </c>
      <c r="V7" s="12" cm="1">
        <f t="array" ref="V7">SUMPRODUCT(((Başvuru!J2:K1142)="Prof. Dr. Yavuz AYHAN")*(Başvuru!G2:G1142="Doktora Tezi")*(Başvuru!L2:L1142="KAEK"))</f>
        <v>0</v>
      </c>
      <c r="W7" s="12" cm="1">
        <f t="array" ref="W7">SUMPRODUCT(((Başvuru!J2:K1142)="Prof. Dr. Yavuz AYHAN")*(Başvuru!G2:G1142="Doktora Tezi")*(Başvuru!L2:L1142="GÖRÜŞ"))</f>
        <v>0</v>
      </c>
      <c r="X7" s="12" cm="1">
        <f t="array" ref="X7">SUMPRODUCT(((Başvuru!J2:K1142)="Prof. Dr. Yavuz AYHAN")*(Başvuru!G2:G1142="Doktora Tezi")*(Başvuru!L2:L1142="RET"))</f>
        <v>0</v>
      </c>
      <c r="Y7" s="12" cm="1">
        <f t="array" ref="Y7">SUMPRODUCT(((Başvuru!J2:K1142)="Prof. Dr. Yavuz AYHAN")*(Başvuru!G2:G1142="Doktora Tezi")*(Başvuru!L2:L1142="KAPSAM DIŞI"))</f>
        <v>0</v>
      </c>
      <c r="Z7" s="12" cm="1">
        <f t="array" ref="Z7">SUMPRODUCT(((Başvuru!J2:K1142)="Prof. Dr. Yavuz AYHAN")*(Başvuru!G2:G1142="Doktora Tezi")*(Başvuru!L2:L1142="GERİ ÇEKİLDİ"))</f>
        <v>0</v>
      </c>
      <c r="AA7" s="12">
        <f t="shared" si="3"/>
        <v>1</v>
      </c>
      <c r="AB7" s="12" cm="1">
        <f t="array" ref="AB7">SUMPRODUCT(((Başvuru!J2:K1142)="Prof. Dr. Yavuz AYHAN")*(Başvuru!G2:G1142="Uzmanlık Tezi")*(Başvuru!L2:L1142="ONAY"))</f>
        <v>2</v>
      </c>
      <c r="AC7" s="12" cm="1">
        <f t="array" ref="AC7">SUMPRODUCT(((Başvuru!J2:K1142)="Prof. Dr. Yavuz AYHAN")*(Başvuru!G2:G1142="Uzmanlık Tezi")*(Başvuru!L2:L1142="DÜZELTME"))</f>
        <v>3</v>
      </c>
      <c r="AD7" s="12" cm="1">
        <f t="array" ref="AD7">SUMPRODUCT(((Başvuru!J2:K1142)="Prof. Dr. Yavuz AYHAN")*(Başvuru!G2:G1142="Uzmanlık Tezi")*(Başvuru!L2:L1142="KAEK"))</f>
        <v>0</v>
      </c>
      <c r="AE7" s="12" cm="1">
        <f t="array" ref="AE7">SUMPRODUCT(((Başvuru!J2:K1142)="Prof. Dr. Yavuz AYHAN")*(Başvuru!G2:G1142="Uzmanlık Tezi")*(Başvuru!L2:L1142="GÖRÜŞ"))</f>
        <v>0</v>
      </c>
      <c r="AF7" s="12" cm="1">
        <f t="array" ref="AF7">SUMPRODUCT(((Başvuru!J2:K1142)="Prof. Dr. Yavuz AYHAN")*(Başvuru!G2:G1142="Uzmanlık Tezi")*(Başvuru!L2:L1142="RET"))</f>
        <v>0</v>
      </c>
      <c r="AG7" s="12" cm="1">
        <f t="array" ref="AG7">SUMPRODUCT(((Başvuru!J2:K1142)="Prof. Dr. Yavuz AYHAN")*(Başvuru!G2:G1142="Uzmanlık Tezi")*(Başvuru!L2:L1142="KAPSAM DIŞI"))</f>
        <v>0</v>
      </c>
      <c r="AH7" s="12" cm="1">
        <f t="array" ref="AH7">SUMPRODUCT(((Başvuru!J2:K1142)="Prof. Dr. Yavuz AYHAN")*(Başvuru!G2:G1142="Uzmanlık Tezi")*(Başvuru!L2:L1142="GERİ ÇEKİLDİ"))</f>
        <v>0</v>
      </c>
      <c r="AI7" s="12">
        <f t="shared" si="4"/>
        <v>5</v>
      </c>
      <c r="AJ7" s="31">
        <f t="shared" si="5"/>
        <v>9</v>
      </c>
      <c r="AK7" s="31">
        <f t="shared" si="5"/>
        <v>8</v>
      </c>
      <c r="AL7" s="31">
        <f t="shared" si="0"/>
        <v>0</v>
      </c>
      <c r="AM7" s="31">
        <f t="shared" si="0"/>
        <v>0</v>
      </c>
      <c r="AN7" s="31">
        <f t="shared" si="0"/>
        <v>0</v>
      </c>
      <c r="AO7" s="31">
        <f t="shared" si="0"/>
        <v>0</v>
      </c>
      <c r="AP7" s="31">
        <f t="shared" si="0"/>
        <v>0</v>
      </c>
      <c r="AQ7" s="31">
        <f t="shared" si="6"/>
        <v>17</v>
      </c>
    </row>
    <row r="8" spans="1:43" s="14" customFormat="1" ht="30" customHeight="1" x14ac:dyDescent="0.25">
      <c r="A8" s="21" t="s">
        <v>6</v>
      </c>
      <c r="B8" s="22" t="s">
        <v>94</v>
      </c>
      <c r="C8" s="12">
        <f>COUNTIF(Başvuru!J2:K1142,"Prof. Dr. Nazmiye Ebru ORTAÇ ERSOY")</f>
        <v>36</v>
      </c>
      <c r="D8" s="12" cm="1">
        <f t="array" ref="D8">SUMPRODUCT(((Başvuru!J2:K1142)="Prof. Dr. Nazmiye Ebru ORTAÇ ERSOY")*(Başvuru!G2:G1142="Bireysel Araştırma")*(Başvuru!L2:L1142="ONAY"))</f>
        <v>13</v>
      </c>
      <c r="E8" s="12" cm="1">
        <f t="array" ref="E8">SUMPRODUCT(((Başvuru!J2:K1142)="Prof. Dr. Nazmiye Ebru ORTAÇ ERSOY")*(Başvuru!G2:G1142="Bireysel Araştırma")*(Başvuru!L2:L1142="DÜZELTME"))</f>
        <v>5</v>
      </c>
      <c r="F8" s="12" cm="1">
        <f t="array" ref="F8">SUMPRODUCT(((Başvuru!J2:K1142)="Prof. Dr. Nazmiye Ebru ORTAÇ ERSOY")*(Başvuru!G2:G1142="Bireysel Araştırma")*(Başvuru!L2:L1142="KAEK"))</f>
        <v>0</v>
      </c>
      <c r="G8" s="12" cm="1">
        <f t="array" ref="G8">SUMPRODUCT(((Başvuru!J2:K1142)="Prof. Dr. Nazmiye Ebru ORTAÇ ERSOY")*(Başvuru!G2:G1142="Bireysel Araştırma")*(Başvuru!L2:L1142="GÖRÜŞ"))</f>
        <v>1</v>
      </c>
      <c r="H8" s="12" cm="1">
        <f t="array" ref="H8">SUMPRODUCT(((Başvuru!J2:K1142)="Prof. Dr. Nazmiye Ebru ORTAÇ ERSOY")*(Başvuru!G2:G1142="Bireysel Araştırma")*(Başvuru!L2:L1142="RET"))</f>
        <v>0</v>
      </c>
      <c r="I8" s="12" cm="1">
        <f t="array" ref="I8">SUMPRODUCT(((Başvuru!J2:K1142)="Prof. Dr. Nazmiye Ebru ORTAÇ ERSOY")*(Başvuru!G2:G1142="Bireysel Araştırma")*(Başvuru!L2:L1142="KAPSAM DIŞI"))</f>
        <v>0</v>
      </c>
      <c r="J8" s="12" cm="1">
        <f t="array" ref="J8">SUMPRODUCT(((Başvuru!J2:K1142)="Prof. Dr. Nazmiye Ebru ORTAÇ ERSOY")*(Başvuru!G2:G1142="Bireysel Araştırma")*(Başvuru!L2:L1142="GERİ ÇEKİLDİ"))</f>
        <v>0</v>
      </c>
      <c r="K8" s="12">
        <f t="shared" si="1"/>
        <v>19</v>
      </c>
      <c r="L8" s="12" cm="1">
        <f t="array" ref="L8">SUMPRODUCT(((Başvuru!J2:K1142)="Prof. Dr. Nazmiye Ebru ORTAÇ ERSOY")*(Başvuru!G2:G1142="Yüksek Lisans Tezi")*(Başvuru!L2:L1142="ONAY"))</f>
        <v>0</v>
      </c>
      <c r="M8" s="12" cm="1">
        <f t="array" ref="M8">SUMPRODUCT(((Başvuru!J2:K1142)="Prof. Dr. Nazmiye Ebru ORTAÇ ERSOY")*(Başvuru!G2:G1142="Yüksek Lisans Tezi")*(Başvuru!L2:L1142="DÜZELTME"))</f>
        <v>0</v>
      </c>
      <c r="N8" s="12" cm="1">
        <f t="array" ref="N8">SUMPRODUCT(((Başvuru!J2:K1142)="Prof. Dr. Nazmiye Ebru ORTAÇ ERSOY")*(Başvuru!G2:G1142="Yüksek Lisans Tezi")*(Başvuru!L2:L1142="KAEK"))</f>
        <v>0</v>
      </c>
      <c r="O8" s="12" cm="1">
        <f t="array" ref="O8">SUMPRODUCT(((Başvuru!J2:K1142)="Prof. Dr. Nazmiye Ebru ORTAÇ ERSOY")*(Başvuru!G2:G1142="Yüksek Lisans Tezi")*(Başvuru!L2:L1142="GÖRÜŞ"))</f>
        <v>0</v>
      </c>
      <c r="P8" s="12" cm="1">
        <f t="array" ref="P8">SUMPRODUCT(((Başvuru!J2:K1142)="Prof. Dr. Nazmiye Ebru ORTAÇ ERSOY")*(Başvuru!G2:G1142="Yüksek Lisans Tezi")*(Başvuru!L2:L1142="RET"))</f>
        <v>0</v>
      </c>
      <c r="Q8" s="12" cm="1">
        <f t="array" ref="Q8">SUMPRODUCT(((Başvuru!J2:K1142)="Prof. Dr. Nazmiye Ebru ORTAÇ ERSOY")*(Başvuru!G2:G1142="Yüksek Lisans Tezi")*(Başvuru!L2:L1142="KAPSAM DIŞI"))</f>
        <v>0</v>
      </c>
      <c r="R8" s="12" cm="1">
        <f t="array" ref="R8">SUMPRODUCT(((Başvuru!J2:K1142)="Prof. Dr. Nazmiye Ebru ORTAÇ ERSOY")*(Başvuru!G2:G1142="Yüksek Lisans Tezi")*(Başvuru!L2:L1142="GERİ ÇEKİLDİ"))</f>
        <v>0</v>
      </c>
      <c r="S8" s="12">
        <f t="shared" si="2"/>
        <v>0</v>
      </c>
      <c r="T8" s="12" cm="1">
        <f t="array" ref="T8">SUMPRODUCT(((Başvuru!J2:K1142)="Prof. Dr. Nazmiye Ebru ORTAÇ ERSOY")*(Başvuru!G2:G1142="Doktora Tezi")*(Başvuru!L2:L1142="ONAY"))</f>
        <v>0</v>
      </c>
      <c r="U8" s="12" cm="1">
        <f t="array" ref="U8">SUMPRODUCT(((Başvuru!J2:K1142)="Prof. Dr. Nazmiye Ebru ORTAÇ ERSOY")*(Başvuru!G2:G1142="Doktora Tezi")*(Başvuru!L2:L1142="DÜZELTME"))</f>
        <v>1</v>
      </c>
      <c r="V8" s="12" cm="1">
        <f t="array" ref="V8">SUMPRODUCT(((Başvuru!J2:K1142)="Prof. Dr. Nazmiye Ebru ORTAÇ ERSOY")*(Başvuru!G2:G1142="Doktora Tezi")*(Başvuru!L2:L1142="KAEK"))</f>
        <v>0</v>
      </c>
      <c r="W8" s="12" cm="1">
        <f t="array" ref="W8">SUMPRODUCT(((Başvuru!J2:K1142)="Prof. Dr. Nazmiye Ebru ORTAÇ ERSOY")*(Başvuru!G2:G1142="Doktora Tezi")*(Başvuru!L2:L1142="GÖRÜŞ"))</f>
        <v>0</v>
      </c>
      <c r="X8" s="12" cm="1">
        <f t="array" ref="X8">SUMPRODUCT(((Başvuru!J2:K1142)="Prof. Dr. Nazmiye Ebru ORTAÇ ERSOY")*(Başvuru!G2:G1142="Doktora Tezi")*(Başvuru!L2:L1142="RET"))</f>
        <v>0</v>
      </c>
      <c r="Y8" s="12" cm="1">
        <f t="array" ref="Y8">SUMPRODUCT(((Başvuru!J2:K1142)="Prof. Dr. Nazmiye Ebru ORTAÇ ERSOY")*(Başvuru!G2:G1142="Doktora Tezi")*(Başvuru!L2:L1142="KAPSAM DIŞI"))</f>
        <v>0</v>
      </c>
      <c r="Z8" s="12" cm="1">
        <f t="array" ref="Z8">SUMPRODUCT(((Başvuru!J2:K1142)="Prof. Dr. Nazmiye Ebru ORTAÇ ERSOY")*(Başvuru!G2:G1142="Doktora Tezi")*(Başvuru!L2:L1142="GERİ ÇEKİLDİ"))</f>
        <v>0</v>
      </c>
      <c r="AA8" s="12">
        <f t="shared" si="3"/>
        <v>1</v>
      </c>
      <c r="AB8" s="12" cm="1">
        <f t="array" ref="AB8">SUMPRODUCT(((Başvuru!J2:K1142)="Prof. Dr. Nazmiye Ebru ORTAÇ ERSOY")*(Başvuru!G2:G1142="Uzmanlık Tezi")*(Başvuru!L2:L1142="ONAY"))</f>
        <v>4</v>
      </c>
      <c r="AC8" s="12" cm="1">
        <f t="array" ref="AC8">SUMPRODUCT(((Başvuru!J2:K1142)="Prof. Dr. Nazmiye Ebru ORTAÇ ERSOY")*(Başvuru!G2:G1142="Uzmanlık Tezi")*(Başvuru!L2:L1142="DÜZELTME"))</f>
        <v>2</v>
      </c>
      <c r="AD8" s="12" cm="1">
        <f t="array" ref="AD8">SUMPRODUCT(((Başvuru!J2:K1142)="Prof. Dr. Nazmiye Ebru ORTAÇ ERSOY")*(Başvuru!G2:G1142="Uzmanlık Tezi")*(Başvuru!L2:L1142="KAEK"))</f>
        <v>1</v>
      </c>
      <c r="AE8" s="12" cm="1">
        <f t="array" ref="AE8">SUMPRODUCT(((Başvuru!J2:K1142)="Prof. Dr. Nazmiye Ebru ORTAÇ ERSOY")*(Başvuru!G2:G1142="Uzmanlık Tezi")*(Başvuru!L2:L1142="GÖRÜŞ"))</f>
        <v>0</v>
      </c>
      <c r="AF8" s="12" cm="1">
        <f t="array" ref="AF8">SUMPRODUCT(((Başvuru!J2:K1142)="Prof. Dr. Nazmiye Ebru ORTAÇ ERSOY")*(Başvuru!G2:G1142="Uzmanlık Tezi")*(Başvuru!L2:L1142="RET"))</f>
        <v>0</v>
      </c>
      <c r="AG8" s="12" cm="1">
        <f t="array" ref="AG8">SUMPRODUCT(((Başvuru!J2:K1142)="Prof. Dr. Nazmiye Ebru ORTAÇ ERSOY")*(Başvuru!G2:G1142="Uzmanlık Tezi")*(Başvuru!L2:L1142="KAPSAM DIŞI"))</f>
        <v>0</v>
      </c>
      <c r="AH8" s="12" cm="1">
        <f t="array" ref="AH8">SUMPRODUCT(((Başvuru!J2:K1142)="Prof. Dr. Nazmiye Ebru ORTAÇ ERSOY")*(Başvuru!G2:G1142="Uzmanlık Tezi")*(Başvuru!L2:L1142="GERİ ÇEKİLDİ"))</f>
        <v>0</v>
      </c>
      <c r="AI8" s="12">
        <f t="shared" si="4"/>
        <v>7</v>
      </c>
      <c r="AJ8" s="31">
        <f t="shared" si="5"/>
        <v>17</v>
      </c>
      <c r="AK8" s="31">
        <f t="shared" si="5"/>
        <v>8</v>
      </c>
      <c r="AL8" s="31">
        <f t="shared" si="0"/>
        <v>1</v>
      </c>
      <c r="AM8" s="31">
        <f t="shared" si="0"/>
        <v>1</v>
      </c>
      <c r="AN8" s="31">
        <f t="shared" si="0"/>
        <v>0</v>
      </c>
      <c r="AO8" s="31">
        <f t="shared" si="0"/>
        <v>0</v>
      </c>
      <c r="AP8" s="31">
        <f t="shared" si="0"/>
        <v>0</v>
      </c>
      <c r="AQ8" s="31">
        <f t="shared" si="6"/>
        <v>27</v>
      </c>
    </row>
    <row r="9" spans="1:43" s="14" customFormat="1" ht="30" customHeight="1" x14ac:dyDescent="0.25">
      <c r="A9" s="21" t="s">
        <v>7</v>
      </c>
      <c r="B9" s="22" t="s">
        <v>92</v>
      </c>
      <c r="C9" s="12">
        <f>COUNTIF(Başvuru!J2:K1142,"Prof. Dr. Gözde GİRGİN")</f>
        <v>36</v>
      </c>
      <c r="D9" s="12" cm="1">
        <f t="array" ref="D9">SUMPRODUCT(((Başvuru!J2:K1142)="Prof. Dr. Gözde GİRGİN")*(Başvuru!G2:G1142="Bireysel Araştırma")*(Başvuru!L2:L1142="ONAY"))</f>
        <v>14</v>
      </c>
      <c r="E9" s="12" cm="1">
        <f t="array" ref="E9">SUMPRODUCT(((Başvuru!J2:K1142)="Prof. Dr. Gözde GİRGİN")*(Başvuru!G2:G1142="Bireysel Araştırma")*(Başvuru!L2:L1142="DÜZELTME"))</f>
        <v>5</v>
      </c>
      <c r="F9" s="12" cm="1">
        <f t="array" ref="F9">SUMPRODUCT(((Başvuru!J2:K1142)="Prof. Dr. Gözde GİRGİN")*(Başvuru!G2:G1142="Bireysel Araştırma")*(Başvuru!L2:L1142="KAEK"))</f>
        <v>0</v>
      </c>
      <c r="G9" s="12" cm="1">
        <f t="array" ref="G9">SUMPRODUCT(((Başvuru!J2:K1142)="Prof. Dr. Gözde GİRGİN")*(Başvuru!G2:G1142="Bireysel Araştırma")*(Başvuru!L2:L1142="GÖRÜŞ"))</f>
        <v>0</v>
      </c>
      <c r="H9" s="12" cm="1">
        <f t="array" ref="H9">SUMPRODUCT(((Başvuru!J2:K1142)="Prof. Dr. Gözde GİRGİN")*(Başvuru!G2:G1142="Bireysel Araştırma")*(Başvuru!L2:L1142="RET"))</f>
        <v>1</v>
      </c>
      <c r="I9" s="12" cm="1">
        <f t="array" ref="I9">SUMPRODUCT(((Başvuru!J2:K1142)="Prof. Dr. Gözde GİRGİN")*(Başvuru!G2:G1142="Bireysel Araştırma")*(Başvuru!L2:L1142="KAPSAM DIŞI"))</f>
        <v>0</v>
      </c>
      <c r="J9" s="12" cm="1">
        <f t="array" ref="J9">SUMPRODUCT(((Başvuru!J2:K1142)="Prof. Dr. Gözde GİRGİN")*(Başvuru!G2:G1142="Bireysel Araştırma")*(Başvuru!L2:L1142="GERİ ÇEKİLDİ"))</f>
        <v>0</v>
      </c>
      <c r="K9" s="12">
        <f t="shared" si="1"/>
        <v>20</v>
      </c>
      <c r="L9" s="12" cm="1">
        <f t="array" ref="L9">SUMPRODUCT(((Başvuru!J2:K1142)="Prof. Dr. Gözde GİRGİN")*(Başvuru!G2:G1142="Yüksek Lisans Tezi")*(Başvuru!L2:L1142="ONAY"))</f>
        <v>0</v>
      </c>
      <c r="M9" s="12" cm="1">
        <f t="array" ref="M9">SUMPRODUCT(((Başvuru!J2:K1142)="Prof. Dr. Gözde GİRGİN")*(Başvuru!G2:G1142="Yüksek Lisans Tezi")*(Başvuru!L2:L1142="DÜZELTME"))</f>
        <v>0</v>
      </c>
      <c r="N9" s="12" cm="1">
        <f t="array" ref="N9">SUMPRODUCT(((Başvuru!J2:K1142)="Prof. Dr. Gözde GİRGİN")*(Başvuru!G2:G1142="Yüksek Lisans Tezi")*(Başvuru!L2:L1142="KAEK"))</f>
        <v>0</v>
      </c>
      <c r="O9" s="12" cm="1">
        <f t="array" ref="O9">SUMPRODUCT(((Başvuru!J2:K1142)="Prof. Dr. Gözde GİRGİN")*(Başvuru!G2:G1142="Yüksek Lisans Tezi")*(Başvuru!L2:L1142="GÖRÜŞ"))</f>
        <v>0</v>
      </c>
      <c r="P9" s="12" cm="1">
        <f t="array" ref="P9">SUMPRODUCT(((Başvuru!J2:K1142)="Prof. Dr. Gözde GİRGİN")*(Başvuru!G2:G1142="Yüksek Lisans Tezi")*(Başvuru!L2:L1142="RET"))</f>
        <v>0</v>
      </c>
      <c r="Q9" s="12" cm="1">
        <f t="array" ref="Q9">SUMPRODUCT(((Başvuru!J2:K1142)="Prof. Dr. Gözde GİRGİN")*(Başvuru!G2:G1142="Yüksek Lisans Tezi")*(Başvuru!L2:L1142="KAPSAM DIŞI"))</f>
        <v>0</v>
      </c>
      <c r="R9" s="12" cm="1">
        <f t="array" ref="R9">SUMPRODUCT(((Başvuru!J2:K1142)="Prof. Dr. Gözde GİRGİN")*(Başvuru!G2:G1142="Yüksek Lisans Tezi")*(Başvuru!L2:L1142="GERİ ÇEKİLDİ"))</f>
        <v>0</v>
      </c>
      <c r="S9" s="12">
        <f t="shared" si="2"/>
        <v>0</v>
      </c>
      <c r="T9" s="12" cm="1">
        <f t="array" ref="T9">SUMPRODUCT(((Başvuru!J2:K1142)="Prof. Dr. Gözde GİRGİN")*(Başvuru!G2:G1142="Doktora Tezi")*(Başvuru!L2:L1142="ONAY"))</f>
        <v>1</v>
      </c>
      <c r="U9" s="12" cm="1">
        <f t="array" ref="U9">SUMPRODUCT(((Başvuru!J2:K1142)="Prof. Dr. Gözde GİRGİN")*(Başvuru!G2:G1142="Doktora Tezi")*(Başvuru!L2:L1142="DÜZELTME"))</f>
        <v>2</v>
      </c>
      <c r="V9" s="12" cm="1">
        <f t="array" ref="V9">SUMPRODUCT(((Başvuru!J2:K1142)="Prof. Dr. Gözde GİRGİN")*(Başvuru!G2:G1142="Doktora Tezi")*(Başvuru!L2:L1142="KAEK"))</f>
        <v>0</v>
      </c>
      <c r="W9" s="12" cm="1">
        <f t="array" ref="W9">SUMPRODUCT(((Başvuru!J2:K1142)="Prof. Dr. Gözde GİRGİN")*(Başvuru!G2:G1142="Doktora Tezi")*(Başvuru!L2:L1142="GÖRÜŞ"))</f>
        <v>0</v>
      </c>
      <c r="X9" s="12" cm="1">
        <f t="array" ref="X9">SUMPRODUCT(((Başvuru!J2:K1142)="Prof. Dr. Gözde GİRGİN")*(Başvuru!G2:G1142="Doktora Tezi")*(Başvuru!L2:L1142="RET"))</f>
        <v>0</v>
      </c>
      <c r="Y9" s="12" cm="1">
        <f t="array" ref="Y9">SUMPRODUCT(((Başvuru!J2:K1142)="Prof. Dr. Gözde GİRGİN")*(Başvuru!G2:G1142="Doktora Tezi")*(Başvuru!L2:L1142="KAPSAM DIŞI"))</f>
        <v>0</v>
      </c>
      <c r="Z9" s="12" cm="1">
        <f t="array" ref="Z9">SUMPRODUCT(((Başvuru!J2:K1142)="Prof. Dr. Gözde GİRGİN")*(Başvuru!G2:G1142="Doktora Tezi")*(Başvuru!L2:L1142="GERİ ÇEKİLDİ"))</f>
        <v>0</v>
      </c>
      <c r="AA9" s="12">
        <f t="shared" si="3"/>
        <v>3</v>
      </c>
      <c r="AB9" s="12" cm="1">
        <f t="array" ref="AB9">SUMPRODUCT(((Başvuru!J2:K1142)="Prof. Dr. Gözde GİRGİN")*(Başvuru!G2:G1142="Uzmanlık Tezi")*(Başvuru!L2:L1142="ONAY"))</f>
        <v>3</v>
      </c>
      <c r="AC9" s="12" cm="1">
        <f t="array" ref="AC9">SUMPRODUCT(((Başvuru!J2:K1142)="Prof. Dr. Gözde GİRGİN")*(Başvuru!G2:G1142="Uzmanlık Tezi")*(Başvuru!L2:L1142="DÜZELTME"))</f>
        <v>2</v>
      </c>
      <c r="AD9" s="12" cm="1">
        <f t="array" ref="AD9">SUMPRODUCT(((Başvuru!J2:K1142)="Prof. Dr. Gözde GİRGİN")*(Başvuru!G2:G1142="Uzmanlık Tezi")*(Başvuru!L2:L1142="KAEK"))</f>
        <v>0</v>
      </c>
      <c r="AE9" s="12" cm="1">
        <f t="array" ref="AE9">SUMPRODUCT(((Başvuru!J2:K1142)="Prof. Dr. Gözde GİRGİN")*(Başvuru!G2:G1142="Uzmanlık Tezi")*(Başvuru!L2:L1142="GÖRÜŞ"))</f>
        <v>0</v>
      </c>
      <c r="AF9" s="12" cm="1">
        <f t="array" ref="AF9">SUMPRODUCT(((Başvuru!J2:K1142)="Prof. Dr. Gözde GİRGİN")*(Başvuru!G2:G1142="Uzmanlık Tezi")*(Başvuru!L2:L1142="RET"))</f>
        <v>0</v>
      </c>
      <c r="AG9" s="12" cm="1">
        <f t="array" ref="AG9">SUMPRODUCT(((Başvuru!J2:K1142)="Prof. Dr. Gözde GİRGİN")*(Başvuru!G2:G1142="Uzmanlık Tezi")*(Başvuru!L2:L1142="KAPSAM DIŞI"))</f>
        <v>0</v>
      </c>
      <c r="AH9" s="12" cm="1">
        <f t="array" ref="AH9">SUMPRODUCT(((Başvuru!J2:K1142)="Prof. Dr. Gözde GİRGİN")*(Başvuru!G2:G1142="Uzmanlık Tezi")*(Başvuru!L2:L1142="GERİ ÇEKİLDİ"))</f>
        <v>0</v>
      </c>
      <c r="AI9" s="12">
        <f t="shared" si="4"/>
        <v>5</v>
      </c>
      <c r="AJ9" s="31">
        <f t="shared" si="5"/>
        <v>18</v>
      </c>
      <c r="AK9" s="31">
        <f t="shared" si="5"/>
        <v>9</v>
      </c>
      <c r="AL9" s="31">
        <f t="shared" si="0"/>
        <v>0</v>
      </c>
      <c r="AM9" s="31">
        <f t="shared" si="0"/>
        <v>0</v>
      </c>
      <c r="AN9" s="31">
        <f t="shared" si="0"/>
        <v>1</v>
      </c>
      <c r="AO9" s="31">
        <f t="shared" si="0"/>
        <v>0</v>
      </c>
      <c r="AP9" s="31">
        <f t="shared" si="0"/>
        <v>0</v>
      </c>
      <c r="AQ9" s="31">
        <f t="shared" si="6"/>
        <v>28</v>
      </c>
    </row>
    <row r="10" spans="1:43" s="14" customFormat="1" ht="30" customHeight="1" x14ac:dyDescent="0.25">
      <c r="A10" s="21" t="s">
        <v>8</v>
      </c>
      <c r="B10" s="22" t="s">
        <v>96</v>
      </c>
      <c r="C10" s="12">
        <f>COUNTIF(Başvuru!J2:K1142,"Doç. Dr. Kübra AYKAÇ")</f>
        <v>38</v>
      </c>
      <c r="D10" s="12" cm="1">
        <f t="array" ref="D10">SUMPRODUCT(((Başvuru!J2:K1142)="Doç. Dr. Kübra AYKAÇ")*(Başvuru!G2:G1142="Bireysel Araştırma")*(Başvuru!L2:L1142="ONAY"))</f>
        <v>11</v>
      </c>
      <c r="E10" s="12" cm="1">
        <f t="array" ref="E10">SUMPRODUCT(((Başvuru!J2:K1142)="Doç. Dr. Kübra AYKAÇ")*(Başvuru!G2:G1142="Bireysel Araştırma")*(Başvuru!L2:L1142="DÜZELTME"))</f>
        <v>11</v>
      </c>
      <c r="F10" s="12" cm="1">
        <f t="array" ref="F10">SUMPRODUCT(((Başvuru!J2:K1142)="Doç. Dr. Kübra AYKAÇ")*(Başvuru!G2:G1142="Bireysel Araştırma")*(Başvuru!L2:L1142="KAEK"))</f>
        <v>1</v>
      </c>
      <c r="G10" s="12" cm="1">
        <f t="array" ref="G10">SUMPRODUCT(((Başvuru!J2:K1142)="Doç. Dr. Kübra AYKAÇ")*(Başvuru!G2:G1142="Bireysel Araştırma")*(Başvuru!L2:L1142="GÖRÜŞ"))</f>
        <v>0</v>
      </c>
      <c r="H10" s="12" cm="1">
        <f t="array" ref="H10">SUMPRODUCT(((Başvuru!J2:K1142)="Doç. Dr. Kübra AYKAÇ")*(Başvuru!G2:G1142="Bireysel Araştırma")*(Başvuru!L2:L1142="RET"))</f>
        <v>0</v>
      </c>
      <c r="I10" s="12" cm="1">
        <f t="array" ref="I10">SUMPRODUCT(((Başvuru!J2:K1142)="Doç. Dr. Kübra AYKAÇ")*(Başvuru!G2:G1142="Bireysel Araştırma")*(Başvuru!L2:L1142="KAPSAM DIŞI"))</f>
        <v>0</v>
      </c>
      <c r="J10" s="12" cm="1">
        <f t="array" ref="J10">SUMPRODUCT(((Başvuru!J2:K1142)="Doç. Dr. Kübra AYKAÇ")*(Başvuru!G2:G1142="Bireysel Araştırma")*(Başvuru!L2:L1142="GERİ ÇEKİLDİ"))</f>
        <v>0</v>
      </c>
      <c r="K10" s="12">
        <f t="shared" si="1"/>
        <v>23</v>
      </c>
      <c r="L10" s="12" cm="1">
        <f t="array" ref="L10">SUMPRODUCT(((Başvuru!J2:K1142)="Doç. Dr. Kübra AYKAÇ")*(Başvuru!G2:G1142="Yüksek Lisans Tezi")*(Başvuru!L2:L1142="ONAY"))</f>
        <v>0</v>
      </c>
      <c r="M10" s="12" cm="1">
        <f t="array" ref="M10">SUMPRODUCT(((Başvuru!J2:K1142)="Doç. Dr. Kübra AYKAÇ")*(Başvuru!G2:G1142="Yüksek Lisans Tezi")*(Başvuru!L2:L1142="DÜZELTME"))</f>
        <v>1</v>
      </c>
      <c r="N10" s="12" cm="1">
        <f t="array" ref="N10">SUMPRODUCT(((Başvuru!J2:K1142)="Doç. Dr. Kübra AYKAÇ")*(Başvuru!G2:G1142="Yüksek Lisans Tezi")*(Başvuru!L2:L1142="KAEK"))</f>
        <v>0</v>
      </c>
      <c r="O10" s="12" cm="1">
        <f t="array" ref="O10">SUMPRODUCT(((Başvuru!J2:K1142)="Doç. Dr. Kübra AYKAÇ")*(Başvuru!G2:G1142="Yüksek Lisans Tezi")*(Başvuru!L2:L1142="GÖRÜŞ"))</f>
        <v>0</v>
      </c>
      <c r="P10" s="12" cm="1">
        <f t="array" ref="P10">SUMPRODUCT(((Başvuru!J2:K1142)="Doç. Dr. Kübra AYKAÇ")*(Başvuru!G2:G1142="Yüksek Lisans Tezi")*(Başvuru!L2:L1142="RET"))</f>
        <v>0</v>
      </c>
      <c r="Q10" s="12" cm="1">
        <f t="array" ref="Q10">SUMPRODUCT(((Başvuru!J2:K1142)="Doç. Dr. Kübra AYKAÇ")*(Başvuru!G2:G1142="Yüksek Lisans Tezi")*(Başvuru!L2:L1142="KAPSAM DIŞI"))</f>
        <v>0</v>
      </c>
      <c r="R10" s="12" cm="1">
        <f t="array" ref="R10">SUMPRODUCT(((Başvuru!J2:K1142)="Doç. Dr. Kübra AYKAÇ")*(Başvuru!G2:G1142="Yüksek Lisans Tezi")*(Başvuru!L2:L1142="GERİ ÇEKİLDİ"))</f>
        <v>0</v>
      </c>
      <c r="S10" s="12">
        <f t="shared" si="2"/>
        <v>1</v>
      </c>
      <c r="T10" s="12" cm="1">
        <f t="array" ref="T10">SUMPRODUCT(((Başvuru!J2:K1142)="Doç. Dr. Kübra AYKAÇ")*(Başvuru!G2:G1142="Doktora Tezi")*(Başvuru!L2:L1142="ONAY"))</f>
        <v>0</v>
      </c>
      <c r="U10" s="12" cm="1">
        <f t="array" ref="U10">SUMPRODUCT(((Başvuru!J2:K1142)="Doç. Dr. Kübra AYKAÇ")*(Başvuru!G2:G1142="Doktora Tezi")*(Başvuru!L2:L1142="DÜZELTME"))</f>
        <v>1</v>
      </c>
      <c r="V10" s="12" cm="1">
        <f t="array" ref="V10">SUMPRODUCT(((Başvuru!J2:K1142)="Doç. Dr. Kübra AYKAÇ")*(Başvuru!G2:G1142="Doktora Tezi")*(Başvuru!L2:L1142="KAEK"))</f>
        <v>0</v>
      </c>
      <c r="W10" s="12" cm="1">
        <f t="array" ref="W10">SUMPRODUCT(((Başvuru!J2:K1142)="Doç. Dr. Kübra AYKAÇ")*(Başvuru!G2:G1142="Doktora Tezi")*(Başvuru!L2:L1142="GÖRÜŞ"))</f>
        <v>0</v>
      </c>
      <c r="X10" s="12" cm="1">
        <f t="array" ref="X10">SUMPRODUCT(((Başvuru!J2:K1142)="Doç. Dr. Kübra AYKAÇ")*(Başvuru!G2:G1142="Doktora Tezi")*(Başvuru!L2:L1142="RET"))</f>
        <v>0</v>
      </c>
      <c r="Y10" s="12" cm="1">
        <f t="array" ref="Y10">SUMPRODUCT(((Başvuru!J2:K1142)="Doç. Dr. Kübra AYKAÇ")*(Başvuru!G2:G1142="Doktora Tezi")*(Başvuru!L2:L1142="KAPSAM DIŞI"))</f>
        <v>0</v>
      </c>
      <c r="Z10" s="12" cm="1">
        <f t="array" ref="Z10">SUMPRODUCT(((Başvuru!J2:K1142)="Doç. Dr. Kübra AYKAÇ")*(Başvuru!G2:G1142="Doktora Tezi")*(Başvuru!L2:L1142="GERİ ÇEKİLDİ"))</f>
        <v>0</v>
      </c>
      <c r="AA10" s="12">
        <f t="shared" si="3"/>
        <v>1</v>
      </c>
      <c r="AB10" s="12" cm="1">
        <f t="array" ref="AB10">SUMPRODUCT(((Başvuru!J2:K1142)="Doç. Dr. Kübra AYKAÇ")*(Başvuru!G2:G1142="Uzmanlık Tezi")*(Başvuru!L2:L1142="ONAY"))</f>
        <v>3</v>
      </c>
      <c r="AC10" s="12" cm="1">
        <f t="array" ref="AC10">SUMPRODUCT(((Başvuru!J2:K1142)="Doç. Dr. Kübra AYKAÇ")*(Başvuru!G2:G1142="Uzmanlık Tezi")*(Başvuru!L2:L1142="DÜZELTME"))</f>
        <v>2</v>
      </c>
      <c r="AD10" s="12" cm="1">
        <f t="array" ref="AD10">SUMPRODUCT(((Başvuru!J2:K1142)="Doç. Dr. Kübra AYKAÇ")*(Başvuru!G2:G1142="Uzmanlık Tezi")*(Başvuru!L2:L1142="KAEK"))</f>
        <v>0</v>
      </c>
      <c r="AE10" s="12" cm="1">
        <f t="array" ref="AE10">SUMPRODUCT(((Başvuru!J2:K1142)="Doç. Dr. Kübra AYKAÇ")*(Başvuru!G2:G1142="Uzmanlık Tezi")*(Başvuru!L2:L1142="GÖRÜŞ"))</f>
        <v>0</v>
      </c>
      <c r="AF10" s="12" cm="1">
        <f t="array" ref="AF10">SUMPRODUCT(((Başvuru!J2:K1142)="Doç. Dr. Kübra AYKAÇ")*(Başvuru!G2:G1142="Uzmanlık Tezi")*(Başvuru!L2:L1142="RET"))</f>
        <v>0</v>
      </c>
      <c r="AG10" s="12" cm="1">
        <f t="array" ref="AG10">SUMPRODUCT(((Başvuru!J2:K1142)="Doç. Dr. Kübra AYKAÇ")*(Başvuru!G2:G1142="Uzmanlık Tezi")*(Başvuru!L2:L1142="KAPSAM DIŞI"))</f>
        <v>0</v>
      </c>
      <c r="AH10" s="12" cm="1">
        <f t="array" ref="AH10">SUMPRODUCT(((Başvuru!J2:K1142)="Doç. Dr. Kübra AYKAÇ")*(Başvuru!G2:G1142="Uzmanlık Tezi")*(Başvuru!L2:L1142="GERİ ÇEKİLDİ"))</f>
        <v>0</v>
      </c>
      <c r="AI10" s="12">
        <f t="shared" si="4"/>
        <v>5</v>
      </c>
      <c r="AJ10" s="31">
        <f t="shared" si="5"/>
        <v>14</v>
      </c>
      <c r="AK10" s="31">
        <f t="shared" si="5"/>
        <v>15</v>
      </c>
      <c r="AL10" s="31">
        <f t="shared" si="0"/>
        <v>1</v>
      </c>
      <c r="AM10" s="31">
        <f t="shared" si="0"/>
        <v>0</v>
      </c>
      <c r="AN10" s="31">
        <f t="shared" si="0"/>
        <v>0</v>
      </c>
      <c r="AO10" s="31">
        <f t="shared" si="0"/>
        <v>0</v>
      </c>
      <c r="AP10" s="31">
        <f t="shared" si="0"/>
        <v>0</v>
      </c>
      <c r="AQ10" s="31">
        <f t="shared" si="6"/>
        <v>30</v>
      </c>
    </row>
    <row r="11" spans="1:43" s="14" customFormat="1" ht="30" customHeight="1" x14ac:dyDescent="0.25">
      <c r="A11" s="21" t="s">
        <v>9</v>
      </c>
      <c r="B11" s="22" t="s">
        <v>95</v>
      </c>
      <c r="C11" s="12">
        <f>COUNTIF(Başvuru!J2:K1142,"Doç. Dr. Tolga ÇAKMAK")</f>
        <v>25</v>
      </c>
      <c r="D11" s="12" cm="1">
        <f t="array" ref="D11">SUMPRODUCT(((Başvuru!J2:K1142)="Doç. Dr. Tolga ÇAKMAK")*(Başvuru!G2:G1142="Bireysel Araştırma")*(Başvuru!L2:L1142="ONAY"))</f>
        <v>4</v>
      </c>
      <c r="E11" s="12" cm="1">
        <f t="array" ref="E11">SUMPRODUCT(((Başvuru!J2:K1142)="Doç. Dr. Tolga ÇAKMAK")*(Başvuru!G2:G1142="Bireysel Araştırma")*(Başvuru!L2:L1142="DÜZELTME"))</f>
        <v>1</v>
      </c>
      <c r="F11" s="12" cm="1">
        <f t="array" ref="F11">SUMPRODUCT(((Başvuru!J2:K1142)="Doç. Dr. Tolga ÇAKMAK")*(Başvuru!G2:G1142="Bireysel Araştırma")*(Başvuru!L2:L1142="KAEK"))</f>
        <v>0</v>
      </c>
      <c r="G11" s="12" cm="1">
        <f t="array" ref="G11">SUMPRODUCT(((Başvuru!J2:K1142)="Doç. Dr. Tolga ÇAKMAK")*(Başvuru!G2:G1142="Bireysel Araştırma")*(Başvuru!L2:L1142="GÖRÜŞ"))</f>
        <v>1</v>
      </c>
      <c r="H11" s="12" cm="1">
        <f t="array" ref="H11">SUMPRODUCT(((Başvuru!J2:K1142)="Doç. Dr. Tolga ÇAKMAK")*(Başvuru!G2:G1142="Bireysel Araştırma")*(Başvuru!L2:L1142="RET"))</f>
        <v>1</v>
      </c>
      <c r="I11" s="12" cm="1">
        <f t="array" ref="I11">SUMPRODUCT(((Başvuru!J2:K1142)="Doç. Dr. Tolga ÇAKMAK")*(Başvuru!G2:G1142="Bireysel Araştırma")*(Başvuru!L2:L1142="KAPSAM DIŞI"))</f>
        <v>0</v>
      </c>
      <c r="J11" s="12" cm="1">
        <f t="array" ref="J11">SUMPRODUCT(((Başvuru!J2:K1142)="Doç. Dr. Tolga ÇAKMAK")*(Başvuru!G2:G1142="Bireysel Araştırma")*(Başvuru!L2:L1142="GERİ ÇEKİLDİ"))</f>
        <v>0</v>
      </c>
      <c r="K11" s="12">
        <f t="shared" si="1"/>
        <v>7</v>
      </c>
      <c r="L11" s="12" cm="1">
        <f t="array" ref="L11">SUMPRODUCT(((Başvuru!J2:K1142)="Doç. Dr. Tolga ÇAKMAK")*(Başvuru!G2:G1142="Yüksek Lisans Tezi")*(Başvuru!L2:L1142="ONAY"))</f>
        <v>0</v>
      </c>
      <c r="M11" s="12" cm="1">
        <f t="array" ref="M11">SUMPRODUCT(((Başvuru!J2:K1142)="Doç. Dr. Tolga ÇAKMAK")*(Başvuru!G2:G1142="Yüksek Lisans Tezi")*(Başvuru!L2:L1142="DÜZELTME"))</f>
        <v>1</v>
      </c>
      <c r="N11" s="12" cm="1">
        <f t="array" ref="N11">SUMPRODUCT(((Başvuru!J2:K1142)="Doç. Dr. Tolga ÇAKMAK")*(Başvuru!G2:G1142="Yüksek Lisans Tezi")*(Başvuru!L2:L1142="KAEK"))</f>
        <v>0</v>
      </c>
      <c r="O11" s="12" cm="1">
        <f t="array" ref="O11">SUMPRODUCT(((Başvuru!J2:K1142)="Doç. Dr. Tolga ÇAKMAK")*(Başvuru!G2:G1142="Yüksek Lisans Tezi")*(Başvuru!L2:L1142="GÖRÜŞ"))</f>
        <v>0</v>
      </c>
      <c r="P11" s="12" cm="1">
        <f t="array" ref="P11">SUMPRODUCT(((Başvuru!J2:K1142)="Doç. Dr. Tolga ÇAKMAK")*(Başvuru!G2:G1142="Yüksek Lisans Tezi")*(Başvuru!L2:L1142="RET"))</f>
        <v>0</v>
      </c>
      <c r="Q11" s="12" cm="1">
        <f t="array" ref="Q11">SUMPRODUCT(((Başvuru!J2:K1142)="Doç. Dr. Tolga ÇAKMAK")*(Başvuru!G2:G1142="Yüksek Lisans Tezi")*(Başvuru!L2:L1142="KAPSAM DIŞI"))</f>
        <v>0</v>
      </c>
      <c r="R11" s="12" cm="1">
        <f t="array" ref="R11">SUMPRODUCT(((Başvuru!J2:K1142)="Doç. Dr. Tolga ÇAKMAK")*(Başvuru!G2:G1142="Yüksek Lisans Tezi")*(Başvuru!L2:L1142="GERİ ÇEKİLDİ"))</f>
        <v>0</v>
      </c>
      <c r="S11" s="12">
        <f t="shared" si="2"/>
        <v>1</v>
      </c>
      <c r="T11" s="12" cm="1">
        <f t="array" ref="T11">SUMPRODUCT(((Başvuru!J2:K1142)="Doç. Dr. Tolga ÇAKMAK")*(Başvuru!G2:G1142="Doktora Tezi")*(Başvuru!L2:L1142="ONAY"))</f>
        <v>2</v>
      </c>
      <c r="U11" s="12" cm="1">
        <f t="array" ref="U11">SUMPRODUCT(((Başvuru!J2:K1142)="Doç. Dr. Tolga ÇAKMAK")*(Başvuru!G2:G1142="Doktora Tezi")*(Başvuru!L2:L1142="DÜZELTME"))</f>
        <v>2</v>
      </c>
      <c r="V11" s="12" cm="1">
        <f t="array" ref="V11">SUMPRODUCT(((Başvuru!J2:K1142)="Doç. Dr. Tolga ÇAKMAK")*(Başvuru!G2:G1142="Doktora Tezi")*(Başvuru!L2:L1142="KAEK"))</f>
        <v>0</v>
      </c>
      <c r="W11" s="12" cm="1">
        <f t="array" ref="W11">SUMPRODUCT(((Başvuru!J2:K1142)="Doç. Dr. Tolga ÇAKMAK")*(Başvuru!G2:G1142="Doktora Tezi")*(Başvuru!L2:L1142="GÖRÜŞ"))</f>
        <v>0</v>
      </c>
      <c r="X11" s="12" cm="1">
        <f t="array" ref="X11">SUMPRODUCT(((Başvuru!J2:K1142)="Doç. Dr. Tolga ÇAKMAK")*(Başvuru!G2:G1142="Doktora Tezi")*(Başvuru!L2:L1142="RET"))</f>
        <v>0</v>
      </c>
      <c r="Y11" s="12" cm="1">
        <f t="array" ref="Y11">SUMPRODUCT(((Başvuru!J2:K1142)="Doç. Dr. Tolga ÇAKMAK")*(Başvuru!G2:G1142="Doktora Tezi")*(Başvuru!L2:L1142="KAPSAM DIŞI"))</f>
        <v>0</v>
      </c>
      <c r="Z11" s="12" cm="1">
        <f t="array" ref="Z11">SUMPRODUCT(((Başvuru!J2:K1142)="Doç. Dr. Tolga ÇAKMAK")*(Başvuru!G2:G1142="Doktora Tezi")*(Başvuru!L2:L1142="GERİ ÇEKİLDİ"))</f>
        <v>0</v>
      </c>
      <c r="AA11" s="12">
        <f t="shared" si="3"/>
        <v>4</v>
      </c>
      <c r="AB11" s="12" cm="1">
        <f t="array" ref="AB11">SUMPRODUCT(((Başvuru!J2:K1142)="Doç. Dr. Tolga ÇAKMAK")*(Başvuru!G2:G1142="Uzmanlık Tezi")*(Başvuru!L2:L1142="ONAY"))</f>
        <v>3</v>
      </c>
      <c r="AC11" s="12" cm="1">
        <f t="array" ref="AC11">SUMPRODUCT(((Başvuru!J2:K1142)="Doç. Dr. Tolga ÇAKMAK")*(Başvuru!G2:G1142="Uzmanlık Tezi")*(Başvuru!L2:L1142="DÜZELTME"))</f>
        <v>1</v>
      </c>
      <c r="AD11" s="12" cm="1">
        <f t="array" ref="AD11">SUMPRODUCT(((Başvuru!J2:K1142)="Doç. Dr. Tolga ÇAKMAK")*(Başvuru!G2:G1142="Uzmanlık Tezi")*(Başvuru!L2:L1142="KAEK"))</f>
        <v>0</v>
      </c>
      <c r="AE11" s="12" cm="1">
        <f t="array" ref="AE11">SUMPRODUCT(((Başvuru!J2:K1142)="Doç. Dr. Tolga ÇAKMAK")*(Başvuru!G2:G1142="Uzmanlık Tezi")*(Başvuru!L2:L1142="GÖRÜŞ"))</f>
        <v>0</v>
      </c>
      <c r="AF11" s="12" cm="1">
        <f t="array" ref="AF11">SUMPRODUCT(((Başvuru!J2:K1142)="Doç. Dr. Tolga ÇAKMAK")*(Başvuru!G2:G1142="Uzmanlık Tezi")*(Başvuru!L2:L1142="RET"))</f>
        <v>0</v>
      </c>
      <c r="AG11" s="12" cm="1">
        <f t="array" ref="AG11">SUMPRODUCT(((Başvuru!J2:K1142)="Doç. Dr. Tolga ÇAKMAK")*(Başvuru!G2:G1142="Uzmanlık Tezi")*(Başvuru!L2:L1142="KAPSAM DIŞI"))</f>
        <v>0</v>
      </c>
      <c r="AH11" s="12" cm="1">
        <f t="array" ref="AH11">SUMPRODUCT(((Başvuru!J2:K1142)="Doç. Dr. Tolga ÇAKMAK")*(Başvuru!G2:G1142="Uzmanlık Tezi")*(Başvuru!L2:L1142="GERİ ÇEKİLDİ"))</f>
        <v>0</v>
      </c>
      <c r="AI11" s="12">
        <f t="shared" si="4"/>
        <v>4</v>
      </c>
      <c r="AJ11" s="31">
        <f t="shared" si="5"/>
        <v>9</v>
      </c>
      <c r="AK11" s="31">
        <f t="shared" si="5"/>
        <v>5</v>
      </c>
      <c r="AL11" s="31">
        <f t="shared" si="0"/>
        <v>0</v>
      </c>
      <c r="AM11" s="31">
        <f t="shared" si="0"/>
        <v>1</v>
      </c>
      <c r="AN11" s="31">
        <f t="shared" si="0"/>
        <v>1</v>
      </c>
      <c r="AO11" s="31">
        <f t="shared" si="0"/>
        <v>0</v>
      </c>
      <c r="AP11" s="31">
        <f t="shared" si="0"/>
        <v>0</v>
      </c>
      <c r="AQ11" s="31">
        <f t="shared" si="6"/>
        <v>16</v>
      </c>
    </row>
    <row r="12" spans="1:43" s="14" customFormat="1" ht="30" customHeight="1" x14ac:dyDescent="0.25">
      <c r="A12" s="21" t="s">
        <v>10</v>
      </c>
      <c r="B12" s="22" t="s">
        <v>84</v>
      </c>
      <c r="C12" s="12">
        <f>COUNTIF(Başvuru!J2:K1142,"Doç. Dr. Burcu ERSÖZ ALAN")</f>
        <v>36</v>
      </c>
      <c r="D12" s="12" cm="1">
        <f t="array" ref="D12">SUMPRODUCT(((Başvuru!J2:K1142)="Doç. Dr. Burcu ERSÖZ ALAN")*(Başvuru!G2:G1142="Bireysel Araştırma")*(Başvuru!L2:L1142="ONAY"))</f>
        <v>13</v>
      </c>
      <c r="E12" s="12" cm="1">
        <f t="array" ref="E12">SUMPRODUCT(((Başvuru!J2:K1142)="Doç. Dr. Burcu ERSÖZ ALAN")*(Başvuru!G2:G1142="Bireysel Araştırma")*(Başvuru!L2:L1142="DÜZELTME"))</f>
        <v>6</v>
      </c>
      <c r="F12" s="12" cm="1">
        <f t="array" ref="F12">SUMPRODUCT(((Başvuru!J2:K1142)="Doç. Dr. Burcu ERSÖZ ALAN")*(Başvuru!G2:G1142="Bireysel Araştırma")*(Başvuru!L2:L1142="KAEK"))</f>
        <v>0</v>
      </c>
      <c r="G12" s="12" cm="1">
        <f t="array" ref="G12">SUMPRODUCT(((Başvuru!J2:K1142)="Doç. Dr. Burcu ERSÖZ ALAN")*(Başvuru!G2:G1142="Bireysel Araştırma")*(Başvuru!L2:L1142="GÖRÜŞ"))</f>
        <v>0</v>
      </c>
      <c r="H12" s="12" cm="1">
        <f t="array" ref="H12">SUMPRODUCT(((Başvuru!J2:K1142)="Doç. Dr. Burcu ERSÖZ ALAN")*(Başvuru!G2:G1142="Bireysel Araştırma")*(Başvuru!L2:L1142="RET"))</f>
        <v>0</v>
      </c>
      <c r="I12" s="12" cm="1">
        <f t="array" ref="I12">SUMPRODUCT(((Başvuru!J2:K1142)="Doç. Dr. Burcu ERSÖZ ALAN")*(Başvuru!G2:G1142="Bireysel Araştırma")*(Başvuru!L2:L1142="KAPSAM DIŞI"))</f>
        <v>0</v>
      </c>
      <c r="J12" s="12" cm="1">
        <f t="array" ref="J12">SUMPRODUCT(((Başvuru!J2:K1142)="Doç. Dr. Burcu ERSÖZ ALAN")*(Başvuru!G2:G1142="Bireysel Araştırma")*(Başvuru!L2:L1142="GERİ ÇEKİLDİ"))</f>
        <v>0</v>
      </c>
      <c r="K12" s="12">
        <f t="shared" si="1"/>
        <v>19</v>
      </c>
      <c r="L12" s="12" cm="1">
        <f t="array" ref="L12">SUMPRODUCT(((Başvuru!J2:K1142)="Doç. Dr. Burcu ERSÖZ ALAN")*(Başvuru!G2:G1142="Yüksek Lisans Tezi")*(Başvuru!L2:L1142="ONAY"))</f>
        <v>0</v>
      </c>
      <c r="M12" s="12" cm="1">
        <f t="array" ref="M12">SUMPRODUCT(((Başvuru!J2:K1142)="Doç. Dr. Burcu ERSÖZ ALAN")*(Başvuru!G2:G1142="Yüksek Lisans Tezi")*(Başvuru!L2:L1142="DÜZELTME"))</f>
        <v>0</v>
      </c>
      <c r="N12" s="12" cm="1">
        <f t="array" ref="N12">SUMPRODUCT(((Başvuru!J2:K1142)="Doç. Dr. Burcu ERSÖZ ALAN")*(Başvuru!G2:G1142="Yüksek Lisans Tezi")*(Başvuru!L2:L1142="KAEK"))</f>
        <v>0</v>
      </c>
      <c r="O12" s="12" cm="1">
        <f t="array" ref="O12">SUMPRODUCT(((Başvuru!J2:K1142)="Doç. Dr. Burcu ERSÖZ ALAN")*(Başvuru!G2:G1142="Yüksek Lisans Tezi")*(Başvuru!L2:L1142="GÖRÜŞ"))</f>
        <v>0</v>
      </c>
      <c r="P12" s="12" cm="1">
        <f t="array" ref="P12">SUMPRODUCT(((Başvuru!J2:K1142)="Doç. Dr. Burcu ERSÖZ ALAN")*(Başvuru!G2:G1142="Yüksek Lisans Tezi")*(Başvuru!L2:L1142="RET"))</f>
        <v>0</v>
      </c>
      <c r="Q12" s="12" cm="1">
        <f t="array" ref="Q12">SUMPRODUCT(((Başvuru!J2:K1142)="Doç. Dr. Burcu ERSÖZ ALAN")*(Başvuru!G2:G1142="Yüksek Lisans Tezi")*(Başvuru!L2:L1142="KAPSAM DIŞI"))</f>
        <v>0</v>
      </c>
      <c r="R12" s="12" cm="1">
        <f t="array" ref="R12">SUMPRODUCT(((Başvuru!J2:K1142)="Doç. Dr. Burcu ERSÖZ ALAN")*(Başvuru!G2:G1142="Yüksek Lisans Tezi")*(Başvuru!L2:L1142="GERİ ÇEKİLDİ"))</f>
        <v>0</v>
      </c>
      <c r="S12" s="12">
        <f t="shared" si="2"/>
        <v>0</v>
      </c>
      <c r="T12" s="12" cm="1">
        <f t="array" ref="T12">SUMPRODUCT(((Başvuru!J2:K1142)="Doç. Dr. Burcu ERSÖZ ALAN")*(Başvuru!G2:G1142="Doktora Tezi")*(Başvuru!L2:L1142="ONAY"))</f>
        <v>2</v>
      </c>
      <c r="U12" s="12" cm="1">
        <f t="array" ref="U12">SUMPRODUCT(((Başvuru!J2:K1142)="Doç. Dr. Burcu ERSÖZ ALAN")*(Başvuru!G2:G1142="Doktora Tezi")*(Başvuru!L2:L1142="DÜZELTME"))</f>
        <v>1</v>
      </c>
      <c r="V12" s="12" cm="1">
        <f t="array" ref="V12">SUMPRODUCT(((Başvuru!J2:K1142)="Doç. Dr. Burcu ERSÖZ ALAN")*(Başvuru!G2:G1142="Doktora Tezi")*(Başvuru!L2:L1142="KAEK"))</f>
        <v>0</v>
      </c>
      <c r="W12" s="12" cm="1">
        <f t="array" ref="W12">SUMPRODUCT(((Başvuru!J2:K1142)="Doç. Dr. Burcu ERSÖZ ALAN")*(Başvuru!G2:G1142="Doktora Tezi")*(Başvuru!L2:L1142="GÖRÜŞ"))</f>
        <v>0</v>
      </c>
      <c r="X12" s="12" cm="1">
        <f t="array" ref="X12">SUMPRODUCT(((Başvuru!J2:K1142)="Doç. Dr. Burcu ERSÖZ ALAN")*(Başvuru!G2:G1142="Doktora Tezi")*(Başvuru!L2:L1142="RET"))</f>
        <v>0</v>
      </c>
      <c r="Y12" s="12" cm="1">
        <f t="array" ref="Y12">SUMPRODUCT(((Başvuru!J2:K1142)="Doç. Dr. Burcu ERSÖZ ALAN")*(Başvuru!G2:G1142="Doktora Tezi")*(Başvuru!L2:L1142="KAPSAM DIŞI"))</f>
        <v>0</v>
      </c>
      <c r="Z12" s="12" cm="1">
        <f t="array" ref="Z12">SUMPRODUCT(((Başvuru!J2:K1142)="Doç. Dr. Burcu ERSÖZ ALAN")*(Başvuru!G2:G1142="Doktora Tezi")*(Başvuru!L2:L1142="GERİ ÇEKİLDİ"))</f>
        <v>0</v>
      </c>
      <c r="AA12" s="12">
        <f t="shared" si="3"/>
        <v>3</v>
      </c>
      <c r="AB12" s="12" cm="1">
        <f t="array" ref="AB12">SUMPRODUCT(((Başvuru!J2:K1142)="Doç. Dr. Burcu ERSÖZ ALAN")*(Başvuru!G2:G1142="Uzmanlık Tezi")*(Başvuru!L2:L1142="ONAY"))</f>
        <v>3</v>
      </c>
      <c r="AC12" s="12" cm="1">
        <f t="array" ref="AC12">SUMPRODUCT(((Başvuru!J2:K1142)="Doç. Dr. Burcu ERSÖZ ALAN")*(Başvuru!G2:G1142="Uzmanlık Tezi")*(Başvuru!L2:L1142="DÜZELTME"))</f>
        <v>3</v>
      </c>
      <c r="AD12" s="12" cm="1">
        <f t="array" ref="AD12">SUMPRODUCT(((Başvuru!J2:K1142)="Doç. Dr. Burcu ERSÖZ ALAN")*(Başvuru!G2:G1142="Uzmanlık Tezi")*(Başvuru!L2:L1142="KAEK"))</f>
        <v>0</v>
      </c>
      <c r="AE12" s="12" cm="1">
        <f t="array" ref="AE12">SUMPRODUCT(((Başvuru!J2:K1142)="Doç. Dr. Burcu ERSÖZ ALAN")*(Başvuru!G2:G1142="Uzmanlık Tezi")*(Başvuru!L2:L1142="GÖRÜŞ"))</f>
        <v>0</v>
      </c>
      <c r="AF12" s="12" cm="1">
        <f t="array" ref="AF12">SUMPRODUCT(((Başvuru!J2:K1142)="Doç. Dr. Burcu ERSÖZ ALAN")*(Başvuru!G2:G1142="Uzmanlık Tezi")*(Başvuru!L2:L1142="RET"))</f>
        <v>0</v>
      </c>
      <c r="AG12" s="12" cm="1">
        <f t="array" ref="AG12">SUMPRODUCT(((Başvuru!J2:K1142)="Doç. Dr. Burcu ERSÖZ ALAN")*(Başvuru!G2:G1142="Uzmanlık Tezi")*(Başvuru!L2:L1142="KAPSAM DIŞI"))</f>
        <v>0</v>
      </c>
      <c r="AH12" s="12" cm="1">
        <f t="array" ref="AH12">SUMPRODUCT(((Başvuru!J2:K1142)="Doç. Dr. Burcu ERSÖZ ALAN")*(Başvuru!G2:G1142="Uzmanlık Tezi")*(Başvuru!L2:L1142="GERİ ÇEKİLDİ"))</f>
        <v>0</v>
      </c>
      <c r="AI12" s="12">
        <f t="shared" si="4"/>
        <v>6</v>
      </c>
      <c r="AJ12" s="31">
        <f t="shared" si="5"/>
        <v>18</v>
      </c>
      <c r="AK12" s="31">
        <f t="shared" si="5"/>
        <v>10</v>
      </c>
      <c r="AL12" s="31">
        <f t="shared" si="0"/>
        <v>0</v>
      </c>
      <c r="AM12" s="31">
        <f t="shared" si="0"/>
        <v>0</v>
      </c>
      <c r="AN12" s="31">
        <f t="shared" si="0"/>
        <v>0</v>
      </c>
      <c r="AO12" s="31">
        <f t="shared" si="0"/>
        <v>0</v>
      </c>
      <c r="AP12" s="31">
        <f t="shared" si="0"/>
        <v>0</v>
      </c>
      <c r="AQ12" s="31">
        <f t="shared" si="6"/>
        <v>28</v>
      </c>
    </row>
    <row r="13" spans="1:43" s="14" customFormat="1" ht="30" customHeight="1" x14ac:dyDescent="0.25">
      <c r="A13" s="21" t="s">
        <v>11</v>
      </c>
      <c r="B13" s="22" t="s">
        <v>93</v>
      </c>
      <c r="C13" s="12">
        <f>COUNTIF(Başvuru!J2:K1142,"Doç. Dr. Ekim GÜMELER")</f>
        <v>26</v>
      </c>
      <c r="D13" s="12" cm="1">
        <f t="array" ref="D13">SUMPRODUCT(((Başvuru!J2:K1142)="Doç. Dr. Ekim GÜMELER")*(Başvuru!G2:G1142="Bireysel Araştırma")*(Başvuru!L2:L1142="ONAY"))</f>
        <v>9</v>
      </c>
      <c r="E13" s="12" cm="1">
        <f t="array" ref="E13">SUMPRODUCT(((Başvuru!J2:K1142)="Doç. Dr. Ekim GÜMELER")*(Başvuru!G2:G1142="Bireysel Araştırma")*(Başvuru!L2:L1142="DÜZELTME"))</f>
        <v>4</v>
      </c>
      <c r="F13" s="12" cm="1">
        <f t="array" ref="F13">SUMPRODUCT(((Başvuru!J2:K1142)="Doç. Dr. Ekim GÜMELER")*(Başvuru!G2:G1142="Bireysel Araştırma")*(Başvuru!L2:L1142="KAEK"))</f>
        <v>1</v>
      </c>
      <c r="G13" s="12" cm="1">
        <f t="array" ref="G13">SUMPRODUCT(((Başvuru!J2:K1142)="Doç. Dr. Ekim GÜMELER")*(Başvuru!G2:G1142="Bireysel Araştırma")*(Başvuru!L2:L1142="GÖRÜŞ"))</f>
        <v>0</v>
      </c>
      <c r="H13" s="12" cm="1">
        <f t="array" ref="H13">SUMPRODUCT(((Başvuru!J2:K1142)="Doç. Dr. Ekim GÜMELER")*(Başvuru!G2:G1142="Bireysel Araştırma")*(Başvuru!L2:L1142="RET"))</f>
        <v>0</v>
      </c>
      <c r="I13" s="12" cm="1">
        <f t="array" ref="I13">SUMPRODUCT(((Başvuru!J2:K1142)="Doç. Dr. Ekim GÜMELER")*(Başvuru!G2:G1142="Bireysel Araştırma")*(Başvuru!L2:L1142="KAPSAM DIŞI"))</f>
        <v>0</v>
      </c>
      <c r="J13" s="12" cm="1">
        <f t="array" ref="J13">SUMPRODUCT(((Başvuru!J2:K1142)="Doç. Dr. Ekim GÜMELER")*(Başvuru!G2:G1142="Bireysel Araştırma")*(Başvuru!L2:L1142="GERİ ÇEKİLDİ"))</f>
        <v>0</v>
      </c>
      <c r="K13" s="12">
        <f t="shared" si="1"/>
        <v>14</v>
      </c>
      <c r="L13" s="12" cm="1">
        <f t="array" ref="L13">SUMPRODUCT(((Başvuru!J2:K1142)="Doç. Dr. Ekim GÜMELER")*(Başvuru!G2:G1142="Yüksek Lisans Tezi")*(Başvuru!L2:L1142="ONAY"))</f>
        <v>0</v>
      </c>
      <c r="M13" s="12" cm="1">
        <f t="array" ref="M13">SUMPRODUCT(((Başvuru!J2:K1142)="Doç. Dr. Ekim GÜMELER")*(Başvuru!G2:G1142="Yüksek Lisans Tezi")*(Başvuru!L2:L1142="DÜZELTME"))</f>
        <v>0</v>
      </c>
      <c r="N13" s="12" cm="1">
        <f t="array" ref="N13">SUMPRODUCT(((Başvuru!J2:K1142)="Doç. Dr. Ekim GÜMELER")*(Başvuru!G2:G1142="Yüksek Lisans Tezi")*(Başvuru!L2:L1142="KAEK"))</f>
        <v>0</v>
      </c>
      <c r="O13" s="12" cm="1">
        <f t="array" ref="O13">SUMPRODUCT(((Başvuru!J2:K1142)="Doç. Dr. Ekim GÜMELER")*(Başvuru!G2:G1142="Yüksek Lisans Tezi")*(Başvuru!L2:L1142="GÖRÜŞ"))</f>
        <v>0</v>
      </c>
      <c r="P13" s="12" cm="1">
        <f t="array" ref="P13">SUMPRODUCT(((Başvuru!J2:K1142)="Doç. Dr. Ekim GÜMELER")*(Başvuru!G2:G1142="Yüksek Lisans Tezi")*(Başvuru!L2:L1142="RET"))</f>
        <v>0</v>
      </c>
      <c r="Q13" s="12" cm="1">
        <f t="array" ref="Q13">SUMPRODUCT(((Başvuru!J2:K1142)="Doç. Dr. Ekim GÜMELER")*(Başvuru!G2:G1142="Yüksek Lisans Tezi")*(Başvuru!L2:L1142="KAPSAM DIŞI"))</f>
        <v>0</v>
      </c>
      <c r="R13" s="12" cm="1">
        <f t="array" ref="R13">SUMPRODUCT(((Başvuru!J2:K1142)="Doç. Dr. Ekim GÜMELER")*(Başvuru!G2:G1142="Yüksek Lisans Tezi")*(Başvuru!L2:L1142="GERİ ÇEKİLDİ"))</f>
        <v>0</v>
      </c>
      <c r="S13" s="12">
        <f t="shared" si="2"/>
        <v>0</v>
      </c>
      <c r="T13" s="12" cm="1">
        <f t="array" ref="T13">SUMPRODUCT(((Başvuru!J2:K1142)="Doç. Dr. Ekim GÜMELER")*(Başvuru!G2:G1142="Doktora Tezi")*(Başvuru!L2:L1142="ONAY"))</f>
        <v>1</v>
      </c>
      <c r="U13" s="12" cm="1">
        <f t="array" ref="U13">SUMPRODUCT(((Başvuru!J2:K1142)="Doç. Dr. Ekim GÜMELER")*(Başvuru!G2:G1142="Doktora Tezi")*(Başvuru!L2:L1142="DÜZELTME"))</f>
        <v>0</v>
      </c>
      <c r="V13" s="12" cm="1">
        <f t="array" ref="V13">SUMPRODUCT(((Başvuru!J2:K1142)="Doç. Dr. Ekim GÜMELER")*(Başvuru!G2:G1142="Doktora Tezi")*(Başvuru!L2:L1142="KAEK"))</f>
        <v>0</v>
      </c>
      <c r="W13" s="12" cm="1">
        <f t="array" ref="W13">SUMPRODUCT(((Başvuru!J2:K1142)="Doç. Dr. Ekim GÜMELER")*(Başvuru!G2:G1142="Doktora Tezi")*(Başvuru!L2:L1142="GÖRÜŞ"))</f>
        <v>0</v>
      </c>
      <c r="X13" s="12" cm="1">
        <f t="array" ref="X13">SUMPRODUCT(((Başvuru!J2:K1142)="Doç. Dr. Ekim GÜMELER")*(Başvuru!G2:G1142="Doktora Tezi")*(Başvuru!L2:L1142="RET"))</f>
        <v>0</v>
      </c>
      <c r="Y13" s="12" cm="1">
        <f t="array" ref="Y13">SUMPRODUCT(((Başvuru!J2:K1142)="Doç. Dr. Ekim GÜMELER")*(Başvuru!G2:G1142="Doktora Tezi")*(Başvuru!L2:L1142="KAPSAM DIŞI"))</f>
        <v>0</v>
      </c>
      <c r="Z13" s="12" cm="1">
        <f t="array" ref="Z13">SUMPRODUCT(((Başvuru!J2:K1142)="Doç. Dr. Ekim GÜMELER")*(Başvuru!G2:G1142="Doktora Tezi")*(Başvuru!L2:L1142="GERİ ÇEKİLDİ"))</f>
        <v>0</v>
      </c>
      <c r="AA13" s="12">
        <f t="shared" si="3"/>
        <v>1</v>
      </c>
      <c r="AB13" s="12" cm="1">
        <f t="array" ref="AB13">SUMPRODUCT(((Başvuru!J2:K1142)="Doç. Dr. Ekim GÜMELER")*(Başvuru!G2:G1142="Uzmanlık Tezi")*(Başvuru!L2:L1142="ONAY"))</f>
        <v>1</v>
      </c>
      <c r="AC13" s="12" cm="1">
        <f t="array" ref="AC13">SUMPRODUCT(((Başvuru!J2:K1142)="Doç. Dr. Ekim GÜMELER")*(Başvuru!G2:G1142="Uzmanlık Tezi")*(Başvuru!L2:L1142="DÜZELTME"))</f>
        <v>0</v>
      </c>
      <c r="AD13" s="12" cm="1">
        <f t="array" ref="AD13">SUMPRODUCT(((Başvuru!J2:K1142)="Doç. Dr. Ekim GÜMELER")*(Başvuru!G2:G1142="Uzmanlık Tezi")*(Başvuru!L2:L1142="KAEK"))</f>
        <v>0</v>
      </c>
      <c r="AE13" s="12" cm="1">
        <f t="array" ref="AE13">SUMPRODUCT(((Başvuru!J2:K1142)="Doç. Dr. Ekim GÜMELER")*(Başvuru!G2:G1142="Uzmanlık Tezi")*(Başvuru!L2:L1142="GÖRÜŞ"))</f>
        <v>0</v>
      </c>
      <c r="AF13" s="12" cm="1">
        <f t="array" ref="AF13">SUMPRODUCT(((Başvuru!J2:K1142)="Doç. Dr. Ekim GÜMELER")*(Başvuru!G2:G1142="Uzmanlık Tezi")*(Başvuru!L2:L1142="RET"))</f>
        <v>0</v>
      </c>
      <c r="AG13" s="12" cm="1">
        <f t="array" ref="AG13">SUMPRODUCT(((Başvuru!J2:K1142)="Doç. Dr. Ekim GÜMELER")*(Başvuru!G2:G1142="Uzmanlık Tezi")*(Başvuru!L2:L1142="KAPSAM DIŞI"))</f>
        <v>1</v>
      </c>
      <c r="AH13" s="12" cm="1">
        <f t="array" ref="AH13">SUMPRODUCT(((Başvuru!J2:K1142)="Doç. Dr. Ekim GÜMELER")*(Başvuru!G2:G1142="Uzmanlık Tezi")*(Başvuru!L2:L1142="GERİ ÇEKİLDİ"))</f>
        <v>0</v>
      </c>
      <c r="AI13" s="12">
        <f t="shared" si="4"/>
        <v>2</v>
      </c>
      <c r="AJ13" s="31">
        <f t="shared" si="5"/>
        <v>11</v>
      </c>
      <c r="AK13" s="31">
        <f t="shared" si="5"/>
        <v>4</v>
      </c>
      <c r="AL13" s="31">
        <f t="shared" si="0"/>
        <v>1</v>
      </c>
      <c r="AM13" s="31">
        <f t="shared" si="0"/>
        <v>0</v>
      </c>
      <c r="AN13" s="31">
        <f t="shared" si="0"/>
        <v>0</v>
      </c>
      <c r="AO13" s="31">
        <f t="shared" si="0"/>
        <v>1</v>
      </c>
      <c r="AP13" s="31">
        <f t="shared" si="0"/>
        <v>0</v>
      </c>
      <c r="AQ13" s="31">
        <f t="shared" si="6"/>
        <v>17</v>
      </c>
    </row>
    <row r="14" spans="1:43" s="14" customFormat="1" ht="30" customHeight="1" x14ac:dyDescent="0.25">
      <c r="A14" s="21" t="s">
        <v>12</v>
      </c>
      <c r="B14" s="22" t="s">
        <v>64</v>
      </c>
      <c r="C14" s="12">
        <f>COUNTIF(Başvuru!J2:K1142,"Dr. Öğr. Üyesi Müge DEMİR")</f>
        <v>39</v>
      </c>
      <c r="D14" s="12" cm="1">
        <f t="array" ref="D14">SUMPRODUCT(((Başvuru!J2:K1142)="Dr. Öğr. Üyesi Müge DEMİR")*(Başvuru!G2:G1142="Bireysel Araştırma")*(Başvuru!L2:L1142="ONAY"))</f>
        <v>12</v>
      </c>
      <c r="E14" s="12" cm="1">
        <f t="array" ref="E14">SUMPRODUCT(((Başvuru!J2:K1142)="Dr. Öğr. Üyesi Müge DEMİR")*(Başvuru!G2:G1142="Bireysel Araştırma")*(Başvuru!L2:L1142="DÜZELTME"))</f>
        <v>7</v>
      </c>
      <c r="F14" s="12" cm="1">
        <f t="array" ref="F14">SUMPRODUCT(((Başvuru!J2:K1142)="Dr. Öğr. Üyesi Müge DEMİR")*(Başvuru!G2:G1142="Bireysel Araştırma")*(Başvuru!L2:L1142="KAEK"))</f>
        <v>1</v>
      </c>
      <c r="G14" s="12" cm="1">
        <f t="array" ref="G14">SUMPRODUCT(((Başvuru!J2:K1142)="Dr. Öğr. Üyesi Müge DEMİR")*(Başvuru!G2:G1142="Bireysel Araştırma")*(Başvuru!L2:L1142="GÖRÜŞ"))</f>
        <v>0</v>
      </c>
      <c r="H14" s="12" cm="1">
        <f t="array" ref="H14">SUMPRODUCT(((Başvuru!J2:K1142)="Dr. Öğr. Üyesi Müge DEMİR")*(Başvuru!G2:G1142="Bireysel Araştırma")*(Başvuru!L2:L1142="RET"))</f>
        <v>0</v>
      </c>
      <c r="I14" s="12" cm="1">
        <f t="array" ref="I14">SUMPRODUCT(((Başvuru!J2:K1142)="Dr. Öğr. Üyesi Müge DEMİR")*(Başvuru!G2:G1142="Bireysel Araştırma")*(Başvuru!L2:L1142="KAPSAM DIŞI"))</f>
        <v>0</v>
      </c>
      <c r="J14" s="12" cm="1">
        <f t="array" ref="J14">SUMPRODUCT(((Başvuru!J2:K1142)="Dr. Öğr. Üyesi Müge DEMİR")*(Başvuru!G2:G1142="Bireysel Araştırma")*(Başvuru!L2:L1142="GERİ ÇEKİLDİ"))</f>
        <v>0</v>
      </c>
      <c r="K14" s="12">
        <f t="shared" si="1"/>
        <v>20</v>
      </c>
      <c r="L14" s="12" cm="1">
        <f t="array" ref="L14">SUMPRODUCT(((Başvuru!J2:K1142)="Dr. Öğr. Üyesi Müge DEMİR")*(Başvuru!G2:G1142="Yüksek Lisans Tezi")*(Başvuru!L2:L1142="ONAY"))</f>
        <v>1</v>
      </c>
      <c r="M14" s="12" cm="1">
        <f t="array" ref="M14">SUMPRODUCT(((Başvuru!J2:K1142)="Dr. Öğr. Üyesi Müge DEMİR")*(Başvuru!G2:G1142="Yüksek Lisans Tezi")*(Başvuru!L2:L1142="DÜZELTME"))</f>
        <v>1</v>
      </c>
      <c r="N14" s="12" cm="1">
        <f t="array" ref="N14">SUMPRODUCT(((Başvuru!J2:K1142)="Dr. Öğr. Üyesi Müge DEMİR")*(Başvuru!G2:G1142="Yüksek Lisans Tezi")*(Başvuru!L2:L1142="KAEK"))</f>
        <v>0</v>
      </c>
      <c r="O14" s="12" cm="1">
        <f t="array" ref="O14">SUMPRODUCT(((Başvuru!J2:K1142)="Dr. Öğr. Üyesi Müge DEMİR")*(Başvuru!G2:G1142="Yüksek Lisans Tezi")*(Başvuru!L2:L1142="GÖRÜŞ"))</f>
        <v>0</v>
      </c>
      <c r="P14" s="12" cm="1">
        <f t="array" ref="P14">SUMPRODUCT(((Başvuru!J2:K1142)="Dr. Öğr. Üyesi Müge DEMİR")*(Başvuru!G2:G1142="Yüksek Lisans Tezi")*(Başvuru!L2:L1142="RET"))</f>
        <v>0</v>
      </c>
      <c r="Q14" s="12" cm="1">
        <f t="array" ref="Q14">SUMPRODUCT(((Başvuru!J2:K1142)="Dr. Öğr. Üyesi Müge DEMİR")*(Başvuru!G2:G1142="Yüksek Lisans Tezi")*(Başvuru!L2:L1142="KAPSAM DIŞI"))</f>
        <v>0</v>
      </c>
      <c r="R14" s="12" cm="1">
        <f t="array" ref="R14">SUMPRODUCT(((Başvuru!J2:K1142)="Dr. Öğr. Üyesi Müge DEMİR")*(Başvuru!G2:G1142="Yüksek Lisans Tezi")*(Başvuru!L2:L1142="GERİ ÇEKİLDİ"))</f>
        <v>0</v>
      </c>
      <c r="S14" s="12">
        <f t="shared" si="2"/>
        <v>2</v>
      </c>
      <c r="T14" s="12" cm="1">
        <f t="array" ref="T14">SUMPRODUCT(((Başvuru!J2:K1142)="Dr. Öğr. Üyesi Müge DEMİR")*(Başvuru!G2:G1142="Doktora Tezi")*(Başvuru!L2:L1142="ONAY"))</f>
        <v>3</v>
      </c>
      <c r="U14" s="12" cm="1">
        <f t="array" ref="U14">SUMPRODUCT(((Başvuru!J2:K1142)="Dr. Öğr. Üyesi Müge DEMİR")*(Başvuru!G2:G1142="Doktora Tezi")*(Başvuru!L2:L1142="DÜZELTME"))</f>
        <v>0</v>
      </c>
      <c r="V14" s="12" cm="1">
        <f t="array" ref="V14">SUMPRODUCT(((Başvuru!J2:K1142)="Dr. Öğr. Üyesi Müge DEMİR")*(Başvuru!G2:G1142="Doktora Tezi")*(Başvuru!L2:L1142="KAEK"))</f>
        <v>0</v>
      </c>
      <c r="W14" s="12" cm="1">
        <f t="array" ref="W14">SUMPRODUCT(((Başvuru!J2:K1142)="Dr. Öğr. Üyesi Müge DEMİR")*(Başvuru!G2:G1142="Doktora Tezi")*(Başvuru!L2:L1142="GÖRÜŞ"))</f>
        <v>0</v>
      </c>
      <c r="X14" s="12" cm="1">
        <f t="array" ref="X14">SUMPRODUCT(((Başvuru!J2:K1142)="Dr. Öğr. Üyesi Müge DEMİR")*(Başvuru!G2:G1142="Doktora Tezi")*(Başvuru!L2:L1142="RET"))</f>
        <v>0</v>
      </c>
      <c r="Y14" s="12" cm="1">
        <f t="array" ref="Y14">SUMPRODUCT(((Başvuru!J2:K1142)="Dr. Öğr. Üyesi Müge DEMİR")*(Başvuru!G2:G1142="Doktora Tezi")*(Başvuru!L2:L1142="KAPSAM DIŞI"))</f>
        <v>0</v>
      </c>
      <c r="Z14" s="12" cm="1">
        <f t="array" ref="Z14">SUMPRODUCT(((Başvuru!J2:K1142)="Dr. Öğr. Üyesi Müge DEMİR")*(Başvuru!G2:G1142="Doktora Tezi")*(Başvuru!L2:L1142="GERİ ÇEKİLDİ"))</f>
        <v>0</v>
      </c>
      <c r="AA14" s="12">
        <f t="shared" si="3"/>
        <v>3</v>
      </c>
      <c r="AB14" s="12" cm="1">
        <f t="array" ref="AB14">SUMPRODUCT(((Başvuru!J2:K1142)="Dr. Öğr. Üyesi Müge DEMİR")*(Başvuru!G2:G1142="Uzmanlık Tezi")*(Başvuru!L2:L1142="ONAY"))</f>
        <v>2</v>
      </c>
      <c r="AC14" s="12" cm="1">
        <f t="array" ref="AC14">SUMPRODUCT(((Başvuru!J2:K1142)="Dr. Öğr. Üyesi Müge DEMİR")*(Başvuru!G2:G1142="Uzmanlık Tezi")*(Başvuru!L2:L1142="DÜZELTME"))</f>
        <v>3</v>
      </c>
      <c r="AD14" s="12" cm="1">
        <f t="array" ref="AD14">SUMPRODUCT(((Başvuru!J2:K1142)="Dr. Öğr. Üyesi Müge DEMİR")*(Başvuru!G2:G1142="Uzmanlık Tezi")*(Başvuru!L2:L1142="KAEK"))</f>
        <v>1</v>
      </c>
      <c r="AE14" s="12" cm="1">
        <f t="array" ref="AE14">SUMPRODUCT(((Başvuru!J2:K1142)="Dr. Öğr. Üyesi Müge DEMİR")*(Başvuru!G2:G1142="Uzmanlık Tezi")*(Başvuru!L2:L1142="GÖRÜŞ"))</f>
        <v>0</v>
      </c>
      <c r="AF14" s="12" cm="1">
        <f t="array" ref="AF14">SUMPRODUCT(((Başvuru!J2:K1142)="Dr. Öğr. Üyesi Müge DEMİR")*(Başvuru!G2:G1142="Uzmanlık Tezi")*(Başvuru!L2:L1142="RET"))</f>
        <v>0</v>
      </c>
      <c r="AG14" s="12" cm="1">
        <f t="array" ref="AG14">SUMPRODUCT(((Başvuru!J2:K1142)="Dr. Öğr. Üyesi Müge DEMİR")*(Başvuru!G2:G1142="Uzmanlık Tezi")*(Başvuru!L2:L1142="KAPSAM DIŞI"))</f>
        <v>0</v>
      </c>
      <c r="AH14" s="12" cm="1">
        <f t="array" ref="AH14">SUMPRODUCT(((Başvuru!J2:K1142)="Dr. Öğr. Üyesi Müge DEMİR")*(Başvuru!G2:G1142="Uzmanlık Tezi")*(Başvuru!L2:L1142="GERİ ÇEKİLDİ"))</f>
        <v>0</v>
      </c>
      <c r="AI14" s="12">
        <f t="shared" si="4"/>
        <v>6</v>
      </c>
      <c r="AJ14" s="31">
        <f t="shared" si="5"/>
        <v>18</v>
      </c>
      <c r="AK14" s="31">
        <f t="shared" si="5"/>
        <v>11</v>
      </c>
      <c r="AL14" s="31">
        <f t="shared" si="0"/>
        <v>2</v>
      </c>
      <c r="AM14" s="31">
        <f t="shared" si="0"/>
        <v>0</v>
      </c>
      <c r="AN14" s="31">
        <f t="shared" si="0"/>
        <v>0</v>
      </c>
      <c r="AO14" s="31">
        <f t="shared" si="0"/>
        <v>0</v>
      </c>
      <c r="AP14" s="31">
        <f t="shared" si="0"/>
        <v>0</v>
      </c>
      <c r="AQ14" s="31">
        <f t="shared" si="6"/>
        <v>31</v>
      </c>
    </row>
    <row r="15" spans="1:43" s="14" customFormat="1" ht="30" customHeight="1" x14ac:dyDescent="0.25">
      <c r="A15" s="184" t="s">
        <v>60</v>
      </c>
      <c r="B15" s="184"/>
      <c r="C15" s="20">
        <f t="shared" ref="C15:AP15" si="19">SUM(C3:C14)</f>
        <v>380</v>
      </c>
      <c r="D15" s="20">
        <f t="shared" si="19"/>
        <v>120</v>
      </c>
      <c r="E15" s="20">
        <f t="shared" si="19"/>
        <v>66</v>
      </c>
      <c r="F15" s="20">
        <f t="shared" si="19"/>
        <v>4</v>
      </c>
      <c r="G15" s="20">
        <f t="shared" si="19"/>
        <v>4</v>
      </c>
      <c r="H15" s="20">
        <f t="shared" si="19"/>
        <v>4</v>
      </c>
      <c r="I15" s="20">
        <f t="shared" si="19"/>
        <v>0</v>
      </c>
      <c r="J15" s="20">
        <f t="shared" si="19"/>
        <v>0</v>
      </c>
      <c r="K15" s="176">
        <f t="shared" si="19"/>
        <v>198</v>
      </c>
      <c r="L15" s="20">
        <f t="shared" si="19"/>
        <v>2</v>
      </c>
      <c r="M15" s="20">
        <f t="shared" si="19"/>
        <v>4</v>
      </c>
      <c r="N15" s="20">
        <f t="shared" si="19"/>
        <v>0</v>
      </c>
      <c r="O15" s="20">
        <f t="shared" si="19"/>
        <v>0</v>
      </c>
      <c r="P15" s="20">
        <f t="shared" si="19"/>
        <v>0</v>
      </c>
      <c r="Q15" s="20">
        <f t="shared" si="19"/>
        <v>0</v>
      </c>
      <c r="R15" s="20">
        <f t="shared" si="19"/>
        <v>0</v>
      </c>
      <c r="S15" s="176">
        <f t="shared" si="19"/>
        <v>6</v>
      </c>
      <c r="T15" s="20">
        <f t="shared" si="19"/>
        <v>12</v>
      </c>
      <c r="U15" s="20">
        <f t="shared" si="19"/>
        <v>14</v>
      </c>
      <c r="V15" s="20">
        <f t="shared" si="19"/>
        <v>0</v>
      </c>
      <c r="W15" s="20">
        <f t="shared" si="19"/>
        <v>0</v>
      </c>
      <c r="X15" s="20">
        <f t="shared" si="19"/>
        <v>0</v>
      </c>
      <c r="Y15" s="20">
        <f t="shared" si="19"/>
        <v>0</v>
      </c>
      <c r="Z15" s="20">
        <f t="shared" si="19"/>
        <v>0</v>
      </c>
      <c r="AA15" s="176">
        <f t="shared" si="19"/>
        <v>26</v>
      </c>
      <c r="AB15" s="20">
        <f t="shared" si="19"/>
        <v>32</v>
      </c>
      <c r="AC15" s="20">
        <f t="shared" si="19"/>
        <v>20</v>
      </c>
      <c r="AD15" s="20">
        <f t="shared" si="19"/>
        <v>2</v>
      </c>
      <c r="AE15" s="20">
        <f t="shared" si="19"/>
        <v>0</v>
      </c>
      <c r="AF15" s="20">
        <f t="shared" si="19"/>
        <v>0</v>
      </c>
      <c r="AG15" s="20">
        <f t="shared" si="19"/>
        <v>2</v>
      </c>
      <c r="AH15" s="20">
        <f t="shared" si="19"/>
        <v>0</v>
      </c>
      <c r="AI15" s="176">
        <f t="shared" si="19"/>
        <v>56</v>
      </c>
      <c r="AJ15" s="50">
        <f t="shared" si="19"/>
        <v>166</v>
      </c>
      <c r="AK15" s="50">
        <f t="shared" si="19"/>
        <v>104</v>
      </c>
      <c r="AL15" s="50">
        <f t="shared" si="19"/>
        <v>6</v>
      </c>
      <c r="AM15" s="50">
        <f t="shared" si="19"/>
        <v>4</v>
      </c>
      <c r="AN15" s="50">
        <f t="shared" si="19"/>
        <v>4</v>
      </c>
      <c r="AO15" s="50">
        <f t="shared" si="19"/>
        <v>2</v>
      </c>
      <c r="AP15" s="50">
        <f t="shared" si="19"/>
        <v>0</v>
      </c>
      <c r="AQ15" s="50">
        <f>SUM(AJ15:AP15)</f>
        <v>286</v>
      </c>
    </row>
    <row r="16" spans="1:43" s="14" customFormat="1" ht="45.75" x14ac:dyDescent="0.25">
      <c r="A16" s="24"/>
      <c r="C16" s="35">
        <f>C15/2</f>
        <v>190</v>
      </c>
      <c r="D16" s="178">
        <f>SUM(D15:J15)</f>
        <v>198</v>
      </c>
      <c r="E16" s="178"/>
      <c r="F16" s="178"/>
      <c r="G16" s="178"/>
      <c r="H16" s="178"/>
      <c r="I16" s="178"/>
      <c r="J16" s="178"/>
      <c r="K16" s="177"/>
      <c r="L16" s="178">
        <f>SUM(L15:R15)</f>
        <v>6</v>
      </c>
      <c r="M16" s="178"/>
      <c r="N16" s="178"/>
      <c r="O16" s="178"/>
      <c r="P16" s="178"/>
      <c r="Q16" s="178"/>
      <c r="R16" s="178"/>
      <c r="S16" s="177"/>
      <c r="T16" s="178">
        <f>SUM(T15:Z15)</f>
        <v>26</v>
      </c>
      <c r="U16" s="178"/>
      <c r="V16" s="178"/>
      <c r="W16" s="178"/>
      <c r="X16" s="178"/>
      <c r="Y16" s="178"/>
      <c r="Z16" s="178"/>
      <c r="AA16" s="177"/>
      <c r="AB16" s="178">
        <f>SUM(AB15:AH15)</f>
        <v>56</v>
      </c>
      <c r="AC16" s="178"/>
      <c r="AD16" s="178"/>
      <c r="AE16" s="178"/>
      <c r="AF16" s="178"/>
      <c r="AG16" s="178"/>
      <c r="AH16" s="178"/>
      <c r="AI16" s="177"/>
    </row>
    <row r="17" spans="1:43" ht="45.75" x14ac:dyDescent="0.25">
      <c r="D17" s="181">
        <f>SUM(D16:AH16)</f>
        <v>286</v>
      </c>
      <c r="E17" s="181"/>
      <c r="F17" s="181"/>
      <c r="G17" s="181"/>
      <c r="H17" s="181"/>
      <c r="I17" s="181"/>
      <c r="J17" s="181"/>
      <c r="K17" s="181"/>
      <c r="L17" s="181"/>
      <c r="M17" s="181"/>
      <c r="N17" s="181"/>
      <c r="O17" s="181"/>
      <c r="P17" s="181"/>
      <c r="Q17" s="181"/>
      <c r="R17" s="181"/>
      <c r="S17" s="181"/>
      <c r="T17" s="181"/>
      <c r="U17" s="181"/>
      <c r="V17" s="181"/>
      <c r="W17" s="181"/>
      <c r="X17" s="181"/>
      <c r="Y17" s="181"/>
      <c r="Z17" s="181"/>
      <c r="AA17" s="181"/>
      <c r="AB17" s="181"/>
      <c r="AC17" s="181"/>
      <c r="AD17" s="181"/>
      <c r="AE17" s="181"/>
      <c r="AF17" s="181"/>
      <c r="AG17" s="181"/>
      <c r="AH17" s="181"/>
      <c r="AI17" s="181"/>
      <c r="AJ17" s="172">
        <f>C15-D17</f>
        <v>94</v>
      </c>
      <c r="AK17" s="172"/>
      <c r="AL17" s="172"/>
      <c r="AM17" s="172"/>
      <c r="AN17" s="172">
        <f>C15-AQ15</f>
        <v>94</v>
      </c>
      <c r="AO17" s="172"/>
      <c r="AP17" s="172"/>
      <c r="AQ17" s="172"/>
    </row>
    <row r="21" spans="1:43" ht="30" customHeight="1" x14ac:dyDescent="0.25">
      <c r="A21" s="16" t="s">
        <v>65</v>
      </c>
      <c r="B21" s="20" t="s">
        <v>68</v>
      </c>
      <c r="C21" s="20" t="s">
        <v>66</v>
      </c>
    </row>
    <row r="22" spans="1:43" ht="30" customHeight="1" x14ac:dyDescent="0.25">
      <c r="A22" s="17" t="s">
        <v>1</v>
      </c>
      <c r="B22" s="22" t="s">
        <v>76</v>
      </c>
      <c r="C22" s="23">
        <f>COUNTIF(Başvuru!G2:G1142,"Bireysel Araştırma")</f>
        <v>132</v>
      </c>
    </row>
    <row r="23" spans="1:43" ht="30" customHeight="1" x14ac:dyDescent="0.25">
      <c r="A23" s="18" t="s">
        <v>2</v>
      </c>
      <c r="B23" s="25" t="s">
        <v>25</v>
      </c>
      <c r="C23" s="26">
        <f>COUNTIF(Başvuru!G2:G1142,"Yüksek Lisans Tezi")</f>
        <v>5</v>
      </c>
    </row>
    <row r="24" spans="1:43" ht="30" customHeight="1" x14ac:dyDescent="0.25">
      <c r="A24" s="17" t="s">
        <v>3</v>
      </c>
      <c r="B24" s="22" t="s">
        <v>23</v>
      </c>
      <c r="C24" s="23">
        <f>COUNTIF(Başvuru!G2:G1142,"Doktora Tezi")</f>
        <v>17</v>
      </c>
    </row>
    <row r="25" spans="1:43" ht="30" customHeight="1" x14ac:dyDescent="0.25">
      <c r="A25" s="18" t="s">
        <v>4</v>
      </c>
      <c r="B25" s="25" t="s">
        <v>24</v>
      </c>
      <c r="C25" s="26">
        <f>COUNTIF(Başvuru!G2:G1142,"Uzmanlık Tezi")</f>
        <v>36</v>
      </c>
    </row>
    <row r="26" spans="1:43" ht="30" customHeight="1" x14ac:dyDescent="0.25">
      <c r="A26" s="179" t="s">
        <v>60</v>
      </c>
      <c r="B26" s="180"/>
      <c r="C26" s="20">
        <f>SUM(C22:C25)</f>
        <v>190</v>
      </c>
    </row>
    <row r="27" spans="1:43" ht="30" customHeight="1" x14ac:dyDescent="0.25">
      <c r="B27" s="14"/>
      <c r="C27" s="14"/>
    </row>
    <row r="28" spans="1:43" ht="30" customHeight="1" x14ac:dyDescent="0.25">
      <c r="A28" s="16" t="s">
        <v>65</v>
      </c>
      <c r="B28" s="20" t="s">
        <v>69</v>
      </c>
      <c r="C28" s="20" t="s">
        <v>66</v>
      </c>
    </row>
    <row r="29" spans="1:43" ht="30" customHeight="1" x14ac:dyDescent="0.25">
      <c r="A29" s="19" t="s">
        <v>1</v>
      </c>
      <c r="B29" s="27" t="s">
        <v>70</v>
      </c>
      <c r="C29" s="23">
        <f>COUNTIF(Başvuru!L2:L1142,"ONAY")</f>
        <v>83</v>
      </c>
    </row>
    <row r="30" spans="1:43" ht="30" customHeight="1" x14ac:dyDescent="0.25">
      <c r="A30" s="19" t="s">
        <v>2</v>
      </c>
      <c r="B30" s="27" t="s">
        <v>71</v>
      </c>
      <c r="C30" s="23">
        <f>COUNTIF(Başvuru!L2:L1142,"DÜZELTME")</f>
        <v>52</v>
      </c>
    </row>
    <row r="31" spans="1:43" ht="30" customHeight="1" x14ac:dyDescent="0.25">
      <c r="A31" s="19" t="s">
        <v>3</v>
      </c>
      <c r="B31" s="27" t="s">
        <v>73</v>
      </c>
      <c r="C31" s="23">
        <f>COUNTIF(Başvuru!L2:L1142,"KAEK")</f>
        <v>3</v>
      </c>
    </row>
    <row r="32" spans="1:43" ht="30" customHeight="1" x14ac:dyDescent="0.25">
      <c r="A32" s="19" t="s">
        <v>4</v>
      </c>
      <c r="B32" s="27" t="s">
        <v>87</v>
      </c>
      <c r="C32" s="23">
        <f>COUNTIF(Başvuru!L2:L1142,"GÖRÜŞ")</f>
        <v>2</v>
      </c>
    </row>
    <row r="33" spans="1:3" ht="30" customHeight="1" x14ac:dyDescent="0.25">
      <c r="A33" s="19" t="s">
        <v>5</v>
      </c>
      <c r="B33" s="27" t="s">
        <v>308</v>
      </c>
      <c r="C33" s="23">
        <f>COUNTIF(Başvuru!L2:L1142,"RET")</f>
        <v>2</v>
      </c>
    </row>
    <row r="34" spans="1:3" ht="30" customHeight="1" x14ac:dyDescent="0.25">
      <c r="A34" s="19" t="s">
        <v>6</v>
      </c>
      <c r="B34" s="27" t="s">
        <v>72</v>
      </c>
      <c r="C34" s="23">
        <f>COUNTIF(Başvuru!L2:L1142,"KAPSAM DIŞI")</f>
        <v>1</v>
      </c>
    </row>
    <row r="35" spans="1:3" ht="30" customHeight="1" x14ac:dyDescent="0.25">
      <c r="A35" s="19" t="s">
        <v>7</v>
      </c>
      <c r="B35" s="27" t="s">
        <v>79</v>
      </c>
      <c r="C35" s="23">
        <f>COUNTIF(Başvuru!L2:L1142,"GERİ ÇEKİLDİ")</f>
        <v>0</v>
      </c>
    </row>
    <row r="36" spans="1:3" ht="30" customHeight="1" x14ac:dyDescent="0.25">
      <c r="A36" s="179" t="s">
        <v>60</v>
      </c>
      <c r="B36" s="180"/>
      <c r="C36" s="20">
        <f>SUM(C29:C35)</f>
        <v>143</v>
      </c>
    </row>
  </sheetData>
  <mergeCells count="14">
    <mergeCell ref="A15:B15"/>
    <mergeCell ref="K15:K16"/>
    <mergeCell ref="A26:B26"/>
    <mergeCell ref="A36:B36"/>
    <mergeCell ref="D17:AI17"/>
    <mergeCell ref="AJ17:AM17"/>
    <mergeCell ref="D16:J16"/>
    <mergeCell ref="L16:R16"/>
    <mergeCell ref="AN17:AQ17"/>
    <mergeCell ref="AA15:AA16"/>
    <mergeCell ref="AI15:AI16"/>
    <mergeCell ref="T16:Z16"/>
    <mergeCell ref="AB16:AH16"/>
    <mergeCell ref="S15:S16"/>
  </mergeCells>
  <phoneticPr fontId="6" type="noConversion"/>
  <conditionalFormatting sqref="A22:C25">
    <cfRule type="expression" dxfId="37" priority="1">
      <formula>" =ÇİFTMİ(SATIR())"</formula>
    </cfRule>
  </conditionalFormatting>
  <conditionalFormatting sqref="A29:C35">
    <cfRule type="expression" dxfId="36" priority="2">
      <formula>ISEVEN(ROW())</formula>
    </cfRule>
  </conditionalFormatting>
  <conditionalFormatting sqref="A3:AI14">
    <cfRule type="expression" dxfId="35"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C0FBB-A8B8-4AF6-96EA-05E1DEEC53A7}">
  <sheetPr>
    <tabColor rgb="FF002060"/>
  </sheetPr>
  <dimension ref="A1:AQ63"/>
  <sheetViews>
    <sheetView showZeros="0" zoomScale="50" zoomScaleNormal="50" workbookViewId="0">
      <selection activeCell="E3" sqref="E3"/>
    </sheetView>
  </sheetViews>
  <sheetFormatPr defaultRowHeight="15.75" x14ac:dyDescent="0.25"/>
  <cols>
    <col min="1" max="1" width="9.140625" style="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16384" width="9.140625" style="1"/>
  </cols>
  <sheetData>
    <row r="1" spans="1:43" s="14" customFormat="1" ht="30" customHeight="1" x14ac:dyDescent="0.25">
      <c r="A1" s="182" t="s">
        <v>65</v>
      </c>
      <c r="B1" s="182" t="s">
        <v>67</v>
      </c>
      <c r="C1" s="183" t="s">
        <v>66</v>
      </c>
      <c r="D1" s="169" t="s">
        <v>76</v>
      </c>
      <c r="E1" s="170"/>
      <c r="F1" s="170"/>
      <c r="G1" s="170"/>
      <c r="H1" s="170"/>
      <c r="I1" s="170"/>
      <c r="J1" s="170"/>
      <c r="K1" s="171"/>
      <c r="L1" s="169" t="s">
        <v>25</v>
      </c>
      <c r="M1" s="170"/>
      <c r="N1" s="170"/>
      <c r="O1" s="170"/>
      <c r="P1" s="170"/>
      <c r="Q1" s="170"/>
      <c r="R1" s="170"/>
      <c r="S1" s="171"/>
      <c r="T1" s="169" t="s">
        <v>23</v>
      </c>
      <c r="U1" s="170"/>
      <c r="V1" s="170"/>
      <c r="W1" s="170"/>
      <c r="X1" s="170"/>
      <c r="Y1" s="170"/>
      <c r="Z1" s="170"/>
      <c r="AA1" s="171"/>
      <c r="AB1" s="169" t="s">
        <v>24</v>
      </c>
      <c r="AC1" s="170"/>
      <c r="AD1" s="170"/>
      <c r="AE1" s="170"/>
      <c r="AF1" s="170"/>
      <c r="AG1" s="170"/>
      <c r="AH1" s="170"/>
      <c r="AI1" s="171"/>
      <c r="AJ1" s="173" t="s">
        <v>60</v>
      </c>
      <c r="AK1" s="174"/>
      <c r="AL1" s="174"/>
      <c r="AM1" s="174"/>
      <c r="AN1" s="174"/>
      <c r="AO1" s="174"/>
      <c r="AP1" s="174"/>
      <c r="AQ1" s="175"/>
    </row>
    <row r="2" spans="1:43" s="14" customFormat="1" ht="111.75" customHeight="1" x14ac:dyDescent="0.25">
      <c r="A2" s="182"/>
      <c r="B2" s="182"/>
      <c r="C2" s="182"/>
      <c r="D2" s="32" t="s">
        <v>70</v>
      </c>
      <c r="E2" s="32" t="s">
        <v>71</v>
      </c>
      <c r="F2" s="32" t="s">
        <v>73</v>
      </c>
      <c r="G2" s="32" t="s">
        <v>87</v>
      </c>
      <c r="H2" s="32" t="s">
        <v>308</v>
      </c>
      <c r="I2" s="32" t="s">
        <v>72</v>
      </c>
      <c r="J2" s="32" t="s">
        <v>79</v>
      </c>
      <c r="K2" s="36" t="s">
        <v>60</v>
      </c>
      <c r="L2" s="33" t="s">
        <v>70</v>
      </c>
      <c r="M2" s="32" t="s">
        <v>71</v>
      </c>
      <c r="N2" s="32" t="s">
        <v>73</v>
      </c>
      <c r="O2" s="32" t="s">
        <v>87</v>
      </c>
      <c r="P2" s="32" t="s">
        <v>308</v>
      </c>
      <c r="Q2" s="32" t="s">
        <v>72</v>
      </c>
      <c r="R2" s="32" t="s">
        <v>79</v>
      </c>
      <c r="S2" s="37" t="s">
        <v>60</v>
      </c>
      <c r="T2" s="32" t="s">
        <v>70</v>
      </c>
      <c r="U2" s="32" t="s">
        <v>71</v>
      </c>
      <c r="V2" s="32" t="s">
        <v>73</v>
      </c>
      <c r="W2" s="32" t="s">
        <v>87</v>
      </c>
      <c r="X2" s="32" t="s">
        <v>308</v>
      </c>
      <c r="Y2" s="32" t="s">
        <v>72</v>
      </c>
      <c r="Z2" s="32" t="s">
        <v>79</v>
      </c>
      <c r="AA2" s="38" t="s">
        <v>60</v>
      </c>
      <c r="AB2" s="32" t="s">
        <v>70</v>
      </c>
      <c r="AC2" s="32" t="s">
        <v>71</v>
      </c>
      <c r="AD2" s="32" t="s">
        <v>73</v>
      </c>
      <c r="AE2" s="32" t="s">
        <v>87</v>
      </c>
      <c r="AF2" s="32" t="s">
        <v>308</v>
      </c>
      <c r="AG2" s="32" t="s">
        <v>72</v>
      </c>
      <c r="AH2" s="32" t="s">
        <v>79</v>
      </c>
      <c r="AI2" s="38" t="s">
        <v>60</v>
      </c>
      <c r="AJ2" s="34" t="s">
        <v>70</v>
      </c>
      <c r="AK2" s="34" t="s">
        <v>71</v>
      </c>
      <c r="AL2" s="34" t="s">
        <v>73</v>
      </c>
      <c r="AM2" s="34" t="s">
        <v>87</v>
      </c>
      <c r="AN2" s="34" t="s">
        <v>308</v>
      </c>
      <c r="AO2" s="34" t="s">
        <v>72</v>
      </c>
      <c r="AP2" s="34" t="s">
        <v>79</v>
      </c>
      <c r="AQ2" s="34" t="s">
        <v>60</v>
      </c>
    </row>
    <row r="3" spans="1:43" s="14" customFormat="1" ht="30.75" x14ac:dyDescent="0.25">
      <c r="A3" s="21" t="s">
        <v>1</v>
      </c>
      <c r="B3" s="22" t="s">
        <v>89</v>
      </c>
      <c r="C3" s="12">
        <f>COUNTIF(Başvuru!$J:$K, $B3)</f>
        <v>31</v>
      </c>
      <c r="D3" s="12">
        <f>COUNTIFS(Başvuru!$G:$G, "Bireysel Araştırma", Başvuru!$L:$L, D$2, Başvuru!$J:$J, $B3) + COUNTIFS(Başvuru!$G:$G, "Bireysel Araştırma", Başvuru!$L:$L, D$2, Başvuru!$K:$K, $B3)</f>
        <v>9</v>
      </c>
      <c r="E3" s="12">
        <f>COUNTIFS(Başvuru!$G:$G, "Bireysel Araştırma", Başvuru!$L:$L, E$2, Başvuru!$J:$J, $B3) + COUNTIFS(Başvuru!$G:$G, "Bireysel Araştırma", Başvuru!$L:$L, E$2, Başvuru!$K:$K, $B3)</f>
        <v>9</v>
      </c>
      <c r="F3" s="12">
        <f>COUNTIFS(Başvuru!$G:$G, "Bireysel Araştırma", Başvuru!$L:$L, F$2, Başvuru!$J:$J, $B3) + COUNTIFS(Başvuru!$G:$G, "Bireysel Araştırma", Başvuru!$L:$L, F$2, Başvuru!$K:$K, $B3)</f>
        <v>0</v>
      </c>
      <c r="G3" s="12">
        <f>COUNTIFS(Başvuru!$G:$G, "Bireysel Araştırma", Başvuru!$L:$L, G$2, Başvuru!$J:$J, $B3) + COUNTIFS(Başvuru!$G:$G, "Bireysel Araştırma", Başvuru!$L:$L, G$2, Başvuru!$K:$K, $B3)</f>
        <v>0</v>
      </c>
      <c r="H3" s="12">
        <f>COUNTIFS(Başvuru!$G:$G, "Bireysel Araştırma", Başvuru!$L:$L, H$2, Başvuru!$J:$J, $B3) + COUNTIFS(Başvuru!$G:$G, "Bireysel Araştırma", Başvuru!$L:$L, H$2, Başvuru!$K:$K, $B3)</f>
        <v>0</v>
      </c>
      <c r="I3" s="12">
        <f>COUNTIFS(Başvuru!$G:$G, "Bireysel Araştırma", Başvuru!$L:$L, I$2, Başvuru!$J:$J, $B3) + COUNTIFS(Başvuru!$G:$G, "Bireysel Araştırma", Başvuru!$L:$L, I$2, Başvuru!$K:$K, $B3)</f>
        <v>0</v>
      </c>
      <c r="J3" s="12">
        <f>COUNTIFS(Başvuru!$G:$G, "Bireysel Araştırma", Başvuru!$L:$L, J$2, Başvuru!$J:$J, $B3) + COUNTIFS(Başvuru!$G:$G, "Bireysel Araştırma", Başvuru!$L:$L, J$2, Başvuru!$K:$K, $B3)</f>
        <v>0</v>
      </c>
      <c r="K3" s="12">
        <f>SUM(D3:J3)</f>
        <v>18</v>
      </c>
      <c r="L3" s="12">
        <f>COUNTIFS(Başvuru!$G:$G, "Yüksek Lisans Tezi", Başvuru!$L:$L, L$2, Başvuru!$J:$J, $B3) + COUNTIFS(Başvuru!$G:$G, "Yüksek Lisans Tezi", Başvuru!$L:$L, L$2, Başvuru!$K:$K, $B3)</f>
        <v>0</v>
      </c>
      <c r="M3" s="12">
        <f>COUNTIFS(Başvuru!$G:$G, "Yüksek Lisans Tezi", Başvuru!$L:$L, M$2, Başvuru!$J:$J, $B3) + COUNTIFS(Başvuru!$G:$G, "Yüksek Lisans Tezi", Başvuru!$L:$L, M$2, Başvuru!$K:$K, $B3)</f>
        <v>0</v>
      </c>
      <c r="N3" s="12">
        <f>COUNTIFS(Başvuru!$G:$G, "Yüksek Lisans Tezi", Başvuru!$L:$L, N$2, Başvuru!$J:$J, $B3) + COUNTIFS(Başvuru!$G:$G, "Yüksek Lisans Tezi", Başvuru!$L:$L, N$2, Başvuru!$K:$K, $B3)</f>
        <v>0</v>
      </c>
      <c r="O3" s="12">
        <f>COUNTIFS(Başvuru!$G:$G, "Yüksek Lisans Tezi", Başvuru!$L:$L, O$2, Başvuru!$J:$J, $B3) + COUNTIFS(Başvuru!$G:$G, "Yüksek Lisans Tezi", Başvuru!$L:$L, O$2, Başvuru!$K:$K, $B3)</f>
        <v>0</v>
      </c>
      <c r="P3" s="12">
        <f>COUNTIFS(Başvuru!$G:$G, "Yüksek Lisans Tezi", Başvuru!$L:$L, P$2, Başvuru!$J:$J, $B3) + COUNTIFS(Başvuru!$G:$G, "Yüksek Lisans Tezi", Başvuru!$L:$L, P$2, Başvuru!$K:$K, $B3)</f>
        <v>0</v>
      </c>
      <c r="Q3" s="12">
        <f>COUNTIFS(Başvuru!$G:$G, "Yüksek Lisans Tezi", Başvuru!$L:$L, Q$2, Başvuru!$J:$J, $B3) + COUNTIFS(Başvuru!$G:$G, "Yüksek Lisans Tezi", Başvuru!$L:$L, Q$2, Başvuru!$K:$K, $B3)</f>
        <v>0</v>
      </c>
      <c r="R3" s="12">
        <f>COUNTIFS(Başvuru!$G:$G, "Yüksek Lisans Tezi", Başvuru!$L:$L, R$2, Başvuru!$J:$J, $B3) + COUNTIFS(Başvuru!$G:$G, "Yüksek Lisans Tezi", Başvuru!$L:$L, R$2, Başvuru!$K:$K, $B3)</f>
        <v>0</v>
      </c>
      <c r="S3" s="12">
        <f>SUM(L3:R3)</f>
        <v>0</v>
      </c>
      <c r="T3" s="12">
        <f>COUNTIFS(Başvuru!$G:$G, "Doktora Tezi", Başvuru!$L:$L, T$2, Başvuru!$J:$J, $B3) + COUNTIFS(Başvuru!$G:$G, "Doktora Tezi", Başvuru!$L:$L, T$2, Başvuru!$K:$K, $B3)</f>
        <v>2</v>
      </c>
      <c r="U3" s="12">
        <f>COUNTIFS(Başvuru!$G:$G, "Doktora Tezi", Başvuru!$L:$L, U$2, Başvuru!$J:$J, $B3) + COUNTIFS(Başvuru!$G:$G, "Doktora Tezi", Başvuru!$L:$L, U$2, Başvuru!$K:$K, $B3)</f>
        <v>2</v>
      </c>
      <c r="V3" s="12">
        <f>COUNTIFS(Başvuru!$G:$G, "Doktora Tezi", Başvuru!$L:$L, V$2, Başvuru!$J:$J, $B3) + COUNTIFS(Başvuru!$G:$G, "Doktora Tezi", Başvuru!$L:$L, V$2, Başvuru!$K:$K, $B3)</f>
        <v>0</v>
      </c>
      <c r="W3" s="12">
        <f>COUNTIFS(Başvuru!$G:$G, "Doktora Tezi", Başvuru!$L:$L, W$2, Başvuru!$J:$J, $B3) + COUNTIFS(Başvuru!$G:$G, "Doktora Tezi", Başvuru!$L:$L, W$2, Başvuru!$K:$K, $B3)</f>
        <v>0</v>
      </c>
      <c r="X3" s="12">
        <f>COUNTIFS(Başvuru!$G:$G, "Doktora Tezi", Başvuru!$L:$L, X$2, Başvuru!$J:$J, $B3) + COUNTIFS(Başvuru!$G:$G, "Doktora Tezi", Başvuru!$L:$L, X$2, Başvuru!$K:$K, $B3)</f>
        <v>0</v>
      </c>
      <c r="Y3" s="12">
        <f>COUNTIFS(Başvuru!$G:$G, "Doktora Tezi", Başvuru!$L:$L, Y$2, Başvuru!$J:$J, $B3) + COUNTIFS(Başvuru!$G:$G, "Doktora Tezi", Başvuru!$L:$L, Y$2, Başvuru!$K:$K, $B3)</f>
        <v>0</v>
      </c>
      <c r="Z3" s="12">
        <f>COUNTIFS(Başvuru!$G:$G, "Doktora Tezi", Başvuru!$L:$L, Z$2, Başvuru!$J:$J, $B3) + COUNTIFS(Başvuru!$G:$G, "Doktora Tezi", Başvuru!$L:$L, Z$2, Başvuru!$K:$K, $B3)</f>
        <v>0</v>
      </c>
      <c r="AA3" s="12">
        <f>SUM(T3:Z3)</f>
        <v>4</v>
      </c>
      <c r="AB3" s="12">
        <f>COUNTIFS(Başvuru!$G:$G, "Uzmanlık Tezi", Başvuru!$L:$L, AB$2, Başvuru!$J:$J, $B3) + COUNTIFS(Başvuru!$G:$G, "Uzmanlık Tezi", Başvuru!$L:$L, AB$2, Başvuru!$K:$K, $B3)</f>
        <v>0</v>
      </c>
      <c r="AC3" s="12">
        <f>COUNTIFS(Başvuru!$G:$G, "Uzmanlık Tezi", Başvuru!$L:$L, AC$2, Başvuru!$J:$J, $B3) + COUNTIFS(Başvuru!$G:$G, "Uzmanlık Tezi", Başvuru!$L:$L, AC$2, Başvuru!$K:$K, $B3)</f>
        <v>0</v>
      </c>
      <c r="AD3" s="12">
        <f>COUNTIFS(Başvuru!$G:$G, "Uzmanlık Tezi", Başvuru!$L:$L, AD$2, Başvuru!$J:$J, $B3) + COUNTIFS(Başvuru!$G:$G, "Uzmanlık Tezi", Başvuru!$L:$L, AD$2, Başvuru!$K:$K, $B3)</f>
        <v>0</v>
      </c>
      <c r="AE3" s="12">
        <f>COUNTIFS(Başvuru!$G:$G, "Uzmanlık Tezi", Başvuru!$L:$L, AE$2, Başvuru!$J:$J, $B3) + COUNTIFS(Başvuru!$G:$G, "Uzmanlık Tezi", Başvuru!$L:$L, AE$2, Başvuru!$K:$K, $B3)</f>
        <v>0</v>
      </c>
      <c r="AF3" s="12">
        <f>COUNTIFS(Başvuru!$G:$G, "Uzmanlık Tezi", Başvuru!$L:$L, AF$2, Başvuru!$J:$J, $B3) + COUNTIFS(Başvuru!$G:$G, "Uzmanlık Tezi", Başvuru!$L:$L, AF$2, Başvuru!$K:$K, $B3)</f>
        <v>0</v>
      </c>
      <c r="AG3" s="12">
        <f>COUNTIFS(Başvuru!$G:$G, "Uzmanlık Tezi", Başvuru!$L:$L, AG$2, Başvuru!$J:$J, $B3) + COUNTIFS(Başvuru!$G:$G, "Uzmanlık Tezi", Başvuru!$L:$L, AG$2, Başvuru!$K:$K, $B3)</f>
        <v>0</v>
      </c>
      <c r="AH3" s="12">
        <f>COUNTIFS(Başvuru!$G:$G, "Uzmanlık Tezi", Başvuru!$L:$L, AH$2, Başvuru!$J:$J, $B3) + COUNTIFS(Başvuru!$G:$G, "Uzmanlık Tezi", Başvuru!$L:$L, AH$2, Başvuru!$K:$K, $B3)</f>
        <v>0</v>
      </c>
      <c r="AI3" s="12">
        <f>SUM(AB3:AH3)</f>
        <v>0</v>
      </c>
      <c r="AJ3" s="31">
        <f>SUM(D3,L3,T3,AB3)</f>
        <v>11</v>
      </c>
      <c r="AK3" s="31">
        <f>SUM(E3,M3,U3,AC3)</f>
        <v>11</v>
      </c>
      <c r="AL3" s="31">
        <f t="shared" ref="AL3:AP14" si="0">SUM(F3,N3,V3,AD3)</f>
        <v>0</v>
      </c>
      <c r="AM3" s="31">
        <f t="shared" si="0"/>
        <v>0</v>
      </c>
      <c r="AN3" s="31">
        <f t="shared" si="0"/>
        <v>0</v>
      </c>
      <c r="AO3" s="31">
        <f t="shared" si="0"/>
        <v>0</v>
      </c>
      <c r="AP3" s="31">
        <f t="shared" si="0"/>
        <v>0</v>
      </c>
      <c r="AQ3" s="31">
        <f>SUM(AJ3:AP3)</f>
        <v>22</v>
      </c>
    </row>
    <row r="4" spans="1:43" s="14" customFormat="1" ht="30" customHeight="1" x14ac:dyDescent="0.25">
      <c r="A4" s="21" t="s">
        <v>2</v>
      </c>
      <c r="B4" s="22" t="s">
        <v>63</v>
      </c>
      <c r="C4" s="12">
        <f>COUNTIF(Başvuru!$J:$K, $B4)</f>
        <v>35</v>
      </c>
      <c r="D4" s="12">
        <f>COUNTIFS(Başvuru!$G:$G, "Bireysel Araştırma", Başvuru!$L:$L, D$2, Başvuru!$J:$J, $B4) + COUNTIFS(Başvuru!$G:$G, "Bireysel Araştırma", Başvuru!$L:$L, D$2, Başvuru!$K:$K, $B4)</f>
        <v>8</v>
      </c>
      <c r="E4" s="12">
        <f>COUNTIFS(Başvuru!$G:$G, "Bireysel Araştırma", Başvuru!$L:$L, E$2, Başvuru!$J:$J, $B4) + COUNTIFS(Başvuru!$G:$G, "Bireysel Araştırma", Başvuru!$L:$L, E$2, Başvuru!$K:$K, $B4)</f>
        <v>5</v>
      </c>
      <c r="F4" s="12">
        <f>COUNTIFS(Başvuru!$G:$G, "Bireysel Araştırma", Başvuru!$L:$L, F$2, Başvuru!$J:$J, $B4) + COUNTIFS(Başvuru!$G:$G, "Bireysel Araştırma", Başvuru!$L:$L, F$2, Başvuru!$K:$K, $B4)</f>
        <v>1</v>
      </c>
      <c r="G4" s="12">
        <f>COUNTIFS(Başvuru!$G:$G, "Bireysel Araştırma", Başvuru!$L:$L, G$2, Başvuru!$J:$J, $B4) + COUNTIFS(Başvuru!$G:$G, "Bireysel Araştırma", Başvuru!$L:$L, G$2, Başvuru!$K:$K, $B4)</f>
        <v>0</v>
      </c>
      <c r="H4" s="12">
        <f>COUNTIFS(Başvuru!$G:$G, "Bireysel Araştırma", Başvuru!$L:$L, H$2, Başvuru!$J:$J, $B4) + COUNTIFS(Başvuru!$G:$G, "Bireysel Araştırma", Başvuru!$L:$L, H$2, Başvuru!$K:$K, $B4)</f>
        <v>1</v>
      </c>
      <c r="I4" s="12">
        <f>COUNTIFS(Başvuru!$G:$G, "Bireysel Araştırma", Başvuru!$L:$L, I$2, Başvuru!$J:$J, $B4) + COUNTIFS(Başvuru!$G:$G, "Bireysel Araştırma", Başvuru!$L:$L, I$2, Başvuru!$K:$K, $B4)</f>
        <v>0</v>
      </c>
      <c r="J4" s="12">
        <f>COUNTIFS(Başvuru!$G:$G, "Bireysel Araştırma", Başvuru!$L:$L, J$2, Başvuru!$J:$J, $B4) + COUNTIFS(Başvuru!$G:$G, "Bireysel Araştırma", Başvuru!$L:$L, J$2, Başvuru!$K:$K, $B4)</f>
        <v>0</v>
      </c>
      <c r="K4" s="12">
        <f t="shared" ref="K4:K14" si="1">SUM(D4:J4)</f>
        <v>15</v>
      </c>
      <c r="L4" s="12">
        <f>COUNTIFS(Başvuru!$G:$G, "Yüksek Lisans Tezi", Başvuru!$L:$L, L$2, Başvuru!$J:$J, $B4) + COUNTIFS(Başvuru!$G:$G, "Yüksek Lisans Tezi", Başvuru!$L:$L, L$2, Başvuru!$K:$K, $B4)</f>
        <v>1</v>
      </c>
      <c r="M4" s="12">
        <f>COUNTIFS(Başvuru!$G:$G, "Yüksek Lisans Tezi", Başvuru!$L:$L, M$2, Başvuru!$J:$J, $B4) + COUNTIFS(Başvuru!$G:$G, "Yüksek Lisans Tezi", Başvuru!$L:$L, M$2, Başvuru!$K:$K, $B4)</f>
        <v>0</v>
      </c>
      <c r="N4" s="12">
        <f>COUNTIFS(Başvuru!$G:$G, "Yüksek Lisans Tezi", Başvuru!$L:$L, N$2, Başvuru!$J:$J, $B4) + COUNTIFS(Başvuru!$G:$G, "Yüksek Lisans Tezi", Başvuru!$L:$L, N$2, Başvuru!$K:$K, $B4)</f>
        <v>0</v>
      </c>
      <c r="O4" s="12">
        <f>COUNTIFS(Başvuru!$G:$G, "Yüksek Lisans Tezi", Başvuru!$L:$L, O$2, Başvuru!$J:$J, $B4) + COUNTIFS(Başvuru!$G:$G, "Yüksek Lisans Tezi", Başvuru!$L:$L, O$2, Başvuru!$K:$K, $B4)</f>
        <v>0</v>
      </c>
      <c r="P4" s="12">
        <f>COUNTIFS(Başvuru!$G:$G, "Yüksek Lisans Tezi", Başvuru!$L:$L, P$2, Başvuru!$J:$J, $B4) + COUNTIFS(Başvuru!$G:$G, "Yüksek Lisans Tezi", Başvuru!$L:$L, P$2, Başvuru!$K:$K, $B4)</f>
        <v>0</v>
      </c>
      <c r="Q4" s="12">
        <f>COUNTIFS(Başvuru!$G:$G, "Yüksek Lisans Tezi", Başvuru!$L:$L, Q$2, Başvuru!$J:$J, $B4) + COUNTIFS(Başvuru!$G:$G, "Yüksek Lisans Tezi", Başvuru!$L:$L, Q$2, Başvuru!$K:$K, $B4)</f>
        <v>0</v>
      </c>
      <c r="R4" s="12">
        <f>COUNTIFS(Başvuru!$G:$G, "Yüksek Lisans Tezi", Başvuru!$L:$L, R$2, Başvuru!$J:$J, $B4) + COUNTIFS(Başvuru!$G:$G, "Yüksek Lisans Tezi", Başvuru!$L:$L, R$2, Başvuru!$K:$K, $B4)</f>
        <v>0</v>
      </c>
      <c r="S4" s="12">
        <f t="shared" ref="S4:S14" si="2">SUM(L4:R4)</f>
        <v>1</v>
      </c>
      <c r="T4" s="12">
        <f>COUNTIFS(Başvuru!$G:$G, "Doktora Tezi", Başvuru!$L:$L, T$2, Başvuru!$J:$J, $B4) + COUNTIFS(Başvuru!$G:$G, "Doktora Tezi", Başvuru!$L:$L, T$2, Başvuru!$K:$K, $B4)</f>
        <v>0</v>
      </c>
      <c r="U4" s="12">
        <f>COUNTIFS(Başvuru!$G:$G, "Doktora Tezi", Başvuru!$L:$L, U$2, Başvuru!$J:$J, $B4) + COUNTIFS(Başvuru!$G:$G, "Doktora Tezi", Başvuru!$L:$L, U$2, Başvuru!$K:$K, $B4)</f>
        <v>1</v>
      </c>
      <c r="V4" s="12">
        <f>COUNTIFS(Başvuru!$G:$G, "Doktora Tezi", Başvuru!$L:$L, V$2, Başvuru!$J:$J, $B4) + COUNTIFS(Başvuru!$G:$G, "Doktora Tezi", Başvuru!$L:$L, V$2, Başvuru!$K:$K, $B4)</f>
        <v>0</v>
      </c>
      <c r="W4" s="12">
        <f>COUNTIFS(Başvuru!$G:$G, "Doktora Tezi", Başvuru!$L:$L, W$2, Başvuru!$J:$J, $B4) + COUNTIFS(Başvuru!$G:$G, "Doktora Tezi", Başvuru!$L:$L, W$2, Başvuru!$K:$K, $B4)</f>
        <v>0</v>
      </c>
      <c r="X4" s="12">
        <f>COUNTIFS(Başvuru!$G:$G, "Doktora Tezi", Başvuru!$L:$L, X$2, Başvuru!$J:$J, $B4) + COUNTIFS(Başvuru!$G:$G, "Doktora Tezi", Başvuru!$L:$L, X$2, Başvuru!$K:$K, $B4)</f>
        <v>0</v>
      </c>
      <c r="Y4" s="12">
        <f>COUNTIFS(Başvuru!$G:$G, "Doktora Tezi", Başvuru!$L:$L, Y$2, Başvuru!$J:$J, $B4) + COUNTIFS(Başvuru!$G:$G, "Doktora Tezi", Başvuru!$L:$L, Y$2, Başvuru!$K:$K, $B4)</f>
        <v>0</v>
      </c>
      <c r="Z4" s="12">
        <f>COUNTIFS(Başvuru!$G:$G, "Doktora Tezi", Başvuru!$L:$L, Z$2, Başvuru!$J:$J, $B4) + COUNTIFS(Başvuru!$G:$G, "Doktora Tezi", Başvuru!$L:$L, Z$2, Başvuru!$K:$K, $B4)</f>
        <v>0</v>
      </c>
      <c r="AA4" s="12">
        <f t="shared" ref="AA4:AA14" si="3">SUM(T4:Z4)</f>
        <v>1</v>
      </c>
      <c r="AB4" s="12">
        <f>COUNTIFS(Başvuru!$G:$G, "Uzmanlık Tezi", Başvuru!$L:$L, AB$2, Başvuru!$J:$J, $B4) + COUNTIFS(Başvuru!$G:$G, "Uzmanlık Tezi", Başvuru!$L:$L, AB$2, Başvuru!$K:$K, $B4)</f>
        <v>8</v>
      </c>
      <c r="AC4" s="12">
        <f>COUNTIFS(Başvuru!$G:$G, "Uzmanlık Tezi", Başvuru!$L:$L, AC$2, Başvuru!$J:$J, $B4) + COUNTIFS(Başvuru!$G:$G, "Uzmanlık Tezi", Başvuru!$L:$L, AC$2, Başvuru!$K:$K, $B4)</f>
        <v>1</v>
      </c>
      <c r="AD4" s="12">
        <f>COUNTIFS(Başvuru!$G:$G, "Uzmanlık Tezi", Başvuru!$L:$L, AD$2, Başvuru!$J:$J, $B4) + COUNTIFS(Başvuru!$G:$G, "Uzmanlık Tezi", Başvuru!$L:$L, AD$2, Başvuru!$K:$K, $B4)</f>
        <v>0</v>
      </c>
      <c r="AE4" s="12">
        <f>COUNTIFS(Başvuru!$G:$G, "Uzmanlık Tezi", Başvuru!$L:$L, AE$2, Başvuru!$J:$J, $B4) + COUNTIFS(Başvuru!$G:$G, "Uzmanlık Tezi", Başvuru!$L:$L, AE$2, Başvuru!$K:$K, $B4)</f>
        <v>0</v>
      </c>
      <c r="AF4" s="12">
        <f>COUNTIFS(Başvuru!$G:$G, "Uzmanlık Tezi", Başvuru!$L:$L, AF$2, Başvuru!$J:$J, $B4) + COUNTIFS(Başvuru!$G:$G, "Uzmanlık Tezi", Başvuru!$L:$L, AF$2, Başvuru!$K:$K, $B4)</f>
        <v>0</v>
      </c>
      <c r="AG4" s="12">
        <f>COUNTIFS(Başvuru!$G:$G, "Uzmanlık Tezi", Başvuru!$L:$L, AG$2, Başvuru!$J:$J, $B4) + COUNTIFS(Başvuru!$G:$G, "Uzmanlık Tezi", Başvuru!$L:$L, AG$2, Başvuru!$K:$K, $B4)</f>
        <v>0</v>
      </c>
      <c r="AH4" s="12">
        <f>COUNTIFS(Başvuru!$G:$G, "Uzmanlık Tezi", Başvuru!$L:$L, AH$2, Başvuru!$J:$J, $B4) + COUNTIFS(Başvuru!$G:$G, "Uzmanlık Tezi", Başvuru!$L:$L, AH$2, Başvuru!$K:$K, $B4)</f>
        <v>0</v>
      </c>
      <c r="AI4" s="12">
        <f t="shared" ref="AI4:AI14" si="4">SUM(AB4:AH4)</f>
        <v>9</v>
      </c>
      <c r="AJ4" s="31">
        <f t="shared" ref="AJ4:AK14" si="5">SUM(D4,L4,T4,AB4)</f>
        <v>17</v>
      </c>
      <c r="AK4" s="31">
        <f t="shared" si="5"/>
        <v>7</v>
      </c>
      <c r="AL4" s="31">
        <f t="shared" si="0"/>
        <v>1</v>
      </c>
      <c r="AM4" s="31">
        <f t="shared" si="0"/>
        <v>0</v>
      </c>
      <c r="AN4" s="31">
        <f t="shared" si="0"/>
        <v>1</v>
      </c>
      <c r="AO4" s="31">
        <f t="shared" si="0"/>
        <v>0</v>
      </c>
      <c r="AP4" s="31">
        <f t="shared" si="0"/>
        <v>0</v>
      </c>
      <c r="AQ4" s="31">
        <f t="shared" ref="AQ4:AQ14" si="6">SUM(AJ4:AP4)</f>
        <v>26</v>
      </c>
    </row>
    <row r="5" spans="1:43" s="14" customFormat="1" ht="30" customHeight="1" x14ac:dyDescent="0.25">
      <c r="A5" s="21" t="s">
        <v>3</v>
      </c>
      <c r="B5" s="22" t="s">
        <v>156</v>
      </c>
      <c r="C5" s="12">
        <f>COUNTIF(Başvuru!$J:$K, $B5)</f>
        <v>28</v>
      </c>
      <c r="D5" s="12">
        <f>COUNTIFS(Başvuru!$G:$G, "Bireysel Araştırma", Başvuru!$L:$L, D$2, Başvuru!$J:$J, $B5) + COUNTIFS(Başvuru!$G:$G, "Bireysel Araştırma", Başvuru!$L:$L, D$2, Başvuru!$K:$K, $B5)</f>
        <v>10</v>
      </c>
      <c r="E5" s="12">
        <f>COUNTIFS(Başvuru!$G:$G, "Bireysel Araştırma", Başvuru!$L:$L, E$2, Başvuru!$J:$J, $B5) + COUNTIFS(Başvuru!$G:$G, "Bireysel Araştırma", Başvuru!$L:$L, E$2, Başvuru!$K:$K, $B5)</f>
        <v>7</v>
      </c>
      <c r="F5" s="12">
        <f>COUNTIFS(Başvuru!$G:$G, "Bireysel Araştırma", Başvuru!$L:$L, F$2, Başvuru!$J:$J, $B5) + COUNTIFS(Başvuru!$G:$G, "Bireysel Araştırma", Başvuru!$L:$L, F$2, Başvuru!$K:$K, $B5)</f>
        <v>0</v>
      </c>
      <c r="G5" s="12">
        <f>COUNTIFS(Başvuru!$G:$G, "Bireysel Araştırma", Başvuru!$L:$L, G$2, Başvuru!$J:$J, $B5) + COUNTIFS(Başvuru!$G:$G, "Bireysel Araştırma", Başvuru!$L:$L, G$2, Başvuru!$K:$K, $B5)</f>
        <v>0</v>
      </c>
      <c r="H5" s="12">
        <f>COUNTIFS(Başvuru!$G:$G, "Bireysel Araştırma", Başvuru!$L:$L, H$2, Başvuru!$J:$J, $B5) + COUNTIFS(Başvuru!$G:$G, "Bireysel Araştırma", Başvuru!$L:$L, H$2, Başvuru!$K:$K, $B5)</f>
        <v>1</v>
      </c>
      <c r="I5" s="12">
        <f>COUNTIFS(Başvuru!$G:$G, "Bireysel Araştırma", Başvuru!$L:$L, I$2, Başvuru!$J:$J, $B5) + COUNTIFS(Başvuru!$G:$G, "Bireysel Araştırma", Başvuru!$L:$L, I$2, Başvuru!$K:$K, $B5)</f>
        <v>0</v>
      </c>
      <c r="J5" s="12">
        <f>COUNTIFS(Başvuru!$G:$G, "Bireysel Araştırma", Başvuru!$L:$L, J$2, Başvuru!$J:$J, $B5) + COUNTIFS(Başvuru!$G:$G, "Bireysel Araştırma", Başvuru!$L:$L, J$2, Başvuru!$K:$K, $B5)</f>
        <v>0</v>
      </c>
      <c r="K5" s="12">
        <f t="shared" si="1"/>
        <v>18</v>
      </c>
      <c r="L5" s="12">
        <f>COUNTIFS(Başvuru!$G:$G, "Yüksek Lisans Tezi", Başvuru!$L:$L, L$2, Başvuru!$J:$J, $B5) + COUNTIFS(Başvuru!$G:$G, "Yüksek Lisans Tezi", Başvuru!$L:$L, L$2, Başvuru!$K:$K, $B5)</f>
        <v>0</v>
      </c>
      <c r="M5" s="12">
        <f>COUNTIFS(Başvuru!$G:$G, "Yüksek Lisans Tezi", Başvuru!$L:$L, M$2, Başvuru!$J:$J, $B5) + COUNTIFS(Başvuru!$G:$G, "Yüksek Lisans Tezi", Başvuru!$L:$L, M$2, Başvuru!$K:$K, $B5)</f>
        <v>1</v>
      </c>
      <c r="N5" s="12">
        <f>COUNTIFS(Başvuru!$G:$G, "Yüksek Lisans Tezi", Başvuru!$L:$L, N$2, Başvuru!$J:$J, $B5) + COUNTIFS(Başvuru!$G:$G, "Yüksek Lisans Tezi", Başvuru!$L:$L, N$2, Başvuru!$K:$K, $B5)</f>
        <v>0</v>
      </c>
      <c r="O5" s="12">
        <f>COUNTIFS(Başvuru!$G:$G, "Yüksek Lisans Tezi", Başvuru!$L:$L, O$2, Başvuru!$J:$J, $B5) + COUNTIFS(Başvuru!$G:$G, "Yüksek Lisans Tezi", Başvuru!$L:$L, O$2, Başvuru!$K:$K, $B5)</f>
        <v>0</v>
      </c>
      <c r="P5" s="12">
        <f>COUNTIFS(Başvuru!$G:$G, "Yüksek Lisans Tezi", Başvuru!$L:$L, P$2, Başvuru!$J:$J, $B5) + COUNTIFS(Başvuru!$G:$G, "Yüksek Lisans Tezi", Başvuru!$L:$L, P$2, Başvuru!$K:$K, $B5)</f>
        <v>0</v>
      </c>
      <c r="Q5" s="12">
        <f>COUNTIFS(Başvuru!$G:$G, "Yüksek Lisans Tezi", Başvuru!$L:$L, Q$2, Başvuru!$J:$J, $B5) + COUNTIFS(Başvuru!$G:$G, "Yüksek Lisans Tezi", Başvuru!$L:$L, Q$2, Başvuru!$K:$K, $B5)</f>
        <v>0</v>
      </c>
      <c r="R5" s="12">
        <f>COUNTIFS(Başvuru!$G:$G, "Yüksek Lisans Tezi", Başvuru!$L:$L, R$2, Başvuru!$J:$J, $B5) + COUNTIFS(Başvuru!$G:$G, "Yüksek Lisans Tezi", Başvuru!$L:$L, R$2, Başvuru!$K:$K, $B5)</f>
        <v>0</v>
      </c>
      <c r="S5" s="12">
        <f t="shared" si="2"/>
        <v>1</v>
      </c>
      <c r="T5" s="12">
        <f>COUNTIFS(Başvuru!$G:$G, "Doktora Tezi", Başvuru!$L:$L, T$2, Başvuru!$J:$J, $B5) + COUNTIFS(Başvuru!$G:$G, "Doktora Tezi", Başvuru!$L:$L, T$2, Başvuru!$K:$K, $B5)</f>
        <v>0</v>
      </c>
      <c r="U5" s="12">
        <f>COUNTIFS(Başvuru!$G:$G, "Doktora Tezi", Başvuru!$L:$L, U$2, Başvuru!$J:$J, $B5) + COUNTIFS(Başvuru!$G:$G, "Doktora Tezi", Başvuru!$L:$L, U$2, Başvuru!$K:$K, $B5)</f>
        <v>2</v>
      </c>
      <c r="V5" s="12">
        <f>COUNTIFS(Başvuru!$G:$G, "Doktora Tezi", Başvuru!$L:$L, V$2, Başvuru!$J:$J, $B5) + COUNTIFS(Başvuru!$G:$G, "Doktora Tezi", Başvuru!$L:$L, V$2, Başvuru!$K:$K, $B5)</f>
        <v>0</v>
      </c>
      <c r="W5" s="12">
        <f>COUNTIFS(Başvuru!$G:$G, "Doktora Tezi", Başvuru!$L:$L, W$2, Başvuru!$J:$J, $B5) + COUNTIFS(Başvuru!$G:$G, "Doktora Tezi", Başvuru!$L:$L, W$2, Başvuru!$K:$K, $B5)</f>
        <v>0</v>
      </c>
      <c r="X5" s="12">
        <f>COUNTIFS(Başvuru!$G:$G, "Doktora Tezi", Başvuru!$L:$L, X$2, Başvuru!$J:$J, $B5) + COUNTIFS(Başvuru!$G:$G, "Doktora Tezi", Başvuru!$L:$L, X$2, Başvuru!$K:$K, $B5)</f>
        <v>0</v>
      </c>
      <c r="Y5" s="12">
        <f>COUNTIFS(Başvuru!$G:$G, "Doktora Tezi", Başvuru!$L:$L, Y$2, Başvuru!$J:$J, $B5) + COUNTIFS(Başvuru!$G:$G, "Doktora Tezi", Başvuru!$L:$L, Y$2, Başvuru!$K:$K, $B5)</f>
        <v>0</v>
      </c>
      <c r="Z5" s="12">
        <f>COUNTIFS(Başvuru!$G:$G, "Doktora Tezi", Başvuru!$L:$L, Z$2, Başvuru!$J:$J, $B5) + COUNTIFS(Başvuru!$G:$G, "Doktora Tezi", Başvuru!$L:$L, Z$2, Başvuru!$K:$K, $B5)</f>
        <v>0</v>
      </c>
      <c r="AA5" s="12">
        <f t="shared" si="3"/>
        <v>2</v>
      </c>
      <c r="AB5" s="12">
        <f>COUNTIFS(Başvuru!$G:$G, "Uzmanlık Tezi", Başvuru!$L:$L, AB$2, Başvuru!$J:$J, $B5) + COUNTIFS(Başvuru!$G:$G, "Uzmanlık Tezi", Başvuru!$L:$L, AB$2, Başvuru!$K:$K, $B5)</f>
        <v>2</v>
      </c>
      <c r="AC5" s="12">
        <f>COUNTIFS(Başvuru!$G:$G, "Uzmanlık Tezi", Başvuru!$L:$L, AC$2, Başvuru!$J:$J, $B5) + COUNTIFS(Başvuru!$G:$G, "Uzmanlık Tezi", Başvuru!$L:$L, AC$2, Başvuru!$K:$K, $B5)</f>
        <v>3</v>
      </c>
      <c r="AD5" s="12">
        <f>COUNTIFS(Başvuru!$G:$G, "Uzmanlık Tezi", Başvuru!$L:$L, AD$2, Başvuru!$J:$J, $B5) + COUNTIFS(Başvuru!$G:$G, "Uzmanlık Tezi", Başvuru!$L:$L, AD$2, Başvuru!$K:$K, $B5)</f>
        <v>0</v>
      </c>
      <c r="AE5" s="12">
        <f>COUNTIFS(Başvuru!$G:$G, "Uzmanlık Tezi", Başvuru!$L:$L, AE$2, Başvuru!$J:$J, $B5) + COUNTIFS(Başvuru!$G:$G, "Uzmanlık Tezi", Başvuru!$L:$L, AE$2, Başvuru!$K:$K, $B5)</f>
        <v>0</v>
      </c>
      <c r="AF5" s="12">
        <f>COUNTIFS(Başvuru!$G:$G, "Uzmanlık Tezi", Başvuru!$L:$L, AF$2, Başvuru!$J:$J, $B5) + COUNTIFS(Başvuru!$G:$G, "Uzmanlık Tezi", Başvuru!$L:$L, AF$2, Başvuru!$K:$K, $B5)</f>
        <v>0</v>
      </c>
      <c r="AG5" s="12">
        <f>COUNTIFS(Başvuru!$G:$G, "Uzmanlık Tezi", Başvuru!$L:$L, AG$2, Başvuru!$J:$J, $B5) + COUNTIFS(Başvuru!$G:$G, "Uzmanlık Tezi", Başvuru!$L:$L, AG$2, Başvuru!$K:$K, $B5)</f>
        <v>1</v>
      </c>
      <c r="AH5" s="12">
        <f>COUNTIFS(Başvuru!$G:$G, "Uzmanlık Tezi", Başvuru!$L:$L, AH$2, Başvuru!$J:$J, $B5) + COUNTIFS(Başvuru!$G:$G, "Uzmanlık Tezi", Başvuru!$L:$L, AH$2, Başvuru!$K:$K, $B5)</f>
        <v>0</v>
      </c>
      <c r="AI5" s="12">
        <f t="shared" si="4"/>
        <v>6</v>
      </c>
      <c r="AJ5" s="31">
        <f t="shared" si="5"/>
        <v>12</v>
      </c>
      <c r="AK5" s="31">
        <f t="shared" si="5"/>
        <v>13</v>
      </c>
      <c r="AL5" s="31">
        <f t="shared" si="0"/>
        <v>0</v>
      </c>
      <c r="AM5" s="31">
        <f t="shared" si="0"/>
        <v>0</v>
      </c>
      <c r="AN5" s="31">
        <f t="shared" si="0"/>
        <v>1</v>
      </c>
      <c r="AO5" s="31">
        <f t="shared" si="0"/>
        <v>1</v>
      </c>
      <c r="AP5" s="31">
        <f t="shared" si="0"/>
        <v>0</v>
      </c>
      <c r="AQ5" s="31">
        <f t="shared" si="6"/>
        <v>27</v>
      </c>
    </row>
    <row r="6" spans="1:43" s="14" customFormat="1" ht="30" customHeight="1" x14ac:dyDescent="0.25">
      <c r="A6" s="21" t="s">
        <v>4</v>
      </c>
      <c r="B6" s="22" t="s">
        <v>88</v>
      </c>
      <c r="C6" s="12">
        <f>COUNTIF(Başvuru!$J:$K, $B6)</f>
        <v>25</v>
      </c>
      <c r="D6" s="12">
        <f>COUNTIFS(Başvuru!$G:$G, "Bireysel Araştırma", Başvuru!$L:$L, D$2, Başvuru!$J:$J, $B6) + COUNTIFS(Başvuru!$G:$G, "Bireysel Araştırma", Başvuru!$L:$L, D$2, Başvuru!$K:$K, $B6)</f>
        <v>10</v>
      </c>
      <c r="E6" s="12">
        <f>COUNTIFS(Başvuru!$G:$G, "Bireysel Araştırma", Başvuru!$L:$L, E$2, Başvuru!$J:$J, $B6) + COUNTIFS(Başvuru!$G:$G, "Bireysel Araştırma", Başvuru!$L:$L, E$2, Başvuru!$K:$K, $B6)</f>
        <v>2</v>
      </c>
      <c r="F6" s="12">
        <f>COUNTIFS(Başvuru!$G:$G, "Bireysel Araştırma", Başvuru!$L:$L, F$2, Başvuru!$J:$J, $B6) + COUNTIFS(Başvuru!$G:$G, "Bireysel Araştırma", Başvuru!$L:$L, F$2, Başvuru!$K:$K, $B6)</f>
        <v>0</v>
      </c>
      <c r="G6" s="12">
        <f>COUNTIFS(Başvuru!$G:$G, "Bireysel Araştırma", Başvuru!$L:$L, G$2, Başvuru!$J:$J, $B6) + COUNTIFS(Başvuru!$G:$G, "Bireysel Araştırma", Başvuru!$L:$L, G$2, Başvuru!$K:$K, $B6)</f>
        <v>2</v>
      </c>
      <c r="H6" s="12">
        <f>COUNTIFS(Başvuru!$G:$G, "Bireysel Araştırma", Başvuru!$L:$L, H$2, Başvuru!$J:$J, $B6) + COUNTIFS(Başvuru!$G:$G, "Bireysel Araştırma", Başvuru!$L:$L, H$2, Başvuru!$K:$K, $B6)</f>
        <v>0</v>
      </c>
      <c r="I6" s="12">
        <f>COUNTIFS(Başvuru!$G:$G, "Bireysel Araştırma", Başvuru!$L:$L, I$2, Başvuru!$J:$J, $B6) + COUNTIFS(Başvuru!$G:$G, "Bireysel Araştırma", Başvuru!$L:$L, I$2, Başvuru!$K:$K, $B6)</f>
        <v>0</v>
      </c>
      <c r="J6" s="12">
        <f>COUNTIFS(Başvuru!$G:$G, "Bireysel Araştırma", Başvuru!$L:$L, J$2, Başvuru!$J:$J, $B6) + COUNTIFS(Başvuru!$G:$G, "Bireysel Araştırma", Başvuru!$L:$L, J$2, Başvuru!$K:$K, $B6)</f>
        <v>0</v>
      </c>
      <c r="K6" s="12">
        <f t="shared" si="1"/>
        <v>14</v>
      </c>
      <c r="L6" s="12">
        <f>COUNTIFS(Başvuru!$G:$G, "Yüksek Lisans Tezi", Başvuru!$L:$L, L$2, Başvuru!$J:$J, $B6) + COUNTIFS(Başvuru!$G:$G, "Yüksek Lisans Tezi", Başvuru!$L:$L, L$2, Başvuru!$K:$K, $B6)</f>
        <v>0</v>
      </c>
      <c r="M6" s="12">
        <f>COUNTIFS(Başvuru!$G:$G, "Yüksek Lisans Tezi", Başvuru!$L:$L, M$2, Başvuru!$J:$J, $B6) + COUNTIFS(Başvuru!$G:$G, "Yüksek Lisans Tezi", Başvuru!$L:$L, M$2, Başvuru!$K:$K, $B6)</f>
        <v>0</v>
      </c>
      <c r="N6" s="12">
        <f>COUNTIFS(Başvuru!$G:$G, "Yüksek Lisans Tezi", Başvuru!$L:$L, N$2, Başvuru!$J:$J, $B6) + COUNTIFS(Başvuru!$G:$G, "Yüksek Lisans Tezi", Başvuru!$L:$L, N$2, Başvuru!$K:$K, $B6)</f>
        <v>0</v>
      </c>
      <c r="O6" s="12">
        <f>COUNTIFS(Başvuru!$G:$G, "Yüksek Lisans Tezi", Başvuru!$L:$L, O$2, Başvuru!$J:$J, $B6) + COUNTIFS(Başvuru!$G:$G, "Yüksek Lisans Tezi", Başvuru!$L:$L, O$2, Başvuru!$K:$K, $B6)</f>
        <v>0</v>
      </c>
      <c r="P6" s="12">
        <f>COUNTIFS(Başvuru!$G:$G, "Yüksek Lisans Tezi", Başvuru!$L:$L, P$2, Başvuru!$J:$J, $B6) + COUNTIFS(Başvuru!$G:$G, "Yüksek Lisans Tezi", Başvuru!$L:$L, P$2, Başvuru!$K:$K, $B6)</f>
        <v>0</v>
      </c>
      <c r="Q6" s="12">
        <f>COUNTIFS(Başvuru!$G:$G, "Yüksek Lisans Tezi", Başvuru!$L:$L, Q$2, Başvuru!$J:$J, $B6) + COUNTIFS(Başvuru!$G:$G, "Yüksek Lisans Tezi", Başvuru!$L:$L, Q$2, Başvuru!$K:$K, $B6)</f>
        <v>0</v>
      </c>
      <c r="R6" s="12">
        <f>COUNTIFS(Başvuru!$G:$G, "Yüksek Lisans Tezi", Başvuru!$L:$L, R$2, Başvuru!$J:$J, $B6) + COUNTIFS(Başvuru!$G:$G, "Yüksek Lisans Tezi", Başvuru!$L:$L, R$2, Başvuru!$K:$K, $B6)</f>
        <v>0</v>
      </c>
      <c r="S6" s="12">
        <f t="shared" si="2"/>
        <v>0</v>
      </c>
      <c r="T6" s="12">
        <f>COUNTIFS(Başvuru!$G:$G, "Doktora Tezi", Başvuru!$L:$L, T$2, Başvuru!$J:$J, $B6) + COUNTIFS(Başvuru!$G:$G, "Doktora Tezi", Başvuru!$L:$L, T$2, Başvuru!$K:$K, $B6)</f>
        <v>1</v>
      </c>
      <c r="U6" s="12">
        <f>COUNTIFS(Başvuru!$G:$G, "Doktora Tezi", Başvuru!$L:$L, U$2, Başvuru!$J:$J, $B6) + COUNTIFS(Başvuru!$G:$G, "Doktora Tezi", Başvuru!$L:$L, U$2, Başvuru!$K:$K, $B6)</f>
        <v>1</v>
      </c>
      <c r="V6" s="12">
        <f>COUNTIFS(Başvuru!$G:$G, "Doktora Tezi", Başvuru!$L:$L, V$2, Başvuru!$J:$J, $B6) + COUNTIFS(Başvuru!$G:$G, "Doktora Tezi", Başvuru!$L:$L, V$2, Başvuru!$K:$K, $B6)</f>
        <v>0</v>
      </c>
      <c r="W6" s="12">
        <f>COUNTIFS(Başvuru!$G:$G, "Doktora Tezi", Başvuru!$L:$L, W$2, Başvuru!$J:$J, $B6) + COUNTIFS(Başvuru!$G:$G, "Doktora Tezi", Başvuru!$L:$L, W$2, Başvuru!$K:$K, $B6)</f>
        <v>0</v>
      </c>
      <c r="X6" s="12">
        <f>COUNTIFS(Başvuru!$G:$G, "Doktora Tezi", Başvuru!$L:$L, X$2, Başvuru!$J:$J, $B6) + COUNTIFS(Başvuru!$G:$G, "Doktora Tezi", Başvuru!$L:$L, X$2, Başvuru!$K:$K, $B6)</f>
        <v>0</v>
      </c>
      <c r="Y6" s="12">
        <f>COUNTIFS(Başvuru!$G:$G, "Doktora Tezi", Başvuru!$L:$L, Y$2, Başvuru!$J:$J, $B6) + COUNTIFS(Başvuru!$G:$G, "Doktora Tezi", Başvuru!$L:$L, Y$2, Başvuru!$K:$K, $B6)</f>
        <v>0</v>
      </c>
      <c r="Z6" s="12">
        <f>COUNTIFS(Başvuru!$G:$G, "Doktora Tezi", Başvuru!$L:$L, Z$2, Başvuru!$J:$J, $B6) + COUNTIFS(Başvuru!$G:$G, "Doktora Tezi", Başvuru!$L:$L, Z$2, Başvuru!$K:$K, $B6)</f>
        <v>0</v>
      </c>
      <c r="AA6" s="12">
        <f t="shared" si="3"/>
        <v>2</v>
      </c>
      <c r="AB6" s="12">
        <f>COUNTIFS(Başvuru!$G:$G, "Uzmanlık Tezi", Başvuru!$L:$L, AB$2, Başvuru!$J:$J, $B6) + COUNTIFS(Başvuru!$G:$G, "Uzmanlık Tezi", Başvuru!$L:$L, AB$2, Başvuru!$K:$K, $B6)</f>
        <v>1</v>
      </c>
      <c r="AC6" s="12">
        <f>COUNTIFS(Başvuru!$G:$G, "Uzmanlık Tezi", Başvuru!$L:$L, AC$2, Başvuru!$J:$J, $B6) + COUNTIFS(Başvuru!$G:$G, "Uzmanlık Tezi", Başvuru!$L:$L, AC$2, Başvuru!$K:$K, $B6)</f>
        <v>0</v>
      </c>
      <c r="AD6" s="12">
        <f>COUNTIFS(Başvuru!$G:$G, "Uzmanlık Tezi", Başvuru!$L:$L, AD$2, Başvuru!$J:$J, $B6) + COUNTIFS(Başvuru!$G:$G, "Uzmanlık Tezi", Başvuru!$L:$L, AD$2, Başvuru!$K:$K, $B6)</f>
        <v>0</v>
      </c>
      <c r="AE6" s="12">
        <f>COUNTIFS(Başvuru!$G:$G, "Uzmanlık Tezi", Başvuru!$L:$L, AE$2, Başvuru!$J:$J, $B6) + COUNTIFS(Başvuru!$G:$G, "Uzmanlık Tezi", Başvuru!$L:$L, AE$2, Başvuru!$K:$K, $B6)</f>
        <v>0</v>
      </c>
      <c r="AF6" s="12">
        <f>COUNTIFS(Başvuru!$G:$G, "Uzmanlık Tezi", Başvuru!$L:$L, AF$2, Başvuru!$J:$J, $B6) + COUNTIFS(Başvuru!$G:$G, "Uzmanlık Tezi", Başvuru!$L:$L, AF$2, Başvuru!$K:$K, $B6)</f>
        <v>0</v>
      </c>
      <c r="AG6" s="12">
        <f>COUNTIFS(Başvuru!$G:$G, "Uzmanlık Tezi", Başvuru!$L:$L, AG$2, Başvuru!$J:$J, $B6) + COUNTIFS(Başvuru!$G:$G, "Uzmanlık Tezi", Başvuru!$L:$L, AG$2, Başvuru!$K:$K, $B6)</f>
        <v>0</v>
      </c>
      <c r="AH6" s="12">
        <f>COUNTIFS(Başvuru!$G:$G, "Uzmanlık Tezi", Başvuru!$L:$L, AH$2, Başvuru!$J:$J, $B6) + COUNTIFS(Başvuru!$G:$G, "Uzmanlık Tezi", Başvuru!$L:$L, AH$2, Başvuru!$K:$K, $B6)</f>
        <v>0</v>
      </c>
      <c r="AI6" s="12">
        <f t="shared" si="4"/>
        <v>1</v>
      </c>
      <c r="AJ6" s="31">
        <f t="shared" si="5"/>
        <v>12</v>
      </c>
      <c r="AK6" s="31">
        <f t="shared" si="5"/>
        <v>3</v>
      </c>
      <c r="AL6" s="31">
        <f t="shared" si="0"/>
        <v>0</v>
      </c>
      <c r="AM6" s="31">
        <f t="shared" si="0"/>
        <v>2</v>
      </c>
      <c r="AN6" s="31">
        <f t="shared" si="0"/>
        <v>0</v>
      </c>
      <c r="AO6" s="31">
        <f t="shared" si="0"/>
        <v>0</v>
      </c>
      <c r="AP6" s="31">
        <f t="shared" si="0"/>
        <v>0</v>
      </c>
      <c r="AQ6" s="31">
        <f t="shared" si="6"/>
        <v>17</v>
      </c>
    </row>
    <row r="7" spans="1:43" s="14" customFormat="1" ht="30" customHeight="1" x14ac:dyDescent="0.25">
      <c r="A7" s="21" t="s">
        <v>5</v>
      </c>
      <c r="B7" s="22" t="s">
        <v>91</v>
      </c>
      <c r="C7" s="12">
        <f>COUNTIF(Başvuru!$J:$K, $B7)</f>
        <v>25</v>
      </c>
      <c r="D7" s="12">
        <f>COUNTIFS(Başvuru!$G:$G, "Bireysel Araştırma", Başvuru!$L:$L, D$2, Başvuru!$J:$J, $B7) + COUNTIFS(Başvuru!$G:$G, "Bireysel Araştırma", Başvuru!$L:$L, D$2, Başvuru!$K:$K, $B7)</f>
        <v>7</v>
      </c>
      <c r="E7" s="12">
        <f>COUNTIFS(Başvuru!$G:$G, "Bireysel Araştırma", Başvuru!$L:$L, E$2, Başvuru!$J:$J, $B7) + COUNTIFS(Başvuru!$G:$G, "Bireysel Araştırma", Başvuru!$L:$L, E$2, Başvuru!$K:$K, $B7)</f>
        <v>4</v>
      </c>
      <c r="F7" s="12">
        <f>COUNTIFS(Başvuru!$G:$G, "Bireysel Araştırma", Başvuru!$L:$L, F$2, Başvuru!$J:$J, $B7) + COUNTIFS(Başvuru!$G:$G, "Bireysel Araştırma", Başvuru!$L:$L, F$2, Başvuru!$K:$K, $B7)</f>
        <v>0</v>
      </c>
      <c r="G7" s="12">
        <f>COUNTIFS(Başvuru!$G:$G, "Bireysel Araştırma", Başvuru!$L:$L, G$2, Başvuru!$J:$J, $B7) + COUNTIFS(Başvuru!$G:$G, "Bireysel Araştırma", Başvuru!$L:$L, G$2, Başvuru!$K:$K, $B7)</f>
        <v>0</v>
      </c>
      <c r="H7" s="12">
        <f>COUNTIFS(Başvuru!$G:$G, "Bireysel Araştırma", Başvuru!$L:$L, H$2, Başvuru!$J:$J, $B7) + COUNTIFS(Başvuru!$G:$G, "Bireysel Araştırma", Başvuru!$L:$L, H$2, Başvuru!$K:$K, $B7)</f>
        <v>0</v>
      </c>
      <c r="I7" s="12">
        <f>COUNTIFS(Başvuru!$G:$G, "Bireysel Araştırma", Başvuru!$L:$L, I$2, Başvuru!$J:$J, $B7) + COUNTIFS(Başvuru!$G:$G, "Bireysel Araştırma", Başvuru!$L:$L, I$2, Başvuru!$K:$K, $B7)</f>
        <v>0</v>
      </c>
      <c r="J7" s="12">
        <f>COUNTIFS(Başvuru!$G:$G, "Bireysel Araştırma", Başvuru!$L:$L, J$2, Başvuru!$J:$J, $B7) + COUNTIFS(Başvuru!$G:$G, "Bireysel Araştırma", Başvuru!$L:$L, J$2, Başvuru!$K:$K, $B7)</f>
        <v>0</v>
      </c>
      <c r="K7" s="12">
        <f t="shared" si="1"/>
        <v>11</v>
      </c>
      <c r="L7" s="12">
        <f>COUNTIFS(Başvuru!$G:$G, "Yüksek Lisans Tezi", Başvuru!$L:$L, L$2, Başvuru!$J:$J, $B7) + COUNTIFS(Başvuru!$G:$G, "Yüksek Lisans Tezi", Başvuru!$L:$L, L$2, Başvuru!$K:$K, $B7)</f>
        <v>0</v>
      </c>
      <c r="M7" s="12">
        <f>COUNTIFS(Başvuru!$G:$G, "Yüksek Lisans Tezi", Başvuru!$L:$L, M$2, Başvuru!$J:$J, $B7) + COUNTIFS(Başvuru!$G:$G, "Yüksek Lisans Tezi", Başvuru!$L:$L, M$2, Başvuru!$K:$K, $B7)</f>
        <v>0</v>
      </c>
      <c r="N7" s="12">
        <f>COUNTIFS(Başvuru!$G:$G, "Yüksek Lisans Tezi", Başvuru!$L:$L, N$2, Başvuru!$J:$J, $B7) + COUNTIFS(Başvuru!$G:$G, "Yüksek Lisans Tezi", Başvuru!$L:$L, N$2, Başvuru!$K:$K, $B7)</f>
        <v>0</v>
      </c>
      <c r="O7" s="12">
        <f>COUNTIFS(Başvuru!$G:$G, "Yüksek Lisans Tezi", Başvuru!$L:$L, O$2, Başvuru!$J:$J, $B7) + COUNTIFS(Başvuru!$G:$G, "Yüksek Lisans Tezi", Başvuru!$L:$L, O$2, Başvuru!$K:$K, $B7)</f>
        <v>0</v>
      </c>
      <c r="P7" s="12">
        <f>COUNTIFS(Başvuru!$G:$G, "Yüksek Lisans Tezi", Başvuru!$L:$L, P$2, Başvuru!$J:$J, $B7) + COUNTIFS(Başvuru!$G:$G, "Yüksek Lisans Tezi", Başvuru!$L:$L, P$2, Başvuru!$K:$K, $B7)</f>
        <v>0</v>
      </c>
      <c r="Q7" s="12">
        <f>COUNTIFS(Başvuru!$G:$G, "Yüksek Lisans Tezi", Başvuru!$L:$L, Q$2, Başvuru!$J:$J, $B7) + COUNTIFS(Başvuru!$G:$G, "Yüksek Lisans Tezi", Başvuru!$L:$L, Q$2, Başvuru!$K:$K, $B7)</f>
        <v>0</v>
      </c>
      <c r="R7" s="12">
        <f>COUNTIFS(Başvuru!$G:$G, "Yüksek Lisans Tezi", Başvuru!$L:$L, R$2, Başvuru!$J:$J, $B7) + COUNTIFS(Başvuru!$G:$G, "Yüksek Lisans Tezi", Başvuru!$L:$L, R$2, Başvuru!$K:$K, $B7)</f>
        <v>0</v>
      </c>
      <c r="S7" s="12">
        <f t="shared" si="2"/>
        <v>0</v>
      </c>
      <c r="T7" s="12">
        <f>COUNTIFS(Başvuru!$G:$G, "Doktora Tezi", Başvuru!$L:$L, T$2, Başvuru!$J:$J, $B7) + COUNTIFS(Başvuru!$G:$G, "Doktora Tezi", Başvuru!$L:$L, T$2, Başvuru!$K:$K, $B7)</f>
        <v>0</v>
      </c>
      <c r="U7" s="12">
        <f>COUNTIFS(Başvuru!$G:$G, "Doktora Tezi", Başvuru!$L:$L, U$2, Başvuru!$J:$J, $B7) + COUNTIFS(Başvuru!$G:$G, "Doktora Tezi", Başvuru!$L:$L, U$2, Başvuru!$K:$K, $B7)</f>
        <v>1</v>
      </c>
      <c r="V7" s="12">
        <f>COUNTIFS(Başvuru!$G:$G, "Doktora Tezi", Başvuru!$L:$L, V$2, Başvuru!$J:$J, $B7) + COUNTIFS(Başvuru!$G:$G, "Doktora Tezi", Başvuru!$L:$L, V$2, Başvuru!$K:$K, $B7)</f>
        <v>0</v>
      </c>
      <c r="W7" s="12">
        <f>COUNTIFS(Başvuru!$G:$G, "Doktora Tezi", Başvuru!$L:$L, W$2, Başvuru!$J:$J, $B7) + COUNTIFS(Başvuru!$G:$G, "Doktora Tezi", Başvuru!$L:$L, W$2, Başvuru!$K:$K, $B7)</f>
        <v>0</v>
      </c>
      <c r="X7" s="12">
        <f>COUNTIFS(Başvuru!$G:$G, "Doktora Tezi", Başvuru!$L:$L, X$2, Başvuru!$J:$J, $B7) + COUNTIFS(Başvuru!$G:$G, "Doktora Tezi", Başvuru!$L:$L, X$2, Başvuru!$K:$K, $B7)</f>
        <v>0</v>
      </c>
      <c r="Y7" s="12">
        <f>COUNTIFS(Başvuru!$G:$G, "Doktora Tezi", Başvuru!$L:$L, Y$2, Başvuru!$J:$J, $B7) + COUNTIFS(Başvuru!$G:$G, "Doktora Tezi", Başvuru!$L:$L, Y$2, Başvuru!$K:$K, $B7)</f>
        <v>0</v>
      </c>
      <c r="Z7" s="12">
        <f>COUNTIFS(Başvuru!$G:$G, "Doktora Tezi", Başvuru!$L:$L, Z$2, Başvuru!$J:$J, $B7) + COUNTIFS(Başvuru!$G:$G, "Doktora Tezi", Başvuru!$L:$L, Z$2, Başvuru!$K:$K, $B7)</f>
        <v>0</v>
      </c>
      <c r="AA7" s="12">
        <f t="shared" si="3"/>
        <v>1</v>
      </c>
      <c r="AB7" s="12">
        <f>COUNTIFS(Başvuru!$G:$G, "Uzmanlık Tezi", Başvuru!$L:$L, AB$2, Başvuru!$J:$J, $B7) + COUNTIFS(Başvuru!$G:$G, "Uzmanlık Tezi", Başvuru!$L:$L, AB$2, Başvuru!$K:$K, $B7)</f>
        <v>2</v>
      </c>
      <c r="AC7" s="12">
        <f>COUNTIFS(Başvuru!$G:$G, "Uzmanlık Tezi", Başvuru!$L:$L, AC$2, Başvuru!$J:$J, $B7) + COUNTIFS(Başvuru!$G:$G, "Uzmanlık Tezi", Başvuru!$L:$L, AC$2, Başvuru!$K:$K, $B7)</f>
        <v>3</v>
      </c>
      <c r="AD7" s="12">
        <f>COUNTIFS(Başvuru!$G:$G, "Uzmanlık Tezi", Başvuru!$L:$L, AD$2, Başvuru!$J:$J, $B7) + COUNTIFS(Başvuru!$G:$G, "Uzmanlık Tezi", Başvuru!$L:$L, AD$2, Başvuru!$K:$K, $B7)</f>
        <v>0</v>
      </c>
      <c r="AE7" s="12">
        <f>COUNTIFS(Başvuru!$G:$G, "Uzmanlık Tezi", Başvuru!$L:$L, AE$2, Başvuru!$J:$J, $B7) + COUNTIFS(Başvuru!$G:$G, "Uzmanlık Tezi", Başvuru!$L:$L, AE$2, Başvuru!$K:$K, $B7)</f>
        <v>0</v>
      </c>
      <c r="AF7" s="12">
        <f>COUNTIFS(Başvuru!$G:$G, "Uzmanlık Tezi", Başvuru!$L:$L, AF$2, Başvuru!$J:$J, $B7) + COUNTIFS(Başvuru!$G:$G, "Uzmanlık Tezi", Başvuru!$L:$L, AF$2, Başvuru!$K:$K, $B7)</f>
        <v>0</v>
      </c>
      <c r="AG7" s="12">
        <f>COUNTIFS(Başvuru!$G:$G, "Uzmanlık Tezi", Başvuru!$L:$L, AG$2, Başvuru!$J:$J, $B7) + COUNTIFS(Başvuru!$G:$G, "Uzmanlık Tezi", Başvuru!$L:$L, AG$2, Başvuru!$K:$K, $B7)</f>
        <v>0</v>
      </c>
      <c r="AH7" s="12">
        <f>COUNTIFS(Başvuru!$G:$G, "Uzmanlık Tezi", Başvuru!$L:$L, AH$2, Başvuru!$J:$J, $B7) + COUNTIFS(Başvuru!$G:$G, "Uzmanlık Tezi", Başvuru!$L:$L, AH$2, Başvuru!$K:$K, $B7)</f>
        <v>0</v>
      </c>
      <c r="AI7" s="12">
        <f t="shared" si="4"/>
        <v>5</v>
      </c>
      <c r="AJ7" s="31">
        <f t="shared" si="5"/>
        <v>9</v>
      </c>
      <c r="AK7" s="31">
        <f t="shared" si="5"/>
        <v>8</v>
      </c>
      <c r="AL7" s="31">
        <f t="shared" si="0"/>
        <v>0</v>
      </c>
      <c r="AM7" s="31">
        <f t="shared" si="0"/>
        <v>0</v>
      </c>
      <c r="AN7" s="31">
        <f t="shared" si="0"/>
        <v>0</v>
      </c>
      <c r="AO7" s="31">
        <f t="shared" si="0"/>
        <v>0</v>
      </c>
      <c r="AP7" s="31">
        <f t="shared" si="0"/>
        <v>0</v>
      </c>
      <c r="AQ7" s="31">
        <f t="shared" si="6"/>
        <v>17</v>
      </c>
    </row>
    <row r="8" spans="1:43" s="14" customFormat="1" ht="30" customHeight="1" x14ac:dyDescent="0.25">
      <c r="A8" s="21" t="s">
        <v>6</v>
      </c>
      <c r="B8" s="22" t="s">
        <v>94</v>
      </c>
      <c r="C8" s="12">
        <f>COUNTIF(Başvuru!$J:$K, $B8)</f>
        <v>36</v>
      </c>
      <c r="D8" s="12">
        <f>COUNTIFS(Başvuru!$G:$G, "Bireysel Araştırma", Başvuru!$L:$L, D$2, Başvuru!$J:$J, $B8) + COUNTIFS(Başvuru!$G:$G, "Bireysel Araştırma", Başvuru!$L:$L, D$2, Başvuru!$K:$K, $B8)</f>
        <v>13</v>
      </c>
      <c r="E8" s="12">
        <f>COUNTIFS(Başvuru!$G:$G, "Bireysel Araştırma", Başvuru!$L:$L, E$2, Başvuru!$J:$J, $B8) + COUNTIFS(Başvuru!$G:$G, "Bireysel Araştırma", Başvuru!$L:$L, E$2, Başvuru!$K:$K, $B8)</f>
        <v>5</v>
      </c>
      <c r="F8" s="12">
        <f>COUNTIFS(Başvuru!$G:$G, "Bireysel Araştırma", Başvuru!$L:$L, F$2, Başvuru!$J:$J, $B8) + COUNTIFS(Başvuru!$G:$G, "Bireysel Araştırma", Başvuru!$L:$L, F$2, Başvuru!$K:$K, $B8)</f>
        <v>0</v>
      </c>
      <c r="G8" s="12">
        <f>COUNTIFS(Başvuru!$G:$G, "Bireysel Araştırma", Başvuru!$L:$L, G$2, Başvuru!$J:$J, $B8) + COUNTIFS(Başvuru!$G:$G, "Bireysel Araştırma", Başvuru!$L:$L, G$2, Başvuru!$K:$K, $B8)</f>
        <v>1</v>
      </c>
      <c r="H8" s="12">
        <f>COUNTIFS(Başvuru!$G:$G, "Bireysel Araştırma", Başvuru!$L:$L, H$2, Başvuru!$J:$J, $B8) + COUNTIFS(Başvuru!$G:$G, "Bireysel Araştırma", Başvuru!$L:$L, H$2, Başvuru!$K:$K, $B8)</f>
        <v>0</v>
      </c>
      <c r="I8" s="12">
        <f>COUNTIFS(Başvuru!$G:$G, "Bireysel Araştırma", Başvuru!$L:$L, I$2, Başvuru!$J:$J, $B8) + COUNTIFS(Başvuru!$G:$G, "Bireysel Araştırma", Başvuru!$L:$L, I$2, Başvuru!$K:$K, $B8)</f>
        <v>0</v>
      </c>
      <c r="J8" s="12">
        <f>COUNTIFS(Başvuru!$G:$G, "Bireysel Araştırma", Başvuru!$L:$L, J$2, Başvuru!$J:$J, $B8) + COUNTIFS(Başvuru!$G:$G, "Bireysel Araştırma", Başvuru!$L:$L, J$2, Başvuru!$K:$K, $B8)</f>
        <v>0</v>
      </c>
      <c r="K8" s="12">
        <f t="shared" si="1"/>
        <v>19</v>
      </c>
      <c r="L8" s="12">
        <f>COUNTIFS(Başvuru!$G:$G, "Yüksek Lisans Tezi", Başvuru!$L:$L, L$2, Başvuru!$J:$J, $B8) + COUNTIFS(Başvuru!$G:$G, "Yüksek Lisans Tezi", Başvuru!$L:$L, L$2, Başvuru!$K:$K, $B8)</f>
        <v>0</v>
      </c>
      <c r="M8" s="12">
        <f>COUNTIFS(Başvuru!$G:$G, "Yüksek Lisans Tezi", Başvuru!$L:$L, M$2, Başvuru!$J:$J, $B8) + COUNTIFS(Başvuru!$G:$G, "Yüksek Lisans Tezi", Başvuru!$L:$L, M$2, Başvuru!$K:$K, $B8)</f>
        <v>0</v>
      </c>
      <c r="N8" s="12">
        <f>COUNTIFS(Başvuru!$G:$G, "Yüksek Lisans Tezi", Başvuru!$L:$L, N$2, Başvuru!$J:$J, $B8) + COUNTIFS(Başvuru!$G:$G, "Yüksek Lisans Tezi", Başvuru!$L:$L, N$2, Başvuru!$K:$K, $B8)</f>
        <v>0</v>
      </c>
      <c r="O8" s="12">
        <f>COUNTIFS(Başvuru!$G:$G, "Yüksek Lisans Tezi", Başvuru!$L:$L, O$2, Başvuru!$J:$J, $B8) + COUNTIFS(Başvuru!$G:$G, "Yüksek Lisans Tezi", Başvuru!$L:$L, O$2, Başvuru!$K:$K, $B8)</f>
        <v>0</v>
      </c>
      <c r="P8" s="12">
        <f>COUNTIFS(Başvuru!$G:$G, "Yüksek Lisans Tezi", Başvuru!$L:$L, P$2, Başvuru!$J:$J, $B8) + COUNTIFS(Başvuru!$G:$G, "Yüksek Lisans Tezi", Başvuru!$L:$L, P$2, Başvuru!$K:$K, $B8)</f>
        <v>0</v>
      </c>
      <c r="Q8" s="12">
        <f>COUNTIFS(Başvuru!$G:$G, "Yüksek Lisans Tezi", Başvuru!$L:$L, Q$2, Başvuru!$J:$J, $B8) + COUNTIFS(Başvuru!$G:$G, "Yüksek Lisans Tezi", Başvuru!$L:$L, Q$2, Başvuru!$K:$K, $B8)</f>
        <v>0</v>
      </c>
      <c r="R8" s="12">
        <f>COUNTIFS(Başvuru!$G:$G, "Yüksek Lisans Tezi", Başvuru!$L:$L, R$2, Başvuru!$J:$J, $B8) + COUNTIFS(Başvuru!$G:$G, "Yüksek Lisans Tezi", Başvuru!$L:$L, R$2, Başvuru!$K:$K, $B8)</f>
        <v>0</v>
      </c>
      <c r="S8" s="12">
        <f t="shared" si="2"/>
        <v>0</v>
      </c>
      <c r="T8" s="12">
        <f>COUNTIFS(Başvuru!$G:$G, "Doktora Tezi", Başvuru!$L:$L, T$2, Başvuru!$J:$J, $B8) + COUNTIFS(Başvuru!$G:$G, "Doktora Tezi", Başvuru!$L:$L, T$2, Başvuru!$K:$K, $B8)</f>
        <v>0</v>
      </c>
      <c r="U8" s="12">
        <f>COUNTIFS(Başvuru!$G:$G, "Doktora Tezi", Başvuru!$L:$L, U$2, Başvuru!$J:$J, $B8) + COUNTIFS(Başvuru!$G:$G, "Doktora Tezi", Başvuru!$L:$L, U$2, Başvuru!$K:$K, $B8)</f>
        <v>1</v>
      </c>
      <c r="V8" s="12">
        <f>COUNTIFS(Başvuru!$G:$G, "Doktora Tezi", Başvuru!$L:$L, V$2, Başvuru!$J:$J, $B8) + COUNTIFS(Başvuru!$G:$G, "Doktora Tezi", Başvuru!$L:$L, V$2, Başvuru!$K:$K, $B8)</f>
        <v>0</v>
      </c>
      <c r="W8" s="12">
        <f>COUNTIFS(Başvuru!$G:$G, "Doktora Tezi", Başvuru!$L:$L, W$2, Başvuru!$J:$J, $B8) + COUNTIFS(Başvuru!$G:$G, "Doktora Tezi", Başvuru!$L:$L, W$2, Başvuru!$K:$K, $B8)</f>
        <v>0</v>
      </c>
      <c r="X8" s="12">
        <f>COUNTIFS(Başvuru!$G:$G, "Doktora Tezi", Başvuru!$L:$L, X$2, Başvuru!$J:$J, $B8) + COUNTIFS(Başvuru!$G:$G, "Doktora Tezi", Başvuru!$L:$L, X$2, Başvuru!$K:$K, $B8)</f>
        <v>0</v>
      </c>
      <c r="Y8" s="12">
        <f>COUNTIFS(Başvuru!$G:$G, "Doktora Tezi", Başvuru!$L:$L, Y$2, Başvuru!$J:$J, $B8) + COUNTIFS(Başvuru!$G:$G, "Doktora Tezi", Başvuru!$L:$L, Y$2, Başvuru!$K:$K, $B8)</f>
        <v>0</v>
      </c>
      <c r="Z8" s="12">
        <f>COUNTIFS(Başvuru!$G:$G, "Doktora Tezi", Başvuru!$L:$L, Z$2, Başvuru!$J:$J, $B8) + COUNTIFS(Başvuru!$G:$G, "Doktora Tezi", Başvuru!$L:$L, Z$2, Başvuru!$K:$K, $B8)</f>
        <v>0</v>
      </c>
      <c r="AA8" s="12">
        <f t="shared" si="3"/>
        <v>1</v>
      </c>
      <c r="AB8" s="12">
        <f>COUNTIFS(Başvuru!$G:$G, "Uzmanlık Tezi", Başvuru!$L:$L, AB$2, Başvuru!$J:$J, $B8) + COUNTIFS(Başvuru!$G:$G, "Uzmanlık Tezi", Başvuru!$L:$L, AB$2, Başvuru!$K:$K, $B8)</f>
        <v>4</v>
      </c>
      <c r="AC8" s="12">
        <f>COUNTIFS(Başvuru!$G:$G, "Uzmanlık Tezi", Başvuru!$L:$L, AC$2, Başvuru!$J:$J, $B8) + COUNTIFS(Başvuru!$G:$G, "Uzmanlık Tezi", Başvuru!$L:$L, AC$2, Başvuru!$K:$K, $B8)</f>
        <v>2</v>
      </c>
      <c r="AD8" s="12">
        <f>COUNTIFS(Başvuru!$G:$G, "Uzmanlık Tezi", Başvuru!$L:$L, AD$2, Başvuru!$J:$J, $B8) + COUNTIFS(Başvuru!$G:$G, "Uzmanlık Tezi", Başvuru!$L:$L, AD$2, Başvuru!$K:$K, $B8)</f>
        <v>1</v>
      </c>
      <c r="AE8" s="12">
        <f>COUNTIFS(Başvuru!$G:$G, "Uzmanlık Tezi", Başvuru!$L:$L, AE$2, Başvuru!$J:$J, $B8) + COUNTIFS(Başvuru!$G:$G, "Uzmanlık Tezi", Başvuru!$L:$L, AE$2, Başvuru!$K:$K, $B8)</f>
        <v>0</v>
      </c>
      <c r="AF8" s="12">
        <f>COUNTIFS(Başvuru!$G:$G, "Uzmanlık Tezi", Başvuru!$L:$L, AF$2, Başvuru!$J:$J, $B8) + COUNTIFS(Başvuru!$G:$G, "Uzmanlık Tezi", Başvuru!$L:$L, AF$2, Başvuru!$K:$K, $B8)</f>
        <v>0</v>
      </c>
      <c r="AG8" s="12">
        <f>COUNTIFS(Başvuru!$G:$G, "Uzmanlık Tezi", Başvuru!$L:$L, AG$2, Başvuru!$J:$J, $B8) + COUNTIFS(Başvuru!$G:$G, "Uzmanlık Tezi", Başvuru!$L:$L, AG$2, Başvuru!$K:$K, $B8)</f>
        <v>0</v>
      </c>
      <c r="AH8" s="12">
        <f>COUNTIFS(Başvuru!$G:$G, "Uzmanlık Tezi", Başvuru!$L:$L, AH$2, Başvuru!$J:$J, $B8) + COUNTIFS(Başvuru!$G:$G, "Uzmanlık Tezi", Başvuru!$L:$L, AH$2, Başvuru!$K:$K, $B8)</f>
        <v>0</v>
      </c>
      <c r="AI8" s="12">
        <f t="shared" si="4"/>
        <v>7</v>
      </c>
      <c r="AJ8" s="31">
        <f t="shared" si="5"/>
        <v>17</v>
      </c>
      <c r="AK8" s="31">
        <f t="shared" si="5"/>
        <v>8</v>
      </c>
      <c r="AL8" s="31">
        <f t="shared" si="0"/>
        <v>1</v>
      </c>
      <c r="AM8" s="31">
        <f t="shared" si="0"/>
        <v>1</v>
      </c>
      <c r="AN8" s="31">
        <f t="shared" si="0"/>
        <v>0</v>
      </c>
      <c r="AO8" s="31">
        <f t="shared" si="0"/>
        <v>0</v>
      </c>
      <c r="AP8" s="31">
        <f t="shared" si="0"/>
        <v>0</v>
      </c>
      <c r="AQ8" s="31">
        <f t="shared" si="6"/>
        <v>27</v>
      </c>
    </row>
    <row r="9" spans="1:43" s="14" customFormat="1" ht="30" customHeight="1" x14ac:dyDescent="0.25">
      <c r="A9" s="21" t="s">
        <v>7</v>
      </c>
      <c r="B9" s="22" t="s">
        <v>92</v>
      </c>
      <c r="C9" s="12">
        <f>COUNTIF(Başvuru!$J:$K, $B9)</f>
        <v>36</v>
      </c>
      <c r="D9" s="12">
        <f>COUNTIFS(Başvuru!$G:$G, "Bireysel Araştırma", Başvuru!$L:$L, D$2, Başvuru!$J:$J, $B9) + COUNTIFS(Başvuru!$G:$G, "Bireysel Araştırma", Başvuru!$L:$L, D$2, Başvuru!$K:$K, $B9)</f>
        <v>14</v>
      </c>
      <c r="E9" s="12">
        <f>COUNTIFS(Başvuru!$G:$G, "Bireysel Araştırma", Başvuru!$L:$L, E$2, Başvuru!$J:$J, $B9) + COUNTIFS(Başvuru!$G:$G, "Bireysel Araştırma", Başvuru!$L:$L, E$2, Başvuru!$K:$K, $B9)</f>
        <v>5</v>
      </c>
      <c r="F9" s="12">
        <f>COUNTIFS(Başvuru!$G:$G, "Bireysel Araştırma", Başvuru!$L:$L, F$2, Başvuru!$J:$J, $B9) + COUNTIFS(Başvuru!$G:$G, "Bireysel Araştırma", Başvuru!$L:$L, F$2, Başvuru!$K:$K, $B9)</f>
        <v>0</v>
      </c>
      <c r="G9" s="12">
        <f>COUNTIFS(Başvuru!$G:$G, "Bireysel Araştırma", Başvuru!$L:$L, G$2, Başvuru!$J:$J, $B9) + COUNTIFS(Başvuru!$G:$G, "Bireysel Araştırma", Başvuru!$L:$L, G$2, Başvuru!$K:$K, $B9)</f>
        <v>0</v>
      </c>
      <c r="H9" s="12">
        <f>COUNTIFS(Başvuru!$G:$G, "Bireysel Araştırma", Başvuru!$L:$L, H$2, Başvuru!$J:$J, $B9) + COUNTIFS(Başvuru!$G:$G, "Bireysel Araştırma", Başvuru!$L:$L, H$2, Başvuru!$K:$K, $B9)</f>
        <v>1</v>
      </c>
      <c r="I9" s="12">
        <f>COUNTIFS(Başvuru!$G:$G, "Bireysel Araştırma", Başvuru!$L:$L, I$2, Başvuru!$J:$J, $B9) + COUNTIFS(Başvuru!$G:$G, "Bireysel Araştırma", Başvuru!$L:$L, I$2, Başvuru!$K:$K, $B9)</f>
        <v>0</v>
      </c>
      <c r="J9" s="12">
        <f>COUNTIFS(Başvuru!$G:$G, "Bireysel Araştırma", Başvuru!$L:$L, J$2, Başvuru!$J:$J, $B9) + COUNTIFS(Başvuru!$G:$G, "Bireysel Araştırma", Başvuru!$L:$L, J$2, Başvuru!$K:$K, $B9)</f>
        <v>0</v>
      </c>
      <c r="K9" s="12">
        <f t="shared" si="1"/>
        <v>20</v>
      </c>
      <c r="L9" s="12">
        <f>COUNTIFS(Başvuru!$G:$G, "Yüksek Lisans Tezi", Başvuru!$L:$L, L$2, Başvuru!$J:$J, $B9) + COUNTIFS(Başvuru!$G:$G, "Yüksek Lisans Tezi", Başvuru!$L:$L, L$2, Başvuru!$K:$K, $B9)</f>
        <v>0</v>
      </c>
      <c r="M9" s="12">
        <f>COUNTIFS(Başvuru!$G:$G, "Yüksek Lisans Tezi", Başvuru!$L:$L, M$2, Başvuru!$J:$J, $B9) + COUNTIFS(Başvuru!$G:$G, "Yüksek Lisans Tezi", Başvuru!$L:$L, M$2, Başvuru!$K:$K, $B9)</f>
        <v>0</v>
      </c>
      <c r="N9" s="12">
        <f>COUNTIFS(Başvuru!$G:$G, "Yüksek Lisans Tezi", Başvuru!$L:$L, N$2, Başvuru!$J:$J, $B9) + COUNTIFS(Başvuru!$G:$G, "Yüksek Lisans Tezi", Başvuru!$L:$L, N$2, Başvuru!$K:$K, $B9)</f>
        <v>0</v>
      </c>
      <c r="O9" s="12">
        <f>COUNTIFS(Başvuru!$G:$G, "Yüksek Lisans Tezi", Başvuru!$L:$L, O$2, Başvuru!$J:$J, $B9) + COUNTIFS(Başvuru!$G:$G, "Yüksek Lisans Tezi", Başvuru!$L:$L, O$2, Başvuru!$K:$K, $B9)</f>
        <v>0</v>
      </c>
      <c r="P9" s="12">
        <f>COUNTIFS(Başvuru!$G:$G, "Yüksek Lisans Tezi", Başvuru!$L:$L, P$2, Başvuru!$J:$J, $B9) + COUNTIFS(Başvuru!$G:$G, "Yüksek Lisans Tezi", Başvuru!$L:$L, P$2, Başvuru!$K:$K, $B9)</f>
        <v>0</v>
      </c>
      <c r="Q9" s="12">
        <f>COUNTIFS(Başvuru!$G:$G, "Yüksek Lisans Tezi", Başvuru!$L:$L, Q$2, Başvuru!$J:$J, $B9) + COUNTIFS(Başvuru!$G:$G, "Yüksek Lisans Tezi", Başvuru!$L:$L, Q$2, Başvuru!$K:$K, $B9)</f>
        <v>0</v>
      </c>
      <c r="R9" s="12">
        <f>COUNTIFS(Başvuru!$G:$G, "Yüksek Lisans Tezi", Başvuru!$L:$L, R$2, Başvuru!$J:$J, $B9) + COUNTIFS(Başvuru!$G:$G, "Yüksek Lisans Tezi", Başvuru!$L:$L, R$2, Başvuru!$K:$K, $B9)</f>
        <v>0</v>
      </c>
      <c r="S9" s="12">
        <f t="shared" si="2"/>
        <v>0</v>
      </c>
      <c r="T9" s="12">
        <f>COUNTIFS(Başvuru!$G:$G, "Doktora Tezi", Başvuru!$L:$L, T$2, Başvuru!$J:$J, $B9) + COUNTIFS(Başvuru!$G:$G, "Doktora Tezi", Başvuru!$L:$L, T$2, Başvuru!$K:$K, $B9)</f>
        <v>1</v>
      </c>
      <c r="U9" s="12">
        <f>COUNTIFS(Başvuru!$G:$G, "Doktora Tezi", Başvuru!$L:$L, U$2, Başvuru!$J:$J, $B9) + COUNTIFS(Başvuru!$G:$G, "Doktora Tezi", Başvuru!$L:$L, U$2, Başvuru!$K:$K, $B9)</f>
        <v>2</v>
      </c>
      <c r="V9" s="12">
        <f>COUNTIFS(Başvuru!$G:$G, "Doktora Tezi", Başvuru!$L:$L, V$2, Başvuru!$J:$J, $B9) + COUNTIFS(Başvuru!$G:$G, "Doktora Tezi", Başvuru!$L:$L, V$2, Başvuru!$K:$K, $B9)</f>
        <v>0</v>
      </c>
      <c r="W9" s="12">
        <f>COUNTIFS(Başvuru!$G:$G, "Doktora Tezi", Başvuru!$L:$L, W$2, Başvuru!$J:$J, $B9) + COUNTIFS(Başvuru!$G:$G, "Doktora Tezi", Başvuru!$L:$L, W$2, Başvuru!$K:$K, $B9)</f>
        <v>0</v>
      </c>
      <c r="X9" s="12">
        <f>COUNTIFS(Başvuru!$G:$G, "Doktora Tezi", Başvuru!$L:$L, X$2, Başvuru!$J:$J, $B9) + COUNTIFS(Başvuru!$G:$G, "Doktora Tezi", Başvuru!$L:$L, X$2, Başvuru!$K:$K, $B9)</f>
        <v>0</v>
      </c>
      <c r="Y9" s="12">
        <f>COUNTIFS(Başvuru!$G:$G, "Doktora Tezi", Başvuru!$L:$L, Y$2, Başvuru!$J:$J, $B9) + COUNTIFS(Başvuru!$G:$G, "Doktora Tezi", Başvuru!$L:$L, Y$2, Başvuru!$K:$K, $B9)</f>
        <v>0</v>
      </c>
      <c r="Z9" s="12">
        <f>COUNTIFS(Başvuru!$G:$G, "Doktora Tezi", Başvuru!$L:$L, Z$2, Başvuru!$J:$J, $B9) + COUNTIFS(Başvuru!$G:$G, "Doktora Tezi", Başvuru!$L:$L, Z$2, Başvuru!$K:$K, $B9)</f>
        <v>0</v>
      </c>
      <c r="AA9" s="12">
        <f t="shared" si="3"/>
        <v>3</v>
      </c>
      <c r="AB9" s="12">
        <f>COUNTIFS(Başvuru!$G:$G, "Uzmanlık Tezi", Başvuru!$L:$L, AB$2, Başvuru!$J:$J, $B9) + COUNTIFS(Başvuru!$G:$G, "Uzmanlık Tezi", Başvuru!$L:$L, AB$2, Başvuru!$K:$K, $B9)</f>
        <v>3</v>
      </c>
      <c r="AC9" s="12">
        <f>COUNTIFS(Başvuru!$G:$G, "Uzmanlık Tezi", Başvuru!$L:$L, AC$2, Başvuru!$J:$J, $B9) + COUNTIFS(Başvuru!$G:$G, "Uzmanlık Tezi", Başvuru!$L:$L, AC$2, Başvuru!$K:$K, $B9)</f>
        <v>2</v>
      </c>
      <c r="AD9" s="12">
        <f>COUNTIFS(Başvuru!$G:$G, "Uzmanlık Tezi", Başvuru!$L:$L, AD$2, Başvuru!$J:$J, $B9) + COUNTIFS(Başvuru!$G:$G, "Uzmanlık Tezi", Başvuru!$L:$L, AD$2, Başvuru!$K:$K, $B9)</f>
        <v>0</v>
      </c>
      <c r="AE9" s="12">
        <f>COUNTIFS(Başvuru!$G:$G, "Uzmanlık Tezi", Başvuru!$L:$L, AE$2, Başvuru!$J:$J, $B9) + COUNTIFS(Başvuru!$G:$G, "Uzmanlık Tezi", Başvuru!$L:$L, AE$2, Başvuru!$K:$K, $B9)</f>
        <v>0</v>
      </c>
      <c r="AF9" s="12">
        <f>COUNTIFS(Başvuru!$G:$G, "Uzmanlık Tezi", Başvuru!$L:$L, AF$2, Başvuru!$J:$J, $B9) + COUNTIFS(Başvuru!$G:$G, "Uzmanlık Tezi", Başvuru!$L:$L, AF$2, Başvuru!$K:$K, $B9)</f>
        <v>0</v>
      </c>
      <c r="AG9" s="12">
        <f>COUNTIFS(Başvuru!$G:$G, "Uzmanlık Tezi", Başvuru!$L:$L, AG$2, Başvuru!$J:$J, $B9) + COUNTIFS(Başvuru!$G:$G, "Uzmanlık Tezi", Başvuru!$L:$L, AG$2, Başvuru!$K:$K, $B9)</f>
        <v>0</v>
      </c>
      <c r="AH9" s="12">
        <f>COUNTIFS(Başvuru!$G:$G, "Uzmanlık Tezi", Başvuru!$L:$L, AH$2, Başvuru!$J:$J, $B9) + COUNTIFS(Başvuru!$G:$G, "Uzmanlık Tezi", Başvuru!$L:$L, AH$2, Başvuru!$K:$K, $B9)</f>
        <v>0</v>
      </c>
      <c r="AI9" s="12">
        <f t="shared" si="4"/>
        <v>5</v>
      </c>
      <c r="AJ9" s="31">
        <f t="shared" si="5"/>
        <v>18</v>
      </c>
      <c r="AK9" s="31">
        <f t="shared" si="5"/>
        <v>9</v>
      </c>
      <c r="AL9" s="31">
        <f t="shared" si="0"/>
        <v>0</v>
      </c>
      <c r="AM9" s="31">
        <f t="shared" si="0"/>
        <v>0</v>
      </c>
      <c r="AN9" s="31">
        <f t="shared" si="0"/>
        <v>1</v>
      </c>
      <c r="AO9" s="31">
        <f t="shared" si="0"/>
        <v>0</v>
      </c>
      <c r="AP9" s="31">
        <f t="shared" si="0"/>
        <v>0</v>
      </c>
      <c r="AQ9" s="31">
        <f t="shared" si="6"/>
        <v>28</v>
      </c>
    </row>
    <row r="10" spans="1:43" s="14" customFormat="1" ht="30" customHeight="1" x14ac:dyDescent="0.25">
      <c r="A10" s="21" t="s">
        <v>8</v>
      </c>
      <c r="B10" s="22" t="s">
        <v>96</v>
      </c>
      <c r="C10" s="12">
        <f>COUNTIF(Başvuru!$J:$K, $B10)</f>
        <v>38</v>
      </c>
      <c r="D10" s="12">
        <f>COUNTIFS(Başvuru!$G:$G, "Bireysel Araştırma", Başvuru!$L:$L, D$2, Başvuru!$J:$J, $B10) + COUNTIFS(Başvuru!$G:$G, "Bireysel Araştırma", Başvuru!$L:$L, D$2, Başvuru!$K:$K, $B10)</f>
        <v>11</v>
      </c>
      <c r="E10" s="12">
        <f>COUNTIFS(Başvuru!$G:$G, "Bireysel Araştırma", Başvuru!$L:$L, E$2, Başvuru!$J:$J, $B10) + COUNTIFS(Başvuru!$G:$G, "Bireysel Araştırma", Başvuru!$L:$L, E$2, Başvuru!$K:$K, $B10)</f>
        <v>11</v>
      </c>
      <c r="F10" s="12">
        <f>COUNTIFS(Başvuru!$G:$G, "Bireysel Araştırma", Başvuru!$L:$L, F$2, Başvuru!$J:$J, $B10) + COUNTIFS(Başvuru!$G:$G, "Bireysel Araştırma", Başvuru!$L:$L, F$2, Başvuru!$K:$K, $B10)</f>
        <v>1</v>
      </c>
      <c r="G10" s="12">
        <f>COUNTIFS(Başvuru!$G:$G, "Bireysel Araştırma", Başvuru!$L:$L, G$2, Başvuru!$J:$J, $B10) + COUNTIFS(Başvuru!$G:$G, "Bireysel Araştırma", Başvuru!$L:$L, G$2, Başvuru!$K:$K, $B10)</f>
        <v>0</v>
      </c>
      <c r="H10" s="12">
        <f>COUNTIFS(Başvuru!$G:$G, "Bireysel Araştırma", Başvuru!$L:$L, H$2, Başvuru!$J:$J, $B10) + COUNTIFS(Başvuru!$G:$G, "Bireysel Araştırma", Başvuru!$L:$L, H$2, Başvuru!$K:$K, $B10)</f>
        <v>0</v>
      </c>
      <c r="I10" s="12">
        <f>COUNTIFS(Başvuru!$G:$G, "Bireysel Araştırma", Başvuru!$L:$L, I$2, Başvuru!$J:$J, $B10) + COUNTIFS(Başvuru!$G:$G, "Bireysel Araştırma", Başvuru!$L:$L, I$2, Başvuru!$K:$K, $B10)</f>
        <v>0</v>
      </c>
      <c r="J10" s="12">
        <f>COUNTIFS(Başvuru!$G:$G, "Bireysel Araştırma", Başvuru!$L:$L, J$2, Başvuru!$J:$J, $B10) + COUNTIFS(Başvuru!$G:$G, "Bireysel Araştırma", Başvuru!$L:$L, J$2, Başvuru!$K:$K, $B10)</f>
        <v>0</v>
      </c>
      <c r="K10" s="12">
        <f t="shared" si="1"/>
        <v>23</v>
      </c>
      <c r="L10" s="12">
        <f>COUNTIFS(Başvuru!$G:$G, "Yüksek Lisans Tezi", Başvuru!$L:$L, L$2, Başvuru!$J:$J, $B10) + COUNTIFS(Başvuru!$G:$G, "Yüksek Lisans Tezi", Başvuru!$L:$L, L$2, Başvuru!$K:$K, $B10)</f>
        <v>0</v>
      </c>
      <c r="M10" s="12">
        <f>COUNTIFS(Başvuru!$G:$G, "Yüksek Lisans Tezi", Başvuru!$L:$L, M$2, Başvuru!$J:$J, $B10) + COUNTIFS(Başvuru!$G:$G, "Yüksek Lisans Tezi", Başvuru!$L:$L, M$2, Başvuru!$K:$K, $B10)</f>
        <v>1</v>
      </c>
      <c r="N10" s="12">
        <f>COUNTIFS(Başvuru!$G:$G, "Yüksek Lisans Tezi", Başvuru!$L:$L, N$2, Başvuru!$J:$J, $B10) + COUNTIFS(Başvuru!$G:$G, "Yüksek Lisans Tezi", Başvuru!$L:$L, N$2, Başvuru!$K:$K, $B10)</f>
        <v>0</v>
      </c>
      <c r="O10" s="12">
        <f>COUNTIFS(Başvuru!$G:$G, "Yüksek Lisans Tezi", Başvuru!$L:$L, O$2, Başvuru!$J:$J, $B10) + COUNTIFS(Başvuru!$G:$G, "Yüksek Lisans Tezi", Başvuru!$L:$L, O$2, Başvuru!$K:$K, $B10)</f>
        <v>0</v>
      </c>
      <c r="P10" s="12">
        <f>COUNTIFS(Başvuru!$G:$G, "Yüksek Lisans Tezi", Başvuru!$L:$L, P$2, Başvuru!$J:$J, $B10) + COUNTIFS(Başvuru!$G:$G, "Yüksek Lisans Tezi", Başvuru!$L:$L, P$2, Başvuru!$K:$K, $B10)</f>
        <v>0</v>
      </c>
      <c r="Q10" s="12">
        <f>COUNTIFS(Başvuru!$G:$G, "Yüksek Lisans Tezi", Başvuru!$L:$L, Q$2, Başvuru!$J:$J, $B10) + COUNTIFS(Başvuru!$G:$G, "Yüksek Lisans Tezi", Başvuru!$L:$L, Q$2, Başvuru!$K:$K, $B10)</f>
        <v>0</v>
      </c>
      <c r="R10" s="12">
        <f>COUNTIFS(Başvuru!$G:$G, "Yüksek Lisans Tezi", Başvuru!$L:$L, R$2, Başvuru!$J:$J, $B10) + COUNTIFS(Başvuru!$G:$G, "Yüksek Lisans Tezi", Başvuru!$L:$L, R$2, Başvuru!$K:$K, $B10)</f>
        <v>0</v>
      </c>
      <c r="S10" s="12">
        <f t="shared" si="2"/>
        <v>1</v>
      </c>
      <c r="T10" s="12">
        <f>COUNTIFS(Başvuru!$G:$G, "Doktora Tezi", Başvuru!$L:$L, T$2, Başvuru!$J:$J, $B10) + COUNTIFS(Başvuru!$G:$G, "Doktora Tezi", Başvuru!$L:$L, T$2, Başvuru!$K:$K, $B10)</f>
        <v>0</v>
      </c>
      <c r="U10" s="12">
        <f>COUNTIFS(Başvuru!$G:$G, "Doktora Tezi", Başvuru!$L:$L, U$2, Başvuru!$J:$J, $B10) + COUNTIFS(Başvuru!$G:$G, "Doktora Tezi", Başvuru!$L:$L, U$2, Başvuru!$K:$K, $B10)</f>
        <v>1</v>
      </c>
      <c r="V10" s="12">
        <f>COUNTIFS(Başvuru!$G:$G, "Doktora Tezi", Başvuru!$L:$L, V$2, Başvuru!$J:$J, $B10) + COUNTIFS(Başvuru!$G:$G, "Doktora Tezi", Başvuru!$L:$L, V$2, Başvuru!$K:$K, $B10)</f>
        <v>0</v>
      </c>
      <c r="W10" s="12">
        <f>COUNTIFS(Başvuru!$G:$G, "Doktora Tezi", Başvuru!$L:$L, W$2, Başvuru!$J:$J, $B10) + COUNTIFS(Başvuru!$G:$G, "Doktora Tezi", Başvuru!$L:$L, W$2, Başvuru!$K:$K, $B10)</f>
        <v>0</v>
      </c>
      <c r="X10" s="12">
        <f>COUNTIFS(Başvuru!$G:$G, "Doktora Tezi", Başvuru!$L:$L, X$2, Başvuru!$J:$J, $B10) + COUNTIFS(Başvuru!$G:$G, "Doktora Tezi", Başvuru!$L:$L, X$2, Başvuru!$K:$K, $B10)</f>
        <v>0</v>
      </c>
      <c r="Y10" s="12">
        <f>COUNTIFS(Başvuru!$G:$G, "Doktora Tezi", Başvuru!$L:$L, Y$2, Başvuru!$J:$J, $B10) + COUNTIFS(Başvuru!$G:$G, "Doktora Tezi", Başvuru!$L:$L, Y$2, Başvuru!$K:$K, $B10)</f>
        <v>0</v>
      </c>
      <c r="Z10" s="12">
        <f>COUNTIFS(Başvuru!$G:$G, "Doktora Tezi", Başvuru!$L:$L, Z$2, Başvuru!$J:$J, $B10) + COUNTIFS(Başvuru!$G:$G, "Doktora Tezi", Başvuru!$L:$L, Z$2, Başvuru!$K:$K, $B10)</f>
        <v>0</v>
      </c>
      <c r="AA10" s="12">
        <f t="shared" si="3"/>
        <v>1</v>
      </c>
      <c r="AB10" s="12">
        <f>COUNTIFS(Başvuru!$G:$G, "Uzmanlık Tezi", Başvuru!$L:$L, AB$2, Başvuru!$J:$J, $B10) + COUNTIFS(Başvuru!$G:$G, "Uzmanlık Tezi", Başvuru!$L:$L, AB$2, Başvuru!$K:$K, $B10)</f>
        <v>3</v>
      </c>
      <c r="AC10" s="12">
        <f>COUNTIFS(Başvuru!$G:$G, "Uzmanlık Tezi", Başvuru!$L:$L, AC$2, Başvuru!$J:$J, $B10) + COUNTIFS(Başvuru!$G:$G, "Uzmanlık Tezi", Başvuru!$L:$L, AC$2, Başvuru!$K:$K, $B10)</f>
        <v>2</v>
      </c>
      <c r="AD10" s="12">
        <f>COUNTIFS(Başvuru!$G:$G, "Uzmanlık Tezi", Başvuru!$L:$L, AD$2, Başvuru!$J:$J, $B10) + COUNTIFS(Başvuru!$G:$G, "Uzmanlık Tezi", Başvuru!$L:$L, AD$2, Başvuru!$K:$K, $B10)</f>
        <v>0</v>
      </c>
      <c r="AE10" s="12">
        <f>COUNTIFS(Başvuru!$G:$G, "Uzmanlık Tezi", Başvuru!$L:$L, AE$2, Başvuru!$J:$J, $B10) + COUNTIFS(Başvuru!$G:$G, "Uzmanlık Tezi", Başvuru!$L:$L, AE$2, Başvuru!$K:$K, $B10)</f>
        <v>0</v>
      </c>
      <c r="AF10" s="12">
        <f>COUNTIFS(Başvuru!$G:$G, "Uzmanlık Tezi", Başvuru!$L:$L, AF$2, Başvuru!$J:$J, $B10) + COUNTIFS(Başvuru!$G:$G, "Uzmanlık Tezi", Başvuru!$L:$L, AF$2, Başvuru!$K:$K, $B10)</f>
        <v>0</v>
      </c>
      <c r="AG10" s="12">
        <f>COUNTIFS(Başvuru!$G:$G, "Uzmanlık Tezi", Başvuru!$L:$L, AG$2, Başvuru!$J:$J, $B10) + COUNTIFS(Başvuru!$G:$G, "Uzmanlık Tezi", Başvuru!$L:$L, AG$2, Başvuru!$K:$K, $B10)</f>
        <v>0</v>
      </c>
      <c r="AH10" s="12">
        <f>COUNTIFS(Başvuru!$G:$G, "Uzmanlık Tezi", Başvuru!$L:$L, AH$2, Başvuru!$J:$J, $B10) + COUNTIFS(Başvuru!$G:$G, "Uzmanlık Tezi", Başvuru!$L:$L, AH$2, Başvuru!$K:$K, $B10)</f>
        <v>0</v>
      </c>
      <c r="AI10" s="12">
        <f t="shared" si="4"/>
        <v>5</v>
      </c>
      <c r="AJ10" s="31">
        <f t="shared" si="5"/>
        <v>14</v>
      </c>
      <c r="AK10" s="31">
        <f t="shared" si="5"/>
        <v>15</v>
      </c>
      <c r="AL10" s="31">
        <f t="shared" si="0"/>
        <v>1</v>
      </c>
      <c r="AM10" s="31">
        <f t="shared" si="0"/>
        <v>0</v>
      </c>
      <c r="AN10" s="31">
        <f t="shared" si="0"/>
        <v>0</v>
      </c>
      <c r="AO10" s="31">
        <f t="shared" si="0"/>
        <v>0</v>
      </c>
      <c r="AP10" s="31">
        <f t="shared" si="0"/>
        <v>0</v>
      </c>
      <c r="AQ10" s="31">
        <f t="shared" si="6"/>
        <v>30</v>
      </c>
    </row>
    <row r="11" spans="1:43" s="14" customFormat="1" ht="30" customHeight="1" x14ac:dyDescent="0.25">
      <c r="A11" s="21" t="s">
        <v>9</v>
      </c>
      <c r="B11" s="22" t="s">
        <v>95</v>
      </c>
      <c r="C11" s="12">
        <f>COUNTIF(Başvuru!$J:$K, $B11)</f>
        <v>25</v>
      </c>
      <c r="D11" s="12">
        <f>COUNTIFS(Başvuru!$G:$G, "Bireysel Araştırma", Başvuru!$L:$L, D$2, Başvuru!$J:$J, $B11) + COUNTIFS(Başvuru!$G:$G, "Bireysel Araştırma", Başvuru!$L:$L, D$2, Başvuru!$K:$K, $B11)</f>
        <v>4</v>
      </c>
      <c r="E11" s="12">
        <f>COUNTIFS(Başvuru!$G:$G, "Bireysel Araştırma", Başvuru!$L:$L, E$2, Başvuru!$J:$J, $B11) + COUNTIFS(Başvuru!$G:$G, "Bireysel Araştırma", Başvuru!$L:$L, E$2, Başvuru!$K:$K, $B11)</f>
        <v>1</v>
      </c>
      <c r="F11" s="12">
        <f>COUNTIFS(Başvuru!$G:$G, "Bireysel Araştırma", Başvuru!$L:$L, F$2, Başvuru!$J:$J, $B11) + COUNTIFS(Başvuru!$G:$G, "Bireysel Araştırma", Başvuru!$L:$L, F$2, Başvuru!$K:$K, $B11)</f>
        <v>0</v>
      </c>
      <c r="G11" s="12">
        <f>COUNTIFS(Başvuru!$G:$G, "Bireysel Araştırma", Başvuru!$L:$L, G$2, Başvuru!$J:$J, $B11) + COUNTIFS(Başvuru!$G:$G, "Bireysel Araştırma", Başvuru!$L:$L, G$2, Başvuru!$K:$K, $B11)</f>
        <v>1</v>
      </c>
      <c r="H11" s="12">
        <f>COUNTIFS(Başvuru!$G:$G, "Bireysel Araştırma", Başvuru!$L:$L, H$2, Başvuru!$J:$J, $B11) + COUNTIFS(Başvuru!$G:$G, "Bireysel Araştırma", Başvuru!$L:$L, H$2, Başvuru!$K:$K, $B11)</f>
        <v>1</v>
      </c>
      <c r="I11" s="12">
        <f>COUNTIFS(Başvuru!$G:$G, "Bireysel Araştırma", Başvuru!$L:$L, I$2, Başvuru!$J:$J, $B11) + COUNTIFS(Başvuru!$G:$G, "Bireysel Araştırma", Başvuru!$L:$L, I$2, Başvuru!$K:$K, $B11)</f>
        <v>0</v>
      </c>
      <c r="J11" s="12">
        <f>COUNTIFS(Başvuru!$G:$G, "Bireysel Araştırma", Başvuru!$L:$L, J$2, Başvuru!$J:$J, $B11) + COUNTIFS(Başvuru!$G:$G, "Bireysel Araştırma", Başvuru!$L:$L, J$2, Başvuru!$K:$K, $B11)</f>
        <v>0</v>
      </c>
      <c r="K11" s="12">
        <f t="shared" si="1"/>
        <v>7</v>
      </c>
      <c r="L11" s="12">
        <f>COUNTIFS(Başvuru!$G:$G, "Yüksek Lisans Tezi", Başvuru!$L:$L, L$2, Başvuru!$J:$J, $B11) + COUNTIFS(Başvuru!$G:$G, "Yüksek Lisans Tezi", Başvuru!$L:$L, L$2, Başvuru!$K:$K, $B11)</f>
        <v>0</v>
      </c>
      <c r="M11" s="12">
        <f>COUNTIFS(Başvuru!$G:$G, "Yüksek Lisans Tezi", Başvuru!$L:$L, M$2, Başvuru!$J:$J, $B11) + COUNTIFS(Başvuru!$G:$G, "Yüksek Lisans Tezi", Başvuru!$L:$L, M$2, Başvuru!$K:$K, $B11)</f>
        <v>1</v>
      </c>
      <c r="N11" s="12">
        <f>COUNTIFS(Başvuru!$G:$G, "Yüksek Lisans Tezi", Başvuru!$L:$L, N$2, Başvuru!$J:$J, $B11) + COUNTIFS(Başvuru!$G:$G, "Yüksek Lisans Tezi", Başvuru!$L:$L, N$2, Başvuru!$K:$K, $B11)</f>
        <v>0</v>
      </c>
      <c r="O11" s="12">
        <f>COUNTIFS(Başvuru!$G:$G, "Yüksek Lisans Tezi", Başvuru!$L:$L, O$2, Başvuru!$J:$J, $B11) + COUNTIFS(Başvuru!$G:$G, "Yüksek Lisans Tezi", Başvuru!$L:$L, O$2, Başvuru!$K:$K, $B11)</f>
        <v>0</v>
      </c>
      <c r="P11" s="12">
        <f>COUNTIFS(Başvuru!$G:$G, "Yüksek Lisans Tezi", Başvuru!$L:$L, P$2, Başvuru!$J:$J, $B11) + COUNTIFS(Başvuru!$G:$G, "Yüksek Lisans Tezi", Başvuru!$L:$L, P$2, Başvuru!$K:$K, $B11)</f>
        <v>0</v>
      </c>
      <c r="Q11" s="12">
        <f>COUNTIFS(Başvuru!$G:$G, "Yüksek Lisans Tezi", Başvuru!$L:$L, Q$2, Başvuru!$J:$J, $B11) + COUNTIFS(Başvuru!$G:$G, "Yüksek Lisans Tezi", Başvuru!$L:$L, Q$2, Başvuru!$K:$K, $B11)</f>
        <v>0</v>
      </c>
      <c r="R11" s="12">
        <f>COUNTIFS(Başvuru!$G:$G, "Yüksek Lisans Tezi", Başvuru!$L:$L, R$2, Başvuru!$J:$J, $B11) + COUNTIFS(Başvuru!$G:$G, "Yüksek Lisans Tezi", Başvuru!$L:$L, R$2, Başvuru!$K:$K, $B11)</f>
        <v>0</v>
      </c>
      <c r="S11" s="12">
        <f t="shared" si="2"/>
        <v>1</v>
      </c>
      <c r="T11" s="12">
        <f>COUNTIFS(Başvuru!$G:$G, "Doktora Tezi", Başvuru!$L:$L, T$2, Başvuru!$J:$J, $B11) + COUNTIFS(Başvuru!$G:$G, "Doktora Tezi", Başvuru!$L:$L, T$2, Başvuru!$K:$K, $B11)</f>
        <v>2</v>
      </c>
      <c r="U11" s="12">
        <f>COUNTIFS(Başvuru!$G:$G, "Doktora Tezi", Başvuru!$L:$L, U$2, Başvuru!$J:$J, $B11) + COUNTIFS(Başvuru!$G:$G, "Doktora Tezi", Başvuru!$L:$L, U$2, Başvuru!$K:$K, $B11)</f>
        <v>2</v>
      </c>
      <c r="V11" s="12">
        <f>COUNTIFS(Başvuru!$G:$G, "Doktora Tezi", Başvuru!$L:$L, V$2, Başvuru!$J:$J, $B11) + COUNTIFS(Başvuru!$G:$G, "Doktora Tezi", Başvuru!$L:$L, V$2, Başvuru!$K:$K, $B11)</f>
        <v>0</v>
      </c>
      <c r="W11" s="12">
        <f>COUNTIFS(Başvuru!$G:$G, "Doktora Tezi", Başvuru!$L:$L, W$2, Başvuru!$J:$J, $B11) + COUNTIFS(Başvuru!$G:$G, "Doktora Tezi", Başvuru!$L:$L, W$2, Başvuru!$K:$K, $B11)</f>
        <v>0</v>
      </c>
      <c r="X11" s="12">
        <f>COUNTIFS(Başvuru!$G:$G, "Doktora Tezi", Başvuru!$L:$L, X$2, Başvuru!$J:$J, $B11) + COUNTIFS(Başvuru!$G:$G, "Doktora Tezi", Başvuru!$L:$L, X$2, Başvuru!$K:$K, $B11)</f>
        <v>0</v>
      </c>
      <c r="Y11" s="12">
        <f>COUNTIFS(Başvuru!$G:$G, "Doktora Tezi", Başvuru!$L:$L, Y$2, Başvuru!$J:$J, $B11) + COUNTIFS(Başvuru!$G:$G, "Doktora Tezi", Başvuru!$L:$L, Y$2, Başvuru!$K:$K, $B11)</f>
        <v>0</v>
      </c>
      <c r="Z11" s="12">
        <f>COUNTIFS(Başvuru!$G:$G, "Doktora Tezi", Başvuru!$L:$L, Z$2, Başvuru!$J:$J, $B11) + COUNTIFS(Başvuru!$G:$G, "Doktora Tezi", Başvuru!$L:$L, Z$2, Başvuru!$K:$K, $B11)</f>
        <v>0</v>
      </c>
      <c r="AA11" s="12">
        <f t="shared" si="3"/>
        <v>4</v>
      </c>
      <c r="AB11" s="12">
        <f>COUNTIFS(Başvuru!$G:$G, "Uzmanlık Tezi", Başvuru!$L:$L, AB$2, Başvuru!$J:$J, $B11) + COUNTIFS(Başvuru!$G:$G, "Uzmanlık Tezi", Başvuru!$L:$L, AB$2, Başvuru!$K:$K, $B11)</f>
        <v>3</v>
      </c>
      <c r="AC11" s="12">
        <f>COUNTIFS(Başvuru!$G:$G, "Uzmanlık Tezi", Başvuru!$L:$L, AC$2, Başvuru!$J:$J, $B11) + COUNTIFS(Başvuru!$G:$G, "Uzmanlık Tezi", Başvuru!$L:$L, AC$2, Başvuru!$K:$K, $B11)</f>
        <v>1</v>
      </c>
      <c r="AD11" s="12">
        <f>COUNTIFS(Başvuru!$G:$G, "Uzmanlık Tezi", Başvuru!$L:$L, AD$2, Başvuru!$J:$J, $B11) + COUNTIFS(Başvuru!$G:$G, "Uzmanlık Tezi", Başvuru!$L:$L, AD$2, Başvuru!$K:$K, $B11)</f>
        <v>0</v>
      </c>
      <c r="AE11" s="12">
        <f>COUNTIFS(Başvuru!$G:$G, "Uzmanlık Tezi", Başvuru!$L:$L, AE$2, Başvuru!$J:$J, $B11) + COUNTIFS(Başvuru!$G:$G, "Uzmanlık Tezi", Başvuru!$L:$L, AE$2, Başvuru!$K:$K, $B11)</f>
        <v>0</v>
      </c>
      <c r="AF11" s="12">
        <f>COUNTIFS(Başvuru!$G:$G, "Uzmanlık Tezi", Başvuru!$L:$L, AF$2, Başvuru!$J:$J, $B11) + COUNTIFS(Başvuru!$G:$G, "Uzmanlık Tezi", Başvuru!$L:$L, AF$2, Başvuru!$K:$K, $B11)</f>
        <v>0</v>
      </c>
      <c r="AG11" s="12">
        <f>COUNTIFS(Başvuru!$G:$G, "Uzmanlık Tezi", Başvuru!$L:$L, AG$2, Başvuru!$J:$J, $B11) + COUNTIFS(Başvuru!$G:$G, "Uzmanlık Tezi", Başvuru!$L:$L, AG$2, Başvuru!$K:$K, $B11)</f>
        <v>0</v>
      </c>
      <c r="AH11" s="12">
        <f>COUNTIFS(Başvuru!$G:$G, "Uzmanlık Tezi", Başvuru!$L:$L, AH$2, Başvuru!$J:$J, $B11) + COUNTIFS(Başvuru!$G:$G, "Uzmanlık Tezi", Başvuru!$L:$L, AH$2, Başvuru!$K:$K, $B11)</f>
        <v>0</v>
      </c>
      <c r="AI11" s="12">
        <f t="shared" si="4"/>
        <v>4</v>
      </c>
      <c r="AJ11" s="31">
        <f t="shared" si="5"/>
        <v>9</v>
      </c>
      <c r="AK11" s="31">
        <f t="shared" si="5"/>
        <v>5</v>
      </c>
      <c r="AL11" s="31">
        <f t="shared" si="0"/>
        <v>0</v>
      </c>
      <c r="AM11" s="31">
        <f t="shared" si="0"/>
        <v>1</v>
      </c>
      <c r="AN11" s="31">
        <f t="shared" si="0"/>
        <v>1</v>
      </c>
      <c r="AO11" s="31">
        <f t="shared" si="0"/>
        <v>0</v>
      </c>
      <c r="AP11" s="31">
        <f t="shared" si="0"/>
        <v>0</v>
      </c>
      <c r="AQ11" s="31">
        <f t="shared" si="6"/>
        <v>16</v>
      </c>
    </row>
    <row r="12" spans="1:43" s="14" customFormat="1" ht="30" customHeight="1" x14ac:dyDescent="0.25">
      <c r="A12" s="21" t="s">
        <v>10</v>
      </c>
      <c r="B12" s="22" t="s">
        <v>84</v>
      </c>
      <c r="C12" s="12">
        <f>COUNTIF(Başvuru!$J:$K, $B12)</f>
        <v>36</v>
      </c>
      <c r="D12" s="12">
        <f>COUNTIFS(Başvuru!$G:$G, "Bireysel Araştırma", Başvuru!$L:$L, D$2, Başvuru!$J:$J, $B12) + COUNTIFS(Başvuru!$G:$G, "Bireysel Araştırma", Başvuru!$L:$L, D$2, Başvuru!$K:$K, $B12)</f>
        <v>13</v>
      </c>
      <c r="E12" s="12">
        <f>COUNTIFS(Başvuru!$G:$G, "Bireysel Araştırma", Başvuru!$L:$L, E$2, Başvuru!$J:$J, $B12) + COUNTIFS(Başvuru!$G:$G, "Bireysel Araştırma", Başvuru!$L:$L, E$2, Başvuru!$K:$K, $B12)</f>
        <v>6</v>
      </c>
      <c r="F12" s="12">
        <f>COUNTIFS(Başvuru!$G:$G, "Bireysel Araştırma", Başvuru!$L:$L, F$2, Başvuru!$J:$J, $B12) + COUNTIFS(Başvuru!$G:$G, "Bireysel Araştırma", Başvuru!$L:$L, F$2, Başvuru!$K:$K, $B12)</f>
        <v>0</v>
      </c>
      <c r="G12" s="12">
        <f>COUNTIFS(Başvuru!$G:$G, "Bireysel Araştırma", Başvuru!$L:$L, G$2, Başvuru!$J:$J, $B12) + COUNTIFS(Başvuru!$G:$G, "Bireysel Araştırma", Başvuru!$L:$L, G$2, Başvuru!$K:$K, $B12)</f>
        <v>0</v>
      </c>
      <c r="H12" s="12">
        <f>COUNTIFS(Başvuru!$G:$G, "Bireysel Araştırma", Başvuru!$L:$L, H$2, Başvuru!$J:$J, $B12) + COUNTIFS(Başvuru!$G:$G, "Bireysel Araştırma", Başvuru!$L:$L, H$2, Başvuru!$K:$K, $B12)</f>
        <v>0</v>
      </c>
      <c r="I12" s="12">
        <f>COUNTIFS(Başvuru!$G:$G, "Bireysel Araştırma", Başvuru!$L:$L, I$2, Başvuru!$J:$J, $B12) + COUNTIFS(Başvuru!$G:$G, "Bireysel Araştırma", Başvuru!$L:$L, I$2, Başvuru!$K:$K, $B12)</f>
        <v>0</v>
      </c>
      <c r="J12" s="12">
        <f>COUNTIFS(Başvuru!$G:$G, "Bireysel Araştırma", Başvuru!$L:$L, J$2, Başvuru!$J:$J, $B12) + COUNTIFS(Başvuru!$G:$G, "Bireysel Araştırma", Başvuru!$L:$L, J$2, Başvuru!$K:$K, $B12)</f>
        <v>0</v>
      </c>
      <c r="K12" s="12">
        <f t="shared" si="1"/>
        <v>19</v>
      </c>
      <c r="L12" s="12">
        <f>COUNTIFS(Başvuru!$G:$G, "Yüksek Lisans Tezi", Başvuru!$L:$L, L$2, Başvuru!$J:$J, $B12) + COUNTIFS(Başvuru!$G:$G, "Yüksek Lisans Tezi", Başvuru!$L:$L, L$2, Başvuru!$K:$K, $B12)</f>
        <v>0</v>
      </c>
      <c r="M12" s="12">
        <f>COUNTIFS(Başvuru!$G:$G, "Yüksek Lisans Tezi", Başvuru!$L:$L, M$2, Başvuru!$J:$J, $B12) + COUNTIFS(Başvuru!$G:$G, "Yüksek Lisans Tezi", Başvuru!$L:$L, M$2, Başvuru!$K:$K, $B12)</f>
        <v>0</v>
      </c>
      <c r="N12" s="12">
        <f>COUNTIFS(Başvuru!$G:$G, "Yüksek Lisans Tezi", Başvuru!$L:$L, N$2, Başvuru!$J:$J, $B12) + COUNTIFS(Başvuru!$G:$G, "Yüksek Lisans Tezi", Başvuru!$L:$L, N$2, Başvuru!$K:$K, $B12)</f>
        <v>0</v>
      </c>
      <c r="O12" s="12">
        <f>COUNTIFS(Başvuru!$G:$G, "Yüksek Lisans Tezi", Başvuru!$L:$L, O$2, Başvuru!$J:$J, $B12) + COUNTIFS(Başvuru!$G:$G, "Yüksek Lisans Tezi", Başvuru!$L:$L, O$2, Başvuru!$K:$K, $B12)</f>
        <v>0</v>
      </c>
      <c r="P12" s="12">
        <f>COUNTIFS(Başvuru!$G:$G, "Yüksek Lisans Tezi", Başvuru!$L:$L, P$2, Başvuru!$J:$J, $B12) + COUNTIFS(Başvuru!$G:$G, "Yüksek Lisans Tezi", Başvuru!$L:$L, P$2, Başvuru!$K:$K, $B12)</f>
        <v>0</v>
      </c>
      <c r="Q12" s="12">
        <f>COUNTIFS(Başvuru!$G:$G, "Yüksek Lisans Tezi", Başvuru!$L:$L, Q$2, Başvuru!$J:$J, $B12) + COUNTIFS(Başvuru!$G:$G, "Yüksek Lisans Tezi", Başvuru!$L:$L, Q$2, Başvuru!$K:$K, $B12)</f>
        <v>0</v>
      </c>
      <c r="R12" s="12">
        <f>COUNTIFS(Başvuru!$G:$G, "Yüksek Lisans Tezi", Başvuru!$L:$L, R$2, Başvuru!$J:$J, $B12) + COUNTIFS(Başvuru!$G:$G, "Yüksek Lisans Tezi", Başvuru!$L:$L, R$2, Başvuru!$K:$K, $B12)</f>
        <v>0</v>
      </c>
      <c r="S12" s="12">
        <f t="shared" si="2"/>
        <v>0</v>
      </c>
      <c r="T12" s="12">
        <f>COUNTIFS(Başvuru!$G:$G, "Doktora Tezi", Başvuru!$L:$L, T$2, Başvuru!$J:$J, $B12) + COUNTIFS(Başvuru!$G:$G, "Doktora Tezi", Başvuru!$L:$L, T$2, Başvuru!$K:$K, $B12)</f>
        <v>2</v>
      </c>
      <c r="U12" s="12">
        <f>COUNTIFS(Başvuru!$G:$G, "Doktora Tezi", Başvuru!$L:$L, U$2, Başvuru!$J:$J, $B12) + COUNTIFS(Başvuru!$G:$G, "Doktora Tezi", Başvuru!$L:$L, U$2, Başvuru!$K:$K, $B12)</f>
        <v>1</v>
      </c>
      <c r="V12" s="12">
        <f>COUNTIFS(Başvuru!$G:$G, "Doktora Tezi", Başvuru!$L:$L, V$2, Başvuru!$J:$J, $B12) + COUNTIFS(Başvuru!$G:$G, "Doktora Tezi", Başvuru!$L:$L, V$2, Başvuru!$K:$K, $B12)</f>
        <v>0</v>
      </c>
      <c r="W12" s="12">
        <f>COUNTIFS(Başvuru!$G:$G, "Doktora Tezi", Başvuru!$L:$L, W$2, Başvuru!$J:$J, $B12) + COUNTIFS(Başvuru!$G:$G, "Doktora Tezi", Başvuru!$L:$L, W$2, Başvuru!$K:$K, $B12)</f>
        <v>0</v>
      </c>
      <c r="X12" s="12">
        <f>COUNTIFS(Başvuru!$G:$G, "Doktora Tezi", Başvuru!$L:$L, X$2, Başvuru!$J:$J, $B12) + COUNTIFS(Başvuru!$G:$G, "Doktora Tezi", Başvuru!$L:$L, X$2, Başvuru!$K:$K, $B12)</f>
        <v>0</v>
      </c>
      <c r="Y12" s="12">
        <f>COUNTIFS(Başvuru!$G:$G, "Doktora Tezi", Başvuru!$L:$L, Y$2, Başvuru!$J:$J, $B12) + COUNTIFS(Başvuru!$G:$G, "Doktora Tezi", Başvuru!$L:$L, Y$2, Başvuru!$K:$K, $B12)</f>
        <v>0</v>
      </c>
      <c r="Z12" s="12">
        <f>COUNTIFS(Başvuru!$G:$G, "Doktora Tezi", Başvuru!$L:$L, Z$2, Başvuru!$J:$J, $B12) + COUNTIFS(Başvuru!$G:$G, "Doktora Tezi", Başvuru!$L:$L, Z$2, Başvuru!$K:$K, $B12)</f>
        <v>0</v>
      </c>
      <c r="AA12" s="12">
        <f t="shared" si="3"/>
        <v>3</v>
      </c>
      <c r="AB12" s="12">
        <f>COUNTIFS(Başvuru!$G:$G, "Uzmanlık Tezi", Başvuru!$L:$L, AB$2, Başvuru!$J:$J, $B12) + COUNTIFS(Başvuru!$G:$G, "Uzmanlık Tezi", Başvuru!$L:$L, AB$2, Başvuru!$K:$K, $B12)</f>
        <v>3</v>
      </c>
      <c r="AC12" s="12">
        <f>COUNTIFS(Başvuru!$G:$G, "Uzmanlık Tezi", Başvuru!$L:$L, AC$2, Başvuru!$J:$J, $B12) + COUNTIFS(Başvuru!$G:$G, "Uzmanlık Tezi", Başvuru!$L:$L, AC$2, Başvuru!$K:$K, $B12)</f>
        <v>3</v>
      </c>
      <c r="AD12" s="12">
        <f>COUNTIFS(Başvuru!$G:$G, "Uzmanlık Tezi", Başvuru!$L:$L, AD$2, Başvuru!$J:$J, $B12) + COUNTIFS(Başvuru!$G:$G, "Uzmanlık Tezi", Başvuru!$L:$L, AD$2, Başvuru!$K:$K, $B12)</f>
        <v>0</v>
      </c>
      <c r="AE12" s="12">
        <f>COUNTIFS(Başvuru!$G:$G, "Uzmanlık Tezi", Başvuru!$L:$L, AE$2, Başvuru!$J:$J, $B12) + COUNTIFS(Başvuru!$G:$G, "Uzmanlık Tezi", Başvuru!$L:$L, AE$2, Başvuru!$K:$K, $B12)</f>
        <v>0</v>
      </c>
      <c r="AF12" s="12">
        <f>COUNTIFS(Başvuru!$G:$G, "Uzmanlık Tezi", Başvuru!$L:$L, AF$2, Başvuru!$J:$J, $B12) + COUNTIFS(Başvuru!$G:$G, "Uzmanlık Tezi", Başvuru!$L:$L, AF$2, Başvuru!$K:$K, $B12)</f>
        <v>0</v>
      </c>
      <c r="AG12" s="12">
        <f>COUNTIFS(Başvuru!$G:$G, "Uzmanlık Tezi", Başvuru!$L:$L, AG$2, Başvuru!$J:$J, $B12) + COUNTIFS(Başvuru!$G:$G, "Uzmanlık Tezi", Başvuru!$L:$L, AG$2, Başvuru!$K:$K, $B12)</f>
        <v>0</v>
      </c>
      <c r="AH12" s="12">
        <f>COUNTIFS(Başvuru!$G:$G, "Uzmanlık Tezi", Başvuru!$L:$L, AH$2, Başvuru!$J:$J, $B12) + COUNTIFS(Başvuru!$G:$G, "Uzmanlık Tezi", Başvuru!$L:$L, AH$2, Başvuru!$K:$K, $B12)</f>
        <v>0</v>
      </c>
      <c r="AI12" s="12">
        <f t="shared" si="4"/>
        <v>6</v>
      </c>
      <c r="AJ12" s="31">
        <f t="shared" si="5"/>
        <v>18</v>
      </c>
      <c r="AK12" s="31">
        <f t="shared" si="5"/>
        <v>10</v>
      </c>
      <c r="AL12" s="31">
        <f t="shared" si="0"/>
        <v>0</v>
      </c>
      <c r="AM12" s="31">
        <f t="shared" si="0"/>
        <v>0</v>
      </c>
      <c r="AN12" s="31">
        <f t="shared" si="0"/>
        <v>0</v>
      </c>
      <c r="AO12" s="31">
        <f t="shared" si="0"/>
        <v>0</v>
      </c>
      <c r="AP12" s="31">
        <f t="shared" si="0"/>
        <v>0</v>
      </c>
      <c r="AQ12" s="31">
        <f t="shared" si="6"/>
        <v>28</v>
      </c>
    </row>
    <row r="13" spans="1:43" s="14" customFormat="1" ht="30" customHeight="1" x14ac:dyDescent="0.25">
      <c r="A13" s="21" t="s">
        <v>11</v>
      </c>
      <c r="B13" s="22" t="s">
        <v>93</v>
      </c>
      <c r="C13" s="12">
        <f>COUNTIF(Başvuru!$J:$K, $B13)</f>
        <v>26</v>
      </c>
      <c r="D13" s="12">
        <f>COUNTIFS(Başvuru!$G:$G, "Bireysel Araştırma", Başvuru!$L:$L, D$2, Başvuru!$J:$J, $B13) + COUNTIFS(Başvuru!$G:$G, "Bireysel Araştırma", Başvuru!$L:$L, D$2, Başvuru!$K:$K, $B13)</f>
        <v>9</v>
      </c>
      <c r="E13" s="12">
        <f>COUNTIFS(Başvuru!$G:$G, "Bireysel Araştırma", Başvuru!$L:$L, E$2, Başvuru!$J:$J, $B13) + COUNTIFS(Başvuru!$G:$G, "Bireysel Araştırma", Başvuru!$L:$L, E$2, Başvuru!$K:$K, $B13)</f>
        <v>4</v>
      </c>
      <c r="F13" s="12">
        <f>COUNTIFS(Başvuru!$G:$G, "Bireysel Araştırma", Başvuru!$L:$L, F$2, Başvuru!$J:$J, $B13) + COUNTIFS(Başvuru!$G:$G, "Bireysel Araştırma", Başvuru!$L:$L, F$2, Başvuru!$K:$K, $B13)</f>
        <v>1</v>
      </c>
      <c r="G13" s="12">
        <f>COUNTIFS(Başvuru!$G:$G, "Bireysel Araştırma", Başvuru!$L:$L, G$2, Başvuru!$J:$J, $B13) + COUNTIFS(Başvuru!$G:$G, "Bireysel Araştırma", Başvuru!$L:$L, G$2, Başvuru!$K:$K, $B13)</f>
        <v>0</v>
      </c>
      <c r="H13" s="12">
        <f>COUNTIFS(Başvuru!$G:$G, "Bireysel Araştırma", Başvuru!$L:$L, H$2, Başvuru!$J:$J, $B13) + COUNTIFS(Başvuru!$G:$G, "Bireysel Araştırma", Başvuru!$L:$L, H$2, Başvuru!$K:$K, $B13)</f>
        <v>0</v>
      </c>
      <c r="I13" s="12">
        <f>COUNTIFS(Başvuru!$G:$G, "Bireysel Araştırma", Başvuru!$L:$L, I$2, Başvuru!$J:$J, $B13) + COUNTIFS(Başvuru!$G:$G, "Bireysel Araştırma", Başvuru!$L:$L, I$2, Başvuru!$K:$K, $B13)</f>
        <v>0</v>
      </c>
      <c r="J13" s="12">
        <f>COUNTIFS(Başvuru!$G:$G, "Bireysel Araştırma", Başvuru!$L:$L, J$2, Başvuru!$J:$J, $B13) + COUNTIFS(Başvuru!$G:$G, "Bireysel Araştırma", Başvuru!$L:$L, J$2, Başvuru!$K:$K, $B13)</f>
        <v>0</v>
      </c>
      <c r="K13" s="12">
        <f t="shared" si="1"/>
        <v>14</v>
      </c>
      <c r="L13" s="12">
        <f>COUNTIFS(Başvuru!$G:$G, "Yüksek Lisans Tezi", Başvuru!$L:$L, L$2, Başvuru!$J:$J, $B13) + COUNTIFS(Başvuru!$G:$G, "Yüksek Lisans Tezi", Başvuru!$L:$L, L$2, Başvuru!$K:$K, $B13)</f>
        <v>0</v>
      </c>
      <c r="M13" s="12">
        <f>COUNTIFS(Başvuru!$G:$G, "Yüksek Lisans Tezi", Başvuru!$L:$L, M$2, Başvuru!$J:$J, $B13) + COUNTIFS(Başvuru!$G:$G, "Yüksek Lisans Tezi", Başvuru!$L:$L, M$2, Başvuru!$K:$K, $B13)</f>
        <v>0</v>
      </c>
      <c r="N13" s="12">
        <f>COUNTIFS(Başvuru!$G:$G, "Yüksek Lisans Tezi", Başvuru!$L:$L, N$2, Başvuru!$J:$J, $B13) + COUNTIFS(Başvuru!$G:$G, "Yüksek Lisans Tezi", Başvuru!$L:$L, N$2, Başvuru!$K:$K, $B13)</f>
        <v>0</v>
      </c>
      <c r="O13" s="12">
        <f>COUNTIFS(Başvuru!$G:$G, "Yüksek Lisans Tezi", Başvuru!$L:$L, O$2, Başvuru!$J:$J, $B13) + COUNTIFS(Başvuru!$G:$G, "Yüksek Lisans Tezi", Başvuru!$L:$L, O$2, Başvuru!$K:$K, $B13)</f>
        <v>0</v>
      </c>
      <c r="P13" s="12">
        <f>COUNTIFS(Başvuru!$G:$G, "Yüksek Lisans Tezi", Başvuru!$L:$L, P$2, Başvuru!$J:$J, $B13) + COUNTIFS(Başvuru!$G:$G, "Yüksek Lisans Tezi", Başvuru!$L:$L, P$2, Başvuru!$K:$K, $B13)</f>
        <v>0</v>
      </c>
      <c r="Q13" s="12">
        <f>COUNTIFS(Başvuru!$G:$G, "Yüksek Lisans Tezi", Başvuru!$L:$L, Q$2, Başvuru!$J:$J, $B13) + COUNTIFS(Başvuru!$G:$G, "Yüksek Lisans Tezi", Başvuru!$L:$L, Q$2, Başvuru!$K:$K, $B13)</f>
        <v>0</v>
      </c>
      <c r="R13" s="12">
        <f>COUNTIFS(Başvuru!$G:$G, "Yüksek Lisans Tezi", Başvuru!$L:$L, R$2, Başvuru!$J:$J, $B13) + COUNTIFS(Başvuru!$G:$G, "Yüksek Lisans Tezi", Başvuru!$L:$L, R$2, Başvuru!$K:$K, $B13)</f>
        <v>0</v>
      </c>
      <c r="S13" s="12">
        <f t="shared" si="2"/>
        <v>0</v>
      </c>
      <c r="T13" s="12">
        <f>COUNTIFS(Başvuru!$G:$G, "Doktora Tezi", Başvuru!$L:$L, T$2, Başvuru!$J:$J, $B13) + COUNTIFS(Başvuru!$G:$G, "Doktora Tezi", Başvuru!$L:$L, T$2, Başvuru!$K:$K, $B13)</f>
        <v>1</v>
      </c>
      <c r="U13" s="12">
        <f>COUNTIFS(Başvuru!$G:$G, "Doktora Tezi", Başvuru!$L:$L, U$2, Başvuru!$J:$J, $B13) + COUNTIFS(Başvuru!$G:$G, "Doktora Tezi", Başvuru!$L:$L, U$2, Başvuru!$K:$K, $B13)</f>
        <v>0</v>
      </c>
      <c r="V13" s="12">
        <f>COUNTIFS(Başvuru!$G:$G, "Doktora Tezi", Başvuru!$L:$L, V$2, Başvuru!$J:$J, $B13) + COUNTIFS(Başvuru!$G:$G, "Doktora Tezi", Başvuru!$L:$L, V$2, Başvuru!$K:$K, $B13)</f>
        <v>0</v>
      </c>
      <c r="W13" s="12">
        <f>COUNTIFS(Başvuru!$G:$G, "Doktora Tezi", Başvuru!$L:$L, W$2, Başvuru!$J:$J, $B13) + COUNTIFS(Başvuru!$G:$G, "Doktora Tezi", Başvuru!$L:$L, W$2, Başvuru!$K:$K, $B13)</f>
        <v>0</v>
      </c>
      <c r="X13" s="12">
        <f>COUNTIFS(Başvuru!$G:$G, "Doktora Tezi", Başvuru!$L:$L, X$2, Başvuru!$J:$J, $B13) + COUNTIFS(Başvuru!$G:$G, "Doktora Tezi", Başvuru!$L:$L, X$2, Başvuru!$K:$K, $B13)</f>
        <v>0</v>
      </c>
      <c r="Y13" s="12">
        <f>COUNTIFS(Başvuru!$G:$G, "Doktora Tezi", Başvuru!$L:$L, Y$2, Başvuru!$J:$J, $B13) + COUNTIFS(Başvuru!$G:$G, "Doktora Tezi", Başvuru!$L:$L, Y$2, Başvuru!$K:$K, $B13)</f>
        <v>0</v>
      </c>
      <c r="Z13" s="12">
        <f>COUNTIFS(Başvuru!$G:$G, "Doktora Tezi", Başvuru!$L:$L, Z$2, Başvuru!$J:$J, $B13) + COUNTIFS(Başvuru!$G:$G, "Doktora Tezi", Başvuru!$L:$L, Z$2, Başvuru!$K:$K, $B13)</f>
        <v>0</v>
      </c>
      <c r="AA13" s="12">
        <f t="shared" si="3"/>
        <v>1</v>
      </c>
      <c r="AB13" s="12">
        <f>COUNTIFS(Başvuru!$G:$G, "Uzmanlık Tezi", Başvuru!$L:$L, AB$2, Başvuru!$J:$J, $B13) + COUNTIFS(Başvuru!$G:$G, "Uzmanlık Tezi", Başvuru!$L:$L, AB$2, Başvuru!$K:$K, $B13)</f>
        <v>1</v>
      </c>
      <c r="AC13" s="12">
        <f>COUNTIFS(Başvuru!$G:$G, "Uzmanlık Tezi", Başvuru!$L:$L, AC$2, Başvuru!$J:$J, $B13) + COUNTIFS(Başvuru!$G:$G, "Uzmanlık Tezi", Başvuru!$L:$L, AC$2, Başvuru!$K:$K, $B13)</f>
        <v>0</v>
      </c>
      <c r="AD13" s="12">
        <f>COUNTIFS(Başvuru!$G:$G, "Uzmanlık Tezi", Başvuru!$L:$L, AD$2, Başvuru!$J:$J, $B13) + COUNTIFS(Başvuru!$G:$G, "Uzmanlık Tezi", Başvuru!$L:$L, AD$2, Başvuru!$K:$K, $B13)</f>
        <v>0</v>
      </c>
      <c r="AE13" s="12">
        <f>COUNTIFS(Başvuru!$G:$G, "Uzmanlık Tezi", Başvuru!$L:$L, AE$2, Başvuru!$J:$J, $B13) + COUNTIFS(Başvuru!$G:$G, "Uzmanlık Tezi", Başvuru!$L:$L, AE$2, Başvuru!$K:$K, $B13)</f>
        <v>0</v>
      </c>
      <c r="AF13" s="12">
        <f>COUNTIFS(Başvuru!$G:$G, "Uzmanlık Tezi", Başvuru!$L:$L, AF$2, Başvuru!$J:$J, $B13) + COUNTIFS(Başvuru!$G:$G, "Uzmanlık Tezi", Başvuru!$L:$L, AF$2, Başvuru!$K:$K, $B13)</f>
        <v>0</v>
      </c>
      <c r="AG13" s="12">
        <f>COUNTIFS(Başvuru!$G:$G, "Uzmanlık Tezi", Başvuru!$L:$L, AG$2, Başvuru!$J:$J, $B13) + COUNTIFS(Başvuru!$G:$G, "Uzmanlık Tezi", Başvuru!$L:$L, AG$2, Başvuru!$K:$K, $B13)</f>
        <v>1</v>
      </c>
      <c r="AH13" s="12">
        <f>COUNTIFS(Başvuru!$G:$G, "Uzmanlık Tezi", Başvuru!$L:$L, AH$2, Başvuru!$J:$J, $B13) + COUNTIFS(Başvuru!$G:$G, "Uzmanlık Tezi", Başvuru!$L:$L, AH$2, Başvuru!$K:$K, $B13)</f>
        <v>0</v>
      </c>
      <c r="AI13" s="12">
        <f t="shared" si="4"/>
        <v>2</v>
      </c>
      <c r="AJ13" s="31">
        <f t="shared" si="5"/>
        <v>11</v>
      </c>
      <c r="AK13" s="31">
        <f t="shared" si="5"/>
        <v>4</v>
      </c>
      <c r="AL13" s="31">
        <f t="shared" si="0"/>
        <v>1</v>
      </c>
      <c r="AM13" s="31">
        <f t="shared" si="0"/>
        <v>0</v>
      </c>
      <c r="AN13" s="31">
        <f t="shared" si="0"/>
        <v>0</v>
      </c>
      <c r="AO13" s="31">
        <f t="shared" si="0"/>
        <v>1</v>
      </c>
      <c r="AP13" s="31">
        <f t="shared" si="0"/>
        <v>0</v>
      </c>
      <c r="AQ13" s="31">
        <f t="shared" si="6"/>
        <v>17</v>
      </c>
    </row>
    <row r="14" spans="1:43" s="14" customFormat="1" ht="30" customHeight="1" x14ac:dyDescent="0.25">
      <c r="A14" s="21" t="s">
        <v>12</v>
      </c>
      <c r="B14" s="22" t="s">
        <v>64</v>
      </c>
      <c r="C14" s="12">
        <f>COUNTIF(Başvuru!$J:$K, $B14)</f>
        <v>39</v>
      </c>
      <c r="D14" s="12">
        <f>COUNTIFS(Başvuru!$G:$G, "Bireysel Araştırma", Başvuru!$L:$L, D$2, Başvuru!$J:$J, $B14) + COUNTIFS(Başvuru!$G:$G, "Bireysel Araştırma", Başvuru!$L:$L, D$2, Başvuru!$K:$K, $B14)</f>
        <v>12</v>
      </c>
      <c r="E14" s="12">
        <f>COUNTIFS(Başvuru!$G:$G, "Bireysel Araştırma", Başvuru!$L:$L, E$2, Başvuru!$J:$J, $B14) + COUNTIFS(Başvuru!$G:$G, "Bireysel Araştırma", Başvuru!$L:$L, E$2, Başvuru!$K:$K, $B14)</f>
        <v>7</v>
      </c>
      <c r="F14" s="12">
        <f>COUNTIFS(Başvuru!$G:$G, "Bireysel Araştırma", Başvuru!$L:$L, F$2, Başvuru!$J:$J, $B14) + COUNTIFS(Başvuru!$G:$G, "Bireysel Araştırma", Başvuru!$L:$L, F$2, Başvuru!$K:$K, $B14)</f>
        <v>1</v>
      </c>
      <c r="G14" s="12">
        <f>COUNTIFS(Başvuru!$G:$G, "Bireysel Araştırma", Başvuru!$L:$L, G$2, Başvuru!$J:$J, $B14) + COUNTIFS(Başvuru!$G:$G, "Bireysel Araştırma", Başvuru!$L:$L, G$2, Başvuru!$K:$K, $B14)</f>
        <v>0</v>
      </c>
      <c r="H14" s="12">
        <f>COUNTIFS(Başvuru!$G:$G, "Bireysel Araştırma", Başvuru!$L:$L, H$2, Başvuru!$J:$J, $B14) + COUNTIFS(Başvuru!$G:$G, "Bireysel Araştırma", Başvuru!$L:$L, H$2, Başvuru!$K:$K, $B14)</f>
        <v>0</v>
      </c>
      <c r="I14" s="12">
        <f>COUNTIFS(Başvuru!$G:$G, "Bireysel Araştırma", Başvuru!$L:$L, I$2, Başvuru!$J:$J, $B14) + COUNTIFS(Başvuru!$G:$G, "Bireysel Araştırma", Başvuru!$L:$L, I$2, Başvuru!$K:$K, $B14)</f>
        <v>0</v>
      </c>
      <c r="J14" s="12">
        <f>COUNTIFS(Başvuru!$G:$G, "Bireysel Araştırma", Başvuru!$L:$L, J$2, Başvuru!$J:$J, $B14) + COUNTIFS(Başvuru!$G:$G, "Bireysel Araştırma", Başvuru!$L:$L, J$2, Başvuru!$K:$K, $B14)</f>
        <v>0</v>
      </c>
      <c r="K14" s="12">
        <f t="shared" si="1"/>
        <v>20</v>
      </c>
      <c r="L14" s="12">
        <f>COUNTIFS(Başvuru!$G:$G, "Yüksek Lisans Tezi", Başvuru!$L:$L, L$2, Başvuru!$J:$J, $B14) + COUNTIFS(Başvuru!$G:$G, "Yüksek Lisans Tezi", Başvuru!$L:$L, L$2, Başvuru!$K:$K, $B14)</f>
        <v>1</v>
      </c>
      <c r="M14" s="12">
        <f>COUNTIFS(Başvuru!$G:$G, "Yüksek Lisans Tezi", Başvuru!$L:$L, M$2, Başvuru!$J:$J, $B14) + COUNTIFS(Başvuru!$G:$G, "Yüksek Lisans Tezi", Başvuru!$L:$L, M$2, Başvuru!$K:$K, $B14)</f>
        <v>1</v>
      </c>
      <c r="N14" s="12">
        <f>COUNTIFS(Başvuru!$G:$G, "Yüksek Lisans Tezi", Başvuru!$L:$L, N$2, Başvuru!$J:$J, $B14) + COUNTIFS(Başvuru!$G:$G, "Yüksek Lisans Tezi", Başvuru!$L:$L, N$2, Başvuru!$K:$K, $B14)</f>
        <v>0</v>
      </c>
      <c r="O14" s="12">
        <f>COUNTIFS(Başvuru!$G:$G, "Yüksek Lisans Tezi", Başvuru!$L:$L, O$2, Başvuru!$J:$J, $B14) + COUNTIFS(Başvuru!$G:$G, "Yüksek Lisans Tezi", Başvuru!$L:$L, O$2, Başvuru!$K:$K, $B14)</f>
        <v>0</v>
      </c>
      <c r="P14" s="12">
        <f>COUNTIFS(Başvuru!$G:$G, "Yüksek Lisans Tezi", Başvuru!$L:$L, P$2, Başvuru!$J:$J, $B14) + COUNTIFS(Başvuru!$G:$G, "Yüksek Lisans Tezi", Başvuru!$L:$L, P$2, Başvuru!$K:$K, $B14)</f>
        <v>0</v>
      </c>
      <c r="Q14" s="12">
        <f>COUNTIFS(Başvuru!$G:$G, "Yüksek Lisans Tezi", Başvuru!$L:$L, Q$2, Başvuru!$J:$J, $B14) + COUNTIFS(Başvuru!$G:$G, "Yüksek Lisans Tezi", Başvuru!$L:$L, Q$2, Başvuru!$K:$K, $B14)</f>
        <v>0</v>
      </c>
      <c r="R14" s="12">
        <f>COUNTIFS(Başvuru!$G:$G, "Yüksek Lisans Tezi", Başvuru!$L:$L, R$2, Başvuru!$J:$J, $B14) + COUNTIFS(Başvuru!$G:$G, "Yüksek Lisans Tezi", Başvuru!$L:$L, R$2, Başvuru!$K:$K, $B14)</f>
        <v>0</v>
      </c>
      <c r="S14" s="12">
        <f t="shared" si="2"/>
        <v>2</v>
      </c>
      <c r="T14" s="12">
        <f>COUNTIFS(Başvuru!$G:$G, "Doktora Tezi", Başvuru!$L:$L, T$2, Başvuru!$J:$J, $B14) + COUNTIFS(Başvuru!$G:$G, "Doktora Tezi", Başvuru!$L:$L, T$2, Başvuru!$K:$K, $B14)</f>
        <v>3</v>
      </c>
      <c r="U14" s="12">
        <f>COUNTIFS(Başvuru!$G:$G, "Doktora Tezi", Başvuru!$L:$L, U$2, Başvuru!$J:$J, $B14) + COUNTIFS(Başvuru!$G:$G, "Doktora Tezi", Başvuru!$L:$L, U$2, Başvuru!$K:$K, $B14)</f>
        <v>0</v>
      </c>
      <c r="V14" s="12">
        <f>COUNTIFS(Başvuru!$G:$G, "Doktora Tezi", Başvuru!$L:$L, V$2, Başvuru!$J:$J, $B14) + COUNTIFS(Başvuru!$G:$G, "Doktora Tezi", Başvuru!$L:$L, V$2, Başvuru!$K:$K, $B14)</f>
        <v>0</v>
      </c>
      <c r="W14" s="12">
        <f>COUNTIFS(Başvuru!$G:$G, "Doktora Tezi", Başvuru!$L:$L, W$2, Başvuru!$J:$J, $B14) + COUNTIFS(Başvuru!$G:$G, "Doktora Tezi", Başvuru!$L:$L, W$2, Başvuru!$K:$K, $B14)</f>
        <v>0</v>
      </c>
      <c r="X14" s="12">
        <f>COUNTIFS(Başvuru!$G:$G, "Doktora Tezi", Başvuru!$L:$L, X$2, Başvuru!$J:$J, $B14) + COUNTIFS(Başvuru!$G:$G, "Doktora Tezi", Başvuru!$L:$L, X$2, Başvuru!$K:$K, $B14)</f>
        <v>0</v>
      </c>
      <c r="Y14" s="12">
        <f>COUNTIFS(Başvuru!$G:$G, "Doktora Tezi", Başvuru!$L:$L, Y$2, Başvuru!$J:$J, $B14) + COUNTIFS(Başvuru!$G:$G, "Doktora Tezi", Başvuru!$L:$L, Y$2, Başvuru!$K:$K, $B14)</f>
        <v>0</v>
      </c>
      <c r="Z14" s="12">
        <f>COUNTIFS(Başvuru!$G:$G, "Doktora Tezi", Başvuru!$L:$L, Z$2, Başvuru!$J:$J, $B14) + COUNTIFS(Başvuru!$G:$G, "Doktora Tezi", Başvuru!$L:$L, Z$2, Başvuru!$K:$K, $B14)</f>
        <v>0</v>
      </c>
      <c r="AA14" s="12">
        <f t="shared" si="3"/>
        <v>3</v>
      </c>
      <c r="AB14" s="12">
        <f>COUNTIFS(Başvuru!$G:$G, "Uzmanlık Tezi", Başvuru!$L:$L, AB$2, Başvuru!$J:$J, $B14) + COUNTIFS(Başvuru!$G:$G, "Uzmanlık Tezi", Başvuru!$L:$L, AB$2, Başvuru!$K:$K, $B14)</f>
        <v>2</v>
      </c>
      <c r="AC14" s="12">
        <f>COUNTIFS(Başvuru!$G:$G, "Uzmanlık Tezi", Başvuru!$L:$L, AC$2, Başvuru!$J:$J, $B14) + COUNTIFS(Başvuru!$G:$G, "Uzmanlık Tezi", Başvuru!$L:$L, AC$2, Başvuru!$K:$K, $B14)</f>
        <v>3</v>
      </c>
      <c r="AD14" s="12">
        <f>COUNTIFS(Başvuru!$G:$G, "Uzmanlık Tezi", Başvuru!$L:$L, AD$2, Başvuru!$J:$J, $B14) + COUNTIFS(Başvuru!$G:$G, "Uzmanlık Tezi", Başvuru!$L:$L, AD$2, Başvuru!$K:$K, $B14)</f>
        <v>1</v>
      </c>
      <c r="AE14" s="12">
        <f>COUNTIFS(Başvuru!$G:$G, "Uzmanlık Tezi", Başvuru!$L:$L, AE$2, Başvuru!$J:$J, $B14) + COUNTIFS(Başvuru!$G:$G, "Uzmanlık Tezi", Başvuru!$L:$L, AE$2, Başvuru!$K:$K, $B14)</f>
        <v>0</v>
      </c>
      <c r="AF14" s="12">
        <f>COUNTIFS(Başvuru!$G:$G, "Uzmanlık Tezi", Başvuru!$L:$L, AF$2, Başvuru!$J:$J, $B14) + COUNTIFS(Başvuru!$G:$G, "Uzmanlık Tezi", Başvuru!$L:$L, AF$2, Başvuru!$K:$K, $B14)</f>
        <v>0</v>
      </c>
      <c r="AG14" s="12">
        <f>COUNTIFS(Başvuru!$G:$G, "Uzmanlık Tezi", Başvuru!$L:$L, AG$2, Başvuru!$J:$J, $B14) + COUNTIFS(Başvuru!$G:$G, "Uzmanlık Tezi", Başvuru!$L:$L, AG$2, Başvuru!$K:$K, $B14)</f>
        <v>0</v>
      </c>
      <c r="AH14" s="12">
        <f>COUNTIFS(Başvuru!$G:$G, "Uzmanlık Tezi", Başvuru!$L:$L, AH$2, Başvuru!$J:$J, $B14) + COUNTIFS(Başvuru!$G:$G, "Uzmanlık Tezi", Başvuru!$L:$L, AH$2, Başvuru!$K:$K, $B14)</f>
        <v>0</v>
      </c>
      <c r="AI14" s="12">
        <f t="shared" si="4"/>
        <v>6</v>
      </c>
      <c r="AJ14" s="31">
        <f t="shared" si="5"/>
        <v>18</v>
      </c>
      <c r="AK14" s="31">
        <f t="shared" si="5"/>
        <v>11</v>
      </c>
      <c r="AL14" s="31">
        <f t="shared" si="0"/>
        <v>2</v>
      </c>
      <c r="AM14" s="31">
        <f t="shared" si="0"/>
        <v>0</v>
      </c>
      <c r="AN14" s="31">
        <f t="shared" si="0"/>
        <v>0</v>
      </c>
      <c r="AO14" s="31">
        <f t="shared" si="0"/>
        <v>0</v>
      </c>
      <c r="AP14" s="31">
        <f t="shared" si="0"/>
        <v>0</v>
      </c>
      <c r="AQ14" s="31">
        <f t="shared" si="6"/>
        <v>31</v>
      </c>
    </row>
    <row r="15" spans="1:43" s="14" customFormat="1" ht="30" customHeight="1" x14ac:dyDescent="0.25">
      <c r="A15" s="184" t="s">
        <v>60</v>
      </c>
      <c r="B15" s="184"/>
      <c r="C15" s="20">
        <f t="shared" ref="C15:AP15" si="7">SUM(C3:C14)</f>
        <v>380</v>
      </c>
      <c r="D15" s="20">
        <f t="shared" si="7"/>
        <v>120</v>
      </c>
      <c r="E15" s="20">
        <f t="shared" si="7"/>
        <v>66</v>
      </c>
      <c r="F15" s="20">
        <f t="shared" si="7"/>
        <v>4</v>
      </c>
      <c r="G15" s="20">
        <f t="shared" si="7"/>
        <v>4</v>
      </c>
      <c r="H15" s="20">
        <f t="shared" si="7"/>
        <v>4</v>
      </c>
      <c r="I15" s="20">
        <f t="shared" si="7"/>
        <v>0</v>
      </c>
      <c r="J15" s="20">
        <f t="shared" si="7"/>
        <v>0</v>
      </c>
      <c r="K15" s="176">
        <f t="shared" si="7"/>
        <v>198</v>
      </c>
      <c r="L15" s="20">
        <f t="shared" si="7"/>
        <v>2</v>
      </c>
      <c r="M15" s="20">
        <f t="shared" si="7"/>
        <v>4</v>
      </c>
      <c r="N15" s="20">
        <f t="shared" si="7"/>
        <v>0</v>
      </c>
      <c r="O15" s="20">
        <f t="shared" si="7"/>
        <v>0</v>
      </c>
      <c r="P15" s="20">
        <f t="shared" si="7"/>
        <v>0</v>
      </c>
      <c r="Q15" s="20">
        <f t="shared" si="7"/>
        <v>0</v>
      </c>
      <c r="R15" s="20">
        <f t="shared" si="7"/>
        <v>0</v>
      </c>
      <c r="S15" s="176">
        <f t="shared" si="7"/>
        <v>6</v>
      </c>
      <c r="T15" s="20">
        <f t="shared" si="7"/>
        <v>12</v>
      </c>
      <c r="U15" s="20">
        <f t="shared" si="7"/>
        <v>14</v>
      </c>
      <c r="V15" s="20">
        <f t="shared" si="7"/>
        <v>0</v>
      </c>
      <c r="W15" s="20">
        <f t="shared" si="7"/>
        <v>0</v>
      </c>
      <c r="X15" s="20">
        <f t="shared" si="7"/>
        <v>0</v>
      </c>
      <c r="Y15" s="20">
        <f t="shared" si="7"/>
        <v>0</v>
      </c>
      <c r="Z15" s="20">
        <f t="shared" si="7"/>
        <v>0</v>
      </c>
      <c r="AA15" s="176">
        <f t="shared" si="7"/>
        <v>26</v>
      </c>
      <c r="AB15" s="20">
        <f t="shared" si="7"/>
        <v>32</v>
      </c>
      <c r="AC15" s="20">
        <f t="shared" si="7"/>
        <v>20</v>
      </c>
      <c r="AD15" s="20">
        <f t="shared" si="7"/>
        <v>2</v>
      </c>
      <c r="AE15" s="20">
        <f t="shared" si="7"/>
        <v>0</v>
      </c>
      <c r="AF15" s="20">
        <f t="shared" si="7"/>
        <v>0</v>
      </c>
      <c r="AG15" s="20">
        <f t="shared" si="7"/>
        <v>2</v>
      </c>
      <c r="AH15" s="20">
        <f t="shared" si="7"/>
        <v>0</v>
      </c>
      <c r="AI15" s="176">
        <f t="shared" si="7"/>
        <v>56</v>
      </c>
      <c r="AJ15" s="50">
        <f t="shared" si="7"/>
        <v>166</v>
      </c>
      <c r="AK15" s="50">
        <f t="shared" si="7"/>
        <v>104</v>
      </c>
      <c r="AL15" s="50">
        <f t="shared" si="7"/>
        <v>6</v>
      </c>
      <c r="AM15" s="50">
        <f t="shared" si="7"/>
        <v>4</v>
      </c>
      <c r="AN15" s="50">
        <f t="shared" si="7"/>
        <v>4</v>
      </c>
      <c r="AO15" s="50">
        <f t="shared" si="7"/>
        <v>2</v>
      </c>
      <c r="AP15" s="50">
        <f t="shared" si="7"/>
        <v>0</v>
      </c>
      <c r="AQ15" s="50">
        <f>SUM(AJ15:AP15)</f>
        <v>286</v>
      </c>
    </row>
    <row r="16" spans="1:43" s="14" customFormat="1" ht="45.75" x14ac:dyDescent="0.25">
      <c r="A16" s="24"/>
      <c r="C16" s="35">
        <f>C15/2</f>
        <v>190</v>
      </c>
      <c r="D16" s="178">
        <f>SUM(D15:J15)</f>
        <v>198</v>
      </c>
      <c r="E16" s="178"/>
      <c r="F16" s="178"/>
      <c r="G16" s="178"/>
      <c r="H16" s="178"/>
      <c r="I16" s="178"/>
      <c r="J16" s="178"/>
      <c r="K16" s="177"/>
      <c r="L16" s="178">
        <f>SUM(L15:R15)</f>
        <v>6</v>
      </c>
      <c r="M16" s="178"/>
      <c r="N16" s="178"/>
      <c r="O16" s="178"/>
      <c r="P16" s="178"/>
      <c r="Q16" s="178"/>
      <c r="R16" s="178"/>
      <c r="S16" s="177"/>
      <c r="T16" s="178">
        <f>SUM(T15:Z15)</f>
        <v>26</v>
      </c>
      <c r="U16" s="178"/>
      <c r="V16" s="178"/>
      <c r="W16" s="178"/>
      <c r="X16" s="178"/>
      <c r="Y16" s="178"/>
      <c r="Z16" s="178"/>
      <c r="AA16" s="177"/>
      <c r="AB16" s="178">
        <f>SUM(AB15:AH15)</f>
        <v>56</v>
      </c>
      <c r="AC16" s="178"/>
      <c r="AD16" s="178"/>
      <c r="AE16" s="178"/>
      <c r="AF16" s="178"/>
      <c r="AG16" s="178"/>
      <c r="AH16" s="178"/>
      <c r="AI16" s="177"/>
    </row>
    <row r="17" spans="1:43" ht="45.75" x14ac:dyDescent="0.25">
      <c r="D17" s="181">
        <f>SUM(D16:AH16)</f>
        <v>286</v>
      </c>
      <c r="E17" s="181"/>
      <c r="F17" s="181"/>
      <c r="G17" s="181"/>
      <c r="H17" s="181"/>
      <c r="I17" s="181"/>
      <c r="J17" s="181"/>
      <c r="K17" s="181"/>
      <c r="L17" s="181"/>
      <c r="M17" s="181"/>
      <c r="N17" s="181"/>
      <c r="O17" s="181"/>
      <c r="P17" s="181"/>
      <c r="Q17" s="181"/>
      <c r="R17" s="181"/>
      <c r="S17" s="181"/>
      <c r="T17" s="181"/>
      <c r="U17" s="181"/>
      <c r="V17" s="181"/>
      <c r="W17" s="181"/>
      <c r="X17" s="181"/>
      <c r="Y17" s="181"/>
      <c r="Z17" s="181"/>
      <c r="AA17" s="181"/>
      <c r="AB17" s="181"/>
      <c r="AC17" s="181"/>
      <c r="AD17" s="181"/>
      <c r="AE17" s="181"/>
      <c r="AF17" s="181"/>
      <c r="AG17" s="181"/>
      <c r="AH17" s="181"/>
      <c r="AI17" s="181"/>
      <c r="AJ17" s="172">
        <f>C15-D17</f>
        <v>94</v>
      </c>
      <c r="AK17" s="172"/>
      <c r="AL17" s="172"/>
      <c r="AM17" s="172"/>
      <c r="AN17" s="172">
        <f>C15-AQ15</f>
        <v>94</v>
      </c>
      <c r="AO17" s="172"/>
      <c r="AP17" s="172"/>
      <c r="AQ17" s="172"/>
    </row>
    <row r="21" spans="1:43" ht="30" customHeight="1" x14ac:dyDescent="0.25">
      <c r="A21" s="16" t="s">
        <v>65</v>
      </c>
      <c r="B21" s="20" t="s">
        <v>68</v>
      </c>
      <c r="C21" s="20" t="s">
        <v>66</v>
      </c>
    </row>
    <row r="22" spans="1:43" ht="30" customHeight="1" x14ac:dyDescent="0.25">
      <c r="A22" s="17" t="s">
        <v>1</v>
      </c>
      <c r="B22" s="22" t="s">
        <v>76</v>
      </c>
      <c r="C22" s="23">
        <f>COUNTIF(Başvuru!G2:G1142,"Bireysel Araştırma")</f>
        <v>132</v>
      </c>
    </row>
    <row r="23" spans="1:43" ht="30" customHeight="1" x14ac:dyDescent="0.25">
      <c r="A23" s="18" t="s">
        <v>2</v>
      </c>
      <c r="B23" s="25" t="s">
        <v>25</v>
      </c>
      <c r="C23" s="26">
        <f>COUNTIF(Başvuru!G2:G1142,"Yüksek Lisans Tezi")</f>
        <v>5</v>
      </c>
    </row>
    <row r="24" spans="1:43" ht="30" customHeight="1" x14ac:dyDescent="0.25">
      <c r="A24" s="17" t="s">
        <v>3</v>
      </c>
      <c r="B24" s="22" t="s">
        <v>23</v>
      </c>
      <c r="C24" s="23">
        <f>COUNTIF(Başvuru!G2:G1142,"Doktora Tezi")</f>
        <v>17</v>
      </c>
    </row>
    <row r="25" spans="1:43" ht="30" customHeight="1" x14ac:dyDescent="0.25">
      <c r="A25" s="18" t="s">
        <v>4</v>
      </c>
      <c r="B25" s="25" t="s">
        <v>24</v>
      </c>
      <c r="C25" s="26">
        <f>COUNTIF(Başvuru!G2:G1142,"Uzmanlık Tezi")</f>
        <v>36</v>
      </c>
    </row>
    <row r="26" spans="1:43" ht="30" customHeight="1" x14ac:dyDescent="0.25">
      <c r="A26" s="179" t="s">
        <v>60</v>
      </c>
      <c r="B26" s="180"/>
      <c r="C26" s="20">
        <f>SUM(C22:C25)</f>
        <v>190</v>
      </c>
    </row>
    <row r="27" spans="1:43" ht="30" customHeight="1" x14ac:dyDescent="0.25">
      <c r="B27" s="14"/>
      <c r="C27" s="14"/>
    </row>
    <row r="28" spans="1:43" ht="30" customHeight="1" x14ac:dyDescent="0.25">
      <c r="A28" s="16" t="s">
        <v>65</v>
      </c>
      <c r="B28" s="20" t="s">
        <v>69</v>
      </c>
      <c r="C28" s="20" t="s">
        <v>66</v>
      </c>
    </row>
    <row r="29" spans="1:43" ht="30" customHeight="1" x14ac:dyDescent="0.25">
      <c r="A29" s="19" t="s">
        <v>1</v>
      </c>
      <c r="B29" s="27" t="s">
        <v>70</v>
      </c>
      <c r="C29" s="23">
        <f>COUNTIF(Başvuru!L2:L1142,"ONAY")</f>
        <v>83</v>
      </c>
    </row>
    <row r="30" spans="1:43" ht="30" customHeight="1" x14ac:dyDescent="0.25">
      <c r="A30" s="19" t="s">
        <v>2</v>
      </c>
      <c r="B30" s="27" t="s">
        <v>71</v>
      </c>
      <c r="C30" s="23">
        <f>COUNTIF(Başvuru!L2:L1142,"DÜZELTME")</f>
        <v>52</v>
      </c>
    </row>
    <row r="31" spans="1:43" ht="30" customHeight="1" x14ac:dyDescent="0.25">
      <c r="A31" s="19" t="s">
        <v>3</v>
      </c>
      <c r="B31" s="27" t="s">
        <v>73</v>
      </c>
      <c r="C31" s="23">
        <f>COUNTIF(Başvuru!L2:L1142,"KAEK")</f>
        <v>3</v>
      </c>
    </row>
    <row r="32" spans="1:43" ht="30" customHeight="1" x14ac:dyDescent="0.25">
      <c r="A32" s="19" t="s">
        <v>4</v>
      </c>
      <c r="B32" s="27" t="s">
        <v>87</v>
      </c>
      <c r="C32" s="23">
        <f>COUNTIF(Başvuru!L2:L1142,"GÖRÜŞ")</f>
        <v>2</v>
      </c>
    </row>
    <row r="33" spans="1:6" ht="30" customHeight="1" x14ac:dyDescent="0.25">
      <c r="A33" s="19" t="s">
        <v>5</v>
      </c>
      <c r="B33" s="27" t="s">
        <v>308</v>
      </c>
      <c r="C33" s="23">
        <f>COUNTIF(Başvuru!L2:L1142,"RET")</f>
        <v>2</v>
      </c>
    </row>
    <row r="34" spans="1:6" ht="30" customHeight="1" x14ac:dyDescent="0.25">
      <c r="A34" s="19" t="s">
        <v>6</v>
      </c>
      <c r="B34" s="27" t="s">
        <v>72</v>
      </c>
      <c r="C34" s="23">
        <f>COUNTIF(Başvuru!L2:L1142,"KAPSAM DIŞI")</f>
        <v>1</v>
      </c>
    </row>
    <row r="35" spans="1:6" ht="30" customHeight="1" x14ac:dyDescent="0.25">
      <c r="A35" s="19" t="s">
        <v>7</v>
      </c>
      <c r="B35" s="27" t="s">
        <v>79</v>
      </c>
      <c r="C35" s="23">
        <f>COUNTIF(Başvuru!L2:L1142,"GERİ ÇEKİLDİ")</f>
        <v>0</v>
      </c>
    </row>
    <row r="36" spans="1:6" ht="30" customHeight="1" x14ac:dyDescent="0.25">
      <c r="A36" s="179" t="s">
        <v>60</v>
      </c>
      <c r="B36" s="180"/>
      <c r="C36" s="20">
        <f>SUM(C29:C35)</f>
        <v>143</v>
      </c>
    </row>
    <row r="40" spans="1:6" ht="115.5" x14ac:dyDescent="0.25">
      <c r="B40" s="47" t="s">
        <v>97</v>
      </c>
      <c r="C40" s="47" t="s">
        <v>98</v>
      </c>
      <c r="D40" s="47" t="s">
        <v>71</v>
      </c>
      <c r="E40" s="47" t="s">
        <v>99</v>
      </c>
      <c r="F40" s="47" t="s">
        <v>100</v>
      </c>
    </row>
    <row r="41" spans="1:6" ht="20.25" x14ac:dyDescent="0.25">
      <c r="B41" s="46">
        <v>45670</v>
      </c>
      <c r="C41" s="45">
        <v>19</v>
      </c>
      <c r="D41" s="45">
        <v>43</v>
      </c>
      <c r="E41" s="45">
        <v>5</v>
      </c>
      <c r="F41" s="45">
        <f>SUM(C41:E41)</f>
        <v>67</v>
      </c>
    </row>
    <row r="42" spans="1:6" ht="20.25" x14ac:dyDescent="0.25">
      <c r="B42" s="46">
        <v>45685</v>
      </c>
      <c r="C42" s="45">
        <v>52</v>
      </c>
      <c r="D42" s="45">
        <v>20</v>
      </c>
      <c r="E42" s="45">
        <v>11</v>
      </c>
      <c r="F42" s="45">
        <f t="shared" ref="F42:F58" si="8">SUM(C42:E42)</f>
        <v>83</v>
      </c>
    </row>
    <row r="43" spans="1:6" ht="20.25" x14ac:dyDescent="0.25">
      <c r="B43" s="46">
        <v>45692</v>
      </c>
      <c r="C43" s="45">
        <v>60</v>
      </c>
      <c r="D43" s="45">
        <v>7</v>
      </c>
      <c r="E43" s="45">
        <v>4</v>
      </c>
      <c r="F43" s="45">
        <f t="shared" si="8"/>
        <v>71</v>
      </c>
    </row>
    <row r="44" spans="1:6" ht="20.25" x14ac:dyDescent="0.25">
      <c r="B44" s="46">
        <v>45706</v>
      </c>
      <c r="C44" s="45">
        <v>56</v>
      </c>
      <c r="D44" s="45">
        <v>30</v>
      </c>
      <c r="E44" s="45">
        <v>17</v>
      </c>
      <c r="F44" s="45">
        <f t="shared" si="8"/>
        <v>103</v>
      </c>
    </row>
    <row r="45" spans="1:6" ht="20.25" x14ac:dyDescent="0.25">
      <c r="B45" s="46">
        <v>45720</v>
      </c>
      <c r="C45" s="45">
        <v>53</v>
      </c>
      <c r="D45" s="45">
        <v>26</v>
      </c>
      <c r="E45" s="45">
        <v>10</v>
      </c>
      <c r="F45" s="45">
        <f t="shared" si="8"/>
        <v>89</v>
      </c>
    </row>
    <row r="46" spans="1:6" ht="20.25" x14ac:dyDescent="0.25">
      <c r="B46" s="46">
        <v>45734</v>
      </c>
      <c r="C46" s="45">
        <v>54</v>
      </c>
      <c r="D46" s="45">
        <v>19</v>
      </c>
      <c r="E46" s="45">
        <v>12</v>
      </c>
      <c r="F46" s="45">
        <f t="shared" si="8"/>
        <v>85</v>
      </c>
    </row>
    <row r="47" spans="1:6" ht="20.25" x14ac:dyDescent="0.25">
      <c r="B47" s="46">
        <v>45755</v>
      </c>
      <c r="C47" s="45">
        <v>52</v>
      </c>
      <c r="D47" s="45">
        <v>24</v>
      </c>
      <c r="E47" s="45">
        <v>5</v>
      </c>
      <c r="F47" s="45">
        <f t="shared" si="8"/>
        <v>81</v>
      </c>
    </row>
    <row r="48" spans="1:6" ht="20.25" x14ac:dyDescent="0.25">
      <c r="B48" s="46">
        <v>45771</v>
      </c>
      <c r="C48" s="45">
        <v>44</v>
      </c>
      <c r="D48" s="45">
        <v>20</v>
      </c>
      <c r="E48" s="45">
        <v>19</v>
      </c>
      <c r="F48" s="45">
        <f t="shared" si="8"/>
        <v>83</v>
      </c>
    </row>
    <row r="49" spans="2:6" ht="20.25" x14ac:dyDescent="0.25">
      <c r="B49" s="46">
        <v>45783</v>
      </c>
      <c r="C49" s="45">
        <v>42</v>
      </c>
      <c r="D49" s="45">
        <v>5</v>
      </c>
      <c r="E49" s="45">
        <v>6</v>
      </c>
      <c r="F49" s="45">
        <f t="shared" si="8"/>
        <v>53</v>
      </c>
    </row>
    <row r="50" spans="2:6" ht="20.25" x14ac:dyDescent="0.25">
      <c r="B50" s="46">
        <v>45797</v>
      </c>
      <c r="C50" s="45">
        <v>41</v>
      </c>
      <c r="D50" s="45">
        <v>17</v>
      </c>
      <c r="E50" s="45">
        <v>10</v>
      </c>
      <c r="F50" s="45">
        <f t="shared" si="8"/>
        <v>68</v>
      </c>
    </row>
    <row r="51" spans="2:6" ht="20.25" x14ac:dyDescent="0.25">
      <c r="B51" s="46">
        <v>45811</v>
      </c>
      <c r="C51" s="45">
        <v>51</v>
      </c>
      <c r="D51" s="45">
        <v>21</v>
      </c>
      <c r="E51" s="45">
        <v>7</v>
      </c>
      <c r="F51" s="45">
        <f t="shared" si="8"/>
        <v>79</v>
      </c>
    </row>
    <row r="52" spans="2:6" ht="20.25" x14ac:dyDescent="0.25">
      <c r="B52" s="46">
        <v>45832</v>
      </c>
      <c r="C52" s="45">
        <v>51</v>
      </c>
      <c r="D52" s="45">
        <v>24</v>
      </c>
      <c r="E52" s="45">
        <v>16</v>
      </c>
      <c r="F52" s="45">
        <f t="shared" si="8"/>
        <v>91</v>
      </c>
    </row>
    <row r="53" spans="2:6" ht="20.25" x14ac:dyDescent="0.25">
      <c r="B53" s="46">
        <v>45846</v>
      </c>
      <c r="C53" s="45">
        <v>53</v>
      </c>
      <c r="D53" s="45">
        <v>25</v>
      </c>
      <c r="E53" s="45">
        <v>9</v>
      </c>
      <c r="F53" s="45">
        <f t="shared" si="8"/>
        <v>87</v>
      </c>
    </row>
    <row r="54" spans="2:6" ht="20.25" x14ac:dyDescent="0.25">
      <c r="B54" s="46">
        <v>45860</v>
      </c>
      <c r="C54" s="45">
        <v>60</v>
      </c>
      <c r="D54" s="45">
        <v>12</v>
      </c>
      <c r="E54" s="45">
        <v>10</v>
      </c>
      <c r="F54" s="45">
        <f t="shared" si="8"/>
        <v>82</v>
      </c>
    </row>
    <row r="55" spans="2:6" ht="20.25" x14ac:dyDescent="0.25">
      <c r="B55" s="46">
        <v>45895</v>
      </c>
      <c r="C55" s="45">
        <v>61</v>
      </c>
      <c r="D55" s="45">
        <v>33</v>
      </c>
      <c r="E55" s="45">
        <v>10</v>
      </c>
      <c r="F55" s="45">
        <f t="shared" si="8"/>
        <v>104</v>
      </c>
    </row>
    <row r="56" spans="2:6" ht="20.25" x14ac:dyDescent="0.25">
      <c r="B56" s="46">
        <v>45909</v>
      </c>
      <c r="C56" s="45">
        <v>39</v>
      </c>
      <c r="D56" s="45">
        <v>4</v>
      </c>
      <c r="E56" s="45">
        <v>6</v>
      </c>
      <c r="F56" s="45">
        <f t="shared" si="8"/>
        <v>49</v>
      </c>
    </row>
    <row r="57" spans="2:6" ht="20.25" x14ac:dyDescent="0.25">
      <c r="B57" s="46">
        <v>45923</v>
      </c>
      <c r="C57" s="45">
        <v>36</v>
      </c>
      <c r="D57" s="45">
        <v>19</v>
      </c>
      <c r="E57" s="45">
        <v>3</v>
      </c>
      <c r="F57" s="45">
        <f t="shared" si="8"/>
        <v>58</v>
      </c>
    </row>
    <row r="58" spans="2:6" ht="20.25" x14ac:dyDescent="0.25">
      <c r="B58" s="46">
        <v>45937</v>
      </c>
      <c r="C58" s="45">
        <v>34</v>
      </c>
      <c r="D58" s="45">
        <v>14</v>
      </c>
      <c r="E58" s="45">
        <v>5</v>
      </c>
      <c r="F58" s="45">
        <f t="shared" si="8"/>
        <v>53</v>
      </c>
    </row>
    <row r="59" spans="2:6" ht="20.25" x14ac:dyDescent="0.25">
      <c r="B59" s="46">
        <v>45951</v>
      </c>
      <c r="C59" s="45"/>
      <c r="D59" s="45"/>
      <c r="E59" s="45"/>
      <c r="F59" s="45"/>
    </row>
    <row r="60" spans="2:6" ht="20.25" x14ac:dyDescent="0.25">
      <c r="B60" s="46"/>
      <c r="C60" s="45"/>
      <c r="D60" s="45"/>
      <c r="E60" s="45"/>
      <c r="F60" s="45"/>
    </row>
    <row r="61" spans="2:6" ht="20.25" x14ac:dyDescent="0.25">
      <c r="B61" s="46"/>
      <c r="C61" s="45"/>
      <c r="D61" s="45"/>
      <c r="E61" s="45"/>
      <c r="F61" s="45"/>
    </row>
    <row r="62" spans="2:6" ht="20.25" x14ac:dyDescent="0.25">
      <c r="B62" s="46"/>
      <c r="C62" s="45"/>
      <c r="D62" s="45"/>
      <c r="E62" s="45"/>
      <c r="F62" s="45"/>
    </row>
    <row r="63" spans="2:6" ht="20.25" x14ac:dyDescent="0.25">
      <c r="B63" s="45"/>
      <c r="C63" s="45">
        <f>SUM(C41:C58)</f>
        <v>858</v>
      </c>
      <c r="D63" s="45">
        <f>SUM(D41:D58)</f>
        <v>363</v>
      </c>
      <c r="E63" s="45">
        <f>SUM(E41:E58)</f>
        <v>165</v>
      </c>
      <c r="F63" s="45">
        <f>SUM(F41:F58)</f>
        <v>1386</v>
      </c>
    </row>
  </sheetData>
  <mergeCells count="22">
    <mergeCell ref="A26:B26"/>
    <mergeCell ref="L1:S1"/>
    <mergeCell ref="AB16:AH16"/>
    <mergeCell ref="D17:AI17"/>
    <mergeCell ref="AJ17:AM17"/>
    <mergeCell ref="D1:K1"/>
    <mergeCell ref="AN17:AQ17"/>
    <mergeCell ref="T1:AA1"/>
    <mergeCell ref="A36:B36"/>
    <mergeCell ref="AB1:AI1"/>
    <mergeCell ref="AJ1:AQ1"/>
    <mergeCell ref="A15:B15"/>
    <mergeCell ref="K15:K16"/>
    <mergeCell ref="S15:S16"/>
    <mergeCell ref="AA15:AA16"/>
    <mergeCell ref="AI15:AI16"/>
    <mergeCell ref="D16:J16"/>
    <mergeCell ref="L16:R16"/>
    <mergeCell ref="T16:Z16"/>
    <mergeCell ref="A1:A2"/>
    <mergeCell ref="B1:B2"/>
    <mergeCell ref="C1:C2"/>
  </mergeCells>
  <conditionalFormatting sqref="A22:C25">
    <cfRule type="expression" dxfId="34" priority="1">
      <formula>" =ÇİFTMİ(SATIR())"</formula>
    </cfRule>
  </conditionalFormatting>
  <conditionalFormatting sqref="A29:C35">
    <cfRule type="expression" dxfId="33" priority="2">
      <formula>ISEVEN(ROW())</formula>
    </cfRule>
  </conditionalFormatting>
  <conditionalFormatting sqref="A3:AI14">
    <cfRule type="expression" dxfId="32"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910F6-5C80-47CD-B8D8-74B8C7A05CBA}">
  <sheetPr>
    <tabColor rgb="FF00B050"/>
  </sheetPr>
  <dimension ref="A1:O17"/>
  <sheetViews>
    <sheetView zoomScale="50" zoomScaleNormal="50" workbookViewId="0">
      <selection activeCell="B1" sqref="B1"/>
    </sheetView>
  </sheetViews>
  <sheetFormatPr defaultColWidth="7.85546875" defaultRowHeight="15" x14ac:dyDescent="0.25"/>
  <cols>
    <col min="1" max="1" width="40.140625" style="102" bestFit="1" customWidth="1"/>
    <col min="2" max="2" width="55" style="102" bestFit="1" customWidth="1"/>
    <col min="3" max="3" width="50" style="102" bestFit="1" customWidth="1"/>
    <col min="4" max="4" width="47.28515625" style="102" bestFit="1" customWidth="1"/>
    <col min="5" max="5" width="37" style="102" bestFit="1" customWidth="1"/>
    <col min="6" max="6" width="14.7109375" style="102" bestFit="1" customWidth="1"/>
    <col min="7" max="7" width="26" style="100" bestFit="1" customWidth="1"/>
    <col min="8" max="8" width="20" style="100" customWidth="1"/>
    <col min="9" max="10" width="34.140625" style="102" bestFit="1" customWidth="1"/>
    <col min="11" max="14" width="27.7109375" style="102" bestFit="1" customWidth="1"/>
    <col min="15" max="15" width="26.5703125" style="102" bestFit="1" customWidth="1"/>
    <col min="16" max="16384" width="7.85546875" style="102"/>
  </cols>
  <sheetData>
    <row r="1" spans="1:15" s="113" customFormat="1" ht="26.25" customHeight="1" x14ac:dyDescent="0.25">
      <c r="A1" s="111" t="s">
        <v>4083</v>
      </c>
      <c r="B1" s="111" t="s">
        <v>96</v>
      </c>
      <c r="C1" s="111"/>
      <c r="D1" s="111" t="s">
        <v>4082</v>
      </c>
      <c r="E1" s="112">
        <v>46057</v>
      </c>
      <c r="F1" s="111"/>
      <c r="G1" s="112" t="s">
        <v>4081</v>
      </c>
      <c r="H1" s="111">
        <f>IF(A6="Kayıt Yok", 0, COUNTA(INDEX(_xlfn.ANCHORARRAY(A6),,1)))</f>
        <v>12</v>
      </c>
    </row>
    <row r="2" spans="1:15" s="114" customFormat="1" ht="78" customHeight="1" x14ac:dyDescent="0.25">
      <c r="G2" s="115"/>
      <c r="H2" s="115"/>
    </row>
    <row r="3" spans="1:15" s="114" customFormat="1" ht="25.5" customHeight="1" x14ac:dyDescent="0.25">
      <c r="A3" s="116" t="s">
        <v>57</v>
      </c>
      <c r="B3" s="117" t="s">
        <v>58</v>
      </c>
      <c r="C3" s="116" t="s">
        <v>73</v>
      </c>
      <c r="D3" s="116" t="s">
        <v>86</v>
      </c>
      <c r="E3" s="116" t="s">
        <v>59</v>
      </c>
      <c r="F3" s="116" t="s">
        <v>307</v>
      </c>
      <c r="G3" s="118" t="s">
        <v>78</v>
      </c>
      <c r="H3" s="115"/>
    </row>
    <row r="4" spans="1:15" s="114" customFormat="1" ht="25.5" customHeight="1" x14ac:dyDescent="0.25">
      <c r="A4" s="131">
        <f>IF($A$6="Kayıt Yok", 0, COUNTIFS(Başvuru!$I:$I, $E$1, Başvuru!$P:$P, A$3, Başvuru!$J:$J, $B$1) + COUNTIFS(Başvuru!$I:$I, $E$1, Başvuru!$P:$P, A$3, Başvuru!$K:$K, $B$1))</f>
        <v>0</v>
      </c>
      <c r="B4" s="131">
        <f>IF($A$6="Kayıt Yok", 0, COUNTIFS(Başvuru!$I:$I, $E$1, Başvuru!$P:$P, B$3, Başvuru!$J:$J, $B$1) + COUNTIFS(Başvuru!$I:$I, $E$1, Başvuru!$P:$P, B$3, Başvuru!$K:$K, $B$1))</f>
        <v>0</v>
      </c>
      <c r="C4" s="131">
        <f>IF($A$6="Kayıt Yok", 0, COUNTIFS(Başvuru!$I:$I, $E$1, Başvuru!$P:$P, C$3, Başvuru!$J:$J, $B$1) + COUNTIFS(Başvuru!$I:$I, $E$1, Başvuru!$P:$P, C$3, Başvuru!$K:$K, $B$1))</f>
        <v>0</v>
      </c>
      <c r="D4" s="131">
        <f>IF($A$6="Kayıt Yok", 0, COUNTIFS(Başvuru!$I:$I, $E$1, Başvuru!$P:$P, D$3, Başvuru!$J:$J, $B$1) + COUNTIFS(Başvuru!$I:$I, $E$1, Başvuru!$P:$P, D$3, Başvuru!$K:$K, $B$1))</f>
        <v>0</v>
      </c>
      <c r="E4" s="131">
        <f>IF($A$6="Kayıt Yok", 0, COUNTIFS(Başvuru!$I:$I, $E$1, Başvuru!$P:$P, E$3, Başvuru!$J:$J, $B$1) + COUNTIFS(Başvuru!$I:$I, $E$1, Başvuru!$P:$P, E$3, Başvuru!$K:$K, $B$1))</f>
        <v>0</v>
      </c>
      <c r="F4" s="131">
        <f>IF($A$6="Kayıt Yok", 0, COUNTIFS(Başvuru!$I:$I, $E$1, Başvuru!$P:$P, F$3, Başvuru!$J:$J, $B$1) + COUNTIFS(Başvuru!$I:$I, $E$1, Başvuru!$P:$P, F$3, Başvuru!$K:$K, $B$1))</f>
        <v>0</v>
      </c>
      <c r="G4" s="131">
        <f>IF($A$6="Kayıt Yok", 0, COUNTIFS(Başvuru!$I:$I, $E$1, Başvuru!$P:$P, G$3, Başvuru!$J:$J, $B$1) + COUNTIFS(Başvuru!$I:$I, $E$1, Başvuru!$P:$P, G$3, Başvuru!$K:$K, $B$1))</f>
        <v>0</v>
      </c>
      <c r="H4" s="115"/>
    </row>
    <row r="5" spans="1:15" s="114" customFormat="1" ht="40.5" x14ac:dyDescent="0.25">
      <c r="A5" s="119" t="s">
        <v>77</v>
      </c>
      <c r="B5" s="119" t="s">
        <v>61</v>
      </c>
      <c r="C5" s="119" t="s">
        <v>4062</v>
      </c>
      <c r="D5" s="119" t="s">
        <v>62</v>
      </c>
      <c r="E5" s="119" t="s">
        <v>21</v>
      </c>
      <c r="F5" s="119" t="s">
        <v>26</v>
      </c>
      <c r="G5" s="120" t="s">
        <v>154</v>
      </c>
      <c r="H5" s="120" t="s">
        <v>22</v>
      </c>
      <c r="I5" s="119" t="s">
        <v>4063</v>
      </c>
      <c r="J5" s="119" t="s">
        <v>4064</v>
      </c>
      <c r="K5" s="119" t="s">
        <v>4065</v>
      </c>
      <c r="L5" s="119" t="s">
        <v>4066</v>
      </c>
      <c r="M5" s="119" t="s">
        <v>4067</v>
      </c>
      <c r="N5" s="119" t="s">
        <v>4068</v>
      </c>
      <c r="O5" s="119" t="s">
        <v>4069</v>
      </c>
    </row>
    <row r="6" spans="1:15" ht="75" x14ac:dyDescent="0.25">
      <c r="A6" s="102" t="str" cm="1">
        <f t="array" ref="A6:O17">IF(OR(B1="",E1=""), "Lütfen Üye ve Tarih Seçiniz", _xlfn._xlws.FILTER(Başvuru!B2:P1077, (VALUE(Başvuru!I2:I1077)=VALUE(E1))*((TRIM(Başvuru!J2:J1077)=TRIM(B1))+(TRIM(Başvuru!K2:K1077)=TRIM(B1))), "Kayıt Yok"))</f>
        <v>SBA 26/103</v>
      </c>
      <c r="B6" s="102" t="str">
        <v>Doç. Dr. Burcu ERSÖZ ALAN</v>
      </c>
      <c r="C6" s="102" t="str">
        <v>Çocuk ve Ergen Ruh Sağlığı ve Hastalıkları Anabilim Dalı</v>
      </c>
      <c r="D6" s="102" t="str">
        <v>Üniversitemiz Tıp Fakültesi Çocuk ve Ergen Ruh Sağlığı ve Hastalıkları Anabilim Dalı öğretim üyelerinden Doç. Dr. Burcu ERSÖZ ALAN’ın sorumlu araştırmacı olduğu, Arş. Gör. Dr. Sema ERASLAN’ın uzmanlık tezi olan,</v>
      </c>
      <c r="E6" s="102" t="str">
        <v>“Yeme Bozukluğu Tanılı Ergenlerde Sosyal Medya Kullanımının Beden Algısı ve Psikopatolojik Belirtiler Üzerine Etkileri”</v>
      </c>
      <c r="F6" s="102" t="str">
        <v>Uzmanlık Tezi</v>
      </c>
      <c r="G6" s="100">
        <v>46044</v>
      </c>
      <c r="H6" s="100">
        <v>46057</v>
      </c>
      <c r="I6" s="102" t="str">
        <v>Dr. Öğr. Üyesi Müge DEMİR</v>
      </c>
      <c r="J6" s="102" t="str">
        <v>Doç. Dr. Kübra AYKAÇ</v>
      </c>
      <c r="K6" s="102" t="str">
        <v>ONAY</v>
      </c>
      <c r="L6" s="102">
        <v>0</v>
      </c>
      <c r="M6" s="102">
        <v>0</v>
      </c>
      <c r="N6" s="102">
        <v>0</v>
      </c>
      <c r="O6" s="102">
        <v>0</v>
      </c>
    </row>
    <row r="7" spans="1:15" ht="120" x14ac:dyDescent="0.25">
      <c r="A7" s="102" t="str">
        <v>SBA 26/107</v>
      </c>
      <c r="B7" s="102" t="str">
        <v>Doç. Dr. Utku AKGÖR</v>
      </c>
      <c r="C7" s="102" t="str">
        <v>Kadın Hastalıkları ve Doğum Anabilim Dalı</v>
      </c>
      <c r="D7" s="102" t="str">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v>
      </c>
      <c r="E7" s="102" t="str">
        <v>“Over Kanserinde Mikroplastikler ve Metabolomik Etkileri”</v>
      </c>
      <c r="F7" s="102" t="str">
        <v>Bireysel Araştırma</v>
      </c>
      <c r="G7" s="100">
        <v>46044</v>
      </c>
      <c r="H7" s="100">
        <v>46057</v>
      </c>
      <c r="I7" s="102" t="str">
        <v>Prof. Dr. Ayşe Nurten AKARSU</v>
      </c>
      <c r="J7" s="102" t="str">
        <v>Doç. Dr. Kübra AYKAÇ</v>
      </c>
      <c r="K7" s="102" t="str">
        <v>DÜZELTME</v>
      </c>
      <c r="L7" s="102">
        <v>0</v>
      </c>
      <c r="M7" s="102">
        <v>0</v>
      </c>
      <c r="N7" s="102">
        <v>0</v>
      </c>
      <c r="O7" s="102">
        <v>0</v>
      </c>
    </row>
    <row r="8" spans="1:15" ht="90" x14ac:dyDescent="0.25">
      <c r="A8" s="102" t="str">
        <v>SBA 26/109</v>
      </c>
      <c r="B8" s="102" t="str">
        <v>Arş. Gör. Dr. Sebiha Şükran GÜNDEŞLİ</v>
      </c>
      <c r="C8" s="102" t="str">
        <v>Çocuk Sağlığı ve Hastalıkları Anabilim Dalı</v>
      </c>
      <c r="D8" s="102" t="str">
        <v>Üniversitemiz Tıp Fakültesi Çocuk Sağlığı ve Hastalıkları Anabilim Dalı yan dal araştırma görevlilerinden Arş. Gör. Dr. Sebiha Şükran GÜNDEŞLİ'nin sorumlu araştırmacı olduğu, Prof. Dr. Özlem TEKŞAM, Doç. Dr. Leman AKCAN YILDIZ ile birlikte çalışacakları,</v>
      </c>
      <c r="E8" s="102" t="str">
        <v>“Çocuk Acil Serviste Akut Karın Ağrısı ile Değerlendirilen Hastalarda İleri Görüntüleme Seçimini Etkileyen Faktörlerin Değerlendirilmesi"</v>
      </c>
      <c r="F8" s="102" t="str">
        <v>Bireysel Araştırma</v>
      </c>
      <c r="G8" s="100">
        <v>46044</v>
      </c>
      <c r="H8" s="100">
        <v>46057</v>
      </c>
      <c r="I8" s="102" t="str">
        <v>Doç. Dr. Kübra AYKAÇ</v>
      </c>
      <c r="J8" s="102" t="str">
        <v>Prof. Dr. Gözde GİRGİN</v>
      </c>
      <c r="K8" s="102" t="str">
        <v>ONAY</v>
      </c>
      <c r="L8" s="102">
        <v>0</v>
      </c>
      <c r="M8" s="102">
        <v>0</v>
      </c>
      <c r="N8" s="102">
        <v>0</v>
      </c>
      <c r="O8" s="102">
        <v>0</v>
      </c>
    </row>
    <row r="9" spans="1:15" ht="105" x14ac:dyDescent="0.25">
      <c r="A9" s="102" t="str">
        <v>SBA 26/111</v>
      </c>
      <c r="B9" s="102" t="str">
        <v>Prof. Dr. Çağrı Mesut TEMUÇİN</v>
      </c>
      <c r="C9" s="102" t="str">
        <v>Nöroloji Anabilim Dalı</v>
      </c>
      <c r="D9" s="102" t="str">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v>
      </c>
      <c r="E9" s="102" t="str">
        <v>“Guillain Barre Sendromu ile Uyumlu Elektrofizyolojik Bulguları Olan Pediatrik Hastalarda Kompleman CD59 Eksikliği”</v>
      </c>
      <c r="F9" s="102" t="str">
        <v>Bireysel Araştırma</v>
      </c>
      <c r="G9" s="100">
        <v>46044</v>
      </c>
      <c r="H9" s="100">
        <v>46057</v>
      </c>
      <c r="I9" s="102" t="str">
        <v>Doç. Dr. Kübra AYKAÇ</v>
      </c>
      <c r="J9" s="102" t="str">
        <v>Doç. Dr. Burcu ERSÖZ ALAN</v>
      </c>
      <c r="K9" s="102" t="str">
        <v>DÜZELTME</v>
      </c>
      <c r="L9" s="102">
        <v>0</v>
      </c>
      <c r="M9" s="102">
        <v>0</v>
      </c>
      <c r="N9" s="102">
        <v>0</v>
      </c>
      <c r="O9" s="102">
        <v>0</v>
      </c>
    </row>
    <row r="10" spans="1:15" ht="105" x14ac:dyDescent="0.25">
      <c r="A10" s="102" t="str">
        <v>SBA 26/120</v>
      </c>
      <c r="B10" s="102" t="str">
        <v>Prof. Dr. Rıza Köksal ÖZGÜL</v>
      </c>
      <c r="C10" s="102" t="str">
        <v>Pediatrik Temel Bilimler Anabilim Dalı</v>
      </c>
      <c r="D10" s="102" t="str">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v>
      </c>
      <c r="E10" s="102" t="str">
        <v>“İndüklenmiş Pluripotent Kök Hücrelerden Astrosit Farklılaştırılması ve Stres Uyaranları ile ECM Değişimlerinin İncelenerek Patolojilerin Modellenmesi”</v>
      </c>
      <c r="F10" s="102" t="str">
        <v>Bireysel Araştırma</v>
      </c>
      <c r="G10" s="100">
        <v>46045</v>
      </c>
      <c r="H10" s="100">
        <v>46057</v>
      </c>
      <c r="I10" s="102" t="str">
        <v>Prof. Dr. Ayşe Nurten AKARSU</v>
      </c>
      <c r="J10" s="102" t="str">
        <v>Doç. Dr. Kübra AYKAÇ</v>
      </c>
      <c r="K10" s="102" t="str">
        <v>DÜZELTME</v>
      </c>
      <c r="L10" s="102">
        <v>0</v>
      </c>
      <c r="M10" s="102">
        <v>0</v>
      </c>
      <c r="N10" s="102">
        <v>0</v>
      </c>
      <c r="O10" s="102">
        <v>0</v>
      </c>
    </row>
    <row r="11" spans="1:15" ht="135" x14ac:dyDescent="0.25">
      <c r="A11" s="102" t="str">
        <v>SBA 26/125</v>
      </c>
      <c r="B11" s="102" t="str">
        <v>Prof. Dr. Ali Fuat KALYONCU</v>
      </c>
      <c r="C11" s="102" t="str">
        <v>Göğüs Hastalıkları Anabilim Dalı</v>
      </c>
      <c r="D11" s="102" t="str">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v>
      </c>
      <c r="E11" s="102" t="str">
        <v>"Nonsteroid Anti-İnflamatuar İlaçlarla Alevlenen Solunum Yolu Hastalığı Tanılı Kadınlarda Polikistik Over Sendromu Sıklığının Değerlendirilmesi"</v>
      </c>
      <c r="F11" s="102" t="str">
        <v>Bireysel Araştırma</v>
      </c>
      <c r="G11" s="100">
        <v>46045</v>
      </c>
      <c r="H11" s="100">
        <v>46057</v>
      </c>
      <c r="I11" s="102" t="str">
        <v>Prof. Dr. Melih Önder BABAOĞLU</v>
      </c>
      <c r="J11" s="102" t="str">
        <v>Doç. Dr. Kübra AYKAÇ</v>
      </c>
      <c r="K11" s="102" t="str">
        <v>DÜZELTME</v>
      </c>
      <c r="L11" s="102">
        <v>0</v>
      </c>
      <c r="M11" s="102">
        <v>0</v>
      </c>
      <c r="N11" s="102">
        <v>0</v>
      </c>
      <c r="O11" s="102">
        <v>0</v>
      </c>
    </row>
    <row r="12" spans="1:15" ht="105" x14ac:dyDescent="0.25">
      <c r="A12" s="102" t="str">
        <v>SBA 26/126</v>
      </c>
      <c r="B12" s="102" t="str">
        <v>Doç. Dr. Ceren ÖZKUL KOÇAK</v>
      </c>
      <c r="C12" s="102" t="str">
        <v>Farmasötik Mikrobiyoloji Anabilim Dalı</v>
      </c>
      <c r="D12" s="102"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2" s="102" t="str">
        <v>“Kistik Fibrozis Hastalarından İzole Edilen Pseudomonas aeruginosa İzolatlarında Kolistin ve Tobramisinin Sub-inhibitör Düzeydeki Etkilerinin Karşılaştırmalı Transkriptomik ve Metabolomik Analizi”</v>
      </c>
      <c r="F12" s="102" t="str">
        <v>Doktora Tezi</v>
      </c>
      <c r="G12" s="100">
        <v>46045</v>
      </c>
      <c r="H12" s="100">
        <v>46057</v>
      </c>
      <c r="I12" s="102" t="str">
        <v>Doç. Dr. Kübra AYKAÇ</v>
      </c>
      <c r="J12" s="102" t="str">
        <v>Prof. Dr. Gözde GİRGİN</v>
      </c>
      <c r="K12" s="102" t="str">
        <v>DÜZELTME</v>
      </c>
      <c r="L12" s="102">
        <v>0</v>
      </c>
      <c r="M12" s="102">
        <v>0</v>
      </c>
      <c r="N12" s="102">
        <v>0</v>
      </c>
      <c r="O12" s="102">
        <v>0</v>
      </c>
    </row>
    <row r="13" spans="1:15" ht="75" x14ac:dyDescent="0.25">
      <c r="A13" s="102" t="str">
        <v>SBA 26/131</v>
      </c>
      <c r="B13" s="102" t="str">
        <v>Prof. Dr. Hatice Yasemin BALABAN</v>
      </c>
      <c r="C13" s="102" t="str">
        <v>İç Hastalıkları Anabilim Dalı</v>
      </c>
      <c r="D13" s="102" t="str">
        <v>Üniversitemiz Tıp Fakültesi İç Hastalıkları Anabilim Dalı öğretim üyelerinden Prof. Dr. Hatice Yasemin BALABAN’ın sorumlu araştırmacı olduğu, Arş. Gör. Dr. Burcu GÜRBÜZ ve Arş. Gör. Dr. Deniz ŞİMŞEK ile birlikte çalışacakları,</v>
      </c>
      <c r="E13" s="102" t="str">
        <v>“Çölyak Hastalığında İşe Devam ve İşe Devamsızlık – Çok Merkezli Bir Çalışma”</v>
      </c>
      <c r="F13" s="102" t="str">
        <v>Bireysel Araştırma</v>
      </c>
      <c r="G13" s="100">
        <v>46045</v>
      </c>
      <c r="H13" s="100">
        <v>46057</v>
      </c>
      <c r="I13" s="102" t="str">
        <v>Prof. Dr. Nazmiye Ebru ORTAÇ ERSOY</v>
      </c>
      <c r="J13" s="102" t="str">
        <v>Doç. Dr. Kübra AYKAÇ</v>
      </c>
      <c r="K13" s="102" t="str">
        <v>DÜZELTME</v>
      </c>
      <c r="L13" s="102">
        <v>0</v>
      </c>
      <c r="M13" s="102">
        <v>0</v>
      </c>
      <c r="N13" s="102">
        <v>0</v>
      </c>
      <c r="O13" s="102">
        <v>0</v>
      </c>
    </row>
    <row r="14" spans="1:15" ht="90" x14ac:dyDescent="0.25">
      <c r="A14" s="102" t="str">
        <v>SBA 26/137</v>
      </c>
      <c r="B14" s="102" t="str">
        <v>Dr. Öğr. Üyesi Ergin EROĞLU</v>
      </c>
      <c r="C14" s="102" t="str">
        <v>Kulak Burun Boğaz Anabilim Dalı</v>
      </c>
      <c r="D14" s="102" t="str">
        <v>Üniversitemiz Tıp Fakültesi Kulak Burun Boğaz Anabilim Dalı öğretim üyelerinden Dr. Öğr Üyesi Ergin EROĞLU’nun sorumlu araştırmacı olduğu, Prof. Dr. Levent SENNAROĞLU, Doç. Dr. Ahmet İlkay IŞIKAY ve Arş. Gör. Dr. Aysun PARLAK KOCABAY ile birlikte çalışacakları,</v>
      </c>
      <c r="E14" s="102" t="str">
        <v>“İşitsel Beyinsapı İmplantasyonu Sonrası Revizyon Cerrahisi Geçirmiş Olgularda Revizyon Nedenlerinin İncelenmesi”</v>
      </c>
      <c r="F14" s="102" t="str">
        <v>Bireysel Araştırma</v>
      </c>
      <c r="G14" s="100">
        <v>46048</v>
      </c>
      <c r="H14" s="100">
        <v>46057</v>
      </c>
      <c r="I14" s="102" t="str">
        <v>Dr. Öğr. Üyesi Müge DEMİR</v>
      </c>
      <c r="J14" s="102" t="str">
        <v>Doç. Dr. Kübra AYKAÇ</v>
      </c>
      <c r="K14" s="102" t="str">
        <v>ONAY</v>
      </c>
      <c r="L14" s="102">
        <v>0</v>
      </c>
      <c r="M14" s="102">
        <v>0</v>
      </c>
      <c r="N14" s="102">
        <v>0</v>
      </c>
      <c r="O14" s="102">
        <v>0</v>
      </c>
    </row>
    <row r="15" spans="1:15" ht="75" x14ac:dyDescent="0.25">
      <c r="A15" s="102" t="str">
        <v>SBA 26/139</v>
      </c>
      <c r="B15" s="102" t="str">
        <v>Doç. Dr. Seda Hanife OĞUZ BAYKAL</v>
      </c>
      <c r="C15" s="102" t="str">
        <v>İç Hastalıkları Anabilim Dalı</v>
      </c>
      <c r="D15" s="102" t="str">
        <v>Üniversitemiz Tıp Fakültesi İç Hastalıkları Anabilim Dalı öğretim üyelerinden Doç. Dr. Seda Hanife OĞUZ BAYKAL'ın sorumlu araştırmacı olduğu, Prof. Dr. Uğur ÜNLÜTÜRK ve Uzm. Dr. Alperen Onur İŞLER ile birlikte çalışacakları,</v>
      </c>
      <c r="E15" s="102" t="str">
        <v>“Talasemi Hastalarında Endokrin Bozuklukların Yaşam Kalitesi Üzerine Etkisinin Değerlendirilmesi”</v>
      </c>
      <c r="F15" s="102" t="str">
        <v>Bireysel Araştırma</v>
      </c>
      <c r="G15" s="100">
        <v>46048</v>
      </c>
      <c r="H15" s="100">
        <v>46057</v>
      </c>
      <c r="I15" s="102" t="str">
        <v>Doç. Dr. Kübra AYKAÇ</v>
      </c>
      <c r="J15" s="102" t="str">
        <v>Prof. Dr. Nazmiye Ebru ORTAÇ ERSOY</v>
      </c>
      <c r="K15" s="102" t="str">
        <v>ONAY</v>
      </c>
      <c r="L15" s="102">
        <v>0</v>
      </c>
      <c r="M15" s="102">
        <v>0</v>
      </c>
      <c r="N15" s="102">
        <v>0</v>
      </c>
      <c r="O15" s="102">
        <v>0</v>
      </c>
    </row>
    <row r="16" spans="1:15" ht="135" x14ac:dyDescent="0.25">
      <c r="A16" s="102" t="str">
        <v>SBA 26/141</v>
      </c>
      <c r="B16" s="102" t="str">
        <v>Prof. Dr. Deniz DOĞRU ERSÖZ</v>
      </c>
      <c r="C16" s="102" t="str">
        <v>Çocuk Sağlığı ve Hastalıkları Anabilim Dalı</v>
      </c>
      <c r="D16" s="102" t="str">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v>
      </c>
      <c r="E16" s="102" t="str">
        <v>“Kistik Fibrozis Hastalarında Solunum Fonksiyonlarını Düzeltmeye Yönelik Kalite İyileştirme Programının Geliştirilmesi”</v>
      </c>
      <c r="F16" s="102" t="str">
        <v>Bireysel Araştırma</v>
      </c>
      <c r="G16" s="100">
        <v>46048</v>
      </c>
      <c r="H16" s="100">
        <v>46057</v>
      </c>
      <c r="I16" s="102" t="str">
        <v>Dr. Öğr. Üyesi Müge DEMİR</v>
      </c>
      <c r="J16" s="102" t="str">
        <v>Doç. Dr. Kübra AYKAÇ</v>
      </c>
      <c r="K16" s="102" t="str">
        <v>KAEK</v>
      </c>
      <c r="L16" s="102">
        <v>0</v>
      </c>
      <c r="M16" s="102">
        <v>0</v>
      </c>
      <c r="N16" s="102">
        <v>0</v>
      </c>
      <c r="O16" s="102">
        <v>0</v>
      </c>
    </row>
    <row r="17" spans="1:15" ht="105" x14ac:dyDescent="0.25">
      <c r="A17" s="102" t="str">
        <v>SBA 26/144</v>
      </c>
      <c r="B17" s="102" t="str">
        <v>Prof. Dr. Nagehan EMİRALİOĞLU ORDUKAYA</v>
      </c>
      <c r="C17" s="102" t="str">
        <v>Çocuk Sağlığı ve Hastalıkları Anabilim Dalı</v>
      </c>
      <c r="D17" s="102" t="str">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v>
      </c>
      <c r="E17" s="102" t="str">
        <v>“Çocukluk Çağı İnterstisyel Akciğer Hastalıklarında Beslenme Durumunun Solunum Fonksiyonları ve Yaşam Kalitesi Skorları ile İlişkisinin İncelenmesi”</v>
      </c>
      <c r="F17" s="102" t="str">
        <v>Uzmanlık Tezi</v>
      </c>
      <c r="G17" s="100">
        <v>46049</v>
      </c>
      <c r="H17" s="100">
        <v>46057</v>
      </c>
      <c r="I17" s="102" t="str">
        <v>Doç. Dr. Kübra AYKAÇ</v>
      </c>
      <c r="J17" s="102" t="str">
        <v>Prof. Dr. M. Özgür UYANIK</v>
      </c>
      <c r="K17" s="102" t="str">
        <v>ONAY</v>
      </c>
      <c r="L17" s="102">
        <v>0</v>
      </c>
      <c r="M17" s="102">
        <v>0</v>
      </c>
      <c r="N17" s="102">
        <v>0</v>
      </c>
      <c r="O17" s="102">
        <v>0</v>
      </c>
    </row>
  </sheetData>
  <conditionalFormatting sqref="A6:O14">
    <cfRule type="expression" dxfId="31" priority="13">
      <formula>ISEVEN(ROW())</formula>
    </cfRule>
  </conditionalFormatting>
  <conditionalFormatting sqref="E5">
    <cfRule type="duplicateValues" dxfId="30" priority="14"/>
  </conditionalFormatting>
  <conditionalFormatting sqref="O1:O1048576">
    <cfRule type="containsText" dxfId="29" priority="1" operator="containsText" text="GERİ ÇEKİLDİ">
      <formula>NOT(ISERROR(SEARCH("GERİ ÇEKİLDİ",O1)))</formula>
    </cfRule>
    <cfRule type="containsText" dxfId="28" priority="2" operator="containsText" text="KAPSAM DIŞI">
      <formula>NOT(ISERROR(SEARCH("KAPSAM DIŞI",O1)))</formula>
    </cfRule>
    <cfRule type="containsText" dxfId="27" priority="3" operator="containsText" text="RET">
      <formula>NOT(ISERROR(SEARCH("RET",O1)))</formula>
    </cfRule>
    <cfRule type="containsText" dxfId="26" priority="4" operator="containsText" text="GÖRÜŞ">
      <formula>NOT(ISERROR(SEARCH("GÖRÜŞ",O1)))</formula>
    </cfRule>
    <cfRule type="containsText" dxfId="25" priority="5" operator="containsText" text="KAEK">
      <formula>NOT(ISERROR(SEARCH("KAEK",O1)))</formula>
    </cfRule>
    <cfRule type="containsText" dxfId="24" priority="7" operator="containsText" text="DÜZELTME">
      <formula>NOT(ISERROR(SEARCH("DÜZELTME",O1)))</formula>
    </cfRule>
    <cfRule type="containsText" dxfId="23" priority="8" operator="containsText" text="ONAY">
      <formula>NOT(ISERROR(SEARCH("ONAY",O1)))</formula>
    </cfRule>
  </conditionalFormatting>
  <conditionalFormatting sqref="O1:P1048576">
    <cfRule type="containsText" dxfId="22" priority="6" operator="containsText" text="GÖRÜŞ">
      <formula>NOT(ISERROR(SEARCH("GÖRÜŞ",O1)))</formula>
    </cfRule>
  </conditionalFormatting>
  <conditionalFormatting sqref="P1:P1048576">
    <cfRule type="containsText" dxfId="21" priority="10" operator="containsText" text="KAEK">
      <formula>NOT(ISERROR(SEARCH("KAEK",P1)))</formula>
    </cfRule>
    <cfRule type="containsText" dxfId="20" priority="11" operator="containsText" text="DÜZELTME">
      <formula>NOT(ISERROR(SEARCH("DÜZELTME",P1)))</formula>
    </cfRule>
    <cfRule type="containsText" dxfId="19" priority="12" operator="containsText" text="ONAY">
      <formula>NOT(ISERROR(SEARCH("ONAY",P1)))</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5A3579AC-8C83-4343-BEF2-AA4DEFDAD367}">
          <x14:formula1>
            <xm:f>_xlfn.ANCHORARRAY(İstatistik!$AQ$1)</xm:f>
          </x14:formula1>
          <xm:sqref>B1</xm:sqref>
        </x14:dataValidation>
        <x14:dataValidation type="list" allowBlank="1" showInputMessage="1" showErrorMessage="1" xr:uid="{28543298-B14F-4A47-93D3-B48B1474E8A0}">
          <x14:formula1>
            <xm:f>_xlfn.ANCHORARRAY(İstatistik!$AA$4)</xm:f>
          </x14:formula1>
          <xm:sqref>E1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B33C9-12CC-42C3-A6E6-6CA0279B21C8}">
  <sheetPr>
    <tabColor rgb="FF00B050"/>
  </sheetPr>
  <dimension ref="A1:AE1072"/>
  <sheetViews>
    <sheetView zoomScale="80" zoomScaleNormal="80" workbookViewId="0">
      <selection activeCell="B1" sqref="B1"/>
    </sheetView>
  </sheetViews>
  <sheetFormatPr defaultRowHeight="15" x14ac:dyDescent="0.25"/>
  <cols>
    <col min="1" max="1" width="24.5703125" style="148" bestFit="1" customWidth="1"/>
    <col min="2" max="2" width="70.42578125" style="148" bestFit="1" customWidth="1"/>
    <col min="3" max="3" width="37.7109375" style="148" bestFit="1" customWidth="1"/>
    <col min="4" max="4" width="27.85546875" style="148" customWidth="1"/>
    <col min="5" max="5" width="19.7109375" style="149" bestFit="1" customWidth="1"/>
    <col min="6" max="6" width="17.7109375" style="148" bestFit="1" customWidth="1"/>
    <col min="7" max="7" width="28.7109375" style="148" bestFit="1" customWidth="1"/>
    <col min="8" max="8" width="23.7109375" style="148" bestFit="1" customWidth="1"/>
    <col min="9" max="9" width="30.85546875" style="148" bestFit="1" customWidth="1"/>
    <col min="10" max="10" width="29.140625" style="148" bestFit="1" customWidth="1"/>
    <col min="11" max="14" width="27.7109375" style="148" bestFit="1" customWidth="1"/>
    <col min="15" max="15" width="27.140625" style="148" bestFit="1" customWidth="1"/>
    <col min="16" max="24" width="9.140625" style="148"/>
    <col min="25" max="25" width="37.85546875" style="148" bestFit="1" customWidth="1"/>
    <col min="26" max="26" width="17.140625" style="148" bestFit="1" customWidth="1"/>
    <col min="27" max="27" width="9.42578125" style="148" bestFit="1" customWidth="1"/>
    <col min="28" max="28" width="11.28515625" style="148" bestFit="1" customWidth="1"/>
    <col min="29" max="29" width="19.7109375" style="148" bestFit="1" customWidth="1"/>
    <col min="30" max="30" width="6.85546875" style="148" bestFit="1" customWidth="1"/>
    <col min="31" max="31" width="20.7109375" style="148" bestFit="1" customWidth="1"/>
    <col min="32" max="16384" width="9.140625" style="148"/>
  </cols>
  <sheetData>
    <row r="1" spans="1:31" s="134" customFormat="1" ht="60.75" x14ac:dyDescent="0.25">
      <c r="A1" s="136" t="s">
        <v>4072</v>
      </c>
      <c r="B1" s="146" t="s">
        <v>361</v>
      </c>
      <c r="D1" s="147" t="s">
        <v>4246</v>
      </c>
      <c r="E1" s="146">
        <v>46070</v>
      </c>
      <c r="G1" s="147" t="s">
        <v>4247</v>
      </c>
      <c r="H1" s="134">
        <f>IF(A6="Kayıt Yok", 0, ROWS(_xlfn.ANCHORARRAY(A6)))</f>
        <v>7</v>
      </c>
      <c r="Y1" s="178" t="s">
        <v>4236</v>
      </c>
      <c r="Z1" s="178"/>
      <c r="AA1" s="178"/>
      <c r="AB1" s="178"/>
      <c r="AC1" s="178"/>
      <c r="AD1" s="178"/>
      <c r="AE1" s="178"/>
    </row>
    <row r="2" spans="1:31" x14ac:dyDescent="0.25">
      <c r="C2" s="148" t="str">
        <f>IF(OR(B1="",E1=""), "⚠️ LÜTFEN B1'DEN BİRİM VE E1'DEN TARİH SEÇİNİZ", "")</f>
        <v/>
      </c>
      <c r="Y2" s="132"/>
      <c r="Z2" s="132"/>
      <c r="AA2" s="132"/>
      <c r="AB2" s="132"/>
      <c r="AC2" s="132"/>
      <c r="AD2" s="132"/>
      <c r="AE2" s="132"/>
    </row>
    <row r="3" spans="1:31" ht="20.25" x14ac:dyDescent="0.25">
      <c r="A3" s="116" t="s">
        <v>57</v>
      </c>
      <c r="B3" s="117" t="s">
        <v>58</v>
      </c>
      <c r="C3" s="116" t="s">
        <v>73</v>
      </c>
      <c r="D3" s="116" t="s">
        <v>86</v>
      </c>
      <c r="E3" s="116" t="s">
        <v>59</v>
      </c>
      <c r="F3" s="116" t="s">
        <v>307</v>
      </c>
      <c r="G3" s="118" t="s">
        <v>78</v>
      </c>
      <c r="Y3" s="116" t="s">
        <v>57</v>
      </c>
      <c r="Z3" s="117" t="s">
        <v>58</v>
      </c>
      <c r="AA3" s="116" t="s">
        <v>73</v>
      </c>
      <c r="AB3" s="116" t="s">
        <v>86</v>
      </c>
      <c r="AC3" s="116" t="s">
        <v>59</v>
      </c>
      <c r="AD3" s="116" t="s">
        <v>307</v>
      </c>
      <c r="AE3" s="118" t="s">
        <v>78</v>
      </c>
    </row>
    <row r="4" spans="1:31" ht="20.25" x14ac:dyDescent="0.25">
      <c r="A4" s="131">
        <f>COUNTIFS(Başvuru!$I$2:$I$10077, $E$1, Başvuru!$P$2:$P$10077, A$3, Başvuru!$D$2:$D$10077, $B$1)</f>
        <v>0</v>
      </c>
      <c r="B4" s="131">
        <f>COUNTIFS(Başvuru!$I$2:$I$10077, $E$1, Başvuru!$P$2:$P$10077, B$3, Başvuru!$D$2:$D$10077, $B$1)</f>
        <v>0</v>
      </c>
      <c r="C4" s="131">
        <f>COUNTIFS(Başvuru!$I$2:$I$10077, $E$1, Başvuru!$P$2:$P$10077, C$3, Başvuru!$D$2:$D$10077, $B$1)</f>
        <v>0</v>
      </c>
      <c r="D4" s="131">
        <f>COUNTIFS(Başvuru!$I$2:$I$10077, $E$1, Başvuru!$P$2:$P$10077, D$3, Başvuru!$D$2:$D$10077, $B$1)</f>
        <v>0</v>
      </c>
      <c r="E4" s="131">
        <f>COUNTIFS(Başvuru!$I$2:$I$10077, $E$1, Başvuru!$P$2:$P$10077, E$3, Başvuru!$D$2:$D$10077, $B$1)</f>
        <v>0</v>
      </c>
      <c r="F4" s="131">
        <f>COUNTIFS(Başvuru!$I$2:$I$10077, $E$1, Başvuru!$P$2:$P$10077, F$3, Başvuru!$D$2:$D$10077, $B$1)</f>
        <v>0</v>
      </c>
      <c r="G4" s="131">
        <f>COUNTIFS(Başvuru!$I$2:$I$10077, $E$1, Başvuru!$P$2:$P$10077, G$3, Başvuru!$D$2:$D$10077, $B$1)</f>
        <v>0</v>
      </c>
      <c r="Y4" s="14">
        <f>COUNTIFS(Başvuru!$P$2:$P$10077, "ONAY", Başvuru!$D$2:$D$10077, $B$1)</f>
        <v>11</v>
      </c>
      <c r="Z4" s="14">
        <f>COUNTIFS(Başvuru!$P$2:$P$10077, "DÜZELTME", Başvuru!$D$2:$D$10077, $B$1)</f>
        <v>0</v>
      </c>
      <c r="AA4" s="14">
        <f>COUNTIFS(Başvuru!$P$2:$P$10077, "KAEK", Başvuru!$D$2:$D$10077, $B$1)</f>
        <v>0</v>
      </c>
      <c r="AB4" s="14">
        <f>COUNTIFS(Başvuru!$P$2:$P$10077, "GÖRÜŞ", Başvuru!$D$2:$D$10077, $B$1)</f>
        <v>2</v>
      </c>
      <c r="AC4" s="14">
        <f>COUNTIFS(Başvuru!$P$2:$P$10077, "KAPSAM DIŞI", Başvuru!$D$2:$D$10077, $B$1)</f>
        <v>0</v>
      </c>
      <c r="AD4" s="14">
        <f>COUNTIFS(Başvuru!$P$2:$P$10077, "RET", Başvuru!$D$2:$D$10077, $B$1)</f>
        <v>0</v>
      </c>
      <c r="AE4" s="14">
        <f>COUNTIFS(Başvuru!$P$2:$P$10077, "GERİ ÇEKİLDİ", Başvuru!$D$2:$D$10077, $B$1)</f>
        <v>0</v>
      </c>
    </row>
    <row r="5" spans="1:31" ht="40.5" x14ac:dyDescent="0.25">
      <c r="A5" s="119" t="s">
        <v>77</v>
      </c>
      <c r="B5" s="119" t="s">
        <v>61</v>
      </c>
      <c r="C5" s="119" t="s">
        <v>4062</v>
      </c>
      <c r="D5" s="119" t="s">
        <v>62</v>
      </c>
      <c r="E5" s="119" t="s">
        <v>21</v>
      </c>
      <c r="F5" s="119" t="s">
        <v>26</v>
      </c>
      <c r="G5" s="120" t="s">
        <v>154</v>
      </c>
      <c r="H5" s="120" t="s">
        <v>22</v>
      </c>
      <c r="I5" s="119" t="s">
        <v>4063</v>
      </c>
      <c r="J5" s="119" t="s">
        <v>4064</v>
      </c>
      <c r="K5" s="119" t="s">
        <v>4065</v>
      </c>
      <c r="L5" s="119" t="s">
        <v>4066</v>
      </c>
      <c r="M5" s="119" t="s">
        <v>4067</v>
      </c>
      <c r="N5" s="119" t="s">
        <v>4068</v>
      </c>
      <c r="O5" s="119" t="s">
        <v>4069</v>
      </c>
    </row>
    <row r="6" spans="1:31" x14ac:dyDescent="0.25">
      <c r="A6" s="148" t="str" cm="1">
        <f t="array" ref="A6:O12">IF(OR(B1="",E1=""), "Lütfen Birim ve Tarih Seçiniz", _xlfn._xlws.FILTER(Başvuru!B2:P10077, (VALUE(Başvuru!I2:I10077)=VALUE(E1))*(TRIM(Başvuru!D2:D10077)=TRIM(B1)), "Bu birime ait kayıt bulunamadı."))</f>
        <v>SBA 26/148</v>
      </c>
      <c r="B6" s="148" t="str">
        <v>Doç. Dr. Süleyman Nahit ŞENDUR</v>
      </c>
      <c r="C6" s="148" t="str">
        <v>İç Hastalıkları Anabilim Dalı</v>
      </c>
      <c r="D6" s="148" t="str">
        <v>Üniversitemiz Tıp Fakültesi İç Hastalıkları Anabilim Dalı öğretim üyelerinden Doç. Dr. Süleyman Nahit ŞENDUR’un sorumlu araştırmacı olduğu, Prof. Dr. Tomris ERBAŞ, Prof. Dr. Selçuk DAĞDELEN, Uzm. Dr. Selvi Selin TEKİN ile birlikte çalışacakları,</v>
      </c>
      <c r="E6" s="149" t="str">
        <v>“Büyük Adrenal Lezyonların Klinik, Endokrinolojik, Cerrahi ve Patolojik Özelliklerinin İncelenmesi”</v>
      </c>
      <c r="F6" s="148" t="str">
        <v>Bireysel Araştırma</v>
      </c>
      <c r="G6" s="149">
        <v>46058</v>
      </c>
      <c r="H6" s="149">
        <v>46070</v>
      </c>
      <c r="I6" s="148" t="str">
        <v>Prof. Dr. Yavuz AYHAN</v>
      </c>
      <c r="J6" s="148" t="str">
        <v>Prof. Dr. Gözde GİRGİN</v>
      </c>
      <c r="K6" s="148">
        <v>0</v>
      </c>
      <c r="L6" s="148">
        <v>0</v>
      </c>
      <c r="M6" s="148">
        <v>0</v>
      </c>
      <c r="N6" s="148">
        <v>0</v>
      </c>
      <c r="O6" s="148">
        <v>0</v>
      </c>
    </row>
    <row r="7" spans="1:31" x14ac:dyDescent="0.25">
      <c r="A7" s="148" t="str">
        <v>SBA 26/149</v>
      </c>
      <c r="B7" s="148" t="str">
        <v>Doç. Dr. Süleyman Nahit ŞENDUR</v>
      </c>
      <c r="C7" s="148" t="str">
        <v>İç Hastalıkları Anabilim Dalı</v>
      </c>
      <c r="D7" s="148" t="str">
        <v>Üniversitemiz Tıp Fakültesi İç Hastalıkları Anabilim Dalı öğretim üyelerinden Doç. Dr. Süleyman Nahit ŞENDUR’un sorumlu araştırmacı olduğu, Prof. Dr. Tomris ERBAŞ, Prof. Dr. Selçuk DAĞDELEN, Uzm. Dr. Selvi Selin TEKİN ile birlikte çalışacakları,</v>
      </c>
      <c r="E7" s="149" t="str">
        <v>“Diyabetik Gastroparezi Hastalarında Klinik Özellikler, Tanı Süreçleri ve Klinik Sonuçların Retrospektif Değerlendirilmesi: Tek Merkez Deneyimi”</v>
      </c>
      <c r="F7" s="148" t="str">
        <v>Bireysel Araştırma</v>
      </c>
      <c r="G7" s="149">
        <v>46058</v>
      </c>
      <c r="H7" s="149">
        <v>46070</v>
      </c>
      <c r="I7" s="148" t="str">
        <v>Prof. Dr. Nazmiye Ebru ORTAÇ ERSOY</v>
      </c>
      <c r="J7" s="148" t="str">
        <v>Doç. Dr. Tolga ÇAKMAK</v>
      </c>
      <c r="K7" s="148">
        <v>0</v>
      </c>
      <c r="L7" s="148">
        <v>0</v>
      </c>
      <c r="M7" s="148">
        <v>0</v>
      </c>
      <c r="N7" s="148">
        <v>0</v>
      </c>
      <c r="O7" s="148">
        <v>0</v>
      </c>
    </row>
    <row r="8" spans="1:31" x14ac:dyDescent="0.25">
      <c r="A8" s="148" t="str">
        <v>SBA 26/150</v>
      </c>
      <c r="B8" s="148" t="str">
        <v>Doç. Dr. Süleyman Nahit ŞENDUR</v>
      </c>
      <c r="C8" s="148" t="str">
        <v>İç Hastalıkları Anabilim Dalı</v>
      </c>
      <c r="D8" s="148" t="str">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v>
      </c>
      <c r="E8" s="149" t="str">
        <v>“Fonksiyonel Nöroendokrin Tümör Olgularının Retrospektif Değerlendirilmesi: Tek Merkez Deneyim”</v>
      </c>
      <c r="F8" s="148" t="str">
        <v>Bireysel Araştırma</v>
      </c>
      <c r="G8" s="149">
        <v>46058</v>
      </c>
      <c r="H8" s="149">
        <v>46070</v>
      </c>
      <c r="I8" s="148" t="str">
        <v>Doç. Dr. Burcu ERSÖZ ALAN</v>
      </c>
      <c r="J8" s="148" t="str">
        <v>Doç. Dr. Ekim GÜMELER</v>
      </c>
      <c r="K8" s="148">
        <v>0</v>
      </c>
      <c r="L8" s="148">
        <v>0</v>
      </c>
      <c r="M8" s="148">
        <v>0</v>
      </c>
      <c r="N8" s="148">
        <v>0</v>
      </c>
      <c r="O8" s="148">
        <v>0</v>
      </c>
    </row>
    <row r="9" spans="1:31" x14ac:dyDescent="0.25">
      <c r="A9" s="148" t="str">
        <v>SBA 26/152</v>
      </c>
      <c r="B9" s="148" t="str">
        <v>Prof. Dr. Meltem Gülhan HALİL</v>
      </c>
      <c r="C9" s="148" t="str">
        <v>İç Hastalıkları Anabilim Dalı</v>
      </c>
      <c r="D9" s="148"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9" s="149" t="str">
        <v>“Santral Paranteral Beslenme Kontrol Listesinin Kateter İlişkili Komplikasyonlara Etkisinin Değerlendirilmesi”</v>
      </c>
      <c r="F9" s="148" t="str">
        <v>Doktora Tezi</v>
      </c>
      <c r="G9" s="149">
        <v>46058</v>
      </c>
      <c r="H9" s="149">
        <v>46070</v>
      </c>
      <c r="I9" s="148" t="str">
        <v>Prof. Dr. Yavuz AYHAN</v>
      </c>
      <c r="J9" s="148" t="str">
        <v>Prof. Dr. Gözde GİRGİN</v>
      </c>
      <c r="K9" s="148">
        <v>0</v>
      </c>
      <c r="L9" s="148">
        <v>0</v>
      </c>
      <c r="M9" s="148">
        <v>0</v>
      </c>
      <c r="N9" s="148">
        <v>0</v>
      </c>
      <c r="O9" s="148">
        <v>0</v>
      </c>
    </row>
    <row r="10" spans="1:31" x14ac:dyDescent="0.25">
      <c r="A10" s="148" t="str">
        <v>SBA 26/163</v>
      </c>
      <c r="B10" s="148" t="str">
        <v>Doç. Dr. Mert EŞME</v>
      </c>
      <c r="C10" s="148" t="str">
        <v>İç Hastalıkları Anabilim Dalı</v>
      </c>
      <c r="D10" s="148" t="str">
        <v>Üniversitemiz Tıp Fakültesi İç Hastalıkları Anabilim Dalı öğretim üyelerinden Doç. Dr. Mert EŞME’nin sorumlu araştırmacı olduğu, Arş. Gör. Dr. Cansu ÇIKIN ile birlikte çalışacakları ve Arş. Gör. Dr. Mustafa Utku UĞUR’un uzmanlık tezi olan,</v>
      </c>
      <c r="E10" s="149" t="str">
        <v>“Perkütan Koroner Girişimin Geriatrik Hastalarda Fonksiyonel Performans, Kırılganlık ve Geriatrik Sendromlar ile İlişkisi”</v>
      </c>
      <c r="F10" s="148" t="str">
        <v>Uzmanlık Tezi</v>
      </c>
      <c r="G10" s="149">
        <v>46059</v>
      </c>
      <c r="H10" s="149">
        <v>46070</v>
      </c>
      <c r="I10" s="148" t="str">
        <v>Prof. Dr. Yavuz AYHAN</v>
      </c>
      <c r="J10" s="148" t="str">
        <v>Prof. Dr. Gözde GİRGİN</v>
      </c>
      <c r="K10" s="148">
        <v>0</v>
      </c>
      <c r="L10" s="148">
        <v>0</v>
      </c>
      <c r="M10" s="148">
        <v>0</v>
      </c>
      <c r="N10" s="148">
        <v>0</v>
      </c>
      <c r="O10" s="148">
        <v>0</v>
      </c>
    </row>
    <row r="11" spans="1:31" x14ac:dyDescent="0.25">
      <c r="A11" s="148" t="str">
        <v>SBA 26/172</v>
      </c>
      <c r="B11" s="148" t="str">
        <v>Doç. Dr. Mert EŞME</v>
      </c>
      <c r="C11" s="148" t="str">
        <v>İç Hastalıkları Anabilim Dalı</v>
      </c>
      <c r="D11" s="148" t="str">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v>
      </c>
      <c r="E11" s="149" t="str">
        <v>“Geriatrik Sendromlar ile Hareket Analizi Ölçümlerinin İlişkisinin İncelenmesi”</v>
      </c>
      <c r="F11" s="148" t="str">
        <v>Bireysel Araştırma</v>
      </c>
      <c r="G11" s="149">
        <v>46059</v>
      </c>
      <c r="H11" s="149">
        <v>46070</v>
      </c>
      <c r="I11" s="148" t="str">
        <v>Prof. Dr. Ayşe KİN İŞLER</v>
      </c>
      <c r="J11" s="148" t="str">
        <v>Prof. Dr. Nazmiye Ebru ORTAÇ ERSOY</v>
      </c>
      <c r="K11" s="148">
        <v>0</v>
      </c>
      <c r="L11" s="148">
        <v>0</v>
      </c>
      <c r="M11" s="148">
        <v>0</v>
      </c>
      <c r="N11" s="148">
        <v>0</v>
      </c>
      <c r="O11" s="148">
        <v>0</v>
      </c>
    </row>
    <row r="12" spans="1:31" x14ac:dyDescent="0.25">
      <c r="A12" s="148" t="str">
        <v>SBA 26/180</v>
      </c>
      <c r="B12" s="148" t="str">
        <v>Doç. Dr. Levent KILIÇ</v>
      </c>
      <c r="C12" s="148" t="str">
        <v>İç Hastalıkları Anabilim Dalı</v>
      </c>
      <c r="D12" s="148" t="str">
        <v>Üniversitemiz Tıp Fakültesi İç Hastalıkları Anabilim Dalı öğretim üyelerinden Doç. Dr. Levent KILIÇ’ın sorumlu araştırmacı olduğu, Arş. Gör. Dr. Deniz DÖNMEZ ile birlikte çalışacakları ve Arş. Gör. Dr. Selin ÇETİN’in uzmanlık tezi olan,</v>
      </c>
      <c r="E12" s="149" t="str">
        <v>“Aksiyel Spondiloartrit ve Psöriatik Artrit Hastalarında JAK İnhibitörlerinin Etkinlik ve Güvenlik Profili: Tek Merkezli Retrospektif Gerçek Yaşam Verisi”</v>
      </c>
      <c r="F12" s="148" t="str">
        <v>Uzmanlık Tezi</v>
      </c>
      <c r="G12" s="149">
        <v>46062</v>
      </c>
      <c r="H12" s="149">
        <v>46070</v>
      </c>
      <c r="I12" s="148" t="str">
        <v>Prof. Dr. Ayşe Nurten AKARSU</v>
      </c>
      <c r="J12" s="148" t="str">
        <v>Prof. Dr. M. Özgür UYANIK</v>
      </c>
      <c r="K12" s="148">
        <v>0</v>
      </c>
      <c r="L12" s="148">
        <v>0</v>
      </c>
      <c r="M12" s="148">
        <v>0</v>
      </c>
      <c r="N12" s="148">
        <v>0</v>
      </c>
      <c r="O12" s="148">
        <v>0</v>
      </c>
    </row>
    <row r="13" spans="1:31" x14ac:dyDescent="0.25">
      <c r="G13" s="149"/>
      <c r="H13" s="149"/>
    </row>
    <row r="14" spans="1:31" x14ac:dyDescent="0.25">
      <c r="G14" s="149"/>
      <c r="H14" s="149"/>
    </row>
    <row r="15" spans="1:31" x14ac:dyDescent="0.25">
      <c r="G15" s="149"/>
      <c r="H15" s="149"/>
    </row>
    <row r="16" spans="1:31" x14ac:dyDescent="0.25">
      <c r="G16" s="149"/>
      <c r="H16" s="149"/>
    </row>
    <row r="17" spans="7:8" x14ac:dyDescent="0.25">
      <c r="G17" s="149"/>
      <c r="H17" s="149"/>
    </row>
    <row r="18" spans="7:8" x14ac:dyDescent="0.25">
      <c r="G18" s="149"/>
      <c r="H18" s="149"/>
    </row>
    <row r="19" spans="7:8" x14ac:dyDescent="0.25">
      <c r="G19" s="149"/>
      <c r="H19" s="149"/>
    </row>
    <row r="20" spans="7:8" x14ac:dyDescent="0.25">
      <c r="G20" s="149"/>
      <c r="H20" s="149"/>
    </row>
    <row r="21" spans="7:8" x14ac:dyDescent="0.25">
      <c r="G21" s="149"/>
      <c r="H21" s="149"/>
    </row>
    <row r="22" spans="7:8" x14ac:dyDescent="0.25">
      <c r="G22" s="149"/>
      <c r="H22" s="149"/>
    </row>
    <row r="23" spans="7:8" x14ac:dyDescent="0.25">
      <c r="G23" s="149"/>
      <c r="H23" s="149"/>
    </row>
    <row r="24" spans="7:8" x14ac:dyDescent="0.25">
      <c r="G24" s="149"/>
      <c r="H24" s="149"/>
    </row>
    <row r="25" spans="7:8" x14ac:dyDescent="0.25">
      <c r="G25" s="149"/>
      <c r="H25" s="149"/>
    </row>
    <row r="26" spans="7:8" x14ac:dyDescent="0.25">
      <c r="G26" s="149"/>
      <c r="H26" s="149"/>
    </row>
    <row r="27" spans="7:8" x14ac:dyDescent="0.25">
      <c r="G27" s="149"/>
      <c r="H27" s="149"/>
    </row>
    <row r="28" spans="7:8" x14ac:dyDescent="0.25">
      <c r="G28" s="149"/>
      <c r="H28" s="149"/>
    </row>
    <row r="29" spans="7:8" x14ac:dyDescent="0.25">
      <c r="G29" s="149"/>
      <c r="H29" s="149"/>
    </row>
    <row r="30" spans="7:8" x14ac:dyDescent="0.25">
      <c r="G30" s="149"/>
      <c r="H30" s="149"/>
    </row>
    <row r="31" spans="7:8" x14ac:dyDescent="0.25">
      <c r="G31" s="149"/>
      <c r="H31" s="149"/>
    </row>
    <row r="32" spans="7:8" x14ac:dyDescent="0.25">
      <c r="G32" s="149"/>
      <c r="H32" s="149"/>
    </row>
    <row r="33" spans="7:8" x14ac:dyDescent="0.25">
      <c r="G33" s="149"/>
      <c r="H33" s="149"/>
    </row>
    <row r="34" spans="7:8" x14ac:dyDescent="0.25">
      <c r="G34" s="149"/>
      <c r="H34" s="149"/>
    </row>
    <row r="35" spans="7:8" x14ac:dyDescent="0.25">
      <c r="G35" s="149"/>
      <c r="H35" s="149"/>
    </row>
    <row r="36" spans="7:8" x14ac:dyDescent="0.25">
      <c r="G36" s="149"/>
      <c r="H36" s="149"/>
    </row>
    <row r="37" spans="7:8" x14ac:dyDescent="0.25">
      <c r="G37" s="149"/>
      <c r="H37" s="149"/>
    </row>
    <row r="38" spans="7:8" x14ac:dyDescent="0.25">
      <c r="G38" s="149"/>
      <c r="H38" s="149"/>
    </row>
    <row r="39" spans="7:8" x14ac:dyDescent="0.25">
      <c r="G39" s="149"/>
      <c r="H39" s="149"/>
    </row>
    <row r="40" spans="7:8" x14ac:dyDescent="0.25">
      <c r="G40" s="149"/>
      <c r="H40" s="149"/>
    </row>
    <row r="41" spans="7:8" x14ac:dyDescent="0.25">
      <c r="G41" s="149"/>
      <c r="H41" s="149"/>
    </row>
    <row r="42" spans="7:8" x14ac:dyDescent="0.25">
      <c r="G42" s="149"/>
      <c r="H42" s="149"/>
    </row>
    <row r="43" spans="7:8" x14ac:dyDescent="0.25">
      <c r="G43" s="149"/>
      <c r="H43" s="149"/>
    </row>
    <row r="44" spans="7:8" x14ac:dyDescent="0.25">
      <c r="G44" s="149"/>
      <c r="H44" s="149"/>
    </row>
    <row r="45" spans="7:8" x14ac:dyDescent="0.25">
      <c r="G45" s="149"/>
      <c r="H45" s="149"/>
    </row>
    <row r="46" spans="7:8" x14ac:dyDescent="0.25">
      <c r="G46" s="149"/>
      <c r="H46" s="149"/>
    </row>
    <row r="47" spans="7:8" x14ac:dyDescent="0.25">
      <c r="G47" s="149"/>
      <c r="H47" s="149"/>
    </row>
    <row r="48" spans="7:8" x14ac:dyDescent="0.25">
      <c r="G48" s="149"/>
      <c r="H48" s="149"/>
    </row>
    <row r="49" spans="7:8" x14ac:dyDescent="0.25">
      <c r="G49" s="149"/>
      <c r="H49" s="149"/>
    </row>
    <row r="50" spans="7:8" x14ac:dyDescent="0.25">
      <c r="G50" s="149"/>
      <c r="H50" s="149"/>
    </row>
    <row r="51" spans="7:8" x14ac:dyDescent="0.25">
      <c r="G51" s="149"/>
      <c r="H51" s="149"/>
    </row>
    <row r="52" spans="7:8" x14ac:dyDescent="0.25">
      <c r="G52" s="149"/>
      <c r="H52" s="149"/>
    </row>
    <row r="53" spans="7:8" x14ac:dyDescent="0.25">
      <c r="G53" s="149"/>
      <c r="H53" s="149"/>
    </row>
    <row r="54" spans="7:8" x14ac:dyDescent="0.25">
      <c r="G54" s="149"/>
      <c r="H54" s="149"/>
    </row>
    <row r="55" spans="7:8" x14ac:dyDescent="0.25">
      <c r="G55" s="149"/>
      <c r="H55" s="149"/>
    </row>
    <row r="56" spans="7:8" x14ac:dyDescent="0.25">
      <c r="G56" s="149"/>
      <c r="H56" s="149"/>
    </row>
    <row r="57" spans="7:8" x14ac:dyDescent="0.25">
      <c r="G57" s="149"/>
      <c r="H57" s="149"/>
    </row>
    <row r="58" spans="7:8" x14ac:dyDescent="0.25">
      <c r="G58" s="149"/>
      <c r="H58" s="149"/>
    </row>
    <row r="59" spans="7:8" x14ac:dyDescent="0.25">
      <c r="G59" s="149"/>
      <c r="H59" s="149"/>
    </row>
    <row r="60" spans="7:8" x14ac:dyDescent="0.25">
      <c r="G60" s="149"/>
      <c r="H60" s="149"/>
    </row>
    <row r="61" spans="7:8" x14ac:dyDescent="0.25">
      <c r="G61" s="149"/>
      <c r="H61" s="149"/>
    </row>
    <row r="62" spans="7:8" x14ac:dyDescent="0.25">
      <c r="G62" s="149"/>
      <c r="H62" s="149"/>
    </row>
    <row r="63" spans="7:8" x14ac:dyDescent="0.25">
      <c r="G63" s="149"/>
      <c r="H63" s="149"/>
    </row>
    <row r="64" spans="7:8" x14ac:dyDescent="0.25">
      <c r="G64" s="149"/>
      <c r="H64" s="149"/>
    </row>
    <row r="65" spans="7:8" x14ac:dyDescent="0.25">
      <c r="G65" s="149"/>
      <c r="H65" s="149"/>
    </row>
    <row r="66" spans="7:8" x14ac:dyDescent="0.25">
      <c r="G66" s="149"/>
      <c r="H66" s="149"/>
    </row>
    <row r="67" spans="7:8" x14ac:dyDescent="0.25">
      <c r="G67" s="149"/>
      <c r="H67" s="149"/>
    </row>
    <row r="68" spans="7:8" x14ac:dyDescent="0.25">
      <c r="G68" s="149"/>
      <c r="H68" s="149"/>
    </row>
    <row r="69" spans="7:8" x14ac:dyDescent="0.25">
      <c r="G69" s="149"/>
      <c r="H69" s="149"/>
    </row>
    <row r="70" spans="7:8" x14ac:dyDescent="0.25">
      <c r="G70" s="149"/>
      <c r="H70" s="149"/>
    </row>
    <row r="71" spans="7:8" x14ac:dyDescent="0.25">
      <c r="G71" s="149"/>
      <c r="H71" s="149"/>
    </row>
    <row r="72" spans="7:8" x14ac:dyDescent="0.25">
      <c r="G72" s="149"/>
      <c r="H72" s="149"/>
    </row>
    <row r="73" spans="7:8" x14ac:dyDescent="0.25">
      <c r="G73" s="149"/>
      <c r="H73" s="149"/>
    </row>
    <row r="74" spans="7:8" x14ac:dyDescent="0.25">
      <c r="G74" s="149"/>
      <c r="H74" s="149"/>
    </row>
    <row r="75" spans="7:8" x14ac:dyDescent="0.25">
      <c r="G75" s="149"/>
      <c r="H75" s="149"/>
    </row>
    <row r="76" spans="7:8" x14ac:dyDescent="0.25">
      <c r="G76" s="149"/>
      <c r="H76" s="149"/>
    </row>
    <row r="77" spans="7:8" x14ac:dyDescent="0.25">
      <c r="G77" s="149"/>
      <c r="H77" s="149"/>
    </row>
    <row r="78" spans="7:8" x14ac:dyDescent="0.25">
      <c r="G78" s="149"/>
      <c r="H78" s="149"/>
    </row>
    <row r="79" spans="7:8" x14ac:dyDescent="0.25">
      <c r="G79" s="149"/>
      <c r="H79" s="149"/>
    </row>
    <row r="80" spans="7:8" x14ac:dyDescent="0.25">
      <c r="G80" s="149"/>
      <c r="H80" s="149"/>
    </row>
    <row r="81" spans="7:8" x14ac:dyDescent="0.25">
      <c r="G81" s="149"/>
      <c r="H81" s="149"/>
    </row>
    <row r="82" spans="7:8" x14ac:dyDescent="0.25">
      <c r="G82" s="149"/>
      <c r="H82" s="149"/>
    </row>
    <row r="83" spans="7:8" x14ac:dyDescent="0.25">
      <c r="G83" s="149"/>
      <c r="H83" s="149"/>
    </row>
    <row r="84" spans="7:8" x14ac:dyDescent="0.25">
      <c r="G84" s="149"/>
      <c r="H84" s="149"/>
    </row>
    <row r="85" spans="7:8" x14ac:dyDescent="0.25">
      <c r="G85" s="149"/>
      <c r="H85" s="149"/>
    </row>
    <row r="86" spans="7:8" x14ac:dyDescent="0.25">
      <c r="G86" s="149"/>
      <c r="H86" s="149"/>
    </row>
    <row r="87" spans="7:8" x14ac:dyDescent="0.25">
      <c r="G87" s="149"/>
      <c r="H87" s="149"/>
    </row>
    <row r="88" spans="7:8" x14ac:dyDescent="0.25">
      <c r="G88" s="149"/>
      <c r="H88" s="149"/>
    </row>
    <row r="89" spans="7:8" x14ac:dyDescent="0.25">
      <c r="G89" s="149"/>
      <c r="H89" s="149"/>
    </row>
    <row r="90" spans="7:8" x14ac:dyDescent="0.25">
      <c r="G90" s="149"/>
      <c r="H90" s="149"/>
    </row>
    <row r="91" spans="7:8" x14ac:dyDescent="0.25">
      <c r="G91" s="149"/>
      <c r="H91" s="149"/>
    </row>
    <row r="92" spans="7:8" x14ac:dyDescent="0.25">
      <c r="G92" s="149"/>
      <c r="H92" s="149"/>
    </row>
    <row r="93" spans="7:8" x14ac:dyDescent="0.25">
      <c r="G93" s="149"/>
      <c r="H93" s="149"/>
    </row>
    <row r="94" spans="7:8" x14ac:dyDescent="0.25">
      <c r="G94" s="149"/>
      <c r="H94" s="149"/>
    </row>
    <row r="95" spans="7:8" x14ac:dyDescent="0.25">
      <c r="G95" s="149"/>
      <c r="H95" s="149"/>
    </row>
    <row r="96" spans="7:8" x14ac:dyDescent="0.25">
      <c r="G96" s="149"/>
      <c r="H96" s="149"/>
    </row>
    <row r="97" spans="7:8" x14ac:dyDescent="0.25">
      <c r="G97" s="149"/>
      <c r="H97" s="149"/>
    </row>
    <row r="98" spans="7:8" x14ac:dyDescent="0.25">
      <c r="G98" s="149"/>
      <c r="H98" s="149"/>
    </row>
    <row r="99" spans="7:8" x14ac:dyDescent="0.25">
      <c r="G99" s="149"/>
      <c r="H99" s="149"/>
    </row>
    <row r="100" spans="7:8" x14ac:dyDescent="0.25">
      <c r="G100" s="149"/>
      <c r="H100" s="149"/>
    </row>
    <row r="101" spans="7:8" x14ac:dyDescent="0.25">
      <c r="G101" s="149"/>
      <c r="H101" s="149"/>
    </row>
    <row r="102" spans="7:8" x14ac:dyDescent="0.25">
      <c r="G102" s="149"/>
      <c r="H102" s="149"/>
    </row>
    <row r="103" spans="7:8" x14ac:dyDescent="0.25">
      <c r="G103" s="149"/>
      <c r="H103" s="149"/>
    </row>
    <row r="104" spans="7:8" x14ac:dyDescent="0.25">
      <c r="G104" s="149"/>
      <c r="H104" s="149"/>
    </row>
    <row r="105" spans="7:8" x14ac:dyDescent="0.25">
      <c r="G105" s="149"/>
      <c r="H105" s="149"/>
    </row>
    <row r="106" spans="7:8" x14ac:dyDescent="0.25">
      <c r="G106" s="149"/>
      <c r="H106" s="149"/>
    </row>
    <row r="107" spans="7:8" x14ac:dyDescent="0.25">
      <c r="G107" s="149"/>
      <c r="H107" s="149"/>
    </row>
    <row r="108" spans="7:8" x14ac:dyDescent="0.25">
      <c r="G108" s="149"/>
      <c r="H108" s="149"/>
    </row>
    <row r="109" spans="7:8" x14ac:dyDescent="0.25">
      <c r="G109" s="149"/>
      <c r="H109" s="149"/>
    </row>
    <row r="110" spans="7:8" x14ac:dyDescent="0.25">
      <c r="G110" s="149"/>
      <c r="H110" s="149"/>
    </row>
    <row r="111" spans="7:8" x14ac:dyDescent="0.25">
      <c r="G111" s="149"/>
      <c r="H111" s="149"/>
    </row>
    <row r="112" spans="7:8" x14ac:dyDescent="0.25">
      <c r="G112" s="149"/>
      <c r="H112" s="149"/>
    </row>
    <row r="113" spans="7:8" x14ac:dyDescent="0.25">
      <c r="G113" s="149"/>
      <c r="H113" s="149"/>
    </row>
    <row r="114" spans="7:8" x14ac:dyDescent="0.25">
      <c r="G114" s="149"/>
      <c r="H114" s="149"/>
    </row>
    <row r="115" spans="7:8" x14ac:dyDescent="0.25">
      <c r="G115" s="149"/>
      <c r="H115" s="149"/>
    </row>
    <row r="116" spans="7:8" x14ac:dyDescent="0.25">
      <c r="G116" s="149"/>
      <c r="H116" s="149"/>
    </row>
    <row r="117" spans="7:8" x14ac:dyDescent="0.25">
      <c r="G117" s="149"/>
      <c r="H117" s="149"/>
    </row>
    <row r="118" spans="7:8" x14ac:dyDescent="0.25">
      <c r="G118" s="149"/>
      <c r="H118" s="149"/>
    </row>
    <row r="119" spans="7:8" x14ac:dyDescent="0.25">
      <c r="G119" s="149"/>
      <c r="H119" s="149"/>
    </row>
    <row r="120" spans="7:8" x14ac:dyDescent="0.25">
      <c r="G120" s="149"/>
      <c r="H120" s="149"/>
    </row>
    <row r="121" spans="7:8" x14ac:dyDescent="0.25">
      <c r="G121" s="149"/>
      <c r="H121" s="149"/>
    </row>
    <row r="122" spans="7:8" x14ac:dyDescent="0.25">
      <c r="G122" s="149"/>
      <c r="H122" s="149"/>
    </row>
    <row r="123" spans="7:8" x14ac:dyDescent="0.25">
      <c r="G123" s="149"/>
      <c r="H123" s="149"/>
    </row>
    <row r="124" spans="7:8" x14ac:dyDescent="0.25">
      <c r="G124" s="149"/>
      <c r="H124" s="149"/>
    </row>
    <row r="125" spans="7:8" x14ac:dyDescent="0.25">
      <c r="G125" s="149"/>
      <c r="H125" s="149"/>
    </row>
    <row r="126" spans="7:8" x14ac:dyDescent="0.25">
      <c r="G126" s="149"/>
      <c r="H126" s="149"/>
    </row>
    <row r="127" spans="7:8" x14ac:dyDescent="0.25">
      <c r="G127" s="149"/>
      <c r="H127" s="149"/>
    </row>
    <row r="128" spans="7:8" x14ac:dyDescent="0.25">
      <c r="G128" s="149"/>
      <c r="H128" s="149"/>
    </row>
    <row r="129" spans="7:8" x14ac:dyDescent="0.25">
      <c r="G129" s="149"/>
      <c r="H129" s="149"/>
    </row>
    <row r="130" spans="7:8" x14ac:dyDescent="0.25">
      <c r="G130" s="149"/>
      <c r="H130" s="149"/>
    </row>
    <row r="131" spans="7:8" x14ac:dyDescent="0.25">
      <c r="G131" s="149"/>
      <c r="H131" s="149"/>
    </row>
    <row r="132" spans="7:8" x14ac:dyDescent="0.25">
      <c r="G132" s="149"/>
      <c r="H132" s="149"/>
    </row>
    <row r="133" spans="7:8" x14ac:dyDescent="0.25">
      <c r="G133" s="149"/>
      <c r="H133" s="149"/>
    </row>
    <row r="134" spans="7:8" x14ac:dyDescent="0.25">
      <c r="G134" s="149"/>
      <c r="H134" s="149"/>
    </row>
    <row r="135" spans="7:8" x14ac:dyDescent="0.25">
      <c r="G135" s="149"/>
      <c r="H135" s="149"/>
    </row>
    <row r="136" spans="7:8" x14ac:dyDescent="0.25">
      <c r="G136" s="149"/>
      <c r="H136" s="149"/>
    </row>
    <row r="137" spans="7:8" x14ac:dyDescent="0.25">
      <c r="G137" s="149"/>
      <c r="H137" s="149"/>
    </row>
    <row r="138" spans="7:8" x14ac:dyDescent="0.25">
      <c r="G138" s="149"/>
      <c r="H138" s="149"/>
    </row>
    <row r="139" spans="7:8" x14ac:dyDescent="0.25">
      <c r="G139" s="149"/>
      <c r="H139" s="149"/>
    </row>
    <row r="140" spans="7:8" x14ac:dyDescent="0.25">
      <c r="G140" s="149"/>
      <c r="H140" s="149"/>
    </row>
    <row r="141" spans="7:8" x14ac:dyDescent="0.25">
      <c r="G141" s="149"/>
      <c r="H141" s="149"/>
    </row>
    <row r="142" spans="7:8" x14ac:dyDescent="0.25">
      <c r="G142" s="149"/>
      <c r="H142" s="149"/>
    </row>
    <row r="143" spans="7:8" x14ac:dyDescent="0.25">
      <c r="G143" s="149"/>
      <c r="H143" s="149"/>
    </row>
    <row r="144" spans="7:8" x14ac:dyDescent="0.25">
      <c r="G144" s="149"/>
      <c r="H144" s="149"/>
    </row>
    <row r="145" spans="7:8" x14ac:dyDescent="0.25">
      <c r="G145" s="149"/>
      <c r="H145" s="149"/>
    </row>
    <row r="146" spans="7:8" x14ac:dyDescent="0.25">
      <c r="G146" s="149"/>
      <c r="H146" s="149"/>
    </row>
    <row r="147" spans="7:8" x14ac:dyDescent="0.25">
      <c r="G147" s="149"/>
      <c r="H147" s="149"/>
    </row>
    <row r="148" spans="7:8" x14ac:dyDescent="0.25">
      <c r="G148" s="149"/>
      <c r="H148" s="149"/>
    </row>
    <row r="149" spans="7:8" x14ac:dyDescent="0.25">
      <c r="G149" s="149"/>
      <c r="H149" s="149"/>
    </row>
    <row r="150" spans="7:8" x14ac:dyDescent="0.25">
      <c r="G150" s="149"/>
      <c r="H150" s="149"/>
    </row>
    <row r="151" spans="7:8" x14ac:dyDescent="0.25">
      <c r="G151" s="149"/>
      <c r="H151" s="149"/>
    </row>
    <row r="152" spans="7:8" x14ac:dyDescent="0.25">
      <c r="G152" s="149"/>
      <c r="H152" s="149"/>
    </row>
    <row r="153" spans="7:8" x14ac:dyDescent="0.25">
      <c r="G153" s="149"/>
      <c r="H153" s="149"/>
    </row>
    <row r="154" spans="7:8" x14ac:dyDescent="0.25">
      <c r="G154" s="149"/>
      <c r="H154" s="149"/>
    </row>
    <row r="155" spans="7:8" x14ac:dyDescent="0.25">
      <c r="G155" s="149"/>
      <c r="H155" s="149"/>
    </row>
    <row r="156" spans="7:8" x14ac:dyDescent="0.25">
      <c r="G156" s="149"/>
      <c r="H156" s="149"/>
    </row>
    <row r="157" spans="7:8" x14ac:dyDescent="0.25">
      <c r="G157" s="149"/>
      <c r="H157" s="149"/>
    </row>
    <row r="158" spans="7:8" x14ac:dyDescent="0.25">
      <c r="G158" s="149"/>
      <c r="H158" s="149"/>
    </row>
    <row r="159" spans="7:8" x14ac:dyDescent="0.25">
      <c r="G159" s="149"/>
      <c r="H159" s="149"/>
    </row>
    <row r="160" spans="7:8" x14ac:dyDescent="0.25">
      <c r="G160" s="149"/>
      <c r="H160" s="149"/>
    </row>
    <row r="161" spans="7:8" x14ac:dyDescent="0.25">
      <c r="G161" s="149"/>
      <c r="H161" s="149"/>
    </row>
    <row r="162" spans="7:8" x14ac:dyDescent="0.25">
      <c r="G162" s="149"/>
      <c r="H162" s="149"/>
    </row>
    <row r="163" spans="7:8" x14ac:dyDescent="0.25">
      <c r="G163" s="149"/>
      <c r="H163" s="149"/>
    </row>
    <row r="164" spans="7:8" x14ac:dyDescent="0.25">
      <c r="G164" s="149"/>
      <c r="H164" s="149"/>
    </row>
    <row r="165" spans="7:8" x14ac:dyDescent="0.25">
      <c r="G165" s="149"/>
      <c r="H165" s="149"/>
    </row>
    <row r="166" spans="7:8" x14ac:dyDescent="0.25">
      <c r="G166" s="149"/>
      <c r="H166" s="149"/>
    </row>
    <row r="167" spans="7:8" x14ac:dyDescent="0.25">
      <c r="G167" s="149"/>
      <c r="H167" s="149"/>
    </row>
    <row r="168" spans="7:8" x14ac:dyDescent="0.25">
      <c r="G168" s="149"/>
      <c r="H168" s="149"/>
    </row>
    <row r="169" spans="7:8" x14ac:dyDescent="0.25">
      <c r="G169" s="149"/>
      <c r="H169" s="149"/>
    </row>
    <row r="170" spans="7:8" x14ac:dyDescent="0.25">
      <c r="G170" s="149"/>
      <c r="H170" s="149"/>
    </row>
    <row r="171" spans="7:8" x14ac:dyDescent="0.25">
      <c r="G171" s="149"/>
      <c r="H171" s="149"/>
    </row>
    <row r="172" spans="7:8" x14ac:dyDescent="0.25">
      <c r="G172" s="149"/>
      <c r="H172" s="149"/>
    </row>
    <row r="173" spans="7:8" x14ac:dyDescent="0.25">
      <c r="G173" s="149"/>
      <c r="H173" s="149"/>
    </row>
    <row r="174" spans="7:8" x14ac:dyDescent="0.25">
      <c r="G174" s="149"/>
      <c r="H174" s="149"/>
    </row>
    <row r="175" spans="7:8" x14ac:dyDescent="0.25">
      <c r="G175" s="149"/>
      <c r="H175" s="149"/>
    </row>
    <row r="176" spans="7:8" x14ac:dyDescent="0.25">
      <c r="G176" s="149"/>
      <c r="H176" s="149"/>
    </row>
    <row r="177" spans="7:8" x14ac:dyDescent="0.25">
      <c r="G177" s="149"/>
      <c r="H177" s="149"/>
    </row>
    <row r="178" spans="7:8" x14ac:dyDescent="0.25">
      <c r="G178" s="149"/>
      <c r="H178" s="149"/>
    </row>
    <row r="179" spans="7:8" x14ac:dyDescent="0.25">
      <c r="G179" s="149"/>
      <c r="H179" s="149"/>
    </row>
    <row r="180" spans="7:8" x14ac:dyDescent="0.25">
      <c r="G180" s="149"/>
      <c r="H180" s="149"/>
    </row>
    <row r="181" spans="7:8" x14ac:dyDescent="0.25">
      <c r="G181" s="149"/>
      <c r="H181" s="149"/>
    </row>
    <row r="182" spans="7:8" x14ac:dyDescent="0.25">
      <c r="G182" s="149"/>
      <c r="H182" s="149"/>
    </row>
    <row r="183" spans="7:8" x14ac:dyDescent="0.25">
      <c r="G183" s="149"/>
      <c r="H183" s="149"/>
    </row>
    <row r="184" spans="7:8" x14ac:dyDescent="0.25">
      <c r="G184" s="149"/>
      <c r="H184" s="149"/>
    </row>
    <row r="185" spans="7:8" x14ac:dyDescent="0.25">
      <c r="G185" s="149"/>
      <c r="H185" s="149"/>
    </row>
    <row r="186" spans="7:8" x14ac:dyDescent="0.25">
      <c r="G186" s="149"/>
      <c r="H186" s="149"/>
    </row>
    <row r="187" spans="7:8" x14ac:dyDescent="0.25">
      <c r="G187" s="149"/>
      <c r="H187" s="149"/>
    </row>
    <row r="188" spans="7:8" x14ac:dyDescent="0.25">
      <c r="G188" s="149"/>
      <c r="H188" s="149"/>
    </row>
    <row r="189" spans="7:8" x14ac:dyDescent="0.25">
      <c r="G189" s="149"/>
      <c r="H189" s="149"/>
    </row>
    <row r="190" spans="7:8" x14ac:dyDescent="0.25">
      <c r="G190" s="149"/>
      <c r="H190" s="149"/>
    </row>
    <row r="191" spans="7:8" x14ac:dyDescent="0.25">
      <c r="G191" s="149"/>
      <c r="H191" s="149"/>
    </row>
    <row r="192" spans="7:8" x14ac:dyDescent="0.25">
      <c r="G192" s="149"/>
      <c r="H192" s="149"/>
    </row>
    <row r="193" spans="7:8" x14ac:dyDescent="0.25">
      <c r="G193" s="149"/>
      <c r="H193" s="149"/>
    </row>
    <row r="194" spans="7:8" x14ac:dyDescent="0.25">
      <c r="G194" s="149"/>
      <c r="H194" s="149"/>
    </row>
    <row r="195" spans="7:8" x14ac:dyDescent="0.25">
      <c r="G195" s="149"/>
      <c r="H195" s="149"/>
    </row>
    <row r="196" spans="7:8" x14ac:dyDescent="0.25">
      <c r="G196" s="149"/>
      <c r="H196" s="149"/>
    </row>
    <row r="197" spans="7:8" x14ac:dyDescent="0.25">
      <c r="G197" s="149"/>
      <c r="H197" s="149"/>
    </row>
    <row r="198" spans="7:8" x14ac:dyDescent="0.25">
      <c r="G198" s="149"/>
      <c r="H198" s="149"/>
    </row>
    <row r="199" spans="7:8" x14ac:dyDescent="0.25">
      <c r="G199" s="149"/>
      <c r="H199" s="149"/>
    </row>
    <row r="200" spans="7:8" x14ac:dyDescent="0.25">
      <c r="G200" s="149"/>
      <c r="H200" s="149"/>
    </row>
    <row r="201" spans="7:8" x14ac:dyDescent="0.25">
      <c r="G201" s="149"/>
      <c r="H201" s="149"/>
    </row>
    <row r="202" spans="7:8" x14ac:dyDescent="0.25">
      <c r="G202" s="149"/>
      <c r="H202" s="149"/>
    </row>
    <row r="203" spans="7:8" x14ac:dyDescent="0.25">
      <c r="G203" s="149"/>
      <c r="H203" s="149"/>
    </row>
    <row r="204" spans="7:8" x14ac:dyDescent="0.25">
      <c r="G204" s="149"/>
      <c r="H204" s="149"/>
    </row>
    <row r="205" spans="7:8" x14ac:dyDescent="0.25">
      <c r="G205" s="149"/>
      <c r="H205" s="149"/>
    </row>
    <row r="206" spans="7:8" x14ac:dyDescent="0.25">
      <c r="G206" s="149"/>
      <c r="H206" s="149"/>
    </row>
    <row r="207" spans="7:8" x14ac:dyDescent="0.25">
      <c r="G207" s="149"/>
      <c r="H207" s="149"/>
    </row>
    <row r="208" spans="7:8" x14ac:dyDescent="0.25">
      <c r="G208" s="149"/>
      <c r="H208" s="149"/>
    </row>
    <row r="209" spans="7:8" x14ac:dyDescent="0.25">
      <c r="G209" s="149"/>
      <c r="H209" s="149"/>
    </row>
    <row r="210" spans="7:8" x14ac:dyDescent="0.25">
      <c r="G210" s="149"/>
      <c r="H210" s="149"/>
    </row>
    <row r="211" spans="7:8" x14ac:dyDescent="0.25">
      <c r="G211" s="149"/>
      <c r="H211" s="149"/>
    </row>
    <row r="212" spans="7:8" x14ac:dyDescent="0.25">
      <c r="G212" s="149"/>
      <c r="H212" s="149"/>
    </row>
    <row r="213" spans="7:8" x14ac:dyDescent="0.25">
      <c r="G213" s="149"/>
      <c r="H213" s="149"/>
    </row>
    <row r="214" spans="7:8" x14ac:dyDescent="0.25">
      <c r="G214" s="149"/>
      <c r="H214" s="149"/>
    </row>
    <row r="215" spans="7:8" x14ac:dyDescent="0.25">
      <c r="G215" s="149"/>
      <c r="H215" s="149"/>
    </row>
    <row r="216" spans="7:8" x14ac:dyDescent="0.25">
      <c r="G216" s="149"/>
      <c r="H216" s="149"/>
    </row>
    <row r="217" spans="7:8" x14ac:dyDescent="0.25">
      <c r="G217" s="149"/>
      <c r="H217" s="149"/>
    </row>
    <row r="218" spans="7:8" x14ac:dyDescent="0.25">
      <c r="G218" s="149"/>
      <c r="H218" s="149"/>
    </row>
    <row r="219" spans="7:8" x14ac:dyDescent="0.25">
      <c r="G219" s="149"/>
      <c r="H219" s="149"/>
    </row>
    <row r="220" spans="7:8" x14ac:dyDescent="0.25">
      <c r="G220" s="149"/>
      <c r="H220" s="149"/>
    </row>
    <row r="221" spans="7:8" x14ac:dyDescent="0.25">
      <c r="G221" s="149"/>
      <c r="H221" s="149"/>
    </row>
    <row r="222" spans="7:8" x14ac:dyDescent="0.25">
      <c r="G222" s="149"/>
      <c r="H222" s="149"/>
    </row>
    <row r="223" spans="7:8" x14ac:dyDescent="0.25">
      <c r="G223" s="149"/>
      <c r="H223" s="149"/>
    </row>
    <row r="224" spans="7:8" x14ac:dyDescent="0.25">
      <c r="G224" s="149"/>
      <c r="H224" s="149"/>
    </row>
    <row r="225" spans="7:8" x14ac:dyDescent="0.25">
      <c r="G225" s="149"/>
      <c r="H225" s="149"/>
    </row>
    <row r="226" spans="7:8" x14ac:dyDescent="0.25">
      <c r="G226" s="149"/>
      <c r="H226" s="149"/>
    </row>
    <row r="227" spans="7:8" x14ac:dyDescent="0.25">
      <c r="G227" s="149"/>
      <c r="H227" s="149"/>
    </row>
    <row r="228" spans="7:8" x14ac:dyDescent="0.25">
      <c r="G228" s="149"/>
      <c r="H228" s="149"/>
    </row>
    <row r="229" spans="7:8" x14ac:dyDescent="0.25">
      <c r="G229" s="149"/>
      <c r="H229" s="149"/>
    </row>
    <row r="230" spans="7:8" x14ac:dyDescent="0.25">
      <c r="G230" s="149"/>
      <c r="H230" s="149"/>
    </row>
    <row r="231" spans="7:8" x14ac:dyDescent="0.25">
      <c r="G231" s="149"/>
      <c r="H231" s="149"/>
    </row>
    <row r="232" spans="7:8" x14ac:dyDescent="0.25">
      <c r="G232" s="149"/>
      <c r="H232" s="149"/>
    </row>
    <row r="233" spans="7:8" x14ac:dyDescent="0.25">
      <c r="G233" s="149"/>
      <c r="H233" s="149"/>
    </row>
    <row r="234" spans="7:8" x14ac:dyDescent="0.25">
      <c r="G234" s="149"/>
      <c r="H234" s="149"/>
    </row>
    <row r="235" spans="7:8" x14ac:dyDescent="0.25">
      <c r="G235" s="149"/>
      <c r="H235" s="149"/>
    </row>
    <row r="236" spans="7:8" x14ac:dyDescent="0.25">
      <c r="G236" s="149"/>
      <c r="H236" s="149"/>
    </row>
    <row r="237" spans="7:8" x14ac:dyDescent="0.25">
      <c r="G237" s="149"/>
      <c r="H237" s="149"/>
    </row>
    <row r="238" spans="7:8" x14ac:dyDescent="0.25">
      <c r="G238" s="149"/>
      <c r="H238" s="149"/>
    </row>
    <row r="239" spans="7:8" x14ac:dyDescent="0.25">
      <c r="G239" s="149"/>
      <c r="H239" s="149"/>
    </row>
    <row r="240" spans="7:8" x14ac:dyDescent="0.25">
      <c r="G240" s="149"/>
      <c r="H240" s="149"/>
    </row>
    <row r="241" spans="7:8" x14ac:dyDescent="0.25">
      <c r="G241" s="149"/>
      <c r="H241" s="149"/>
    </row>
    <row r="242" spans="7:8" x14ac:dyDescent="0.25">
      <c r="G242" s="149"/>
      <c r="H242" s="149"/>
    </row>
    <row r="243" spans="7:8" x14ac:dyDescent="0.25">
      <c r="G243" s="149"/>
      <c r="H243" s="149"/>
    </row>
    <row r="244" spans="7:8" x14ac:dyDescent="0.25">
      <c r="G244" s="149"/>
      <c r="H244" s="149"/>
    </row>
    <row r="245" spans="7:8" x14ac:dyDescent="0.25">
      <c r="G245" s="149"/>
      <c r="H245" s="149"/>
    </row>
    <row r="246" spans="7:8" x14ac:dyDescent="0.25">
      <c r="G246" s="149"/>
      <c r="H246" s="149"/>
    </row>
    <row r="247" spans="7:8" x14ac:dyDescent="0.25">
      <c r="G247" s="149"/>
      <c r="H247" s="149"/>
    </row>
    <row r="248" spans="7:8" x14ac:dyDescent="0.25">
      <c r="G248" s="149"/>
      <c r="H248" s="149"/>
    </row>
    <row r="249" spans="7:8" x14ac:dyDescent="0.25">
      <c r="G249" s="149"/>
      <c r="H249" s="149"/>
    </row>
    <row r="250" spans="7:8" x14ac:dyDescent="0.25">
      <c r="G250" s="149"/>
      <c r="H250" s="149"/>
    </row>
    <row r="251" spans="7:8" x14ac:dyDescent="0.25">
      <c r="G251" s="149"/>
      <c r="H251" s="149"/>
    </row>
    <row r="252" spans="7:8" x14ac:dyDescent="0.25">
      <c r="G252" s="149"/>
      <c r="H252" s="149"/>
    </row>
    <row r="253" spans="7:8" x14ac:dyDescent="0.25">
      <c r="G253" s="149"/>
      <c r="H253" s="149"/>
    </row>
    <row r="254" spans="7:8" x14ac:dyDescent="0.25">
      <c r="G254" s="149"/>
      <c r="H254" s="149"/>
    </row>
    <row r="255" spans="7:8" x14ac:dyDescent="0.25">
      <c r="G255" s="149"/>
      <c r="H255" s="149"/>
    </row>
    <row r="256" spans="7:8" x14ac:dyDescent="0.25">
      <c r="G256" s="149"/>
      <c r="H256" s="149"/>
    </row>
    <row r="257" spans="7:8" x14ac:dyDescent="0.25">
      <c r="G257" s="149"/>
      <c r="H257" s="149"/>
    </row>
    <row r="258" spans="7:8" x14ac:dyDescent="0.25">
      <c r="G258" s="149"/>
      <c r="H258" s="149"/>
    </row>
    <row r="259" spans="7:8" x14ac:dyDescent="0.25">
      <c r="G259" s="149"/>
      <c r="H259" s="149"/>
    </row>
    <row r="260" spans="7:8" x14ac:dyDescent="0.25">
      <c r="G260" s="149"/>
      <c r="H260" s="149"/>
    </row>
    <row r="261" spans="7:8" x14ac:dyDescent="0.25">
      <c r="G261" s="149"/>
      <c r="H261" s="149"/>
    </row>
    <row r="262" spans="7:8" x14ac:dyDescent="0.25">
      <c r="G262" s="149"/>
      <c r="H262" s="149"/>
    </row>
    <row r="263" spans="7:8" x14ac:dyDescent="0.25">
      <c r="G263" s="149"/>
      <c r="H263" s="149"/>
    </row>
    <row r="264" spans="7:8" x14ac:dyDescent="0.25">
      <c r="G264" s="149"/>
      <c r="H264" s="149"/>
    </row>
    <row r="265" spans="7:8" x14ac:dyDescent="0.25">
      <c r="G265" s="149"/>
      <c r="H265" s="149"/>
    </row>
    <row r="266" spans="7:8" x14ac:dyDescent="0.25">
      <c r="G266" s="149"/>
      <c r="H266" s="149"/>
    </row>
    <row r="267" spans="7:8" x14ac:dyDescent="0.25">
      <c r="G267" s="149"/>
      <c r="H267" s="149"/>
    </row>
    <row r="268" spans="7:8" x14ac:dyDescent="0.25">
      <c r="G268" s="149"/>
      <c r="H268" s="149"/>
    </row>
    <row r="269" spans="7:8" x14ac:dyDescent="0.25">
      <c r="G269" s="149"/>
      <c r="H269" s="149"/>
    </row>
    <row r="270" spans="7:8" x14ac:dyDescent="0.25">
      <c r="G270" s="149"/>
      <c r="H270" s="149"/>
    </row>
    <row r="271" spans="7:8" x14ac:dyDescent="0.25">
      <c r="G271" s="149"/>
      <c r="H271" s="149"/>
    </row>
    <row r="272" spans="7:8" x14ac:dyDescent="0.25">
      <c r="G272" s="149"/>
      <c r="H272" s="149"/>
    </row>
    <row r="273" spans="7:8" x14ac:dyDescent="0.25">
      <c r="G273" s="149"/>
      <c r="H273" s="149"/>
    </row>
    <row r="274" spans="7:8" x14ac:dyDescent="0.25">
      <c r="G274" s="149"/>
      <c r="H274" s="149"/>
    </row>
    <row r="275" spans="7:8" x14ac:dyDescent="0.25">
      <c r="G275" s="149"/>
      <c r="H275" s="149"/>
    </row>
    <row r="276" spans="7:8" x14ac:dyDescent="0.25">
      <c r="G276" s="149"/>
      <c r="H276" s="149"/>
    </row>
    <row r="277" spans="7:8" x14ac:dyDescent="0.25">
      <c r="G277" s="149"/>
      <c r="H277" s="149"/>
    </row>
    <row r="278" spans="7:8" x14ac:dyDescent="0.25">
      <c r="G278" s="149"/>
      <c r="H278" s="149"/>
    </row>
    <row r="279" spans="7:8" x14ac:dyDescent="0.25">
      <c r="G279" s="149"/>
      <c r="H279" s="149"/>
    </row>
    <row r="280" spans="7:8" x14ac:dyDescent="0.25">
      <c r="G280" s="149"/>
      <c r="H280" s="149"/>
    </row>
    <row r="281" spans="7:8" x14ac:dyDescent="0.25">
      <c r="G281" s="149"/>
      <c r="H281" s="149"/>
    </row>
    <row r="282" spans="7:8" x14ac:dyDescent="0.25">
      <c r="G282" s="149"/>
      <c r="H282" s="149"/>
    </row>
    <row r="283" spans="7:8" x14ac:dyDescent="0.25">
      <c r="G283" s="149"/>
      <c r="H283" s="149"/>
    </row>
    <row r="284" spans="7:8" x14ac:dyDescent="0.25">
      <c r="G284" s="149"/>
      <c r="H284" s="149"/>
    </row>
    <row r="285" spans="7:8" x14ac:dyDescent="0.25">
      <c r="G285" s="149"/>
      <c r="H285" s="149"/>
    </row>
    <row r="286" spans="7:8" x14ac:dyDescent="0.25">
      <c r="G286" s="149"/>
      <c r="H286" s="149"/>
    </row>
    <row r="287" spans="7:8" x14ac:dyDescent="0.25">
      <c r="G287" s="149"/>
      <c r="H287" s="149"/>
    </row>
    <row r="288" spans="7:8" x14ac:dyDescent="0.25">
      <c r="G288" s="149"/>
      <c r="H288" s="149"/>
    </row>
    <row r="289" spans="7:8" x14ac:dyDescent="0.25">
      <c r="G289" s="149"/>
      <c r="H289" s="149"/>
    </row>
    <row r="290" spans="7:8" x14ac:dyDescent="0.25">
      <c r="G290" s="149"/>
      <c r="H290" s="149"/>
    </row>
    <row r="291" spans="7:8" x14ac:dyDescent="0.25">
      <c r="G291" s="149"/>
      <c r="H291" s="149"/>
    </row>
    <row r="292" spans="7:8" x14ac:dyDescent="0.25">
      <c r="G292" s="149"/>
      <c r="H292" s="149"/>
    </row>
    <row r="293" spans="7:8" x14ac:dyDescent="0.25">
      <c r="G293" s="149"/>
      <c r="H293" s="149"/>
    </row>
    <row r="294" spans="7:8" x14ac:dyDescent="0.25">
      <c r="G294" s="149"/>
      <c r="H294" s="149"/>
    </row>
    <row r="295" spans="7:8" x14ac:dyDescent="0.25">
      <c r="G295" s="149"/>
      <c r="H295" s="149"/>
    </row>
    <row r="296" spans="7:8" x14ac:dyDescent="0.25">
      <c r="G296" s="149"/>
      <c r="H296" s="149"/>
    </row>
    <row r="297" spans="7:8" x14ac:dyDescent="0.25">
      <c r="G297" s="149"/>
      <c r="H297" s="149"/>
    </row>
    <row r="298" spans="7:8" x14ac:dyDescent="0.25">
      <c r="G298" s="149"/>
      <c r="H298" s="149"/>
    </row>
    <row r="299" spans="7:8" x14ac:dyDescent="0.25">
      <c r="G299" s="149"/>
      <c r="H299" s="149"/>
    </row>
    <row r="300" spans="7:8" x14ac:dyDescent="0.25">
      <c r="G300" s="149"/>
      <c r="H300" s="149"/>
    </row>
    <row r="301" spans="7:8" x14ac:dyDescent="0.25">
      <c r="G301" s="149"/>
      <c r="H301" s="149"/>
    </row>
    <row r="302" spans="7:8" x14ac:dyDescent="0.25">
      <c r="G302" s="149"/>
      <c r="H302" s="149"/>
    </row>
    <row r="303" spans="7:8" x14ac:dyDescent="0.25">
      <c r="G303" s="149"/>
      <c r="H303" s="149"/>
    </row>
    <row r="304" spans="7:8" x14ac:dyDescent="0.25">
      <c r="G304" s="149"/>
      <c r="H304" s="149"/>
    </row>
    <row r="305" spans="7:8" x14ac:dyDescent="0.25">
      <c r="G305" s="149"/>
      <c r="H305" s="149"/>
    </row>
    <row r="306" spans="7:8" x14ac:dyDescent="0.25">
      <c r="G306" s="149"/>
      <c r="H306" s="149"/>
    </row>
    <row r="307" spans="7:8" x14ac:dyDescent="0.25">
      <c r="G307" s="149"/>
      <c r="H307" s="149"/>
    </row>
    <row r="308" spans="7:8" x14ac:dyDescent="0.25">
      <c r="G308" s="149"/>
      <c r="H308" s="149"/>
    </row>
    <row r="309" spans="7:8" x14ac:dyDescent="0.25">
      <c r="G309" s="149"/>
      <c r="H309" s="149"/>
    </row>
    <row r="310" spans="7:8" x14ac:dyDescent="0.25">
      <c r="G310" s="149"/>
      <c r="H310" s="149"/>
    </row>
    <row r="311" spans="7:8" x14ac:dyDescent="0.25">
      <c r="G311" s="149"/>
      <c r="H311" s="149"/>
    </row>
    <row r="312" spans="7:8" x14ac:dyDescent="0.25">
      <c r="G312" s="149"/>
      <c r="H312" s="149"/>
    </row>
    <row r="313" spans="7:8" x14ac:dyDescent="0.25">
      <c r="G313" s="149"/>
      <c r="H313" s="149"/>
    </row>
    <row r="314" spans="7:8" x14ac:dyDescent="0.25">
      <c r="G314" s="149"/>
      <c r="H314" s="149"/>
    </row>
    <row r="315" spans="7:8" x14ac:dyDescent="0.25">
      <c r="G315" s="149"/>
      <c r="H315" s="149"/>
    </row>
    <row r="316" spans="7:8" x14ac:dyDescent="0.25">
      <c r="G316" s="149"/>
      <c r="H316" s="149"/>
    </row>
    <row r="317" spans="7:8" x14ac:dyDescent="0.25">
      <c r="G317" s="149"/>
      <c r="H317" s="149"/>
    </row>
    <row r="318" spans="7:8" x14ac:dyDescent="0.25">
      <c r="G318" s="149"/>
      <c r="H318" s="149"/>
    </row>
    <row r="319" spans="7:8" x14ac:dyDescent="0.25">
      <c r="G319" s="149"/>
      <c r="H319" s="149"/>
    </row>
    <row r="320" spans="7:8" x14ac:dyDescent="0.25">
      <c r="G320" s="149"/>
      <c r="H320" s="149"/>
    </row>
    <row r="321" spans="7:8" x14ac:dyDescent="0.25">
      <c r="G321" s="149"/>
      <c r="H321" s="149"/>
    </row>
    <row r="322" spans="7:8" x14ac:dyDescent="0.25">
      <c r="G322" s="149"/>
      <c r="H322" s="149"/>
    </row>
    <row r="323" spans="7:8" x14ac:dyDescent="0.25">
      <c r="G323" s="149"/>
      <c r="H323" s="149"/>
    </row>
    <row r="324" spans="7:8" x14ac:dyDescent="0.25">
      <c r="G324" s="149"/>
      <c r="H324" s="149"/>
    </row>
    <row r="325" spans="7:8" x14ac:dyDescent="0.25">
      <c r="G325" s="149"/>
      <c r="H325" s="149"/>
    </row>
    <row r="326" spans="7:8" x14ac:dyDescent="0.25">
      <c r="G326" s="149"/>
      <c r="H326" s="149"/>
    </row>
    <row r="327" spans="7:8" x14ac:dyDescent="0.25">
      <c r="G327" s="149"/>
      <c r="H327" s="149"/>
    </row>
    <row r="328" spans="7:8" x14ac:dyDescent="0.25">
      <c r="G328" s="149"/>
      <c r="H328" s="149"/>
    </row>
    <row r="329" spans="7:8" x14ac:dyDescent="0.25">
      <c r="G329" s="149"/>
      <c r="H329" s="149"/>
    </row>
    <row r="330" spans="7:8" x14ac:dyDescent="0.25">
      <c r="G330" s="149"/>
      <c r="H330" s="149"/>
    </row>
    <row r="331" spans="7:8" x14ac:dyDescent="0.25">
      <c r="G331" s="149"/>
      <c r="H331" s="149"/>
    </row>
    <row r="332" spans="7:8" x14ac:dyDescent="0.25">
      <c r="G332" s="149"/>
      <c r="H332" s="149"/>
    </row>
    <row r="333" spans="7:8" x14ac:dyDescent="0.25">
      <c r="G333" s="149"/>
      <c r="H333" s="149"/>
    </row>
    <row r="334" spans="7:8" x14ac:dyDescent="0.25">
      <c r="G334" s="149"/>
      <c r="H334" s="149"/>
    </row>
    <row r="335" spans="7:8" x14ac:dyDescent="0.25">
      <c r="G335" s="149"/>
      <c r="H335" s="149"/>
    </row>
    <row r="336" spans="7:8" x14ac:dyDescent="0.25">
      <c r="G336" s="149"/>
      <c r="H336" s="149"/>
    </row>
    <row r="337" spans="7:8" x14ac:dyDescent="0.25">
      <c r="G337" s="149"/>
      <c r="H337" s="149"/>
    </row>
    <row r="338" spans="7:8" x14ac:dyDescent="0.25">
      <c r="G338" s="149"/>
      <c r="H338" s="149"/>
    </row>
    <row r="339" spans="7:8" x14ac:dyDescent="0.25">
      <c r="G339" s="149"/>
      <c r="H339" s="149"/>
    </row>
    <row r="340" spans="7:8" x14ac:dyDescent="0.25">
      <c r="G340" s="149"/>
      <c r="H340" s="149"/>
    </row>
    <row r="341" spans="7:8" x14ac:dyDescent="0.25">
      <c r="G341" s="149"/>
      <c r="H341" s="149"/>
    </row>
    <row r="342" spans="7:8" x14ac:dyDescent="0.25">
      <c r="G342" s="149"/>
      <c r="H342" s="149"/>
    </row>
    <row r="343" spans="7:8" x14ac:dyDescent="0.25">
      <c r="G343" s="149"/>
      <c r="H343" s="149"/>
    </row>
    <row r="344" spans="7:8" x14ac:dyDescent="0.25">
      <c r="G344" s="149"/>
      <c r="H344" s="149"/>
    </row>
    <row r="345" spans="7:8" x14ac:dyDescent="0.25">
      <c r="G345" s="149"/>
      <c r="H345" s="149"/>
    </row>
    <row r="346" spans="7:8" x14ac:dyDescent="0.25">
      <c r="G346" s="149"/>
      <c r="H346" s="149"/>
    </row>
    <row r="347" spans="7:8" x14ac:dyDescent="0.25">
      <c r="G347" s="149"/>
      <c r="H347" s="149"/>
    </row>
    <row r="348" spans="7:8" x14ac:dyDescent="0.25">
      <c r="G348" s="149"/>
      <c r="H348" s="149"/>
    </row>
    <row r="349" spans="7:8" x14ac:dyDescent="0.25">
      <c r="G349" s="149"/>
      <c r="H349" s="149"/>
    </row>
    <row r="350" spans="7:8" x14ac:dyDescent="0.25">
      <c r="G350" s="149"/>
      <c r="H350" s="149"/>
    </row>
    <row r="351" spans="7:8" x14ac:dyDescent="0.25">
      <c r="G351" s="149"/>
      <c r="H351" s="149"/>
    </row>
    <row r="352" spans="7:8" x14ac:dyDescent="0.25">
      <c r="G352" s="149"/>
      <c r="H352" s="149"/>
    </row>
    <row r="353" spans="7:8" x14ac:dyDescent="0.25">
      <c r="G353" s="149"/>
      <c r="H353" s="149"/>
    </row>
    <row r="354" spans="7:8" x14ac:dyDescent="0.25">
      <c r="G354" s="149"/>
      <c r="H354" s="149"/>
    </row>
    <row r="355" spans="7:8" x14ac:dyDescent="0.25">
      <c r="G355" s="149"/>
      <c r="H355" s="149"/>
    </row>
    <row r="356" spans="7:8" x14ac:dyDescent="0.25">
      <c r="G356" s="149"/>
      <c r="H356" s="149"/>
    </row>
    <row r="357" spans="7:8" x14ac:dyDescent="0.25">
      <c r="G357" s="149"/>
      <c r="H357" s="149"/>
    </row>
    <row r="358" spans="7:8" x14ac:dyDescent="0.25">
      <c r="G358" s="149"/>
      <c r="H358" s="149"/>
    </row>
    <row r="359" spans="7:8" x14ac:dyDescent="0.25">
      <c r="G359" s="149"/>
      <c r="H359" s="149"/>
    </row>
    <row r="360" spans="7:8" x14ac:dyDescent="0.25">
      <c r="G360" s="149"/>
      <c r="H360" s="149"/>
    </row>
    <row r="361" spans="7:8" x14ac:dyDescent="0.25">
      <c r="G361" s="149"/>
      <c r="H361" s="149"/>
    </row>
    <row r="362" spans="7:8" x14ac:dyDescent="0.25">
      <c r="G362" s="149"/>
      <c r="H362" s="149"/>
    </row>
    <row r="363" spans="7:8" x14ac:dyDescent="0.25">
      <c r="G363" s="149"/>
      <c r="H363" s="149"/>
    </row>
    <row r="364" spans="7:8" x14ac:dyDescent="0.25">
      <c r="G364" s="149"/>
      <c r="H364" s="149"/>
    </row>
    <row r="365" spans="7:8" x14ac:dyDescent="0.25">
      <c r="G365" s="149"/>
      <c r="H365" s="149"/>
    </row>
    <row r="366" spans="7:8" x14ac:dyDescent="0.25">
      <c r="G366" s="149"/>
      <c r="H366" s="149"/>
    </row>
    <row r="367" spans="7:8" x14ac:dyDescent="0.25">
      <c r="G367" s="149"/>
      <c r="H367" s="149"/>
    </row>
    <row r="368" spans="7:8" x14ac:dyDescent="0.25">
      <c r="G368" s="149"/>
      <c r="H368" s="149"/>
    </row>
    <row r="369" spans="7:8" x14ac:dyDescent="0.25">
      <c r="G369" s="149"/>
      <c r="H369" s="149"/>
    </row>
    <row r="370" spans="7:8" x14ac:dyDescent="0.25">
      <c r="G370" s="149"/>
      <c r="H370" s="149"/>
    </row>
    <row r="371" spans="7:8" x14ac:dyDescent="0.25">
      <c r="G371" s="149"/>
      <c r="H371" s="149"/>
    </row>
    <row r="372" spans="7:8" x14ac:dyDescent="0.25">
      <c r="G372" s="149"/>
      <c r="H372" s="149"/>
    </row>
    <row r="373" spans="7:8" x14ac:dyDescent="0.25">
      <c r="G373" s="149"/>
      <c r="H373" s="149"/>
    </row>
    <row r="374" spans="7:8" x14ac:dyDescent="0.25">
      <c r="G374" s="149"/>
      <c r="H374" s="149"/>
    </row>
    <row r="375" spans="7:8" x14ac:dyDescent="0.25">
      <c r="G375" s="149"/>
      <c r="H375" s="149"/>
    </row>
    <row r="376" spans="7:8" x14ac:dyDescent="0.25">
      <c r="G376" s="149"/>
      <c r="H376" s="149"/>
    </row>
    <row r="377" spans="7:8" x14ac:dyDescent="0.25">
      <c r="G377" s="149"/>
      <c r="H377" s="149"/>
    </row>
    <row r="378" spans="7:8" x14ac:dyDescent="0.25">
      <c r="G378" s="149"/>
      <c r="H378" s="149"/>
    </row>
    <row r="379" spans="7:8" x14ac:dyDescent="0.25">
      <c r="G379" s="149"/>
      <c r="H379" s="149"/>
    </row>
    <row r="380" spans="7:8" x14ac:dyDescent="0.25">
      <c r="G380" s="149"/>
      <c r="H380" s="149"/>
    </row>
    <row r="381" spans="7:8" x14ac:dyDescent="0.25">
      <c r="G381" s="149"/>
      <c r="H381" s="149"/>
    </row>
    <row r="382" spans="7:8" x14ac:dyDescent="0.25">
      <c r="G382" s="149"/>
      <c r="H382" s="149"/>
    </row>
    <row r="383" spans="7:8" x14ac:dyDescent="0.25">
      <c r="G383" s="149"/>
      <c r="H383" s="149"/>
    </row>
    <row r="384" spans="7:8" x14ac:dyDescent="0.25">
      <c r="G384" s="149"/>
      <c r="H384" s="149"/>
    </row>
    <row r="385" spans="7:8" x14ac:dyDescent="0.25">
      <c r="G385" s="149"/>
      <c r="H385" s="149"/>
    </row>
    <row r="386" spans="7:8" x14ac:dyDescent="0.25">
      <c r="G386" s="149"/>
      <c r="H386" s="149"/>
    </row>
    <row r="387" spans="7:8" x14ac:dyDescent="0.25">
      <c r="G387" s="149"/>
      <c r="H387" s="149"/>
    </row>
    <row r="388" spans="7:8" x14ac:dyDescent="0.25">
      <c r="G388" s="149"/>
      <c r="H388" s="149"/>
    </row>
    <row r="389" spans="7:8" x14ac:dyDescent="0.25">
      <c r="G389" s="149"/>
      <c r="H389" s="149"/>
    </row>
    <row r="390" spans="7:8" x14ac:dyDescent="0.25">
      <c r="G390" s="149"/>
      <c r="H390" s="149"/>
    </row>
    <row r="391" spans="7:8" x14ac:dyDescent="0.25">
      <c r="G391" s="149"/>
      <c r="H391" s="149"/>
    </row>
    <row r="392" spans="7:8" x14ac:dyDescent="0.25">
      <c r="G392" s="149"/>
      <c r="H392" s="149"/>
    </row>
    <row r="393" spans="7:8" x14ac:dyDescent="0.25">
      <c r="G393" s="149"/>
      <c r="H393" s="149"/>
    </row>
    <row r="394" spans="7:8" x14ac:dyDescent="0.25">
      <c r="G394" s="149"/>
      <c r="H394" s="149"/>
    </row>
    <row r="395" spans="7:8" x14ac:dyDescent="0.25">
      <c r="G395" s="149"/>
      <c r="H395" s="149"/>
    </row>
    <row r="396" spans="7:8" x14ac:dyDescent="0.25">
      <c r="G396" s="149"/>
      <c r="H396" s="149"/>
    </row>
    <row r="397" spans="7:8" x14ac:dyDescent="0.25">
      <c r="G397" s="149"/>
      <c r="H397" s="149"/>
    </row>
    <row r="398" spans="7:8" x14ac:dyDescent="0.25">
      <c r="G398" s="149"/>
      <c r="H398" s="149"/>
    </row>
    <row r="399" spans="7:8" x14ac:dyDescent="0.25">
      <c r="G399" s="149"/>
      <c r="H399" s="149"/>
    </row>
    <row r="400" spans="7:8" x14ac:dyDescent="0.25">
      <c r="G400" s="149"/>
      <c r="H400" s="149"/>
    </row>
    <row r="401" spans="7:8" x14ac:dyDescent="0.25">
      <c r="G401" s="149"/>
      <c r="H401" s="149"/>
    </row>
    <row r="402" spans="7:8" x14ac:dyDescent="0.25">
      <c r="G402" s="149"/>
      <c r="H402" s="149"/>
    </row>
    <row r="403" spans="7:8" x14ac:dyDescent="0.25">
      <c r="G403" s="149"/>
      <c r="H403" s="149"/>
    </row>
    <row r="404" spans="7:8" x14ac:dyDescent="0.25">
      <c r="G404" s="149"/>
      <c r="H404" s="149"/>
    </row>
    <row r="405" spans="7:8" x14ac:dyDescent="0.25">
      <c r="G405" s="149"/>
      <c r="H405" s="149"/>
    </row>
    <row r="406" spans="7:8" x14ac:dyDescent="0.25">
      <c r="G406" s="149"/>
      <c r="H406" s="149"/>
    </row>
    <row r="407" spans="7:8" x14ac:dyDescent="0.25">
      <c r="G407" s="149"/>
      <c r="H407" s="149"/>
    </row>
    <row r="408" spans="7:8" x14ac:dyDescent="0.25">
      <c r="G408" s="149"/>
      <c r="H408" s="149"/>
    </row>
    <row r="409" spans="7:8" x14ac:dyDescent="0.25">
      <c r="G409" s="149"/>
      <c r="H409" s="149"/>
    </row>
    <row r="410" spans="7:8" x14ac:dyDescent="0.25">
      <c r="G410" s="149"/>
      <c r="H410" s="149"/>
    </row>
    <row r="411" spans="7:8" x14ac:dyDescent="0.25">
      <c r="G411" s="149"/>
      <c r="H411" s="149"/>
    </row>
    <row r="412" spans="7:8" x14ac:dyDescent="0.25">
      <c r="G412" s="149"/>
      <c r="H412" s="149"/>
    </row>
    <row r="413" spans="7:8" x14ac:dyDescent="0.25">
      <c r="G413" s="149"/>
      <c r="H413" s="149"/>
    </row>
    <row r="414" spans="7:8" x14ac:dyDescent="0.25">
      <c r="G414" s="149"/>
      <c r="H414" s="149"/>
    </row>
    <row r="415" spans="7:8" x14ac:dyDescent="0.25">
      <c r="G415" s="149"/>
      <c r="H415" s="149"/>
    </row>
    <row r="416" spans="7:8" x14ac:dyDescent="0.25">
      <c r="G416" s="149"/>
      <c r="H416" s="149"/>
    </row>
    <row r="417" spans="7:8" x14ac:dyDescent="0.25">
      <c r="G417" s="149"/>
      <c r="H417" s="149"/>
    </row>
    <row r="418" spans="7:8" x14ac:dyDescent="0.25">
      <c r="G418" s="149"/>
      <c r="H418" s="149"/>
    </row>
    <row r="419" spans="7:8" x14ac:dyDescent="0.25">
      <c r="G419" s="149"/>
      <c r="H419" s="149"/>
    </row>
    <row r="420" spans="7:8" x14ac:dyDescent="0.25">
      <c r="G420" s="149"/>
      <c r="H420" s="149"/>
    </row>
    <row r="421" spans="7:8" x14ac:dyDescent="0.25">
      <c r="G421" s="149"/>
      <c r="H421" s="149"/>
    </row>
    <row r="422" spans="7:8" x14ac:dyDescent="0.25">
      <c r="G422" s="149"/>
      <c r="H422" s="149"/>
    </row>
    <row r="423" spans="7:8" x14ac:dyDescent="0.25">
      <c r="G423" s="149"/>
      <c r="H423" s="149"/>
    </row>
    <row r="424" spans="7:8" x14ac:dyDescent="0.25">
      <c r="G424" s="149"/>
      <c r="H424" s="149"/>
    </row>
    <row r="425" spans="7:8" x14ac:dyDescent="0.25">
      <c r="G425" s="149"/>
      <c r="H425" s="149"/>
    </row>
    <row r="426" spans="7:8" x14ac:dyDescent="0.25">
      <c r="G426" s="149"/>
      <c r="H426" s="149"/>
    </row>
    <row r="427" spans="7:8" x14ac:dyDescent="0.25">
      <c r="G427" s="149"/>
      <c r="H427" s="149"/>
    </row>
    <row r="428" spans="7:8" x14ac:dyDescent="0.25">
      <c r="G428" s="149"/>
      <c r="H428" s="149"/>
    </row>
    <row r="429" spans="7:8" x14ac:dyDescent="0.25">
      <c r="G429" s="149"/>
      <c r="H429" s="149"/>
    </row>
    <row r="430" spans="7:8" x14ac:dyDescent="0.25">
      <c r="G430" s="149"/>
      <c r="H430" s="149"/>
    </row>
    <row r="431" spans="7:8" x14ac:dyDescent="0.25">
      <c r="G431" s="149"/>
      <c r="H431" s="149"/>
    </row>
    <row r="432" spans="7:8" x14ac:dyDescent="0.25">
      <c r="G432" s="149"/>
      <c r="H432" s="149"/>
    </row>
    <row r="433" spans="7:8" x14ac:dyDescent="0.25">
      <c r="G433" s="149"/>
      <c r="H433" s="149"/>
    </row>
    <row r="434" spans="7:8" x14ac:dyDescent="0.25">
      <c r="G434" s="149"/>
      <c r="H434" s="149"/>
    </row>
    <row r="435" spans="7:8" x14ac:dyDescent="0.25">
      <c r="G435" s="149"/>
      <c r="H435" s="149"/>
    </row>
    <row r="436" spans="7:8" x14ac:dyDescent="0.25">
      <c r="G436" s="149"/>
      <c r="H436" s="149"/>
    </row>
    <row r="437" spans="7:8" x14ac:dyDescent="0.25">
      <c r="G437" s="149"/>
      <c r="H437" s="149"/>
    </row>
    <row r="438" spans="7:8" x14ac:dyDescent="0.25">
      <c r="G438" s="149"/>
      <c r="H438" s="149"/>
    </row>
    <row r="439" spans="7:8" x14ac:dyDescent="0.25">
      <c r="G439" s="149"/>
      <c r="H439" s="149"/>
    </row>
    <row r="440" spans="7:8" x14ac:dyDescent="0.25">
      <c r="G440" s="149"/>
      <c r="H440" s="149"/>
    </row>
    <row r="441" spans="7:8" x14ac:dyDescent="0.25">
      <c r="G441" s="149"/>
      <c r="H441" s="149"/>
    </row>
    <row r="442" spans="7:8" x14ac:dyDescent="0.25">
      <c r="G442" s="149"/>
      <c r="H442" s="149"/>
    </row>
    <row r="443" spans="7:8" x14ac:dyDescent="0.25">
      <c r="G443" s="149"/>
      <c r="H443" s="149"/>
    </row>
    <row r="444" spans="7:8" x14ac:dyDescent="0.25">
      <c r="G444" s="149"/>
      <c r="H444" s="149"/>
    </row>
    <row r="445" spans="7:8" x14ac:dyDescent="0.25">
      <c r="G445" s="149"/>
      <c r="H445" s="149"/>
    </row>
    <row r="446" spans="7:8" x14ac:dyDescent="0.25">
      <c r="G446" s="149"/>
      <c r="H446" s="149"/>
    </row>
    <row r="447" spans="7:8" x14ac:dyDescent="0.25">
      <c r="G447" s="149"/>
      <c r="H447" s="149"/>
    </row>
    <row r="448" spans="7:8" x14ac:dyDescent="0.25">
      <c r="G448" s="149"/>
      <c r="H448" s="149"/>
    </row>
    <row r="449" spans="7:8" x14ac:dyDescent="0.25">
      <c r="G449" s="149"/>
      <c r="H449" s="149"/>
    </row>
    <row r="450" spans="7:8" x14ac:dyDescent="0.25">
      <c r="G450" s="149"/>
      <c r="H450" s="149"/>
    </row>
    <row r="451" spans="7:8" x14ac:dyDescent="0.25">
      <c r="G451" s="149"/>
      <c r="H451" s="149"/>
    </row>
    <row r="452" spans="7:8" x14ac:dyDescent="0.25">
      <c r="G452" s="149"/>
      <c r="H452" s="149"/>
    </row>
    <row r="453" spans="7:8" x14ac:dyDescent="0.25">
      <c r="G453" s="149"/>
      <c r="H453" s="149"/>
    </row>
    <row r="454" spans="7:8" x14ac:dyDescent="0.25">
      <c r="G454" s="149"/>
      <c r="H454" s="149"/>
    </row>
    <row r="455" spans="7:8" x14ac:dyDescent="0.25">
      <c r="G455" s="149"/>
      <c r="H455" s="149"/>
    </row>
    <row r="456" spans="7:8" x14ac:dyDescent="0.25">
      <c r="G456" s="149"/>
      <c r="H456" s="149"/>
    </row>
    <row r="457" spans="7:8" x14ac:dyDescent="0.25">
      <c r="G457" s="149"/>
      <c r="H457" s="149"/>
    </row>
    <row r="458" spans="7:8" x14ac:dyDescent="0.25">
      <c r="G458" s="149"/>
      <c r="H458" s="149"/>
    </row>
    <row r="459" spans="7:8" x14ac:dyDescent="0.25">
      <c r="G459" s="149"/>
      <c r="H459" s="149"/>
    </row>
    <row r="460" spans="7:8" x14ac:dyDescent="0.25">
      <c r="G460" s="149"/>
      <c r="H460" s="149"/>
    </row>
    <row r="461" spans="7:8" x14ac:dyDescent="0.25">
      <c r="G461" s="149"/>
      <c r="H461" s="149"/>
    </row>
    <row r="462" spans="7:8" x14ac:dyDescent="0.25">
      <c r="G462" s="149"/>
      <c r="H462" s="149"/>
    </row>
    <row r="463" spans="7:8" x14ac:dyDescent="0.25">
      <c r="G463" s="149"/>
      <c r="H463" s="149"/>
    </row>
    <row r="464" spans="7:8" x14ac:dyDescent="0.25">
      <c r="G464" s="149"/>
      <c r="H464" s="149"/>
    </row>
    <row r="465" spans="7:8" x14ac:dyDescent="0.25">
      <c r="G465" s="149"/>
      <c r="H465" s="149"/>
    </row>
    <row r="466" spans="7:8" x14ac:dyDescent="0.25">
      <c r="G466" s="149"/>
      <c r="H466" s="149"/>
    </row>
    <row r="467" spans="7:8" x14ac:dyDescent="0.25">
      <c r="G467" s="149"/>
      <c r="H467" s="149"/>
    </row>
    <row r="468" spans="7:8" x14ac:dyDescent="0.25">
      <c r="G468" s="149"/>
      <c r="H468" s="149"/>
    </row>
    <row r="469" spans="7:8" x14ac:dyDescent="0.25">
      <c r="G469" s="149"/>
      <c r="H469" s="149"/>
    </row>
    <row r="470" spans="7:8" x14ac:dyDescent="0.25">
      <c r="G470" s="149"/>
      <c r="H470" s="149"/>
    </row>
    <row r="471" spans="7:8" x14ac:dyDescent="0.25">
      <c r="G471" s="149"/>
      <c r="H471" s="149"/>
    </row>
    <row r="472" spans="7:8" x14ac:dyDescent="0.25">
      <c r="G472" s="149"/>
      <c r="H472" s="149"/>
    </row>
    <row r="473" spans="7:8" x14ac:dyDescent="0.25">
      <c r="G473" s="149"/>
      <c r="H473" s="149"/>
    </row>
    <row r="474" spans="7:8" x14ac:dyDescent="0.25">
      <c r="G474" s="149"/>
      <c r="H474" s="149"/>
    </row>
    <row r="475" spans="7:8" x14ac:dyDescent="0.25">
      <c r="G475" s="149"/>
      <c r="H475" s="149"/>
    </row>
    <row r="476" spans="7:8" x14ac:dyDescent="0.25">
      <c r="G476" s="149"/>
      <c r="H476" s="149"/>
    </row>
    <row r="477" spans="7:8" x14ac:dyDescent="0.25">
      <c r="G477" s="149"/>
      <c r="H477" s="149"/>
    </row>
    <row r="478" spans="7:8" x14ac:dyDescent="0.25">
      <c r="G478" s="149"/>
      <c r="H478" s="149"/>
    </row>
    <row r="479" spans="7:8" x14ac:dyDescent="0.25">
      <c r="G479" s="149"/>
      <c r="H479" s="149"/>
    </row>
    <row r="480" spans="7:8" x14ac:dyDescent="0.25">
      <c r="G480" s="149"/>
      <c r="H480" s="149"/>
    </row>
    <row r="481" spans="7:8" x14ac:dyDescent="0.25">
      <c r="G481" s="149"/>
      <c r="H481" s="149"/>
    </row>
    <row r="482" spans="7:8" x14ac:dyDescent="0.25">
      <c r="G482" s="149"/>
      <c r="H482" s="149"/>
    </row>
    <row r="483" spans="7:8" x14ac:dyDescent="0.25">
      <c r="G483" s="149"/>
      <c r="H483" s="149"/>
    </row>
    <row r="484" spans="7:8" x14ac:dyDescent="0.25">
      <c r="G484" s="149"/>
      <c r="H484" s="149"/>
    </row>
    <row r="485" spans="7:8" x14ac:dyDescent="0.25">
      <c r="G485" s="149"/>
      <c r="H485" s="149"/>
    </row>
    <row r="486" spans="7:8" x14ac:dyDescent="0.25">
      <c r="G486" s="149"/>
      <c r="H486" s="149"/>
    </row>
    <row r="487" spans="7:8" x14ac:dyDescent="0.25">
      <c r="G487" s="149"/>
      <c r="H487" s="149"/>
    </row>
    <row r="488" spans="7:8" x14ac:dyDescent="0.25">
      <c r="G488" s="149"/>
      <c r="H488" s="149"/>
    </row>
    <row r="489" spans="7:8" x14ac:dyDescent="0.25">
      <c r="G489" s="149"/>
      <c r="H489" s="149"/>
    </row>
    <row r="490" spans="7:8" x14ac:dyDescent="0.25">
      <c r="G490" s="149"/>
      <c r="H490" s="149"/>
    </row>
    <row r="491" spans="7:8" x14ac:dyDescent="0.25">
      <c r="G491" s="149"/>
      <c r="H491" s="149"/>
    </row>
    <row r="492" spans="7:8" x14ac:dyDescent="0.25">
      <c r="G492" s="149"/>
      <c r="H492" s="149"/>
    </row>
    <row r="493" spans="7:8" x14ac:dyDescent="0.25">
      <c r="G493" s="149"/>
      <c r="H493" s="149"/>
    </row>
    <row r="494" spans="7:8" x14ac:dyDescent="0.25">
      <c r="G494" s="149"/>
      <c r="H494" s="149"/>
    </row>
    <row r="495" spans="7:8" x14ac:dyDescent="0.25">
      <c r="G495" s="149"/>
      <c r="H495" s="149"/>
    </row>
    <row r="496" spans="7:8" x14ac:dyDescent="0.25">
      <c r="G496" s="149"/>
      <c r="H496" s="149"/>
    </row>
    <row r="497" spans="7:8" x14ac:dyDescent="0.25">
      <c r="G497" s="149"/>
      <c r="H497" s="149"/>
    </row>
    <row r="498" spans="7:8" x14ac:dyDescent="0.25">
      <c r="G498" s="149"/>
      <c r="H498" s="149"/>
    </row>
    <row r="499" spans="7:8" x14ac:dyDescent="0.25">
      <c r="G499" s="149"/>
      <c r="H499" s="149"/>
    </row>
    <row r="500" spans="7:8" x14ac:dyDescent="0.25">
      <c r="G500" s="149"/>
      <c r="H500" s="149"/>
    </row>
    <row r="501" spans="7:8" x14ac:dyDescent="0.25">
      <c r="G501" s="149"/>
      <c r="H501" s="149"/>
    </row>
    <row r="502" spans="7:8" x14ac:dyDescent="0.25">
      <c r="G502" s="149"/>
      <c r="H502" s="149"/>
    </row>
    <row r="503" spans="7:8" x14ac:dyDescent="0.25">
      <c r="G503" s="149"/>
      <c r="H503" s="149"/>
    </row>
    <row r="504" spans="7:8" x14ac:dyDescent="0.25">
      <c r="G504" s="149"/>
      <c r="H504" s="149"/>
    </row>
    <row r="505" spans="7:8" x14ac:dyDescent="0.25">
      <c r="G505" s="149"/>
      <c r="H505" s="149"/>
    </row>
    <row r="506" spans="7:8" x14ac:dyDescent="0.25">
      <c r="G506" s="149"/>
      <c r="H506" s="149"/>
    </row>
    <row r="507" spans="7:8" x14ac:dyDescent="0.25">
      <c r="G507" s="149"/>
      <c r="H507" s="149"/>
    </row>
    <row r="508" spans="7:8" x14ac:dyDescent="0.25">
      <c r="G508" s="149"/>
      <c r="H508" s="149"/>
    </row>
    <row r="509" spans="7:8" x14ac:dyDescent="0.25">
      <c r="G509" s="149"/>
      <c r="H509" s="149"/>
    </row>
    <row r="510" spans="7:8" x14ac:dyDescent="0.25">
      <c r="G510" s="149"/>
      <c r="H510" s="149"/>
    </row>
    <row r="511" spans="7:8" x14ac:dyDescent="0.25">
      <c r="G511" s="149"/>
      <c r="H511" s="149"/>
    </row>
    <row r="512" spans="7:8" x14ac:dyDescent="0.25">
      <c r="G512" s="149"/>
      <c r="H512" s="149"/>
    </row>
    <row r="513" spans="7:8" x14ac:dyDescent="0.25">
      <c r="G513" s="149"/>
      <c r="H513" s="149"/>
    </row>
    <row r="514" spans="7:8" x14ac:dyDescent="0.25">
      <c r="G514" s="149"/>
      <c r="H514" s="149"/>
    </row>
    <row r="515" spans="7:8" x14ac:dyDescent="0.25">
      <c r="G515" s="149"/>
      <c r="H515" s="149"/>
    </row>
    <row r="516" spans="7:8" x14ac:dyDescent="0.25">
      <c r="G516" s="149"/>
      <c r="H516" s="149"/>
    </row>
    <row r="517" spans="7:8" x14ac:dyDescent="0.25">
      <c r="G517" s="149"/>
      <c r="H517" s="149"/>
    </row>
    <row r="518" spans="7:8" x14ac:dyDescent="0.25">
      <c r="G518" s="149"/>
      <c r="H518" s="149"/>
    </row>
    <row r="519" spans="7:8" x14ac:dyDescent="0.25">
      <c r="G519" s="149"/>
      <c r="H519" s="149"/>
    </row>
    <row r="520" spans="7:8" x14ac:dyDescent="0.25">
      <c r="G520" s="149"/>
      <c r="H520" s="149"/>
    </row>
    <row r="521" spans="7:8" x14ac:dyDescent="0.25">
      <c r="G521" s="149"/>
      <c r="H521" s="149"/>
    </row>
    <row r="522" spans="7:8" x14ac:dyDescent="0.25">
      <c r="G522" s="149"/>
      <c r="H522" s="149"/>
    </row>
    <row r="523" spans="7:8" x14ac:dyDescent="0.25">
      <c r="G523" s="149"/>
      <c r="H523" s="149"/>
    </row>
    <row r="524" spans="7:8" x14ac:dyDescent="0.25">
      <c r="G524" s="149"/>
      <c r="H524" s="149"/>
    </row>
    <row r="525" spans="7:8" x14ac:dyDescent="0.25">
      <c r="G525" s="149"/>
      <c r="H525" s="149"/>
    </row>
    <row r="526" spans="7:8" x14ac:dyDescent="0.25">
      <c r="G526" s="149"/>
      <c r="H526" s="149"/>
    </row>
    <row r="527" spans="7:8" x14ac:dyDescent="0.25">
      <c r="G527" s="149"/>
      <c r="H527" s="149"/>
    </row>
    <row r="528" spans="7:8" x14ac:dyDescent="0.25">
      <c r="G528" s="149"/>
      <c r="H528" s="149"/>
    </row>
    <row r="529" spans="7:8" x14ac:dyDescent="0.25">
      <c r="G529" s="149"/>
      <c r="H529" s="149"/>
    </row>
    <row r="530" spans="7:8" x14ac:dyDescent="0.25">
      <c r="G530" s="149"/>
      <c r="H530" s="149"/>
    </row>
    <row r="531" spans="7:8" x14ac:dyDescent="0.25">
      <c r="G531" s="149"/>
      <c r="H531" s="149"/>
    </row>
    <row r="532" spans="7:8" x14ac:dyDescent="0.25">
      <c r="G532" s="149"/>
      <c r="H532" s="149"/>
    </row>
    <row r="533" spans="7:8" x14ac:dyDescent="0.25">
      <c r="G533" s="149"/>
      <c r="H533" s="149"/>
    </row>
    <row r="534" spans="7:8" x14ac:dyDescent="0.25">
      <c r="G534" s="149"/>
      <c r="H534" s="149"/>
    </row>
    <row r="535" spans="7:8" x14ac:dyDescent="0.25">
      <c r="G535" s="149"/>
      <c r="H535" s="149"/>
    </row>
    <row r="536" spans="7:8" x14ac:dyDescent="0.25">
      <c r="G536" s="149"/>
      <c r="H536" s="149"/>
    </row>
    <row r="537" spans="7:8" x14ac:dyDescent="0.25">
      <c r="G537" s="149"/>
      <c r="H537" s="149"/>
    </row>
    <row r="538" spans="7:8" x14ac:dyDescent="0.25">
      <c r="G538" s="149"/>
      <c r="H538" s="149"/>
    </row>
    <row r="539" spans="7:8" x14ac:dyDescent="0.25">
      <c r="G539" s="149"/>
      <c r="H539" s="149"/>
    </row>
    <row r="540" spans="7:8" x14ac:dyDescent="0.25">
      <c r="G540" s="149"/>
      <c r="H540" s="149"/>
    </row>
    <row r="541" spans="7:8" x14ac:dyDescent="0.25">
      <c r="G541" s="149"/>
      <c r="H541" s="149"/>
    </row>
    <row r="542" spans="7:8" x14ac:dyDescent="0.25">
      <c r="G542" s="149"/>
      <c r="H542" s="149"/>
    </row>
    <row r="543" spans="7:8" x14ac:dyDescent="0.25">
      <c r="G543" s="149"/>
      <c r="H543" s="149"/>
    </row>
    <row r="544" spans="7:8" x14ac:dyDescent="0.25">
      <c r="G544" s="149"/>
      <c r="H544" s="149"/>
    </row>
    <row r="545" spans="7:8" x14ac:dyDescent="0.25">
      <c r="G545" s="149"/>
      <c r="H545" s="149"/>
    </row>
    <row r="546" spans="7:8" x14ac:dyDescent="0.25">
      <c r="G546" s="149"/>
      <c r="H546" s="149"/>
    </row>
    <row r="547" spans="7:8" x14ac:dyDescent="0.25">
      <c r="G547" s="149"/>
      <c r="H547" s="149"/>
    </row>
    <row r="548" spans="7:8" x14ac:dyDescent="0.25">
      <c r="G548" s="149"/>
      <c r="H548" s="149"/>
    </row>
    <row r="549" spans="7:8" x14ac:dyDescent="0.25">
      <c r="G549" s="149"/>
      <c r="H549" s="149"/>
    </row>
    <row r="550" spans="7:8" x14ac:dyDescent="0.25">
      <c r="G550" s="149"/>
      <c r="H550" s="149"/>
    </row>
    <row r="551" spans="7:8" x14ac:dyDescent="0.25">
      <c r="G551" s="149"/>
      <c r="H551" s="149"/>
    </row>
    <row r="552" spans="7:8" x14ac:dyDescent="0.25">
      <c r="G552" s="149"/>
      <c r="H552" s="149"/>
    </row>
    <row r="553" spans="7:8" x14ac:dyDescent="0.25">
      <c r="G553" s="149"/>
      <c r="H553" s="149"/>
    </row>
    <row r="554" spans="7:8" x14ac:dyDescent="0.25">
      <c r="G554" s="149"/>
      <c r="H554" s="149"/>
    </row>
    <row r="555" spans="7:8" x14ac:dyDescent="0.25">
      <c r="G555" s="149"/>
      <c r="H555" s="149"/>
    </row>
    <row r="556" spans="7:8" x14ac:dyDescent="0.25">
      <c r="G556" s="149"/>
      <c r="H556" s="149"/>
    </row>
    <row r="557" spans="7:8" x14ac:dyDescent="0.25">
      <c r="G557" s="149"/>
      <c r="H557" s="149"/>
    </row>
    <row r="558" spans="7:8" x14ac:dyDescent="0.25">
      <c r="G558" s="149"/>
      <c r="H558" s="149"/>
    </row>
    <row r="559" spans="7:8" x14ac:dyDescent="0.25">
      <c r="G559" s="149"/>
      <c r="H559" s="149"/>
    </row>
    <row r="560" spans="7:8" x14ac:dyDescent="0.25">
      <c r="G560" s="149"/>
      <c r="H560" s="149"/>
    </row>
    <row r="561" spans="7:8" x14ac:dyDescent="0.25">
      <c r="G561" s="149"/>
      <c r="H561" s="149"/>
    </row>
    <row r="562" spans="7:8" x14ac:dyDescent="0.25">
      <c r="G562" s="149"/>
      <c r="H562" s="149"/>
    </row>
    <row r="563" spans="7:8" x14ac:dyDescent="0.25">
      <c r="G563" s="149"/>
      <c r="H563" s="149"/>
    </row>
    <row r="564" spans="7:8" x14ac:dyDescent="0.25">
      <c r="G564" s="149"/>
      <c r="H564" s="149"/>
    </row>
    <row r="565" spans="7:8" x14ac:dyDescent="0.25">
      <c r="G565" s="149"/>
      <c r="H565" s="149"/>
    </row>
    <row r="566" spans="7:8" x14ac:dyDescent="0.25">
      <c r="G566" s="149"/>
      <c r="H566" s="149"/>
    </row>
    <row r="567" spans="7:8" x14ac:dyDescent="0.25">
      <c r="G567" s="149"/>
      <c r="H567" s="149"/>
    </row>
    <row r="568" spans="7:8" x14ac:dyDescent="0.25">
      <c r="G568" s="149"/>
      <c r="H568" s="149"/>
    </row>
    <row r="569" spans="7:8" x14ac:dyDescent="0.25">
      <c r="G569" s="149"/>
      <c r="H569" s="149"/>
    </row>
    <row r="570" spans="7:8" x14ac:dyDescent="0.25">
      <c r="G570" s="149"/>
      <c r="H570" s="149"/>
    </row>
    <row r="571" spans="7:8" x14ac:dyDescent="0.25">
      <c r="G571" s="149"/>
      <c r="H571" s="149"/>
    </row>
    <row r="572" spans="7:8" x14ac:dyDescent="0.25">
      <c r="G572" s="149"/>
      <c r="H572" s="149"/>
    </row>
    <row r="573" spans="7:8" x14ac:dyDescent="0.25">
      <c r="G573" s="149"/>
      <c r="H573" s="149"/>
    </row>
    <row r="574" spans="7:8" x14ac:dyDescent="0.25">
      <c r="G574" s="149"/>
      <c r="H574" s="149"/>
    </row>
    <row r="575" spans="7:8" x14ac:dyDescent="0.25">
      <c r="G575" s="149"/>
      <c r="H575" s="149"/>
    </row>
    <row r="576" spans="7:8" x14ac:dyDescent="0.25">
      <c r="G576" s="149"/>
      <c r="H576" s="149"/>
    </row>
    <row r="577" spans="7:8" x14ac:dyDescent="0.25">
      <c r="G577" s="149"/>
      <c r="H577" s="149"/>
    </row>
    <row r="578" spans="7:8" x14ac:dyDescent="0.25">
      <c r="G578" s="149"/>
      <c r="H578" s="149"/>
    </row>
    <row r="579" spans="7:8" x14ac:dyDescent="0.25">
      <c r="G579" s="149"/>
      <c r="H579" s="149"/>
    </row>
    <row r="580" spans="7:8" x14ac:dyDescent="0.25">
      <c r="G580" s="149"/>
      <c r="H580" s="149"/>
    </row>
    <row r="581" spans="7:8" x14ac:dyDescent="0.25">
      <c r="G581" s="149"/>
      <c r="H581" s="149"/>
    </row>
    <row r="582" spans="7:8" x14ac:dyDescent="0.25">
      <c r="G582" s="149"/>
      <c r="H582" s="149"/>
    </row>
    <row r="583" spans="7:8" x14ac:dyDescent="0.25">
      <c r="G583" s="149"/>
      <c r="H583" s="149"/>
    </row>
    <row r="584" spans="7:8" x14ac:dyDescent="0.25">
      <c r="G584" s="149"/>
      <c r="H584" s="149"/>
    </row>
    <row r="585" spans="7:8" x14ac:dyDescent="0.25">
      <c r="G585" s="149"/>
      <c r="H585" s="149"/>
    </row>
    <row r="586" spans="7:8" x14ac:dyDescent="0.25">
      <c r="G586" s="149"/>
      <c r="H586" s="149"/>
    </row>
    <row r="587" spans="7:8" x14ac:dyDescent="0.25">
      <c r="G587" s="149"/>
      <c r="H587" s="149"/>
    </row>
    <row r="588" spans="7:8" x14ac:dyDescent="0.25">
      <c r="G588" s="149"/>
      <c r="H588" s="149"/>
    </row>
    <row r="589" spans="7:8" x14ac:dyDescent="0.25">
      <c r="G589" s="149"/>
      <c r="H589" s="149"/>
    </row>
    <row r="590" spans="7:8" x14ac:dyDescent="0.25">
      <c r="G590" s="149"/>
      <c r="H590" s="149"/>
    </row>
    <row r="591" spans="7:8" x14ac:dyDescent="0.25">
      <c r="G591" s="149"/>
      <c r="H591" s="149"/>
    </row>
    <row r="592" spans="7:8" x14ac:dyDescent="0.25">
      <c r="G592" s="149"/>
      <c r="H592" s="149"/>
    </row>
    <row r="593" spans="7:8" x14ac:dyDescent="0.25">
      <c r="G593" s="149"/>
      <c r="H593" s="149"/>
    </row>
    <row r="594" spans="7:8" x14ac:dyDescent="0.25">
      <c r="G594" s="149"/>
      <c r="H594" s="149"/>
    </row>
    <row r="595" spans="7:8" x14ac:dyDescent="0.25">
      <c r="G595" s="149"/>
      <c r="H595" s="149"/>
    </row>
    <row r="596" spans="7:8" x14ac:dyDescent="0.25">
      <c r="G596" s="149"/>
      <c r="H596" s="149"/>
    </row>
    <row r="597" spans="7:8" x14ac:dyDescent="0.25">
      <c r="G597" s="149"/>
      <c r="H597" s="149"/>
    </row>
    <row r="598" spans="7:8" x14ac:dyDescent="0.25">
      <c r="G598" s="149"/>
      <c r="H598" s="149"/>
    </row>
    <row r="599" spans="7:8" x14ac:dyDescent="0.25">
      <c r="G599" s="149"/>
      <c r="H599" s="149"/>
    </row>
    <row r="600" spans="7:8" x14ac:dyDescent="0.25">
      <c r="G600" s="149"/>
      <c r="H600" s="149"/>
    </row>
    <row r="601" spans="7:8" x14ac:dyDescent="0.25">
      <c r="G601" s="149"/>
      <c r="H601" s="149"/>
    </row>
    <row r="602" spans="7:8" x14ac:dyDescent="0.25">
      <c r="G602" s="149"/>
      <c r="H602" s="149"/>
    </row>
    <row r="603" spans="7:8" x14ac:dyDescent="0.25">
      <c r="G603" s="149"/>
      <c r="H603" s="149"/>
    </row>
    <row r="604" spans="7:8" x14ac:dyDescent="0.25">
      <c r="G604" s="149"/>
      <c r="H604" s="149"/>
    </row>
    <row r="605" spans="7:8" x14ac:dyDescent="0.25">
      <c r="G605" s="149"/>
      <c r="H605" s="149"/>
    </row>
    <row r="606" spans="7:8" x14ac:dyDescent="0.25">
      <c r="G606" s="149"/>
      <c r="H606" s="149"/>
    </row>
    <row r="607" spans="7:8" x14ac:dyDescent="0.25">
      <c r="G607" s="149"/>
      <c r="H607" s="149"/>
    </row>
    <row r="608" spans="7:8" x14ac:dyDescent="0.25">
      <c r="G608" s="149"/>
      <c r="H608" s="149"/>
    </row>
    <row r="609" spans="7:8" x14ac:dyDescent="0.25">
      <c r="G609" s="149"/>
      <c r="H609" s="149"/>
    </row>
    <row r="610" spans="7:8" x14ac:dyDescent="0.25">
      <c r="G610" s="149"/>
      <c r="H610" s="149"/>
    </row>
    <row r="611" spans="7:8" x14ac:dyDescent="0.25">
      <c r="G611" s="149"/>
      <c r="H611" s="149"/>
    </row>
    <row r="612" spans="7:8" x14ac:dyDescent="0.25">
      <c r="G612" s="149"/>
      <c r="H612" s="149"/>
    </row>
    <row r="613" spans="7:8" x14ac:dyDescent="0.25">
      <c r="G613" s="149"/>
      <c r="H613" s="149"/>
    </row>
    <row r="614" spans="7:8" x14ac:dyDescent="0.25">
      <c r="G614" s="149"/>
      <c r="H614" s="149"/>
    </row>
    <row r="615" spans="7:8" x14ac:dyDescent="0.25">
      <c r="G615" s="149"/>
      <c r="H615" s="149"/>
    </row>
    <row r="616" spans="7:8" x14ac:dyDescent="0.25">
      <c r="G616" s="149"/>
      <c r="H616" s="149"/>
    </row>
    <row r="617" spans="7:8" x14ac:dyDescent="0.25">
      <c r="G617" s="149"/>
      <c r="H617" s="149"/>
    </row>
    <row r="618" spans="7:8" x14ac:dyDescent="0.25">
      <c r="G618" s="149"/>
      <c r="H618" s="149"/>
    </row>
    <row r="619" spans="7:8" x14ac:dyDescent="0.25">
      <c r="G619" s="149"/>
      <c r="H619" s="149"/>
    </row>
    <row r="620" spans="7:8" x14ac:dyDescent="0.25">
      <c r="G620" s="149"/>
      <c r="H620" s="149"/>
    </row>
    <row r="621" spans="7:8" x14ac:dyDescent="0.25">
      <c r="G621" s="149"/>
      <c r="H621" s="149"/>
    </row>
    <row r="622" spans="7:8" x14ac:dyDescent="0.25">
      <c r="G622" s="149"/>
      <c r="H622" s="149"/>
    </row>
    <row r="623" spans="7:8" x14ac:dyDescent="0.25">
      <c r="G623" s="149"/>
      <c r="H623" s="149"/>
    </row>
    <row r="624" spans="7:8" x14ac:dyDescent="0.25">
      <c r="G624" s="149"/>
      <c r="H624" s="149"/>
    </row>
    <row r="625" spans="7:8" x14ac:dyDescent="0.25">
      <c r="G625" s="149"/>
      <c r="H625" s="149"/>
    </row>
    <row r="626" spans="7:8" x14ac:dyDescent="0.25">
      <c r="G626" s="149"/>
      <c r="H626" s="149"/>
    </row>
    <row r="627" spans="7:8" x14ac:dyDescent="0.25">
      <c r="G627" s="149"/>
      <c r="H627" s="149"/>
    </row>
    <row r="628" spans="7:8" x14ac:dyDescent="0.25">
      <c r="G628" s="149"/>
      <c r="H628" s="149"/>
    </row>
    <row r="629" spans="7:8" x14ac:dyDescent="0.25">
      <c r="G629" s="149"/>
      <c r="H629" s="149"/>
    </row>
    <row r="630" spans="7:8" x14ac:dyDescent="0.25">
      <c r="G630" s="149"/>
      <c r="H630" s="149"/>
    </row>
    <row r="631" spans="7:8" x14ac:dyDescent="0.25">
      <c r="G631" s="149"/>
      <c r="H631" s="149"/>
    </row>
    <row r="632" spans="7:8" x14ac:dyDescent="0.25">
      <c r="G632" s="149"/>
      <c r="H632" s="149"/>
    </row>
    <row r="633" spans="7:8" x14ac:dyDescent="0.25">
      <c r="G633" s="149"/>
      <c r="H633" s="149"/>
    </row>
    <row r="634" spans="7:8" x14ac:dyDescent="0.25">
      <c r="G634" s="149"/>
      <c r="H634" s="149"/>
    </row>
    <row r="635" spans="7:8" x14ac:dyDescent="0.25">
      <c r="G635" s="149"/>
      <c r="H635" s="149"/>
    </row>
    <row r="636" spans="7:8" x14ac:dyDescent="0.25">
      <c r="G636" s="149"/>
      <c r="H636" s="149"/>
    </row>
    <row r="637" spans="7:8" x14ac:dyDescent="0.25">
      <c r="G637" s="149"/>
      <c r="H637" s="149"/>
    </row>
    <row r="638" spans="7:8" x14ac:dyDescent="0.25">
      <c r="G638" s="149"/>
      <c r="H638" s="149"/>
    </row>
    <row r="639" spans="7:8" x14ac:dyDescent="0.25">
      <c r="G639" s="149"/>
      <c r="H639" s="149"/>
    </row>
    <row r="640" spans="7:8" x14ac:dyDescent="0.25">
      <c r="G640" s="149"/>
      <c r="H640" s="149"/>
    </row>
    <row r="641" spans="7:8" x14ac:dyDescent="0.25">
      <c r="G641" s="149"/>
      <c r="H641" s="149"/>
    </row>
    <row r="642" spans="7:8" x14ac:dyDescent="0.25">
      <c r="G642" s="149"/>
      <c r="H642" s="149"/>
    </row>
    <row r="643" spans="7:8" x14ac:dyDescent="0.25">
      <c r="G643" s="149"/>
      <c r="H643" s="149"/>
    </row>
    <row r="644" spans="7:8" x14ac:dyDescent="0.25">
      <c r="G644" s="149"/>
      <c r="H644" s="149"/>
    </row>
    <row r="645" spans="7:8" x14ac:dyDescent="0.25">
      <c r="G645" s="149"/>
      <c r="H645" s="149"/>
    </row>
    <row r="646" spans="7:8" x14ac:dyDescent="0.25">
      <c r="G646" s="149"/>
      <c r="H646" s="149"/>
    </row>
    <row r="647" spans="7:8" x14ac:dyDescent="0.25">
      <c r="G647" s="149"/>
      <c r="H647" s="149"/>
    </row>
    <row r="648" spans="7:8" x14ac:dyDescent="0.25">
      <c r="G648" s="149"/>
      <c r="H648" s="149"/>
    </row>
    <row r="649" spans="7:8" x14ac:dyDescent="0.25">
      <c r="G649" s="149"/>
      <c r="H649" s="149"/>
    </row>
    <row r="650" spans="7:8" x14ac:dyDescent="0.25">
      <c r="G650" s="149"/>
      <c r="H650" s="149"/>
    </row>
    <row r="651" spans="7:8" x14ac:dyDescent="0.25">
      <c r="G651" s="149"/>
      <c r="H651" s="149"/>
    </row>
    <row r="652" spans="7:8" x14ac:dyDescent="0.25">
      <c r="G652" s="149"/>
      <c r="H652" s="149"/>
    </row>
    <row r="653" spans="7:8" x14ac:dyDescent="0.25">
      <c r="G653" s="149"/>
      <c r="H653" s="149"/>
    </row>
    <row r="654" spans="7:8" x14ac:dyDescent="0.25">
      <c r="G654" s="149"/>
      <c r="H654" s="149"/>
    </row>
    <row r="655" spans="7:8" x14ac:dyDescent="0.25">
      <c r="G655" s="149"/>
      <c r="H655" s="149"/>
    </row>
    <row r="656" spans="7:8" x14ac:dyDescent="0.25">
      <c r="G656" s="149"/>
      <c r="H656" s="149"/>
    </row>
    <row r="657" spans="7:8" x14ac:dyDescent="0.25">
      <c r="G657" s="149"/>
      <c r="H657" s="149"/>
    </row>
    <row r="658" spans="7:8" x14ac:dyDescent="0.25">
      <c r="G658" s="149"/>
      <c r="H658" s="149"/>
    </row>
    <row r="659" spans="7:8" x14ac:dyDescent="0.25">
      <c r="G659" s="149"/>
      <c r="H659" s="149"/>
    </row>
    <row r="660" spans="7:8" x14ac:dyDescent="0.25">
      <c r="G660" s="149"/>
      <c r="H660" s="149"/>
    </row>
    <row r="661" spans="7:8" x14ac:dyDescent="0.25">
      <c r="G661" s="149"/>
      <c r="H661" s="149"/>
    </row>
    <row r="662" spans="7:8" x14ac:dyDescent="0.25">
      <c r="G662" s="149"/>
      <c r="H662" s="149"/>
    </row>
    <row r="663" spans="7:8" x14ac:dyDescent="0.25">
      <c r="G663" s="149"/>
      <c r="H663" s="149"/>
    </row>
    <row r="664" spans="7:8" x14ac:dyDescent="0.25">
      <c r="G664" s="149"/>
      <c r="H664" s="149"/>
    </row>
    <row r="665" spans="7:8" x14ac:dyDescent="0.25">
      <c r="G665" s="149"/>
      <c r="H665" s="149"/>
    </row>
    <row r="666" spans="7:8" x14ac:dyDescent="0.25">
      <c r="G666" s="149"/>
      <c r="H666" s="149"/>
    </row>
    <row r="667" spans="7:8" x14ac:dyDescent="0.25">
      <c r="G667" s="149"/>
      <c r="H667" s="149"/>
    </row>
    <row r="668" spans="7:8" x14ac:dyDescent="0.25">
      <c r="G668" s="149"/>
      <c r="H668" s="149"/>
    </row>
    <row r="669" spans="7:8" x14ac:dyDescent="0.25">
      <c r="G669" s="149"/>
      <c r="H669" s="149"/>
    </row>
    <row r="670" spans="7:8" x14ac:dyDescent="0.25">
      <c r="G670" s="149"/>
      <c r="H670" s="149"/>
    </row>
    <row r="671" spans="7:8" x14ac:dyDescent="0.25">
      <c r="G671" s="149"/>
      <c r="H671" s="149"/>
    </row>
    <row r="672" spans="7:8" x14ac:dyDescent="0.25">
      <c r="G672" s="149"/>
      <c r="H672" s="149"/>
    </row>
    <row r="673" spans="7:8" x14ac:dyDescent="0.25">
      <c r="G673" s="149"/>
      <c r="H673" s="149"/>
    </row>
    <row r="674" spans="7:8" x14ac:dyDescent="0.25">
      <c r="G674" s="149"/>
      <c r="H674" s="149"/>
    </row>
    <row r="675" spans="7:8" x14ac:dyDescent="0.25">
      <c r="G675" s="149"/>
      <c r="H675" s="149"/>
    </row>
    <row r="676" spans="7:8" x14ac:dyDescent="0.25">
      <c r="G676" s="149"/>
      <c r="H676" s="149"/>
    </row>
    <row r="677" spans="7:8" x14ac:dyDescent="0.25">
      <c r="G677" s="149"/>
      <c r="H677" s="149"/>
    </row>
    <row r="678" spans="7:8" x14ac:dyDescent="0.25">
      <c r="G678" s="149"/>
      <c r="H678" s="149"/>
    </row>
    <row r="679" spans="7:8" x14ac:dyDescent="0.25">
      <c r="G679" s="149"/>
      <c r="H679" s="149"/>
    </row>
    <row r="680" spans="7:8" x14ac:dyDescent="0.25">
      <c r="G680" s="149"/>
      <c r="H680" s="149"/>
    </row>
    <row r="681" spans="7:8" x14ac:dyDescent="0.25">
      <c r="G681" s="149"/>
      <c r="H681" s="149"/>
    </row>
    <row r="682" spans="7:8" x14ac:dyDescent="0.25">
      <c r="G682" s="149"/>
      <c r="H682" s="149"/>
    </row>
    <row r="683" spans="7:8" x14ac:dyDescent="0.25">
      <c r="G683" s="149"/>
      <c r="H683" s="149"/>
    </row>
    <row r="684" spans="7:8" x14ac:dyDescent="0.25">
      <c r="G684" s="149"/>
      <c r="H684" s="149"/>
    </row>
    <row r="685" spans="7:8" x14ac:dyDescent="0.25">
      <c r="G685" s="149"/>
      <c r="H685" s="149"/>
    </row>
    <row r="686" spans="7:8" x14ac:dyDescent="0.25">
      <c r="G686" s="149"/>
      <c r="H686" s="149"/>
    </row>
    <row r="687" spans="7:8" x14ac:dyDescent="0.25">
      <c r="G687" s="149"/>
      <c r="H687" s="149"/>
    </row>
    <row r="688" spans="7:8" x14ac:dyDescent="0.25">
      <c r="G688" s="149"/>
      <c r="H688" s="149"/>
    </row>
    <row r="689" spans="7:8" x14ac:dyDescent="0.25">
      <c r="G689" s="149"/>
      <c r="H689" s="149"/>
    </row>
    <row r="690" spans="7:8" x14ac:dyDescent="0.25">
      <c r="G690" s="149"/>
      <c r="H690" s="149"/>
    </row>
    <row r="691" spans="7:8" x14ac:dyDescent="0.25">
      <c r="G691" s="149"/>
      <c r="H691" s="149"/>
    </row>
    <row r="692" spans="7:8" x14ac:dyDescent="0.25">
      <c r="G692" s="149"/>
      <c r="H692" s="149"/>
    </row>
    <row r="693" spans="7:8" x14ac:dyDescent="0.25">
      <c r="G693" s="149"/>
      <c r="H693" s="149"/>
    </row>
    <row r="694" spans="7:8" x14ac:dyDescent="0.25">
      <c r="G694" s="149"/>
      <c r="H694" s="149"/>
    </row>
    <row r="695" spans="7:8" x14ac:dyDescent="0.25">
      <c r="G695" s="149"/>
      <c r="H695" s="149"/>
    </row>
    <row r="696" spans="7:8" x14ac:dyDescent="0.25">
      <c r="G696" s="149"/>
      <c r="H696" s="149"/>
    </row>
    <row r="697" spans="7:8" x14ac:dyDescent="0.25">
      <c r="G697" s="149"/>
      <c r="H697" s="149"/>
    </row>
    <row r="698" spans="7:8" x14ac:dyDescent="0.25">
      <c r="G698" s="149"/>
      <c r="H698" s="149"/>
    </row>
    <row r="699" spans="7:8" x14ac:dyDescent="0.25">
      <c r="G699" s="149"/>
      <c r="H699" s="149"/>
    </row>
    <row r="700" spans="7:8" x14ac:dyDescent="0.25">
      <c r="G700" s="149"/>
      <c r="H700" s="149"/>
    </row>
    <row r="701" spans="7:8" x14ac:dyDescent="0.25">
      <c r="G701" s="149"/>
      <c r="H701" s="149"/>
    </row>
    <row r="702" spans="7:8" x14ac:dyDescent="0.25">
      <c r="G702" s="149"/>
      <c r="H702" s="149"/>
    </row>
    <row r="703" spans="7:8" x14ac:dyDescent="0.25">
      <c r="G703" s="149"/>
      <c r="H703" s="149"/>
    </row>
    <row r="704" spans="7:8" x14ac:dyDescent="0.25">
      <c r="G704" s="149"/>
      <c r="H704" s="149"/>
    </row>
    <row r="705" spans="7:8" x14ac:dyDescent="0.25">
      <c r="G705" s="149"/>
      <c r="H705" s="149"/>
    </row>
    <row r="706" spans="7:8" x14ac:dyDescent="0.25">
      <c r="G706" s="149"/>
      <c r="H706" s="149"/>
    </row>
    <row r="707" spans="7:8" x14ac:dyDescent="0.25">
      <c r="G707" s="149"/>
      <c r="H707" s="149"/>
    </row>
    <row r="708" spans="7:8" x14ac:dyDescent="0.25">
      <c r="G708" s="149"/>
      <c r="H708" s="149"/>
    </row>
    <row r="709" spans="7:8" x14ac:dyDescent="0.25">
      <c r="G709" s="149"/>
      <c r="H709" s="149"/>
    </row>
    <row r="710" spans="7:8" x14ac:dyDescent="0.25">
      <c r="G710" s="149"/>
      <c r="H710" s="149"/>
    </row>
    <row r="711" spans="7:8" x14ac:dyDescent="0.25">
      <c r="G711" s="149"/>
      <c r="H711" s="149"/>
    </row>
    <row r="712" spans="7:8" x14ac:dyDescent="0.25">
      <c r="G712" s="149"/>
      <c r="H712" s="149"/>
    </row>
    <row r="713" spans="7:8" x14ac:dyDescent="0.25">
      <c r="G713" s="149"/>
      <c r="H713" s="149"/>
    </row>
    <row r="714" spans="7:8" x14ac:dyDescent="0.25">
      <c r="G714" s="149"/>
      <c r="H714" s="149"/>
    </row>
    <row r="715" spans="7:8" x14ac:dyDescent="0.25">
      <c r="G715" s="149"/>
      <c r="H715" s="149"/>
    </row>
    <row r="716" spans="7:8" x14ac:dyDescent="0.25">
      <c r="G716" s="149"/>
      <c r="H716" s="149"/>
    </row>
    <row r="717" spans="7:8" x14ac:dyDescent="0.25">
      <c r="G717" s="149"/>
      <c r="H717" s="149"/>
    </row>
    <row r="718" spans="7:8" x14ac:dyDescent="0.25">
      <c r="G718" s="149"/>
      <c r="H718" s="149"/>
    </row>
    <row r="719" spans="7:8" x14ac:dyDescent="0.25">
      <c r="G719" s="149"/>
      <c r="H719" s="149"/>
    </row>
    <row r="720" spans="7:8" x14ac:dyDescent="0.25">
      <c r="G720" s="149"/>
      <c r="H720" s="149"/>
    </row>
    <row r="721" spans="7:8" x14ac:dyDescent="0.25">
      <c r="G721" s="149"/>
      <c r="H721" s="149"/>
    </row>
    <row r="722" spans="7:8" x14ac:dyDescent="0.25">
      <c r="G722" s="149"/>
      <c r="H722" s="149"/>
    </row>
    <row r="723" spans="7:8" x14ac:dyDescent="0.25">
      <c r="G723" s="149"/>
      <c r="H723" s="149"/>
    </row>
    <row r="724" spans="7:8" x14ac:dyDescent="0.25">
      <c r="G724" s="149"/>
      <c r="H724" s="149"/>
    </row>
    <row r="725" spans="7:8" x14ac:dyDescent="0.25">
      <c r="G725" s="149"/>
      <c r="H725" s="149"/>
    </row>
    <row r="726" spans="7:8" x14ac:dyDescent="0.25">
      <c r="G726" s="149"/>
      <c r="H726" s="149"/>
    </row>
    <row r="727" spans="7:8" x14ac:dyDescent="0.25">
      <c r="G727" s="149"/>
      <c r="H727" s="149"/>
    </row>
    <row r="728" spans="7:8" x14ac:dyDescent="0.25">
      <c r="G728" s="149"/>
      <c r="H728" s="149"/>
    </row>
    <row r="729" spans="7:8" x14ac:dyDescent="0.25">
      <c r="G729" s="149"/>
      <c r="H729" s="149"/>
    </row>
    <row r="730" spans="7:8" x14ac:dyDescent="0.25">
      <c r="G730" s="149"/>
      <c r="H730" s="149"/>
    </row>
    <row r="731" spans="7:8" x14ac:dyDescent="0.25">
      <c r="G731" s="149"/>
      <c r="H731" s="149"/>
    </row>
    <row r="732" spans="7:8" x14ac:dyDescent="0.25">
      <c r="G732" s="149"/>
      <c r="H732" s="149"/>
    </row>
    <row r="733" spans="7:8" x14ac:dyDescent="0.25">
      <c r="G733" s="149"/>
      <c r="H733" s="149"/>
    </row>
    <row r="734" spans="7:8" x14ac:dyDescent="0.25">
      <c r="G734" s="149"/>
      <c r="H734" s="149"/>
    </row>
    <row r="735" spans="7:8" x14ac:dyDescent="0.25">
      <c r="G735" s="149"/>
      <c r="H735" s="149"/>
    </row>
    <row r="736" spans="7:8" x14ac:dyDescent="0.25">
      <c r="G736" s="149"/>
      <c r="H736" s="149"/>
    </row>
    <row r="737" spans="7:8" x14ac:dyDescent="0.25">
      <c r="G737" s="149"/>
      <c r="H737" s="149"/>
    </row>
    <row r="738" spans="7:8" x14ac:dyDescent="0.25">
      <c r="G738" s="149"/>
      <c r="H738" s="149"/>
    </row>
    <row r="739" spans="7:8" x14ac:dyDescent="0.25">
      <c r="G739" s="149"/>
      <c r="H739" s="149"/>
    </row>
    <row r="740" spans="7:8" x14ac:dyDescent="0.25">
      <c r="G740" s="149"/>
      <c r="H740" s="149"/>
    </row>
    <row r="741" spans="7:8" x14ac:dyDescent="0.25">
      <c r="G741" s="149"/>
      <c r="H741" s="149"/>
    </row>
    <row r="742" spans="7:8" x14ac:dyDescent="0.25">
      <c r="G742" s="149"/>
      <c r="H742" s="149"/>
    </row>
    <row r="743" spans="7:8" x14ac:dyDescent="0.25">
      <c r="G743" s="149"/>
      <c r="H743" s="149"/>
    </row>
    <row r="744" spans="7:8" x14ac:dyDescent="0.25">
      <c r="G744" s="149"/>
      <c r="H744" s="149"/>
    </row>
    <row r="745" spans="7:8" x14ac:dyDescent="0.25">
      <c r="G745" s="149"/>
      <c r="H745" s="149"/>
    </row>
    <row r="746" spans="7:8" x14ac:dyDescent="0.25">
      <c r="G746" s="149"/>
      <c r="H746" s="149"/>
    </row>
    <row r="747" spans="7:8" x14ac:dyDescent="0.25">
      <c r="G747" s="149"/>
      <c r="H747" s="149"/>
    </row>
    <row r="748" spans="7:8" x14ac:dyDescent="0.25">
      <c r="G748" s="149"/>
      <c r="H748" s="149"/>
    </row>
    <row r="749" spans="7:8" x14ac:dyDescent="0.25">
      <c r="G749" s="149"/>
      <c r="H749" s="149"/>
    </row>
    <row r="750" spans="7:8" x14ac:dyDescent="0.25">
      <c r="G750" s="149"/>
      <c r="H750" s="149"/>
    </row>
    <row r="751" spans="7:8" x14ac:dyDescent="0.25">
      <c r="G751" s="149"/>
      <c r="H751" s="149"/>
    </row>
    <row r="752" spans="7:8" x14ac:dyDescent="0.25">
      <c r="G752" s="149"/>
      <c r="H752" s="149"/>
    </row>
    <row r="753" spans="7:8" x14ac:dyDescent="0.25">
      <c r="G753" s="149"/>
      <c r="H753" s="149"/>
    </row>
    <row r="754" spans="7:8" x14ac:dyDescent="0.25">
      <c r="G754" s="149"/>
      <c r="H754" s="149"/>
    </row>
    <row r="755" spans="7:8" x14ac:dyDescent="0.25">
      <c r="G755" s="149"/>
      <c r="H755" s="149"/>
    </row>
    <row r="756" spans="7:8" x14ac:dyDescent="0.25">
      <c r="G756" s="149"/>
      <c r="H756" s="149"/>
    </row>
    <row r="757" spans="7:8" x14ac:dyDescent="0.25">
      <c r="G757" s="149"/>
      <c r="H757" s="149"/>
    </row>
    <row r="758" spans="7:8" x14ac:dyDescent="0.25">
      <c r="G758" s="149"/>
      <c r="H758" s="149"/>
    </row>
    <row r="759" spans="7:8" x14ac:dyDescent="0.25">
      <c r="G759" s="149"/>
      <c r="H759" s="149"/>
    </row>
    <row r="760" spans="7:8" x14ac:dyDescent="0.25">
      <c r="G760" s="149"/>
      <c r="H760" s="149"/>
    </row>
    <row r="761" spans="7:8" x14ac:dyDescent="0.25">
      <c r="G761" s="149"/>
      <c r="H761" s="149"/>
    </row>
    <row r="762" spans="7:8" x14ac:dyDescent="0.25">
      <c r="G762" s="149"/>
      <c r="H762" s="149"/>
    </row>
    <row r="763" spans="7:8" x14ac:dyDescent="0.25">
      <c r="G763" s="149"/>
      <c r="H763" s="149"/>
    </row>
    <row r="764" spans="7:8" x14ac:dyDescent="0.25">
      <c r="G764" s="149"/>
      <c r="H764" s="149"/>
    </row>
    <row r="765" spans="7:8" x14ac:dyDescent="0.25">
      <c r="G765" s="149"/>
      <c r="H765" s="149"/>
    </row>
    <row r="766" spans="7:8" x14ac:dyDescent="0.25">
      <c r="G766" s="149"/>
      <c r="H766" s="149"/>
    </row>
    <row r="767" spans="7:8" x14ac:dyDescent="0.25">
      <c r="G767" s="149"/>
      <c r="H767" s="149"/>
    </row>
    <row r="768" spans="7:8" x14ac:dyDescent="0.25">
      <c r="G768" s="149"/>
      <c r="H768" s="149"/>
    </row>
    <row r="769" spans="7:8" x14ac:dyDescent="0.25">
      <c r="G769" s="149"/>
      <c r="H769" s="149"/>
    </row>
    <row r="770" spans="7:8" x14ac:dyDescent="0.25">
      <c r="G770" s="149"/>
      <c r="H770" s="149"/>
    </row>
    <row r="771" spans="7:8" x14ac:dyDescent="0.25">
      <c r="G771" s="149"/>
      <c r="H771" s="149"/>
    </row>
    <row r="772" spans="7:8" x14ac:dyDescent="0.25">
      <c r="G772" s="149"/>
      <c r="H772" s="149"/>
    </row>
    <row r="773" spans="7:8" x14ac:dyDescent="0.25">
      <c r="G773" s="149"/>
      <c r="H773" s="149"/>
    </row>
    <row r="774" spans="7:8" x14ac:dyDescent="0.25">
      <c r="G774" s="149"/>
      <c r="H774" s="149"/>
    </row>
    <row r="775" spans="7:8" x14ac:dyDescent="0.25">
      <c r="G775" s="149"/>
      <c r="H775" s="149"/>
    </row>
    <row r="776" spans="7:8" x14ac:dyDescent="0.25">
      <c r="G776" s="149"/>
      <c r="H776" s="149"/>
    </row>
    <row r="777" spans="7:8" x14ac:dyDescent="0.25">
      <c r="G777" s="149"/>
      <c r="H777" s="149"/>
    </row>
    <row r="778" spans="7:8" x14ac:dyDescent="0.25">
      <c r="G778" s="149"/>
      <c r="H778" s="149"/>
    </row>
    <row r="779" spans="7:8" x14ac:dyDescent="0.25">
      <c r="G779" s="149"/>
      <c r="H779" s="149"/>
    </row>
    <row r="780" spans="7:8" x14ac:dyDescent="0.25">
      <c r="G780" s="149"/>
      <c r="H780" s="149"/>
    </row>
    <row r="781" spans="7:8" x14ac:dyDescent="0.25">
      <c r="G781" s="149"/>
      <c r="H781" s="149"/>
    </row>
    <row r="782" spans="7:8" x14ac:dyDescent="0.25">
      <c r="G782" s="149"/>
      <c r="H782" s="149"/>
    </row>
    <row r="783" spans="7:8" x14ac:dyDescent="0.25">
      <c r="G783" s="149"/>
      <c r="H783" s="149"/>
    </row>
    <row r="784" spans="7:8" x14ac:dyDescent="0.25">
      <c r="G784" s="149"/>
      <c r="H784" s="149"/>
    </row>
    <row r="785" spans="7:8" x14ac:dyDescent="0.25">
      <c r="G785" s="149"/>
      <c r="H785" s="149"/>
    </row>
    <row r="786" spans="7:8" x14ac:dyDescent="0.25">
      <c r="G786" s="149"/>
      <c r="H786" s="149"/>
    </row>
    <row r="787" spans="7:8" x14ac:dyDescent="0.25">
      <c r="G787" s="149"/>
      <c r="H787" s="149"/>
    </row>
    <row r="788" spans="7:8" x14ac:dyDescent="0.25">
      <c r="G788" s="149"/>
      <c r="H788" s="149"/>
    </row>
    <row r="789" spans="7:8" x14ac:dyDescent="0.25">
      <c r="G789" s="149"/>
      <c r="H789" s="149"/>
    </row>
    <row r="790" spans="7:8" x14ac:dyDescent="0.25">
      <c r="G790" s="149"/>
      <c r="H790" s="149"/>
    </row>
    <row r="791" spans="7:8" x14ac:dyDescent="0.25">
      <c r="G791" s="149"/>
      <c r="H791" s="149"/>
    </row>
    <row r="792" spans="7:8" x14ac:dyDescent="0.25">
      <c r="G792" s="149"/>
      <c r="H792" s="149"/>
    </row>
    <row r="793" spans="7:8" x14ac:dyDescent="0.25">
      <c r="G793" s="149"/>
      <c r="H793" s="149"/>
    </row>
    <row r="794" spans="7:8" x14ac:dyDescent="0.25">
      <c r="G794" s="149"/>
      <c r="H794" s="149"/>
    </row>
    <row r="795" spans="7:8" x14ac:dyDescent="0.25">
      <c r="G795" s="149"/>
      <c r="H795" s="149"/>
    </row>
    <row r="796" spans="7:8" x14ac:dyDescent="0.25">
      <c r="G796" s="149"/>
      <c r="H796" s="149"/>
    </row>
    <row r="797" spans="7:8" x14ac:dyDescent="0.25">
      <c r="G797" s="149"/>
      <c r="H797" s="149"/>
    </row>
    <row r="798" spans="7:8" x14ac:dyDescent="0.25">
      <c r="G798" s="149"/>
      <c r="H798" s="149"/>
    </row>
    <row r="799" spans="7:8" x14ac:dyDescent="0.25">
      <c r="G799" s="149"/>
      <c r="H799" s="149"/>
    </row>
    <row r="800" spans="7:8" x14ac:dyDescent="0.25">
      <c r="G800" s="149"/>
      <c r="H800" s="149"/>
    </row>
    <row r="801" spans="7:8" x14ac:dyDescent="0.25">
      <c r="G801" s="149"/>
      <c r="H801" s="149"/>
    </row>
    <row r="802" spans="7:8" x14ac:dyDescent="0.25">
      <c r="G802" s="149"/>
      <c r="H802" s="149"/>
    </row>
    <row r="803" spans="7:8" x14ac:dyDescent="0.25">
      <c r="G803" s="149"/>
      <c r="H803" s="149"/>
    </row>
    <row r="804" spans="7:8" x14ac:dyDescent="0.25">
      <c r="G804" s="149"/>
      <c r="H804" s="149"/>
    </row>
    <row r="805" spans="7:8" x14ac:dyDescent="0.25">
      <c r="G805" s="149"/>
      <c r="H805" s="149"/>
    </row>
    <row r="806" spans="7:8" x14ac:dyDescent="0.25">
      <c r="G806" s="149"/>
      <c r="H806" s="149"/>
    </row>
    <row r="807" spans="7:8" x14ac:dyDescent="0.25">
      <c r="G807" s="149"/>
      <c r="H807" s="149"/>
    </row>
    <row r="808" spans="7:8" x14ac:dyDescent="0.25">
      <c r="G808" s="149"/>
      <c r="H808" s="149"/>
    </row>
    <row r="809" spans="7:8" x14ac:dyDescent="0.25">
      <c r="G809" s="149"/>
      <c r="H809" s="149"/>
    </row>
    <row r="810" spans="7:8" x14ac:dyDescent="0.25">
      <c r="G810" s="149"/>
      <c r="H810" s="149"/>
    </row>
    <row r="811" spans="7:8" x14ac:dyDescent="0.25">
      <c r="G811" s="149"/>
      <c r="H811" s="149"/>
    </row>
    <row r="812" spans="7:8" x14ac:dyDescent="0.25">
      <c r="G812" s="149"/>
      <c r="H812" s="149"/>
    </row>
    <row r="813" spans="7:8" x14ac:dyDescent="0.25">
      <c r="G813" s="149"/>
      <c r="H813" s="149"/>
    </row>
    <row r="814" spans="7:8" x14ac:dyDescent="0.25">
      <c r="G814" s="149"/>
      <c r="H814" s="149"/>
    </row>
    <row r="815" spans="7:8" x14ac:dyDescent="0.25">
      <c r="G815" s="149"/>
      <c r="H815" s="149"/>
    </row>
    <row r="816" spans="7:8" x14ac:dyDescent="0.25">
      <c r="G816" s="149"/>
      <c r="H816" s="149"/>
    </row>
    <row r="817" spans="7:8" x14ac:dyDescent="0.25">
      <c r="G817" s="149"/>
      <c r="H817" s="149"/>
    </row>
    <row r="818" spans="7:8" x14ac:dyDescent="0.25">
      <c r="G818" s="149"/>
      <c r="H818" s="149"/>
    </row>
    <row r="819" spans="7:8" x14ac:dyDescent="0.25">
      <c r="G819" s="149"/>
      <c r="H819" s="149"/>
    </row>
    <row r="820" spans="7:8" x14ac:dyDescent="0.25">
      <c r="G820" s="149"/>
      <c r="H820" s="149"/>
    </row>
    <row r="821" spans="7:8" x14ac:dyDescent="0.25">
      <c r="G821" s="149"/>
      <c r="H821" s="149"/>
    </row>
    <row r="822" spans="7:8" x14ac:dyDescent="0.25">
      <c r="G822" s="149"/>
      <c r="H822" s="149"/>
    </row>
    <row r="823" spans="7:8" x14ac:dyDescent="0.25">
      <c r="G823" s="149"/>
      <c r="H823" s="149"/>
    </row>
    <row r="824" spans="7:8" x14ac:dyDescent="0.25">
      <c r="G824" s="149"/>
      <c r="H824" s="149"/>
    </row>
    <row r="825" spans="7:8" x14ac:dyDescent="0.25">
      <c r="G825" s="149"/>
      <c r="H825" s="149"/>
    </row>
    <row r="826" spans="7:8" x14ac:dyDescent="0.25">
      <c r="G826" s="149"/>
      <c r="H826" s="149"/>
    </row>
    <row r="827" spans="7:8" x14ac:dyDescent="0.25">
      <c r="G827" s="149"/>
      <c r="H827" s="149"/>
    </row>
    <row r="828" spans="7:8" x14ac:dyDescent="0.25">
      <c r="G828" s="149"/>
      <c r="H828" s="149"/>
    </row>
    <row r="829" spans="7:8" x14ac:dyDescent="0.25">
      <c r="G829" s="149"/>
      <c r="H829" s="149"/>
    </row>
    <row r="830" spans="7:8" x14ac:dyDescent="0.25">
      <c r="G830" s="149"/>
      <c r="H830" s="149"/>
    </row>
    <row r="831" spans="7:8" x14ac:dyDescent="0.25">
      <c r="G831" s="149"/>
      <c r="H831" s="149"/>
    </row>
    <row r="832" spans="7:8" x14ac:dyDescent="0.25">
      <c r="G832" s="149"/>
      <c r="H832" s="149"/>
    </row>
    <row r="833" spans="7:8" x14ac:dyDescent="0.25">
      <c r="G833" s="149"/>
      <c r="H833" s="149"/>
    </row>
    <row r="834" spans="7:8" x14ac:dyDescent="0.25">
      <c r="G834" s="149"/>
      <c r="H834" s="149"/>
    </row>
    <row r="835" spans="7:8" x14ac:dyDescent="0.25">
      <c r="G835" s="149"/>
      <c r="H835" s="149"/>
    </row>
    <row r="836" spans="7:8" x14ac:dyDescent="0.25">
      <c r="G836" s="149"/>
      <c r="H836" s="149"/>
    </row>
    <row r="837" spans="7:8" x14ac:dyDescent="0.25">
      <c r="G837" s="149"/>
      <c r="H837" s="149"/>
    </row>
    <row r="838" spans="7:8" x14ac:dyDescent="0.25">
      <c r="G838" s="149"/>
      <c r="H838" s="149"/>
    </row>
    <row r="839" spans="7:8" x14ac:dyDescent="0.25">
      <c r="G839" s="149"/>
      <c r="H839" s="149"/>
    </row>
    <row r="840" spans="7:8" x14ac:dyDescent="0.25">
      <c r="G840" s="149"/>
      <c r="H840" s="149"/>
    </row>
    <row r="841" spans="7:8" x14ac:dyDescent="0.25">
      <c r="G841" s="149"/>
      <c r="H841" s="149"/>
    </row>
    <row r="842" spans="7:8" x14ac:dyDescent="0.25">
      <c r="G842" s="149"/>
      <c r="H842" s="149"/>
    </row>
    <row r="843" spans="7:8" x14ac:dyDescent="0.25">
      <c r="G843" s="149"/>
      <c r="H843" s="149"/>
    </row>
    <row r="844" spans="7:8" x14ac:dyDescent="0.25">
      <c r="G844" s="149"/>
      <c r="H844" s="149"/>
    </row>
    <row r="845" spans="7:8" x14ac:dyDescent="0.25">
      <c r="G845" s="149"/>
      <c r="H845" s="149"/>
    </row>
    <row r="846" spans="7:8" x14ac:dyDescent="0.25">
      <c r="G846" s="149"/>
      <c r="H846" s="149"/>
    </row>
    <row r="847" spans="7:8" x14ac:dyDescent="0.25">
      <c r="G847" s="149"/>
      <c r="H847" s="149"/>
    </row>
    <row r="848" spans="7:8" x14ac:dyDescent="0.25">
      <c r="G848" s="149"/>
      <c r="H848" s="149"/>
    </row>
    <row r="849" spans="7:8" x14ac:dyDescent="0.25">
      <c r="G849" s="149"/>
      <c r="H849" s="149"/>
    </row>
    <row r="850" spans="7:8" x14ac:dyDescent="0.25">
      <c r="G850" s="149"/>
      <c r="H850" s="149"/>
    </row>
    <row r="851" spans="7:8" x14ac:dyDescent="0.25">
      <c r="G851" s="149"/>
      <c r="H851" s="149"/>
    </row>
    <row r="852" spans="7:8" x14ac:dyDescent="0.25">
      <c r="G852" s="149"/>
      <c r="H852" s="149"/>
    </row>
    <row r="853" spans="7:8" x14ac:dyDescent="0.25">
      <c r="G853" s="149"/>
      <c r="H853" s="149"/>
    </row>
    <row r="854" spans="7:8" x14ac:dyDescent="0.25">
      <c r="G854" s="149"/>
      <c r="H854" s="149"/>
    </row>
    <row r="855" spans="7:8" x14ac:dyDescent="0.25">
      <c r="G855" s="149"/>
      <c r="H855" s="149"/>
    </row>
    <row r="856" spans="7:8" x14ac:dyDescent="0.25">
      <c r="G856" s="149"/>
      <c r="H856" s="149"/>
    </row>
    <row r="857" spans="7:8" x14ac:dyDescent="0.25">
      <c r="G857" s="149"/>
      <c r="H857" s="149"/>
    </row>
    <row r="858" spans="7:8" x14ac:dyDescent="0.25">
      <c r="G858" s="149"/>
      <c r="H858" s="149"/>
    </row>
    <row r="859" spans="7:8" x14ac:dyDescent="0.25">
      <c r="G859" s="149"/>
      <c r="H859" s="149"/>
    </row>
    <row r="860" spans="7:8" x14ac:dyDescent="0.25">
      <c r="G860" s="149"/>
      <c r="H860" s="149"/>
    </row>
    <row r="861" spans="7:8" x14ac:dyDescent="0.25">
      <c r="G861" s="149"/>
      <c r="H861" s="149"/>
    </row>
    <row r="862" spans="7:8" x14ac:dyDescent="0.25">
      <c r="G862" s="149"/>
      <c r="H862" s="149"/>
    </row>
    <row r="863" spans="7:8" x14ac:dyDescent="0.25">
      <c r="G863" s="149"/>
      <c r="H863" s="149"/>
    </row>
    <row r="864" spans="7:8" x14ac:dyDescent="0.25">
      <c r="G864" s="149"/>
      <c r="H864" s="149"/>
    </row>
    <row r="865" spans="7:8" x14ac:dyDescent="0.25">
      <c r="G865" s="149"/>
      <c r="H865" s="149"/>
    </row>
    <row r="866" spans="7:8" x14ac:dyDescent="0.25">
      <c r="G866" s="149"/>
      <c r="H866" s="149"/>
    </row>
    <row r="867" spans="7:8" x14ac:dyDescent="0.25">
      <c r="G867" s="149"/>
      <c r="H867" s="149"/>
    </row>
    <row r="868" spans="7:8" x14ac:dyDescent="0.25">
      <c r="G868" s="149"/>
      <c r="H868" s="149"/>
    </row>
    <row r="869" spans="7:8" x14ac:dyDescent="0.25">
      <c r="G869" s="149"/>
      <c r="H869" s="149"/>
    </row>
    <row r="870" spans="7:8" x14ac:dyDescent="0.25">
      <c r="G870" s="149"/>
      <c r="H870" s="149"/>
    </row>
    <row r="871" spans="7:8" x14ac:dyDescent="0.25">
      <c r="G871" s="149"/>
      <c r="H871" s="149"/>
    </row>
    <row r="872" spans="7:8" x14ac:dyDescent="0.25">
      <c r="G872" s="149"/>
      <c r="H872" s="149"/>
    </row>
    <row r="873" spans="7:8" x14ac:dyDescent="0.25">
      <c r="G873" s="149"/>
      <c r="H873" s="149"/>
    </row>
    <row r="874" spans="7:8" x14ac:dyDescent="0.25">
      <c r="G874" s="149"/>
      <c r="H874" s="149"/>
    </row>
    <row r="875" spans="7:8" x14ac:dyDescent="0.25">
      <c r="G875" s="149"/>
      <c r="H875" s="149"/>
    </row>
    <row r="876" spans="7:8" x14ac:dyDescent="0.25">
      <c r="G876" s="149"/>
      <c r="H876" s="149"/>
    </row>
    <row r="877" spans="7:8" x14ac:dyDescent="0.25">
      <c r="G877" s="149"/>
      <c r="H877" s="149"/>
    </row>
    <row r="878" spans="7:8" x14ac:dyDescent="0.25">
      <c r="G878" s="149"/>
      <c r="H878" s="149"/>
    </row>
    <row r="879" spans="7:8" x14ac:dyDescent="0.25">
      <c r="G879" s="149"/>
      <c r="H879" s="149"/>
    </row>
    <row r="880" spans="7:8" x14ac:dyDescent="0.25">
      <c r="G880" s="149"/>
      <c r="H880" s="149"/>
    </row>
    <row r="881" spans="7:8" x14ac:dyDescent="0.25">
      <c r="G881" s="149"/>
      <c r="H881" s="149"/>
    </row>
    <row r="882" spans="7:8" x14ac:dyDescent="0.25">
      <c r="G882" s="149"/>
      <c r="H882" s="149"/>
    </row>
    <row r="883" spans="7:8" x14ac:dyDescent="0.25">
      <c r="G883" s="149"/>
      <c r="H883" s="149"/>
    </row>
    <row r="884" spans="7:8" x14ac:dyDescent="0.25">
      <c r="G884" s="149"/>
      <c r="H884" s="149"/>
    </row>
    <row r="885" spans="7:8" x14ac:dyDescent="0.25">
      <c r="G885" s="149"/>
      <c r="H885" s="149"/>
    </row>
    <row r="886" spans="7:8" x14ac:dyDescent="0.25">
      <c r="G886" s="149"/>
      <c r="H886" s="149"/>
    </row>
    <row r="887" spans="7:8" x14ac:dyDescent="0.25">
      <c r="G887" s="149"/>
      <c r="H887" s="149"/>
    </row>
    <row r="888" spans="7:8" x14ac:dyDescent="0.25">
      <c r="G888" s="149"/>
      <c r="H888" s="149"/>
    </row>
    <row r="889" spans="7:8" x14ac:dyDescent="0.25">
      <c r="G889" s="149"/>
      <c r="H889" s="149"/>
    </row>
    <row r="890" spans="7:8" x14ac:dyDescent="0.25">
      <c r="G890" s="149"/>
      <c r="H890" s="149"/>
    </row>
    <row r="891" spans="7:8" x14ac:dyDescent="0.25">
      <c r="G891" s="149"/>
      <c r="H891" s="149"/>
    </row>
    <row r="892" spans="7:8" x14ac:dyDescent="0.25">
      <c r="G892" s="149"/>
      <c r="H892" s="149"/>
    </row>
    <row r="893" spans="7:8" x14ac:dyDescent="0.25">
      <c r="G893" s="149"/>
      <c r="H893" s="149"/>
    </row>
    <row r="894" spans="7:8" x14ac:dyDescent="0.25">
      <c r="G894" s="149"/>
      <c r="H894" s="149"/>
    </row>
    <row r="895" spans="7:8" x14ac:dyDescent="0.25">
      <c r="G895" s="149"/>
      <c r="H895" s="149"/>
    </row>
    <row r="896" spans="7:8" x14ac:dyDescent="0.25">
      <c r="G896" s="149"/>
      <c r="H896" s="149"/>
    </row>
    <row r="897" spans="7:8" x14ac:dyDescent="0.25">
      <c r="G897" s="149"/>
      <c r="H897" s="149"/>
    </row>
    <row r="898" spans="7:8" x14ac:dyDescent="0.25">
      <c r="G898" s="149"/>
      <c r="H898" s="149"/>
    </row>
    <row r="899" spans="7:8" x14ac:dyDescent="0.25">
      <c r="G899" s="149"/>
      <c r="H899" s="149"/>
    </row>
    <row r="900" spans="7:8" x14ac:dyDescent="0.25">
      <c r="G900" s="149"/>
      <c r="H900" s="149"/>
    </row>
    <row r="901" spans="7:8" x14ac:dyDescent="0.25">
      <c r="G901" s="149"/>
      <c r="H901" s="149"/>
    </row>
    <row r="902" spans="7:8" x14ac:dyDescent="0.25">
      <c r="G902" s="149"/>
      <c r="H902" s="149"/>
    </row>
    <row r="903" spans="7:8" x14ac:dyDescent="0.25">
      <c r="G903" s="149"/>
      <c r="H903" s="149"/>
    </row>
    <row r="904" spans="7:8" x14ac:dyDescent="0.25">
      <c r="G904" s="149"/>
      <c r="H904" s="149"/>
    </row>
    <row r="905" spans="7:8" x14ac:dyDescent="0.25">
      <c r="G905" s="149"/>
      <c r="H905" s="149"/>
    </row>
    <row r="906" spans="7:8" x14ac:dyDescent="0.25">
      <c r="G906" s="149"/>
      <c r="H906" s="149"/>
    </row>
    <row r="907" spans="7:8" x14ac:dyDescent="0.25">
      <c r="G907" s="149"/>
      <c r="H907" s="149"/>
    </row>
    <row r="908" spans="7:8" x14ac:dyDescent="0.25">
      <c r="G908" s="149"/>
      <c r="H908" s="149"/>
    </row>
    <row r="909" spans="7:8" x14ac:dyDescent="0.25">
      <c r="G909" s="149"/>
      <c r="H909" s="149"/>
    </row>
    <row r="910" spans="7:8" x14ac:dyDescent="0.25">
      <c r="G910" s="149"/>
      <c r="H910" s="149"/>
    </row>
    <row r="911" spans="7:8" x14ac:dyDescent="0.25">
      <c r="G911" s="149"/>
      <c r="H911" s="149"/>
    </row>
    <row r="912" spans="7:8" x14ac:dyDescent="0.25">
      <c r="G912" s="149"/>
      <c r="H912" s="149"/>
    </row>
    <row r="913" spans="7:8" x14ac:dyDescent="0.25">
      <c r="G913" s="149"/>
      <c r="H913" s="149"/>
    </row>
    <row r="914" spans="7:8" x14ac:dyDescent="0.25">
      <c r="G914" s="149"/>
      <c r="H914" s="149"/>
    </row>
    <row r="915" spans="7:8" x14ac:dyDescent="0.25">
      <c r="G915" s="149"/>
      <c r="H915" s="149"/>
    </row>
    <row r="916" spans="7:8" x14ac:dyDescent="0.25">
      <c r="G916" s="149"/>
      <c r="H916" s="149"/>
    </row>
    <row r="917" spans="7:8" x14ac:dyDescent="0.25">
      <c r="G917" s="149"/>
      <c r="H917" s="149"/>
    </row>
    <row r="918" spans="7:8" x14ac:dyDescent="0.25">
      <c r="G918" s="149"/>
      <c r="H918" s="149"/>
    </row>
    <row r="919" spans="7:8" x14ac:dyDescent="0.25">
      <c r="G919" s="149"/>
      <c r="H919" s="149"/>
    </row>
    <row r="920" spans="7:8" x14ac:dyDescent="0.25">
      <c r="G920" s="149"/>
      <c r="H920" s="149"/>
    </row>
    <row r="921" spans="7:8" x14ac:dyDescent="0.25">
      <c r="G921" s="149"/>
      <c r="H921" s="149"/>
    </row>
    <row r="922" spans="7:8" x14ac:dyDescent="0.25">
      <c r="G922" s="149"/>
      <c r="H922" s="149"/>
    </row>
    <row r="923" spans="7:8" x14ac:dyDescent="0.25">
      <c r="G923" s="149"/>
      <c r="H923" s="149"/>
    </row>
    <row r="924" spans="7:8" x14ac:dyDescent="0.25">
      <c r="G924" s="149"/>
      <c r="H924" s="149"/>
    </row>
    <row r="925" spans="7:8" x14ac:dyDescent="0.25">
      <c r="G925" s="149"/>
      <c r="H925" s="149"/>
    </row>
    <row r="926" spans="7:8" x14ac:dyDescent="0.25">
      <c r="G926" s="149"/>
      <c r="H926" s="149"/>
    </row>
    <row r="927" spans="7:8" x14ac:dyDescent="0.25">
      <c r="G927" s="149"/>
      <c r="H927" s="149"/>
    </row>
    <row r="928" spans="7:8" x14ac:dyDescent="0.25">
      <c r="G928" s="149"/>
      <c r="H928" s="149"/>
    </row>
    <row r="929" spans="7:8" x14ac:dyDescent="0.25">
      <c r="G929" s="149"/>
      <c r="H929" s="149"/>
    </row>
    <row r="930" spans="7:8" x14ac:dyDescent="0.25">
      <c r="G930" s="149"/>
      <c r="H930" s="149"/>
    </row>
    <row r="931" spans="7:8" x14ac:dyDescent="0.25">
      <c r="G931" s="149"/>
      <c r="H931" s="149"/>
    </row>
    <row r="932" spans="7:8" x14ac:dyDescent="0.25">
      <c r="G932" s="149"/>
      <c r="H932" s="149"/>
    </row>
    <row r="933" spans="7:8" x14ac:dyDescent="0.25">
      <c r="G933" s="149"/>
      <c r="H933" s="149"/>
    </row>
    <row r="934" spans="7:8" x14ac:dyDescent="0.25">
      <c r="G934" s="149"/>
      <c r="H934" s="149"/>
    </row>
    <row r="935" spans="7:8" x14ac:dyDescent="0.25">
      <c r="G935" s="149"/>
      <c r="H935" s="149"/>
    </row>
    <row r="936" spans="7:8" x14ac:dyDescent="0.25">
      <c r="G936" s="149"/>
      <c r="H936" s="149"/>
    </row>
    <row r="937" spans="7:8" x14ac:dyDescent="0.25">
      <c r="G937" s="149"/>
      <c r="H937" s="149"/>
    </row>
    <row r="938" spans="7:8" x14ac:dyDescent="0.25">
      <c r="G938" s="149"/>
      <c r="H938" s="149"/>
    </row>
    <row r="939" spans="7:8" x14ac:dyDescent="0.25">
      <c r="G939" s="149"/>
      <c r="H939" s="149"/>
    </row>
    <row r="940" spans="7:8" x14ac:dyDescent="0.25">
      <c r="G940" s="149"/>
      <c r="H940" s="149"/>
    </row>
    <row r="941" spans="7:8" x14ac:dyDescent="0.25">
      <c r="G941" s="149"/>
      <c r="H941" s="149"/>
    </row>
    <row r="942" spans="7:8" x14ac:dyDescent="0.25">
      <c r="G942" s="149"/>
      <c r="H942" s="149"/>
    </row>
    <row r="943" spans="7:8" x14ac:dyDescent="0.25">
      <c r="G943" s="149"/>
      <c r="H943" s="149"/>
    </row>
    <row r="944" spans="7:8" x14ac:dyDescent="0.25">
      <c r="G944" s="149"/>
      <c r="H944" s="149"/>
    </row>
    <row r="945" spans="7:8" x14ac:dyDescent="0.25">
      <c r="G945" s="149"/>
      <c r="H945" s="149"/>
    </row>
    <row r="946" spans="7:8" x14ac:dyDescent="0.25">
      <c r="G946" s="149"/>
      <c r="H946" s="149"/>
    </row>
    <row r="947" spans="7:8" x14ac:dyDescent="0.25">
      <c r="G947" s="149"/>
      <c r="H947" s="149"/>
    </row>
    <row r="948" spans="7:8" x14ac:dyDescent="0.25">
      <c r="G948" s="149"/>
      <c r="H948" s="149"/>
    </row>
    <row r="949" spans="7:8" x14ac:dyDescent="0.25">
      <c r="G949" s="149"/>
      <c r="H949" s="149"/>
    </row>
    <row r="950" spans="7:8" x14ac:dyDescent="0.25">
      <c r="G950" s="149"/>
      <c r="H950" s="149"/>
    </row>
    <row r="951" spans="7:8" x14ac:dyDescent="0.25">
      <c r="G951" s="149"/>
      <c r="H951" s="149"/>
    </row>
    <row r="952" spans="7:8" x14ac:dyDescent="0.25">
      <c r="G952" s="149"/>
      <c r="H952" s="149"/>
    </row>
    <row r="953" spans="7:8" x14ac:dyDescent="0.25">
      <c r="G953" s="149"/>
      <c r="H953" s="149"/>
    </row>
    <row r="954" spans="7:8" x14ac:dyDescent="0.25">
      <c r="G954" s="149"/>
      <c r="H954" s="149"/>
    </row>
    <row r="955" spans="7:8" x14ac:dyDescent="0.25">
      <c r="G955" s="149"/>
      <c r="H955" s="149"/>
    </row>
    <row r="956" spans="7:8" x14ac:dyDescent="0.25">
      <c r="G956" s="149"/>
      <c r="H956" s="149"/>
    </row>
    <row r="957" spans="7:8" x14ac:dyDescent="0.25">
      <c r="G957" s="149"/>
      <c r="H957" s="149"/>
    </row>
    <row r="958" spans="7:8" x14ac:dyDescent="0.25">
      <c r="G958" s="149"/>
      <c r="H958" s="149"/>
    </row>
    <row r="959" spans="7:8" x14ac:dyDescent="0.25">
      <c r="G959" s="149"/>
      <c r="H959" s="149"/>
    </row>
    <row r="960" spans="7:8" x14ac:dyDescent="0.25">
      <c r="G960" s="149"/>
      <c r="H960" s="149"/>
    </row>
    <row r="961" spans="7:8" x14ac:dyDescent="0.25">
      <c r="G961" s="149"/>
      <c r="H961" s="149"/>
    </row>
    <row r="962" spans="7:8" x14ac:dyDescent="0.25">
      <c r="G962" s="149"/>
      <c r="H962" s="149"/>
    </row>
    <row r="963" spans="7:8" x14ac:dyDescent="0.25">
      <c r="G963" s="149"/>
      <c r="H963" s="149"/>
    </row>
    <row r="964" spans="7:8" x14ac:dyDescent="0.25">
      <c r="G964" s="149"/>
      <c r="H964" s="149"/>
    </row>
    <row r="965" spans="7:8" x14ac:dyDescent="0.25">
      <c r="G965" s="149"/>
      <c r="H965" s="149"/>
    </row>
    <row r="966" spans="7:8" x14ac:dyDescent="0.25">
      <c r="G966" s="149"/>
      <c r="H966" s="149"/>
    </row>
    <row r="967" spans="7:8" x14ac:dyDescent="0.25">
      <c r="G967" s="149"/>
      <c r="H967" s="149"/>
    </row>
    <row r="968" spans="7:8" x14ac:dyDescent="0.25">
      <c r="G968" s="149"/>
      <c r="H968" s="149"/>
    </row>
    <row r="969" spans="7:8" x14ac:dyDescent="0.25">
      <c r="G969" s="149"/>
      <c r="H969" s="149"/>
    </row>
    <row r="970" spans="7:8" x14ac:dyDescent="0.25">
      <c r="G970" s="149"/>
      <c r="H970" s="149"/>
    </row>
    <row r="971" spans="7:8" x14ac:dyDescent="0.25">
      <c r="G971" s="149"/>
      <c r="H971" s="149"/>
    </row>
    <row r="972" spans="7:8" x14ac:dyDescent="0.25">
      <c r="G972" s="149"/>
      <c r="H972" s="149"/>
    </row>
    <row r="973" spans="7:8" x14ac:dyDescent="0.25">
      <c r="G973" s="149"/>
      <c r="H973" s="149"/>
    </row>
    <row r="974" spans="7:8" x14ac:dyDescent="0.25">
      <c r="G974" s="149"/>
      <c r="H974" s="149"/>
    </row>
    <row r="975" spans="7:8" x14ac:dyDescent="0.25">
      <c r="G975" s="149"/>
      <c r="H975" s="149"/>
    </row>
    <row r="976" spans="7:8" x14ac:dyDescent="0.25">
      <c r="G976" s="149"/>
      <c r="H976" s="149"/>
    </row>
    <row r="977" spans="7:8" x14ac:dyDescent="0.25">
      <c r="G977" s="149"/>
      <c r="H977" s="149"/>
    </row>
    <row r="978" spans="7:8" x14ac:dyDescent="0.25">
      <c r="G978" s="149"/>
      <c r="H978" s="149"/>
    </row>
    <row r="979" spans="7:8" x14ac:dyDescent="0.25">
      <c r="G979" s="149"/>
      <c r="H979" s="149"/>
    </row>
    <row r="980" spans="7:8" x14ac:dyDescent="0.25">
      <c r="G980" s="149"/>
      <c r="H980" s="149"/>
    </row>
    <row r="981" spans="7:8" x14ac:dyDescent="0.25">
      <c r="G981" s="149"/>
      <c r="H981" s="149"/>
    </row>
    <row r="982" spans="7:8" x14ac:dyDescent="0.25">
      <c r="G982" s="149"/>
      <c r="H982" s="149"/>
    </row>
    <row r="983" spans="7:8" x14ac:dyDescent="0.25">
      <c r="G983" s="149"/>
      <c r="H983" s="149"/>
    </row>
    <row r="984" spans="7:8" x14ac:dyDescent="0.25">
      <c r="G984" s="149"/>
      <c r="H984" s="149"/>
    </row>
    <row r="985" spans="7:8" x14ac:dyDescent="0.25">
      <c r="G985" s="149"/>
      <c r="H985" s="149"/>
    </row>
    <row r="986" spans="7:8" x14ac:dyDescent="0.25">
      <c r="G986" s="149"/>
      <c r="H986" s="149"/>
    </row>
    <row r="987" spans="7:8" x14ac:dyDescent="0.25">
      <c r="G987" s="149"/>
      <c r="H987" s="149"/>
    </row>
    <row r="988" spans="7:8" x14ac:dyDescent="0.25">
      <c r="G988" s="149"/>
      <c r="H988" s="149"/>
    </row>
    <row r="989" spans="7:8" x14ac:dyDescent="0.25">
      <c r="G989" s="149"/>
      <c r="H989" s="149"/>
    </row>
    <row r="990" spans="7:8" x14ac:dyDescent="0.25">
      <c r="G990" s="149"/>
      <c r="H990" s="149"/>
    </row>
    <row r="991" spans="7:8" x14ac:dyDescent="0.25">
      <c r="G991" s="149"/>
      <c r="H991" s="149"/>
    </row>
    <row r="992" spans="7:8" x14ac:dyDescent="0.25">
      <c r="G992" s="149"/>
      <c r="H992" s="149"/>
    </row>
    <row r="993" spans="7:8" x14ac:dyDescent="0.25">
      <c r="G993" s="149"/>
      <c r="H993" s="149"/>
    </row>
    <row r="994" spans="7:8" x14ac:dyDescent="0.25">
      <c r="G994" s="149"/>
      <c r="H994" s="149"/>
    </row>
    <row r="995" spans="7:8" x14ac:dyDescent="0.25">
      <c r="G995" s="149"/>
      <c r="H995" s="149"/>
    </row>
    <row r="996" spans="7:8" x14ac:dyDescent="0.25">
      <c r="G996" s="149"/>
      <c r="H996" s="149"/>
    </row>
    <row r="997" spans="7:8" x14ac:dyDescent="0.25">
      <c r="G997" s="149"/>
      <c r="H997" s="149"/>
    </row>
    <row r="998" spans="7:8" x14ac:dyDescent="0.25">
      <c r="G998" s="149"/>
      <c r="H998" s="149"/>
    </row>
    <row r="999" spans="7:8" x14ac:dyDescent="0.25">
      <c r="G999" s="149"/>
      <c r="H999" s="149"/>
    </row>
    <row r="1000" spans="7:8" x14ac:dyDescent="0.25">
      <c r="G1000" s="149"/>
      <c r="H1000" s="149"/>
    </row>
    <row r="1001" spans="7:8" x14ac:dyDescent="0.25">
      <c r="G1001" s="149"/>
      <c r="H1001" s="149"/>
    </row>
    <row r="1002" spans="7:8" x14ac:dyDescent="0.25">
      <c r="G1002" s="149"/>
      <c r="H1002" s="149"/>
    </row>
    <row r="1003" spans="7:8" x14ac:dyDescent="0.25">
      <c r="G1003" s="149"/>
      <c r="H1003" s="149"/>
    </row>
    <row r="1004" spans="7:8" x14ac:dyDescent="0.25">
      <c r="G1004" s="149"/>
      <c r="H1004" s="149"/>
    </row>
    <row r="1005" spans="7:8" x14ac:dyDescent="0.25">
      <c r="G1005" s="149"/>
      <c r="H1005" s="149"/>
    </row>
    <row r="1006" spans="7:8" x14ac:dyDescent="0.25">
      <c r="G1006" s="149"/>
      <c r="H1006" s="149"/>
    </row>
    <row r="1007" spans="7:8" x14ac:dyDescent="0.25">
      <c r="G1007" s="149"/>
      <c r="H1007" s="149"/>
    </row>
    <row r="1008" spans="7:8" x14ac:dyDescent="0.25">
      <c r="G1008" s="149"/>
      <c r="H1008" s="149"/>
    </row>
    <row r="1009" spans="7:8" x14ac:dyDescent="0.25">
      <c r="G1009" s="149"/>
      <c r="H1009" s="149"/>
    </row>
    <row r="1010" spans="7:8" x14ac:dyDescent="0.25">
      <c r="G1010" s="149"/>
      <c r="H1010" s="149"/>
    </row>
    <row r="1011" spans="7:8" x14ac:dyDescent="0.25">
      <c r="G1011" s="149"/>
      <c r="H1011" s="149"/>
    </row>
    <row r="1012" spans="7:8" x14ac:dyDescent="0.25">
      <c r="G1012" s="149"/>
      <c r="H1012" s="149"/>
    </row>
    <row r="1013" spans="7:8" x14ac:dyDescent="0.25">
      <c r="G1013" s="149"/>
      <c r="H1013" s="149"/>
    </row>
    <row r="1014" spans="7:8" x14ac:dyDescent="0.25">
      <c r="G1014" s="149"/>
      <c r="H1014" s="149"/>
    </row>
    <row r="1015" spans="7:8" x14ac:dyDescent="0.25">
      <c r="G1015" s="149"/>
      <c r="H1015" s="149"/>
    </row>
    <row r="1016" spans="7:8" x14ac:dyDescent="0.25">
      <c r="G1016" s="149"/>
      <c r="H1016" s="149"/>
    </row>
    <row r="1017" spans="7:8" x14ac:dyDescent="0.25">
      <c r="G1017" s="149"/>
      <c r="H1017" s="149"/>
    </row>
    <row r="1018" spans="7:8" x14ac:dyDescent="0.25">
      <c r="G1018" s="149"/>
      <c r="H1018" s="149"/>
    </row>
    <row r="1019" spans="7:8" x14ac:dyDescent="0.25">
      <c r="G1019" s="149"/>
      <c r="H1019" s="149"/>
    </row>
    <row r="1020" spans="7:8" x14ac:dyDescent="0.25">
      <c r="G1020" s="149"/>
      <c r="H1020" s="149"/>
    </row>
    <row r="1021" spans="7:8" x14ac:dyDescent="0.25">
      <c r="G1021" s="149"/>
      <c r="H1021" s="149"/>
    </row>
    <row r="1022" spans="7:8" x14ac:dyDescent="0.25">
      <c r="G1022" s="149"/>
      <c r="H1022" s="149"/>
    </row>
    <row r="1023" spans="7:8" x14ac:dyDescent="0.25">
      <c r="G1023" s="149"/>
      <c r="H1023" s="149"/>
    </row>
    <row r="1024" spans="7:8" x14ac:dyDescent="0.25">
      <c r="G1024" s="149"/>
      <c r="H1024" s="149"/>
    </row>
    <row r="1025" spans="7:8" x14ac:dyDescent="0.25">
      <c r="G1025" s="149"/>
      <c r="H1025" s="149"/>
    </row>
    <row r="1026" spans="7:8" x14ac:dyDescent="0.25">
      <c r="G1026" s="149"/>
      <c r="H1026" s="149"/>
    </row>
    <row r="1027" spans="7:8" x14ac:dyDescent="0.25">
      <c r="G1027" s="149"/>
      <c r="H1027" s="149"/>
    </row>
    <row r="1028" spans="7:8" x14ac:dyDescent="0.25">
      <c r="G1028" s="149"/>
      <c r="H1028" s="149"/>
    </row>
    <row r="1029" spans="7:8" x14ac:dyDescent="0.25">
      <c r="G1029" s="149"/>
      <c r="H1029" s="149"/>
    </row>
    <row r="1030" spans="7:8" x14ac:dyDescent="0.25">
      <c r="G1030" s="149"/>
      <c r="H1030" s="149"/>
    </row>
    <row r="1031" spans="7:8" x14ac:dyDescent="0.25">
      <c r="G1031" s="149"/>
      <c r="H1031" s="149"/>
    </row>
    <row r="1032" spans="7:8" x14ac:dyDescent="0.25">
      <c r="G1032" s="149"/>
      <c r="H1032" s="149"/>
    </row>
    <row r="1033" spans="7:8" x14ac:dyDescent="0.25">
      <c r="G1033" s="149"/>
      <c r="H1033" s="149"/>
    </row>
    <row r="1034" spans="7:8" x14ac:dyDescent="0.25">
      <c r="G1034" s="149"/>
      <c r="H1034" s="149"/>
    </row>
    <row r="1035" spans="7:8" x14ac:dyDescent="0.25">
      <c r="G1035" s="149"/>
      <c r="H1035" s="149"/>
    </row>
    <row r="1036" spans="7:8" x14ac:dyDescent="0.25">
      <c r="G1036" s="149"/>
      <c r="H1036" s="149"/>
    </row>
    <row r="1037" spans="7:8" x14ac:dyDescent="0.25">
      <c r="G1037" s="149"/>
      <c r="H1037" s="149"/>
    </row>
    <row r="1038" spans="7:8" x14ac:dyDescent="0.25">
      <c r="G1038" s="149"/>
      <c r="H1038" s="149"/>
    </row>
    <row r="1039" spans="7:8" x14ac:dyDescent="0.25">
      <c r="G1039" s="149"/>
      <c r="H1039" s="149"/>
    </row>
    <row r="1040" spans="7:8" x14ac:dyDescent="0.25">
      <c r="G1040" s="149"/>
      <c r="H1040" s="149"/>
    </row>
    <row r="1041" spans="7:8" x14ac:dyDescent="0.25">
      <c r="G1041" s="149"/>
      <c r="H1041" s="149"/>
    </row>
    <row r="1042" spans="7:8" x14ac:dyDescent="0.25">
      <c r="G1042" s="149"/>
      <c r="H1042" s="149"/>
    </row>
    <row r="1043" spans="7:8" x14ac:dyDescent="0.25">
      <c r="G1043" s="149"/>
      <c r="H1043" s="149"/>
    </row>
    <row r="1044" spans="7:8" x14ac:dyDescent="0.25">
      <c r="G1044" s="149"/>
      <c r="H1044" s="149"/>
    </row>
    <row r="1045" spans="7:8" x14ac:dyDescent="0.25">
      <c r="G1045" s="149"/>
      <c r="H1045" s="149"/>
    </row>
    <row r="1046" spans="7:8" x14ac:dyDescent="0.25">
      <c r="G1046" s="149"/>
      <c r="H1046" s="149"/>
    </row>
    <row r="1047" spans="7:8" x14ac:dyDescent="0.25">
      <c r="G1047" s="149"/>
      <c r="H1047" s="149"/>
    </row>
    <row r="1048" spans="7:8" x14ac:dyDescent="0.25">
      <c r="G1048" s="149"/>
      <c r="H1048" s="149"/>
    </row>
    <row r="1049" spans="7:8" x14ac:dyDescent="0.25">
      <c r="G1049" s="149"/>
      <c r="H1049" s="149"/>
    </row>
    <row r="1050" spans="7:8" x14ac:dyDescent="0.25">
      <c r="G1050" s="149"/>
      <c r="H1050" s="149"/>
    </row>
    <row r="1051" spans="7:8" x14ac:dyDescent="0.25">
      <c r="G1051" s="149"/>
      <c r="H1051" s="149"/>
    </row>
    <row r="1052" spans="7:8" x14ac:dyDescent="0.25">
      <c r="G1052" s="149"/>
      <c r="H1052" s="149"/>
    </row>
    <row r="1053" spans="7:8" x14ac:dyDescent="0.25">
      <c r="G1053" s="149"/>
      <c r="H1053" s="149"/>
    </row>
    <row r="1054" spans="7:8" x14ac:dyDescent="0.25">
      <c r="G1054" s="149"/>
      <c r="H1054" s="149"/>
    </row>
    <row r="1055" spans="7:8" x14ac:dyDescent="0.25">
      <c r="G1055" s="149"/>
      <c r="H1055" s="149"/>
    </row>
    <row r="1056" spans="7:8" x14ac:dyDescent="0.25">
      <c r="G1056" s="149"/>
      <c r="H1056" s="149"/>
    </row>
    <row r="1057" spans="7:8" x14ac:dyDescent="0.25">
      <c r="G1057" s="149"/>
      <c r="H1057" s="149"/>
    </row>
    <row r="1058" spans="7:8" x14ac:dyDescent="0.25">
      <c r="G1058" s="149"/>
      <c r="H1058" s="149"/>
    </row>
    <row r="1059" spans="7:8" x14ac:dyDescent="0.25">
      <c r="G1059" s="149"/>
      <c r="H1059" s="149"/>
    </row>
    <row r="1060" spans="7:8" x14ac:dyDescent="0.25">
      <c r="G1060" s="149"/>
      <c r="H1060" s="149"/>
    </row>
    <row r="1061" spans="7:8" x14ac:dyDescent="0.25">
      <c r="G1061" s="149"/>
      <c r="H1061" s="149"/>
    </row>
    <row r="1062" spans="7:8" x14ac:dyDescent="0.25">
      <c r="G1062" s="149"/>
      <c r="H1062" s="149"/>
    </row>
    <row r="1063" spans="7:8" x14ac:dyDescent="0.25">
      <c r="G1063" s="149"/>
      <c r="H1063" s="149"/>
    </row>
    <row r="1064" spans="7:8" x14ac:dyDescent="0.25">
      <c r="G1064" s="149"/>
      <c r="H1064" s="149"/>
    </row>
    <row r="1065" spans="7:8" x14ac:dyDescent="0.25">
      <c r="G1065" s="149"/>
      <c r="H1065" s="149"/>
    </row>
    <row r="1066" spans="7:8" x14ac:dyDescent="0.25">
      <c r="G1066" s="149"/>
      <c r="H1066" s="149"/>
    </row>
    <row r="1067" spans="7:8" x14ac:dyDescent="0.25">
      <c r="G1067" s="149"/>
    </row>
    <row r="1068" spans="7:8" x14ac:dyDescent="0.25">
      <c r="G1068" s="149"/>
    </row>
    <row r="1069" spans="7:8" x14ac:dyDescent="0.25">
      <c r="G1069" s="149"/>
    </row>
    <row r="1070" spans="7:8" x14ac:dyDescent="0.25">
      <c r="G1070" s="149"/>
    </row>
    <row r="1071" spans="7:8" x14ac:dyDescent="0.25">
      <c r="G1071" s="149"/>
    </row>
    <row r="1072" spans="7:8" x14ac:dyDescent="0.25">
      <c r="G1072" s="149"/>
    </row>
  </sheetData>
  <mergeCells count="1">
    <mergeCell ref="Y1:AE1"/>
  </mergeCells>
  <conditionalFormatting sqref="B1">
    <cfRule type="expression" dxfId="18" priority="2">
      <formula>B1=""</formula>
    </cfRule>
  </conditionalFormatting>
  <conditionalFormatting sqref="E1">
    <cfRule type="expression" dxfId="17" priority="1">
      <formula>E1=""</formula>
    </cfRule>
  </conditionalFormatting>
  <conditionalFormatting sqref="E5">
    <cfRule type="duplicateValues" dxfId="16" priority="11"/>
  </conditionalFormatting>
  <conditionalFormatting sqref="O5">
    <cfRule type="containsText" dxfId="15" priority="3" operator="containsText" text="GERİ ÇEKİLDİ">
      <formula>NOT(ISERROR(SEARCH("GERİ ÇEKİLDİ",O5)))</formula>
    </cfRule>
    <cfRule type="containsText" dxfId="14" priority="4" operator="containsText" text="KAPSAM DIŞI">
      <formula>NOT(ISERROR(SEARCH("KAPSAM DIŞI",O5)))</formula>
    </cfRule>
    <cfRule type="containsText" dxfId="13" priority="5" operator="containsText" text="RET">
      <formula>NOT(ISERROR(SEARCH("RET",O5)))</formula>
    </cfRule>
    <cfRule type="containsText" dxfId="12" priority="6" operator="containsText" text="GÖRÜŞ">
      <formula>NOT(ISERROR(SEARCH("GÖRÜŞ",O5)))</formula>
    </cfRule>
    <cfRule type="containsText" dxfId="11" priority="7" operator="containsText" text="KAEK">
      <formula>NOT(ISERROR(SEARCH("KAEK",O5)))</formula>
    </cfRule>
    <cfRule type="containsText" dxfId="10" priority="8" operator="containsText" text="GÖRÜŞ">
      <formula>NOT(ISERROR(SEARCH("GÖRÜŞ",O5)))</formula>
    </cfRule>
    <cfRule type="containsText" dxfId="9" priority="9" operator="containsText" text="DÜZELTME">
      <formula>NOT(ISERROR(SEARCH("DÜZELTME",O5)))</formula>
    </cfRule>
    <cfRule type="containsText" dxfId="8" priority="10" operator="containsText" text="ONAY">
      <formula>NOT(ISERROR(SEARCH("ONAY",O5)))</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62E08CDF-5299-4D25-B20B-90B758EE7F86}">
          <x14:formula1>
            <xm:f>_xlfn.ANCHORARRAY(İstatistik!$AW$2)</xm:f>
          </x14:formula1>
          <xm:sqref>B1</xm:sqref>
        </x14:dataValidation>
        <x14:dataValidation type="list" allowBlank="1" showInputMessage="1" showErrorMessage="1" xr:uid="{E57437F2-0F10-4CA3-A6B2-DC982DEC72B4}">
          <x14:formula1>
            <xm:f>_xlfn.ANCHORARRAY(İstatistik!$AA$4)</xm:f>
          </x14:formula1>
          <xm:sqref>E1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DFAF3-102F-4872-BCA7-6FCF8A09FB24}">
  <sheetPr>
    <tabColor rgb="FF00B050"/>
  </sheetPr>
  <dimension ref="A1:I49"/>
  <sheetViews>
    <sheetView workbookViewId="0">
      <selection activeCell="C4" sqref="C4"/>
    </sheetView>
  </sheetViews>
  <sheetFormatPr defaultRowHeight="20.25" x14ac:dyDescent="0.25"/>
  <cols>
    <col min="1" max="1" width="59.5703125" style="134" bestFit="1" customWidth="1"/>
    <col min="2" max="2" width="29.7109375" style="134" customWidth="1"/>
    <col min="3" max="3" width="15.42578125" style="134" bestFit="1" customWidth="1"/>
    <col min="4" max="4" width="18.28515625" style="134" bestFit="1" customWidth="1"/>
    <col min="5" max="5" width="10.28515625" style="134" bestFit="1" customWidth="1"/>
    <col min="6" max="6" width="11.85546875" style="134" bestFit="1" customWidth="1"/>
    <col min="7" max="7" width="21.28515625" style="134" bestFit="1" customWidth="1"/>
    <col min="8" max="8" width="7.28515625" style="134" bestFit="1" customWidth="1"/>
    <col min="9" max="9" width="22.5703125" style="134" bestFit="1" customWidth="1"/>
    <col min="10" max="16384" width="9.140625" style="134"/>
  </cols>
  <sheetData>
    <row r="1" spans="1:9" x14ac:dyDescent="0.25">
      <c r="A1" s="185" t="s">
        <v>4237</v>
      </c>
      <c r="B1" s="186"/>
      <c r="C1" s="186"/>
      <c r="D1" s="186"/>
      <c r="E1" s="186"/>
      <c r="F1" s="186"/>
      <c r="G1" s="186"/>
      <c r="H1" s="186"/>
      <c r="I1" s="186"/>
    </row>
    <row r="2" spans="1:9" x14ac:dyDescent="0.25">
      <c r="B2" s="135"/>
    </row>
    <row r="3" spans="1:9" ht="21" thickBot="1" x14ac:dyDescent="0.3"/>
    <row r="4" spans="1:9" ht="21" thickBot="1" x14ac:dyDescent="0.3">
      <c r="B4" s="139" t="s">
        <v>4238</v>
      </c>
      <c r="C4" s="137">
        <v>46070</v>
      </c>
    </row>
    <row r="5" spans="1:9" ht="21" thickBot="1" x14ac:dyDescent="0.3">
      <c r="B5" s="138" t="s">
        <v>4239</v>
      </c>
      <c r="C5" s="140" cm="1">
        <f t="array" ref="C5">SUMPRODUCT(--(VALUE(Başvuru!$I$2:$I$5077)=VALUE($C$4)))</f>
        <v>45</v>
      </c>
    </row>
    <row r="7" spans="1:9" ht="21" thickBot="1" x14ac:dyDescent="0.3"/>
    <row r="8" spans="1:9" ht="21" thickBot="1" x14ac:dyDescent="0.3">
      <c r="A8" s="142" t="s">
        <v>4241</v>
      </c>
      <c r="B8" s="143" t="s">
        <v>4081</v>
      </c>
      <c r="C8" s="144" t="s">
        <v>57</v>
      </c>
      <c r="D8" s="143" t="s">
        <v>58</v>
      </c>
      <c r="E8" s="144" t="s">
        <v>73</v>
      </c>
      <c r="F8" s="144" t="s">
        <v>86</v>
      </c>
      <c r="G8" s="144" t="s">
        <v>59</v>
      </c>
      <c r="H8" s="144" t="s">
        <v>307</v>
      </c>
      <c r="I8" s="145" t="s">
        <v>78</v>
      </c>
    </row>
    <row r="9" spans="1:9" x14ac:dyDescent="0.25">
      <c r="A9" s="134" t="str" cm="1">
        <f t="array" ref="A9:A32">_xlfn._xlws.SORT(_xlfn.UNIQUE(_xlfn._xlws.FILTER(Başvuru!$D$2:$D$10077, Başvuru!$I$2:$I$10077=$C$4, "Kayıt Yok")))</f>
        <v>Aile Hekimliği Anabilim Dalı</v>
      </c>
      <c r="B9" s="141" cm="1">
        <f t="array" ref="B9">SUMPRODUCT((Başvuru!$D$2:$D$5077=$A9)*(VALUE(Başvuru!$I$2:$I$5077)=VALUE($C$4)))</f>
        <v>1</v>
      </c>
      <c r="C9" s="141" cm="1">
        <f t="array" ref="C9">SUMPRODUCT((Başvuru!$D$2:$D$5077=$A9)*(VALUE(Başvuru!$I$2:$I$5077)=VALUE($C$4))*(Başvuru!$P$2:$P$5077=C$8))</f>
        <v>0</v>
      </c>
      <c r="D9" s="141" cm="1">
        <f t="array" ref="D9">SUMPRODUCT((Başvuru!$D$2:$D$5077=$A9)*(VALUE(Başvuru!$I$2:$I$5077)=VALUE($C$4))*(Başvuru!$P$2:$P$5077=D$8))</f>
        <v>0</v>
      </c>
      <c r="E9" s="141" cm="1">
        <f t="array" ref="E9">SUMPRODUCT((Başvuru!$D$2:$D$5077=$A9)*(VALUE(Başvuru!$I$2:$I$5077)=VALUE($C$4))*(Başvuru!$P$2:$P$5077=E$8))</f>
        <v>0</v>
      </c>
      <c r="F9" s="141" cm="1">
        <f t="array" ref="F9">SUMPRODUCT((Başvuru!$D$2:$D$5077=$A9)*(VALUE(Başvuru!$I$2:$I$5077)=VALUE($C$4))*(Başvuru!$P$2:$P$5077=F$8))</f>
        <v>0</v>
      </c>
      <c r="G9" s="141" cm="1">
        <f t="array" ref="G9">SUMPRODUCT((Başvuru!$D$2:$D$5077=$A9)*(VALUE(Başvuru!$I$2:$I$5077)=VALUE($C$4))*(Başvuru!$P$2:$P$5077=G$8))</f>
        <v>0</v>
      </c>
      <c r="H9" s="141" cm="1">
        <f t="array" ref="H9">SUMPRODUCT((Başvuru!$D$2:$D$5077=$A9)*(VALUE(Başvuru!$I$2:$I$5077)=VALUE($C$4))*(Başvuru!$P$2:$P$5077=H$8))</f>
        <v>0</v>
      </c>
      <c r="I9" s="141" cm="1">
        <f t="array" ref="I9">SUMPRODUCT((Başvuru!$D$2:$D$5077=$A9)*(VALUE(Başvuru!$I$2:$I$5077)=VALUE($C$4))*(Başvuru!$P$2:$P$5077=I$8))</f>
        <v>0</v>
      </c>
    </row>
    <row r="10" spans="1:9" x14ac:dyDescent="0.25">
      <c r="A10" s="134" t="str">
        <v>Anatomi Anabilim Dalı</v>
      </c>
      <c r="B10" s="141" cm="1">
        <f t="array" ref="B10">SUMPRODUCT((Başvuru!$D$2:$D$5077=$A10)*(VALUE(Başvuru!$I$2:$I$5077)=VALUE($C$4)))</f>
        <v>1</v>
      </c>
      <c r="C10" s="141" cm="1">
        <f t="array" ref="C10">SUMPRODUCT((Başvuru!$D$2:$D$5077=$A10)*(VALUE(Başvuru!$I$2:$I$5077)=VALUE($C$4))*(Başvuru!$P$2:$P$5077=C$8))</f>
        <v>0</v>
      </c>
      <c r="D10" s="141" cm="1">
        <f t="array" ref="D10">SUMPRODUCT((Başvuru!$D$2:$D$5077=$A10)*(VALUE(Başvuru!$I$2:$I$5077)=VALUE($C$4))*(Başvuru!$P$2:$P$5077=D$8))</f>
        <v>0</v>
      </c>
      <c r="E10" s="141" cm="1">
        <f t="array" ref="E10">SUMPRODUCT((Başvuru!$D$2:$D$5077=$A10)*(VALUE(Başvuru!$I$2:$I$5077)=VALUE($C$4))*(Başvuru!$P$2:$P$5077=E$8))</f>
        <v>0</v>
      </c>
      <c r="F10" s="141" cm="1">
        <f t="array" ref="F10">SUMPRODUCT((Başvuru!$D$2:$D$5077=$A10)*(VALUE(Başvuru!$I$2:$I$5077)=VALUE($C$4))*(Başvuru!$P$2:$P$5077=F$8))</f>
        <v>0</v>
      </c>
      <c r="G10" s="141" cm="1">
        <f t="array" ref="G10">SUMPRODUCT((Başvuru!$D$2:$D$5077=$A10)*(VALUE(Başvuru!$I$2:$I$5077)=VALUE($C$4))*(Başvuru!$P$2:$P$5077=G$8))</f>
        <v>0</v>
      </c>
      <c r="H10" s="141" cm="1">
        <f t="array" ref="H10">SUMPRODUCT((Başvuru!$D$2:$D$5077=$A10)*(VALUE(Başvuru!$I$2:$I$5077)=VALUE($C$4))*(Başvuru!$P$2:$P$5077=H$8))</f>
        <v>0</v>
      </c>
      <c r="I10" s="141" cm="1">
        <f t="array" ref="I10">SUMPRODUCT((Başvuru!$D$2:$D$5077=$A10)*(VALUE(Başvuru!$I$2:$I$5077)=VALUE($C$4))*(Başvuru!$P$2:$P$5077=I$8))</f>
        <v>0</v>
      </c>
    </row>
    <row r="11" spans="1:9" x14ac:dyDescent="0.25">
      <c r="A11" s="134" t="str">
        <v>Anesteziyoloji ve Reanimasyon Anabilim Dalı</v>
      </c>
      <c r="B11" s="141" cm="1">
        <f t="array" ref="B11">SUMPRODUCT((Başvuru!$D$2:$D$5077=$A11)*(VALUE(Başvuru!$I$2:$I$5077)=VALUE($C$4)))</f>
        <v>2</v>
      </c>
      <c r="C11" s="141" cm="1">
        <f t="array" ref="C11">SUMPRODUCT((Başvuru!$D$2:$D$5077=$A11)*(VALUE(Başvuru!$I$2:$I$5077)=VALUE($C$4))*(Başvuru!$P$2:$P$5077=C$8))</f>
        <v>0</v>
      </c>
      <c r="D11" s="141" cm="1">
        <f t="array" ref="D11">SUMPRODUCT((Başvuru!$D$2:$D$5077=$A11)*(VALUE(Başvuru!$I$2:$I$5077)=VALUE($C$4))*(Başvuru!$P$2:$P$5077=D$8))</f>
        <v>0</v>
      </c>
      <c r="E11" s="141" cm="1">
        <f t="array" ref="E11">SUMPRODUCT((Başvuru!$D$2:$D$5077=$A11)*(VALUE(Başvuru!$I$2:$I$5077)=VALUE($C$4))*(Başvuru!$P$2:$P$5077=E$8))</f>
        <v>0</v>
      </c>
      <c r="F11" s="141" cm="1">
        <f t="array" ref="F11">SUMPRODUCT((Başvuru!$D$2:$D$5077=$A11)*(VALUE(Başvuru!$I$2:$I$5077)=VALUE($C$4))*(Başvuru!$P$2:$P$5077=F$8))</f>
        <v>0</v>
      </c>
      <c r="G11" s="141" cm="1">
        <f t="array" ref="G11">SUMPRODUCT((Başvuru!$D$2:$D$5077=$A11)*(VALUE(Başvuru!$I$2:$I$5077)=VALUE($C$4))*(Başvuru!$P$2:$P$5077=G$8))</f>
        <v>0</v>
      </c>
      <c r="H11" s="141" cm="1">
        <f t="array" ref="H11">SUMPRODUCT((Başvuru!$D$2:$D$5077=$A11)*(VALUE(Başvuru!$I$2:$I$5077)=VALUE($C$4))*(Başvuru!$P$2:$P$5077=H$8))</f>
        <v>0</v>
      </c>
      <c r="I11" s="141" cm="1">
        <f t="array" ref="I11">SUMPRODUCT((Başvuru!$D$2:$D$5077=$A11)*(VALUE(Başvuru!$I$2:$I$5077)=VALUE($C$4))*(Başvuru!$P$2:$P$5077=I$8))</f>
        <v>0</v>
      </c>
    </row>
    <row r="12" spans="1:9" x14ac:dyDescent="0.25">
      <c r="A12" s="134" t="str">
        <v>Çocuk Sağlığı ve Hastalıkları Anabilim Dalı</v>
      </c>
      <c r="B12" s="141" cm="1">
        <f t="array" ref="B12">SUMPRODUCT((Başvuru!$D$2:$D$5077=$A12)*(VALUE(Başvuru!$I$2:$I$5077)=VALUE($C$4)))</f>
        <v>4</v>
      </c>
      <c r="C12" s="141" cm="1">
        <f t="array" ref="C12">SUMPRODUCT((Başvuru!$D$2:$D$5077=$A12)*(VALUE(Başvuru!$I$2:$I$5077)=VALUE($C$4))*(Başvuru!$P$2:$P$5077=C$8))</f>
        <v>0</v>
      </c>
      <c r="D12" s="141" cm="1">
        <f t="array" ref="D12">SUMPRODUCT((Başvuru!$D$2:$D$5077=$A12)*(VALUE(Başvuru!$I$2:$I$5077)=VALUE($C$4))*(Başvuru!$P$2:$P$5077=D$8))</f>
        <v>0</v>
      </c>
      <c r="E12" s="141" cm="1">
        <f t="array" ref="E12">SUMPRODUCT((Başvuru!$D$2:$D$5077=$A12)*(VALUE(Başvuru!$I$2:$I$5077)=VALUE($C$4))*(Başvuru!$P$2:$P$5077=E$8))</f>
        <v>0</v>
      </c>
      <c r="F12" s="141" cm="1">
        <f t="array" ref="F12">SUMPRODUCT((Başvuru!$D$2:$D$5077=$A12)*(VALUE(Başvuru!$I$2:$I$5077)=VALUE($C$4))*(Başvuru!$P$2:$P$5077=F$8))</f>
        <v>0</v>
      </c>
      <c r="G12" s="141" cm="1">
        <f t="array" ref="G12">SUMPRODUCT((Başvuru!$D$2:$D$5077=$A12)*(VALUE(Başvuru!$I$2:$I$5077)=VALUE($C$4))*(Başvuru!$P$2:$P$5077=G$8))</f>
        <v>0</v>
      </c>
      <c r="H12" s="141" cm="1">
        <f t="array" ref="H12">SUMPRODUCT((Başvuru!$D$2:$D$5077=$A12)*(VALUE(Başvuru!$I$2:$I$5077)=VALUE($C$4))*(Başvuru!$P$2:$P$5077=H$8))</f>
        <v>0</v>
      </c>
      <c r="I12" s="141" cm="1">
        <f t="array" ref="I12">SUMPRODUCT((Başvuru!$D$2:$D$5077=$A12)*(VALUE(Başvuru!$I$2:$I$5077)=VALUE($C$4))*(Başvuru!$P$2:$P$5077=I$8))</f>
        <v>0</v>
      </c>
    </row>
    <row r="13" spans="1:9" x14ac:dyDescent="0.25">
      <c r="A13" s="134" t="str">
        <v>Deri ve Zührevi Hastalıklar Anabilim Dalı</v>
      </c>
      <c r="B13" s="141" cm="1">
        <f t="array" ref="B13">SUMPRODUCT((Başvuru!$D$2:$D$5077=$A13)*(VALUE(Başvuru!$I$2:$I$5077)=VALUE($C$4)))</f>
        <v>1</v>
      </c>
      <c r="C13" s="141" cm="1">
        <f t="array" ref="C13">SUMPRODUCT((Başvuru!$D$2:$D$5077=$A13)*(VALUE(Başvuru!$I$2:$I$5077)=VALUE($C$4))*(Başvuru!$P$2:$P$5077=C$8))</f>
        <v>0</v>
      </c>
      <c r="D13" s="141" cm="1">
        <f t="array" ref="D13">SUMPRODUCT((Başvuru!$D$2:$D$5077=$A13)*(VALUE(Başvuru!$I$2:$I$5077)=VALUE($C$4))*(Başvuru!$P$2:$P$5077=D$8))</f>
        <v>0</v>
      </c>
      <c r="E13" s="141" cm="1">
        <f t="array" ref="E13">SUMPRODUCT((Başvuru!$D$2:$D$5077=$A13)*(VALUE(Başvuru!$I$2:$I$5077)=VALUE($C$4))*(Başvuru!$P$2:$P$5077=E$8))</f>
        <v>0</v>
      </c>
      <c r="F13" s="141" cm="1">
        <f t="array" ref="F13">SUMPRODUCT((Başvuru!$D$2:$D$5077=$A13)*(VALUE(Başvuru!$I$2:$I$5077)=VALUE($C$4))*(Başvuru!$P$2:$P$5077=F$8))</f>
        <v>0</v>
      </c>
      <c r="G13" s="141" cm="1">
        <f t="array" ref="G13">SUMPRODUCT((Başvuru!$D$2:$D$5077=$A13)*(VALUE(Başvuru!$I$2:$I$5077)=VALUE($C$4))*(Başvuru!$P$2:$P$5077=G$8))</f>
        <v>0</v>
      </c>
      <c r="H13" s="141" cm="1">
        <f t="array" ref="H13">SUMPRODUCT((Başvuru!$D$2:$D$5077=$A13)*(VALUE(Başvuru!$I$2:$I$5077)=VALUE($C$4))*(Başvuru!$P$2:$P$5077=H$8))</f>
        <v>0</v>
      </c>
      <c r="I13" s="141" cm="1">
        <f t="array" ref="I13">SUMPRODUCT((Başvuru!$D$2:$D$5077=$A13)*(VALUE(Başvuru!$I$2:$I$5077)=VALUE($C$4))*(Başvuru!$P$2:$P$5077=I$8))</f>
        <v>0</v>
      </c>
    </row>
    <row r="14" spans="1:9" x14ac:dyDescent="0.25">
      <c r="A14" s="134" t="str">
        <v>Endodonti Anabilim Dalı</v>
      </c>
      <c r="B14" s="141" cm="1">
        <f t="array" ref="B14">SUMPRODUCT((Başvuru!$D$2:$D$5077=$A14)*(VALUE(Başvuru!$I$2:$I$5077)=VALUE($C$4)))</f>
        <v>1</v>
      </c>
      <c r="C14" s="141" cm="1">
        <f t="array" ref="C14">SUMPRODUCT((Başvuru!$D$2:$D$5077=$A14)*(VALUE(Başvuru!$I$2:$I$5077)=VALUE($C$4))*(Başvuru!$P$2:$P$5077=C$8))</f>
        <v>0</v>
      </c>
      <c r="D14" s="141" cm="1">
        <f t="array" ref="D14">SUMPRODUCT((Başvuru!$D$2:$D$5077=$A14)*(VALUE(Başvuru!$I$2:$I$5077)=VALUE($C$4))*(Başvuru!$P$2:$P$5077=D$8))</f>
        <v>0</v>
      </c>
      <c r="E14" s="141" cm="1">
        <f t="array" ref="E14">SUMPRODUCT((Başvuru!$D$2:$D$5077=$A14)*(VALUE(Başvuru!$I$2:$I$5077)=VALUE($C$4))*(Başvuru!$P$2:$P$5077=E$8))</f>
        <v>0</v>
      </c>
      <c r="F14" s="141" cm="1">
        <f t="array" ref="F14">SUMPRODUCT((Başvuru!$D$2:$D$5077=$A14)*(VALUE(Başvuru!$I$2:$I$5077)=VALUE($C$4))*(Başvuru!$P$2:$P$5077=F$8))</f>
        <v>0</v>
      </c>
      <c r="G14" s="141" cm="1">
        <f t="array" ref="G14">SUMPRODUCT((Başvuru!$D$2:$D$5077=$A14)*(VALUE(Başvuru!$I$2:$I$5077)=VALUE($C$4))*(Başvuru!$P$2:$P$5077=G$8))</f>
        <v>0</v>
      </c>
      <c r="H14" s="141" cm="1">
        <f t="array" ref="H14">SUMPRODUCT((Başvuru!$D$2:$D$5077=$A14)*(VALUE(Başvuru!$I$2:$I$5077)=VALUE($C$4))*(Başvuru!$P$2:$P$5077=H$8))</f>
        <v>0</v>
      </c>
      <c r="I14" s="141" cm="1">
        <f t="array" ref="I14">SUMPRODUCT((Başvuru!$D$2:$D$5077=$A14)*(VALUE(Başvuru!$I$2:$I$5077)=VALUE($C$4))*(Başvuru!$P$2:$P$5077=I$8))</f>
        <v>0</v>
      </c>
    </row>
    <row r="15" spans="1:9" x14ac:dyDescent="0.25">
      <c r="A15" s="134" t="str">
        <v>Fizyoloji Anabilim Dalı</v>
      </c>
      <c r="B15" s="141" cm="1">
        <f t="array" ref="B15">SUMPRODUCT((Başvuru!$D$2:$D$5077=$A15)*(VALUE(Başvuru!$I$2:$I$5077)=VALUE($C$4)))</f>
        <v>1</v>
      </c>
      <c r="C15" s="141" cm="1">
        <f t="array" ref="C15">SUMPRODUCT((Başvuru!$D$2:$D$5077=$A15)*(VALUE(Başvuru!$I$2:$I$5077)=VALUE($C$4))*(Başvuru!$P$2:$P$5077=C$8))</f>
        <v>0</v>
      </c>
      <c r="D15" s="141" cm="1">
        <f t="array" ref="D15">SUMPRODUCT((Başvuru!$D$2:$D$5077=$A15)*(VALUE(Başvuru!$I$2:$I$5077)=VALUE($C$4))*(Başvuru!$P$2:$P$5077=D$8))</f>
        <v>0</v>
      </c>
      <c r="E15" s="141" cm="1">
        <f t="array" ref="E15">SUMPRODUCT((Başvuru!$D$2:$D$5077=$A15)*(VALUE(Başvuru!$I$2:$I$5077)=VALUE($C$4))*(Başvuru!$P$2:$P$5077=E$8))</f>
        <v>0</v>
      </c>
      <c r="F15" s="141" cm="1">
        <f t="array" ref="F15">SUMPRODUCT((Başvuru!$D$2:$D$5077=$A15)*(VALUE(Başvuru!$I$2:$I$5077)=VALUE($C$4))*(Başvuru!$P$2:$P$5077=F$8))</f>
        <v>0</v>
      </c>
      <c r="G15" s="141" cm="1">
        <f t="array" ref="G15">SUMPRODUCT((Başvuru!$D$2:$D$5077=$A15)*(VALUE(Başvuru!$I$2:$I$5077)=VALUE($C$4))*(Başvuru!$P$2:$P$5077=G$8))</f>
        <v>0</v>
      </c>
      <c r="H15" s="141" cm="1">
        <f t="array" ref="H15">SUMPRODUCT((Başvuru!$D$2:$D$5077=$A15)*(VALUE(Başvuru!$I$2:$I$5077)=VALUE($C$4))*(Başvuru!$P$2:$P$5077=H$8))</f>
        <v>0</v>
      </c>
      <c r="I15" s="141" cm="1">
        <f t="array" ref="I15">SUMPRODUCT((Başvuru!$D$2:$D$5077=$A15)*(VALUE(Başvuru!$I$2:$I$5077)=VALUE($C$4))*(Başvuru!$P$2:$P$5077=I$8))</f>
        <v>0</v>
      </c>
    </row>
    <row r="16" spans="1:9" x14ac:dyDescent="0.25">
      <c r="A16" s="134" t="str">
        <v>Göğüs Hastalıkları Anabilim Dalı</v>
      </c>
      <c r="B16" s="141" cm="1">
        <f t="array" ref="B16">SUMPRODUCT((Başvuru!$D$2:$D$5077=$A16)*(VALUE(Başvuru!$I$2:$I$5077)=VALUE($C$4)))</f>
        <v>1</v>
      </c>
      <c r="C16" s="141" cm="1">
        <f t="array" ref="C16">SUMPRODUCT((Başvuru!$D$2:$D$5077=$A16)*(VALUE(Başvuru!$I$2:$I$5077)=VALUE($C$4))*(Başvuru!$P$2:$P$5077=C$8))</f>
        <v>0</v>
      </c>
      <c r="D16" s="141" cm="1">
        <f t="array" ref="D16">SUMPRODUCT((Başvuru!$D$2:$D$5077=$A16)*(VALUE(Başvuru!$I$2:$I$5077)=VALUE($C$4))*(Başvuru!$P$2:$P$5077=D$8))</f>
        <v>0</v>
      </c>
      <c r="E16" s="141" cm="1">
        <f t="array" ref="E16">SUMPRODUCT((Başvuru!$D$2:$D$5077=$A16)*(VALUE(Başvuru!$I$2:$I$5077)=VALUE($C$4))*(Başvuru!$P$2:$P$5077=E$8))</f>
        <v>0</v>
      </c>
      <c r="F16" s="141" cm="1">
        <f t="array" ref="F16">SUMPRODUCT((Başvuru!$D$2:$D$5077=$A16)*(VALUE(Başvuru!$I$2:$I$5077)=VALUE($C$4))*(Başvuru!$P$2:$P$5077=F$8))</f>
        <v>0</v>
      </c>
      <c r="G16" s="141" cm="1">
        <f t="array" ref="G16">SUMPRODUCT((Başvuru!$D$2:$D$5077=$A16)*(VALUE(Başvuru!$I$2:$I$5077)=VALUE($C$4))*(Başvuru!$P$2:$P$5077=G$8))</f>
        <v>0</v>
      </c>
      <c r="H16" s="141" cm="1">
        <f t="array" ref="H16">SUMPRODUCT((Başvuru!$D$2:$D$5077=$A16)*(VALUE(Başvuru!$I$2:$I$5077)=VALUE($C$4))*(Başvuru!$P$2:$P$5077=H$8))</f>
        <v>0</v>
      </c>
      <c r="I16" s="141" cm="1">
        <f t="array" ref="I16">SUMPRODUCT((Başvuru!$D$2:$D$5077=$A16)*(VALUE(Başvuru!$I$2:$I$5077)=VALUE($C$4))*(Başvuru!$P$2:$P$5077=I$8))</f>
        <v>0</v>
      </c>
    </row>
    <row r="17" spans="1:9" x14ac:dyDescent="0.25">
      <c r="A17" s="134" t="str">
        <v>Göz Hastalıkları Anabilim Dalı</v>
      </c>
      <c r="B17" s="141" cm="1">
        <f t="array" ref="B17">SUMPRODUCT((Başvuru!$D$2:$D$5077=$A17)*(VALUE(Başvuru!$I$2:$I$5077)=VALUE($C$4)))</f>
        <v>1</v>
      </c>
      <c r="C17" s="141" cm="1">
        <f t="array" ref="C17">SUMPRODUCT((Başvuru!$D$2:$D$5077=$A17)*(VALUE(Başvuru!$I$2:$I$5077)=VALUE($C$4))*(Başvuru!$P$2:$P$5077=C$8))</f>
        <v>0</v>
      </c>
      <c r="D17" s="141" cm="1">
        <f t="array" ref="D17">SUMPRODUCT((Başvuru!$D$2:$D$5077=$A17)*(VALUE(Başvuru!$I$2:$I$5077)=VALUE($C$4))*(Başvuru!$P$2:$P$5077=D$8))</f>
        <v>0</v>
      </c>
      <c r="E17" s="141" cm="1">
        <f t="array" ref="E17">SUMPRODUCT((Başvuru!$D$2:$D$5077=$A17)*(VALUE(Başvuru!$I$2:$I$5077)=VALUE($C$4))*(Başvuru!$P$2:$P$5077=E$8))</f>
        <v>0</v>
      </c>
      <c r="F17" s="141" cm="1">
        <f t="array" ref="F17">SUMPRODUCT((Başvuru!$D$2:$D$5077=$A17)*(VALUE(Başvuru!$I$2:$I$5077)=VALUE($C$4))*(Başvuru!$P$2:$P$5077=F$8))</f>
        <v>0</v>
      </c>
      <c r="G17" s="141" cm="1">
        <f t="array" ref="G17">SUMPRODUCT((Başvuru!$D$2:$D$5077=$A17)*(VALUE(Başvuru!$I$2:$I$5077)=VALUE($C$4))*(Başvuru!$P$2:$P$5077=G$8))</f>
        <v>0</v>
      </c>
      <c r="H17" s="141" cm="1">
        <f t="array" ref="H17">SUMPRODUCT((Başvuru!$D$2:$D$5077=$A17)*(VALUE(Başvuru!$I$2:$I$5077)=VALUE($C$4))*(Başvuru!$P$2:$P$5077=H$8))</f>
        <v>0</v>
      </c>
      <c r="I17" s="141" cm="1">
        <f t="array" ref="I17">SUMPRODUCT((Başvuru!$D$2:$D$5077=$A17)*(VALUE(Başvuru!$I$2:$I$5077)=VALUE($C$4))*(Başvuru!$P$2:$P$5077=I$8))</f>
        <v>0</v>
      </c>
    </row>
    <row r="18" spans="1:9" x14ac:dyDescent="0.25">
      <c r="A18" s="134" t="str">
        <v>Gülhane Sağlık Bilimleri Üniversitesi
Hemşirelik Fakültesi
Doğum ve Kadın Hastalıkları Hemşireliği Anabilim Dalı</v>
      </c>
      <c r="B18" s="141" cm="1">
        <f t="array" ref="B18">SUMPRODUCT((Başvuru!$D$2:$D$5077=$A18)*(VALUE(Başvuru!$I$2:$I$5077)=VALUE($C$4)))</f>
        <v>1</v>
      </c>
      <c r="C18" s="141" cm="1">
        <f t="array" ref="C18">SUMPRODUCT((Başvuru!$D$2:$D$5077=$A18)*(VALUE(Başvuru!$I$2:$I$5077)=VALUE($C$4))*(Başvuru!$P$2:$P$5077=C$8))</f>
        <v>0</v>
      </c>
      <c r="D18" s="141" cm="1">
        <f t="array" ref="D18">SUMPRODUCT((Başvuru!$D$2:$D$5077=$A18)*(VALUE(Başvuru!$I$2:$I$5077)=VALUE($C$4))*(Başvuru!$P$2:$P$5077=D$8))</f>
        <v>0</v>
      </c>
      <c r="E18" s="141" cm="1">
        <f t="array" ref="E18">SUMPRODUCT((Başvuru!$D$2:$D$5077=$A18)*(VALUE(Başvuru!$I$2:$I$5077)=VALUE($C$4))*(Başvuru!$P$2:$P$5077=E$8))</f>
        <v>0</v>
      </c>
      <c r="F18" s="141" cm="1">
        <f t="array" ref="F18">SUMPRODUCT((Başvuru!$D$2:$D$5077=$A18)*(VALUE(Başvuru!$I$2:$I$5077)=VALUE($C$4))*(Başvuru!$P$2:$P$5077=F$8))</f>
        <v>0</v>
      </c>
      <c r="G18" s="141" cm="1">
        <f t="array" ref="G18">SUMPRODUCT((Başvuru!$D$2:$D$5077=$A18)*(VALUE(Başvuru!$I$2:$I$5077)=VALUE($C$4))*(Başvuru!$P$2:$P$5077=G$8))</f>
        <v>0</v>
      </c>
      <c r="H18" s="141" cm="1">
        <f t="array" ref="H18">SUMPRODUCT((Başvuru!$D$2:$D$5077=$A18)*(VALUE(Başvuru!$I$2:$I$5077)=VALUE($C$4))*(Başvuru!$P$2:$P$5077=H$8))</f>
        <v>0</v>
      </c>
      <c r="I18" s="141" cm="1">
        <f t="array" ref="I18">SUMPRODUCT((Başvuru!$D$2:$D$5077=$A18)*(VALUE(Başvuru!$I$2:$I$5077)=VALUE($C$4))*(Başvuru!$P$2:$P$5077=I$8))</f>
        <v>0</v>
      </c>
    </row>
    <row r="19" spans="1:9" x14ac:dyDescent="0.25">
      <c r="A19" s="134" t="str">
        <v>Halk Sağlığı Anabilim Dalı</v>
      </c>
      <c r="B19" s="141" cm="1">
        <f t="array" ref="B19">SUMPRODUCT((Başvuru!$D$2:$D$5077=$A19)*(VALUE(Başvuru!$I$2:$I$5077)=VALUE($C$4)))</f>
        <v>1</v>
      </c>
      <c r="C19" s="141" cm="1">
        <f t="array" ref="C19">SUMPRODUCT((Başvuru!$D$2:$D$5077=$A19)*(VALUE(Başvuru!$I$2:$I$5077)=VALUE($C$4))*(Başvuru!$P$2:$P$5077=C$8))</f>
        <v>0</v>
      </c>
      <c r="D19" s="141" cm="1">
        <f t="array" ref="D19">SUMPRODUCT((Başvuru!$D$2:$D$5077=$A19)*(VALUE(Başvuru!$I$2:$I$5077)=VALUE($C$4))*(Başvuru!$P$2:$P$5077=D$8))</f>
        <v>0</v>
      </c>
      <c r="E19" s="141" cm="1">
        <f t="array" ref="E19">SUMPRODUCT((Başvuru!$D$2:$D$5077=$A19)*(VALUE(Başvuru!$I$2:$I$5077)=VALUE($C$4))*(Başvuru!$P$2:$P$5077=E$8))</f>
        <v>0</v>
      </c>
      <c r="F19" s="141" cm="1">
        <f t="array" ref="F19">SUMPRODUCT((Başvuru!$D$2:$D$5077=$A19)*(VALUE(Başvuru!$I$2:$I$5077)=VALUE($C$4))*(Başvuru!$P$2:$P$5077=F$8))</f>
        <v>0</v>
      </c>
      <c r="G19" s="141" cm="1">
        <f t="array" ref="G19">SUMPRODUCT((Başvuru!$D$2:$D$5077=$A19)*(VALUE(Başvuru!$I$2:$I$5077)=VALUE($C$4))*(Başvuru!$P$2:$P$5077=G$8))</f>
        <v>0</v>
      </c>
      <c r="H19" s="141" cm="1">
        <f t="array" ref="H19">SUMPRODUCT((Başvuru!$D$2:$D$5077=$A19)*(VALUE(Başvuru!$I$2:$I$5077)=VALUE($C$4))*(Başvuru!$P$2:$P$5077=H$8))</f>
        <v>0</v>
      </c>
      <c r="I19" s="141" cm="1">
        <f t="array" ref="I19">SUMPRODUCT((Başvuru!$D$2:$D$5077=$A19)*(VALUE(Başvuru!$I$2:$I$5077)=VALUE($C$4))*(Başvuru!$P$2:$P$5077=I$8))</f>
        <v>0</v>
      </c>
    </row>
    <row r="20" spans="1:9" x14ac:dyDescent="0.25">
      <c r="A20" s="134" t="str">
        <v>İç Hastalıkları Anabilim Dalı</v>
      </c>
      <c r="B20" s="141" cm="1">
        <f t="array" ref="B20">SUMPRODUCT((Başvuru!$D$2:$D$5077=$A20)*(VALUE(Başvuru!$I$2:$I$5077)=VALUE($C$4)))</f>
        <v>7</v>
      </c>
      <c r="C20" s="141" cm="1">
        <f t="array" ref="C20">SUMPRODUCT((Başvuru!$D$2:$D$5077=$A20)*(VALUE(Başvuru!$I$2:$I$5077)=VALUE($C$4))*(Başvuru!$P$2:$P$5077=C$8))</f>
        <v>0</v>
      </c>
      <c r="D20" s="141" cm="1">
        <f t="array" ref="D20">SUMPRODUCT((Başvuru!$D$2:$D$5077=$A20)*(VALUE(Başvuru!$I$2:$I$5077)=VALUE($C$4))*(Başvuru!$P$2:$P$5077=D$8))</f>
        <v>0</v>
      </c>
      <c r="E20" s="141" cm="1">
        <f t="array" ref="E20">SUMPRODUCT((Başvuru!$D$2:$D$5077=$A20)*(VALUE(Başvuru!$I$2:$I$5077)=VALUE($C$4))*(Başvuru!$P$2:$P$5077=E$8))</f>
        <v>0</v>
      </c>
      <c r="F20" s="141" cm="1">
        <f t="array" ref="F20">SUMPRODUCT((Başvuru!$D$2:$D$5077=$A20)*(VALUE(Başvuru!$I$2:$I$5077)=VALUE($C$4))*(Başvuru!$P$2:$P$5077=F$8))</f>
        <v>0</v>
      </c>
      <c r="G20" s="141" cm="1">
        <f t="array" ref="G20">SUMPRODUCT((Başvuru!$D$2:$D$5077=$A20)*(VALUE(Başvuru!$I$2:$I$5077)=VALUE($C$4))*(Başvuru!$P$2:$P$5077=G$8))</f>
        <v>0</v>
      </c>
      <c r="H20" s="141" cm="1">
        <f t="array" ref="H20">SUMPRODUCT((Başvuru!$D$2:$D$5077=$A20)*(VALUE(Başvuru!$I$2:$I$5077)=VALUE($C$4))*(Başvuru!$P$2:$P$5077=H$8))</f>
        <v>0</v>
      </c>
      <c r="I20" s="141" cm="1">
        <f t="array" ref="I20">SUMPRODUCT((Başvuru!$D$2:$D$5077=$A20)*(VALUE(Başvuru!$I$2:$I$5077)=VALUE($C$4))*(Başvuru!$P$2:$P$5077=I$8))</f>
        <v>0</v>
      </c>
    </row>
    <row r="21" spans="1:9" x14ac:dyDescent="0.25">
      <c r="A21" s="134" t="str">
        <v>Kadın Hastalıkları ve Doğum Anabilim Dalı</v>
      </c>
      <c r="B21" s="141" cm="1">
        <f t="array" ref="B21">SUMPRODUCT((Başvuru!$D$2:$D$5077=$A21)*(VALUE(Başvuru!$I$2:$I$5077)=VALUE($C$4)))</f>
        <v>5</v>
      </c>
      <c r="C21" s="141" cm="1">
        <f t="array" ref="C21">SUMPRODUCT((Başvuru!$D$2:$D$5077=$A21)*(VALUE(Başvuru!$I$2:$I$5077)=VALUE($C$4))*(Başvuru!$P$2:$P$5077=C$8))</f>
        <v>0</v>
      </c>
      <c r="D21" s="141" cm="1">
        <f t="array" ref="D21">SUMPRODUCT((Başvuru!$D$2:$D$5077=$A21)*(VALUE(Başvuru!$I$2:$I$5077)=VALUE($C$4))*(Başvuru!$P$2:$P$5077=D$8))</f>
        <v>0</v>
      </c>
      <c r="E21" s="141" cm="1">
        <f t="array" ref="E21">SUMPRODUCT((Başvuru!$D$2:$D$5077=$A21)*(VALUE(Başvuru!$I$2:$I$5077)=VALUE($C$4))*(Başvuru!$P$2:$P$5077=E$8))</f>
        <v>0</v>
      </c>
      <c r="F21" s="141" cm="1">
        <f t="array" ref="F21">SUMPRODUCT((Başvuru!$D$2:$D$5077=$A21)*(VALUE(Başvuru!$I$2:$I$5077)=VALUE($C$4))*(Başvuru!$P$2:$P$5077=F$8))</f>
        <v>0</v>
      </c>
      <c r="G21" s="141" cm="1">
        <f t="array" ref="G21">SUMPRODUCT((Başvuru!$D$2:$D$5077=$A21)*(VALUE(Başvuru!$I$2:$I$5077)=VALUE($C$4))*(Başvuru!$P$2:$P$5077=G$8))</f>
        <v>0</v>
      </c>
      <c r="H21" s="141" cm="1">
        <f t="array" ref="H21">SUMPRODUCT((Başvuru!$D$2:$D$5077=$A21)*(VALUE(Başvuru!$I$2:$I$5077)=VALUE($C$4))*(Başvuru!$P$2:$P$5077=H$8))</f>
        <v>0</v>
      </c>
      <c r="I21" s="141" cm="1">
        <f t="array" ref="I21">SUMPRODUCT((Başvuru!$D$2:$D$5077=$A21)*(VALUE(Başvuru!$I$2:$I$5077)=VALUE($C$4))*(Başvuru!$P$2:$P$5077=I$8))</f>
        <v>0</v>
      </c>
    </row>
    <row r="22" spans="1:9" x14ac:dyDescent="0.25">
      <c r="A22" s="134" t="str">
        <v>Klinik Eczacılık Anabilim Dalı</v>
      </c>
      <c r="B22" s="141" cm="1">
        <f t="array" ref="B22">SUMPRODUCT((Başvuru!$D$2:$D$5077=$A22)*(VALUE(Başvuru!$I$2:$I$5077)=VALUE($C$4)))</f>
        <v>1</v>
      </c>
      <c r="C22" s="141" cm="1">
        <f t="array" ref="C22">SUMPRODUCT((Başvuru!$D$2:$D$5077=$A22)*(VALUE(Başvuru!$I$2:$I$5077)=VALUE($C$4))*(Başvuru!$P$2:$P$5077=C$8))</f>
        <v>0</v>
      </c>
      <c r="D22" s="141" cm="1">
        <f t="array" ref="D22">SUMPRODUCT((Başvuru!$D$2:$D$5077=$A22)*(VALUE(Başvuru!$I$2:$I$5077)=VALUE($C$4))*(Başvuru!$P$2:$P$5077=D$8))</f>
        <v>0</v>
      </c>
      <c r="E22" s="141" cm="1">
        <f t="array" ref="E22">SUMPRODUCT((Başvuru!$D$2:$D$5077=$A22)*(VALUE(Başvuru!$I$2:$I$5077)=VALUE($C$4))*(Başvuru!$P$2:$P$5077=E$8))</f>
        <v>0</v>
      </c>
      <c r="F22" s="141" cm="1">
        <f t="array" ref="F22">SUMPRODUCT((Başvuru!$D$2:$D$5077=$A22)*(VALUE(Başvuru!$I$2:$I$5077)=VALUE($C$4))*(Başvuru!$P$2:$P$5077=F$8))</f>
        <v>0</v>
      </c>
      <c r="G22" s="141" cm="1">
        <f t="array" ref="G22">SUMPRODUCT((Başvuru!$D$2:$D$5077=$A22)*(VALUE(Başvuru!$I$2:$I$5077)=VALUE($C$4))*(Başvuru!$P$2:$P$5077=G$8))</f>
        <v>0</v>
      </c>
      <c r="H22" s="141" cm="1">
        <f t="array" ref="H22">SUMPRODUCT((Başvuru!$D$2:$D$5077=$A22)*(VALUE(Başvuru!$I$2:$I$5077)=VALUE($C$4))*(Başvuru!$P$2:$P$5077=H$8))</f>
        <v>0</v>
      </c>
      <c r="I22" s="141" cm="1">
        <f t="array" ref="I22">SUMPRODUCT((Başvuru!$D$2:$D$5077=$A22)*(VALUE(Başvuru!$I$2:$I$5077)=VALUE($C$4))*(Başvuru!$P$2:$P$5077=I$8))</f>
        <v>0</v>
      </c>
    </row>
    <row r="23" spans="1:9" x14ac:dyDescent="0.25">
      <c r="A23" s="134" t="str">
        <v>Kulak Burun Boğaz Anabilim Dalı</v>
      </c>
      <c r="B23" s="141" cm="1">
        <f t="array" ref="B23">SUMPRODUCT((Başvuru!$D$2:$D$5077=$A23)*(VALUE(Başvuru!$I$2:$I$5077)=VALUE($C$4)))</f>
        <v>2</v>
      </c>
      <c r="C23" s="141" cm="1">
        <f t="array" ref="C23">SUMPRODUCT((Başvuru!$D$2:$D$5077=$A23)*(VALUE(Başvuru!$I$2:$I$5077)=VALUE($C$4))*(Başvuru!$P$2:$P$5077=C$8))</f>
        <v>0</v>
      </c>
      <c r="D23" s="141" cm="1">
        <f t="array" ref="D23">SUMPRODUCT((Başvuru!$D$2:$D$5077=$A23)*(VALUE(Başvuru!$I$2:$I$5077)=VALUE($C$4))*(Başvuru!$P$2:$P$5077=D$8))</f>
        <v>0</v>
      </c>
      <c r="E23" s="141" cm="1">
        <f t="array" ref="E23">SUMPRODUCT((Başvuru!$D$2:$D$5077=$A23)*(VALUE(Başvuru!$I$2:$I$5077)=VALUE($C$4))*(Başvuru!$P$2:$P$5077=E$8))</f>
        <v>0</v>
      </c>
      <c r="F23" s="141" cm="1">
        <f t="array" ref="F23">SUMPRODUCT((Başvuru!$D$2:$D$5077=$A23)*(VALUE(Başvuru!$I$2:$I$5077)=VALUE($C$4))*(Başvuru!$P$2:$P$5077=F$8))</f>
        <v>0</v>
      </c>
      <c r="G23" s="141" cm="1">
        <f t="array" ref="G23">SUMPRODUCT((Başvuru!$D$2:$D$5077=$A23)*(VALUE(Başvuru!$I$2:$I$5077)=VALUE($C$4))*(Başvuru!$P$2:$P$5077=G$8))</f>
        <v>0</v>
      </c>
      <c r="H23" s="141" cm="1">
        <f t="array" ref="H23">SUMPRODUCT((Başvuru!$D$2:$D$5077=$A23)*(VALUE(Başvuru!$I$2:$I$5077)=VALUE($C$4))*(Başvuru!$P$2:$P$5077=H$8))</f>
        <v>0</v>
      </c>
      <c r="I23" s="141" cm="1">
        <f t="array" ref="I23">SUMPRODUCT((Başvuru!$D$2:$D$5077=$A23)*(VALUE(Başvuru!$I$2:$I$5077)=VALUE($C$4))*(Başvuru!$P$2:$P$5077=I$8))</f>
        <v>0</v>
      </c>
    </row>
    <row r="24" spans="1:9" x14ac:dyDescent="0.25">
      <c r="A24" s="134" t="str">
        <v>Nöroloji Anabilim Dalı</v>
      </c>
      <c r="B24" s="141" cm="1">
        <f t="array" ref="B24">SUMPRODUCT((Başvuru!$D$2:$D$5077=$A24)*(VALUE(Başvuru!$I$2:$I$5077)=VALUE($C$4)))</f>
        <v>1</v>
      </c>
      <c r="C24" s="141" cm="1">
        <f t="array" ref="C24">SUMPRODUCT((Başvuru!$D$2:$D$5077=$A24)*(VALUE(Başvuru!$I$2:$I$5077)=VALUE($C$4))*(Başvuru!$P$2:$P$5077=C$8))</f>
        <v>0</v>
      </c>
      <c r="D24" s="141" cm="1">
        <f t="array" ref="D24">SUMPRODUCT((Başvuru!$D$2:$D$5077=$A24)*(VALUE(Başvuru!$I$2:$I$5077)=VALUE($C$4))*(Başvuru!$P$2:$P$5077=D$8))</f>
        <v>0</v>
      </c>
      <c r="E24" s="141" cm="1">
        <f t="array" ref="E24">SUMPRODUCT((Başvuru!$D$2:$D$5077=$A24)*(VALUE(Başvuru!$I$2:$I$5077)=VALUE($C$4))*(Başvuru!$P$2:$P$5077=E$8))</f>
        <v>0</v>
      </c>
      <c r="F24" s="141" cm="1">
        <f t="array" ref="F24">SUMPRODUCT((Başvuru!$D$2:$D$5077=$A24)*(VALUE(Başvuru!$I$2:$I$5077)=VALUE($C$4))*(Başvuru!$P$2:$P$5077=F$8))</f>
        <v>0</v>
      </c>
      <c r="G24" s="141" cm="1">
        <f t="array" ref="G24">SUMPRODUCT((Başvuru!$D$2:$D$5077=$A24)*(VALUE(Başvuru!$I$2:$I$5077)=VALUE($C$4))*(Başvuru!$P$2:$P$5077=G$8))</f>
        <v>0</v>
      </c>
      <c r="H24" s="141" cm="1">
        <f t="array" ref="H24">SUMPRODUCT((Başvuru!$D$2:$D$5077=$A24)*(VALUE(Başvuru!$I$2:$I$5077)=VALUE($C$4))*(Başvuru!$P$2:$P$5077=H$8))</f>
        <v>0</v>
      </c>
      <c r="I24" s="141" cm="1">
        <f t="array" ref="I24">SUMPRODUCT((Başvuru!$D$2:$D$5077=$A24)*(VALUE(Başvuru!$I$2:$I$5077)=VALUE($C$4))*(Başvuru!$P$2:$P$5077=I$8))</f>
        <v>0</v>
      </c>
    </row>
    <row r="25" spans="1:9" x14ac:dyDescent="0.25">
      <c r="A25" s="134" t="str">
        <v>Ortopedi ve Travmatoloji Anabilim Dalı</v>
      </c>
      <c r="B25" s="141" cm="1">
        <f t="array" ref="B25">SUMPRODUCT((Başvuru!$D$2:$D$5077=$A25)*(VALUE(Başvuru!$I$2:$I$5077)=VALUE($C$4)))</f>
        <v>4</v>
      </c>
      <c r="C25" s="141" cm="1">
        <f t="array" ref="C25">SUMPRODUCT((Başvuru!$D$2:$D$5077=$A25)*(VALUE(Başvuru!$I$2:$I$5077)=VALUE($C$4))*(Başvuru!$P$2:$P$5077=C$8))</f>
        <v>0</v>
      </c>
      <c r="D25" s="141" cm="1">
        <f t="array" ref="D25">SUMPRODUCT((Başvuru!$D$2:$D$5077=$A25)*(VALUE(Başvuru!$I$2:$I$5077)=VALUE($C$4))*(Başvuru!$P$2:$P$5077=D$8))</f>
        <v>0</v>
      </c>
      <c r="E25" s="141" cm="1">
        <f t="array" ref="E25">SUMPRODUCT((Başvuru!$D$2:$D$5077=$A25)*(VALUE(Başvuru!$I$2:$I$5077)=VALUE($C$4))*(Başvuru!$P$2:$P$5077=E$8))</f>
        <v>0</v>
      </c>
      <c r="F25" s="141" cm="1">
        <f t="array" ref="F25">SUMPRODUCT((Başvuru!$D$2:$D$5077=$A25)*(VALUE(Başvuru!$I$2:$I$5077)=VALUE($C$4))*(Başvuru!$P$2:$P$5077=F$8))</f>
        <v>0</v>
      </c>
      <c r="G25" s="141" cm="1">
        <f t="array" ref="G25">SUMPRODUCT((Başvuru!$D$2:$D$5077=$A25)*(VALUE(Başvuru!$I$2:$I$5077)=VALUE($C$4))*(Başvuru!$P$2:$P$5077=G$8))</f>
        <v>0</v>
      </c>
      <c r="H25" s="141" cm="1">
        <f t="array" ref="H25">SUMPRODUCT((Başvuru!$D$2:$D$5077=$A25)*(VALUE(Başvuru!$I$2:$I$5077)=VALUE($C$4))*(Başvuru!$P$2:$P$5077=H$8))</f>
        <v>0</v>
      </c>
      <c r="I25" s="141" cm="1">
        <f t="array" ref="I25">SUMPRODUCT((Başvuru!$D$2:$D$5077=$A25)*(VALUE(Başvuru!$I$2:$I$5077)=VALUE($C$4))*(Başvuru!$P$2:$P$5077=I$8))</f>
        <v>0</v>
      </c>
    </row>
    <row r="26" spans="1:9" x14ac:dyDescent="0.25">
      <c r="A26" s="134" t="str">
        <v>Pediatrik Temel Bilimler Anabilim Dalı</v>
      </c>
      <c r="B26" s="141" cm="1">
        <f t="array" ref="B26">SUMPRODUCT((Başvuru!$D$2:$D$5077=$A26)*(VALUE(Başvuru!$I$2:$I$5077)=VALUE($C$4)))</f>
        <v>1</v>
      </c>
      <c r="C26" s="141" cm="1">
        <f t="array" ref="C26">SUMPRODUCT((Başvuru!$D$2:$D$5077=$A26)*(VALUE(Başvuru!$I$2:$I$5077)=VALUE($C$4))*(Başvuru!$P$2:$P$5077=C$8))</f>
        <v>0</v>
      </c>
      <c r="D26" s="141" cm="1">
        <f t="array" ref="D26">SUMPRODUCT((Başvuru!$D$2:$D$5077=$A26)*(VALUE(Başvuru!$I$2:$I$5077)=VALUE($C$4))*(Başvuru!$P$2:$P$5077=D$8))</f>
        <v>0</v>
      </c>
      <c r="E26" s="141" cm="1">
        <f t="array" ref="E26">SUMPRODUCT((Başvuru!$D$2:$D$5077=$A26)*(VALUE(Başvuru!$I$2:$I$5077)=VALUE($C$4))*(Başvuru!$P$2:$P$5077=E$8))</f>
        <v>0</v>
      </c>
      <c r="F26" s="141" cm="1">
        <f t="array" ref="F26">SUMPRODUCT((Başvuru!$D$2:$D$5077=$A26)*(VALUE(Başvuru!$I$2:$I$5077)=VALUE($C$4))*(Başvuru!$P$2:$P$5077=F$8))</f>
        <v>0</v>
      </c>
      <c r="G26" s="141" cm="1">
        <f t="array" ref="G26">SUMPRODUCT((Başvuru!$D$2:$D$5077=$A26)*(VALUE(Başvuru!$I$2:$I$5077)=VALUE($C$4))*(Başvuru!$P$2:$P$5077=G$8))</f>
        <v>0</v>
      </c>
      <c r="H26" s="141" cm="1">
        <f t="array" ref="H26">SUMPRODUCT((Başvuru!$D$2:$D$5077=$A26)*(VALUE(Başvuru!$I$2:$I$5077)=VALUE($C$4))*(Başvuru!$P$2:$P$5077=H$8))</f>
        <v>0</v>
      </c>
      <c r="I26" s="141" cm="1">
        <f t="array" ref="I26">SUMPRODUCT((Başvuru!$D$2:$D$5077=$A26)*(VALUE(Başvuru!$I$2:$I$5077)=VALUE($C$4))*(Başvuru!$P$2:$P$5077=I$8))</f>
        <v>0</v>
      </c>
    </row>
    <row r="27" spans="1:9" x14ac:dyDescent="0.25">
      <c r="A27" s="134" t="str">
        <v>Periodontoloji Anabilim Dalı</v>
      </c>
      <c r="B27" s="141" cm="1">
        <f t="array" ref="B27">SUMPRODUCT((Başvuru!$D$2:$D$5077=$A27)*(VALUE(Başvuru!$I$2:$I$5077)=VALUE($C$4)))</f>
        <v>2</v>
      </c>
      <c r="C27" s="141" cm="1">
        <f t="array" ref="C27">SUMPRODUCT((Başvuru!$D$2:$D$5077=$A27)*(VALUE(Başvuru!$I$2:$I$5077)=VALUE($C$4))*(Başvuru!$P$2:$P$5077=C$8))</f>
        <v>0</v>
      </c>
      <c r="D27" s="141" cm="1">
        <f t="array" ref="D27">SUMPRODUCT((Başvuru!$D$2:$D$5077=$A27)*(VALUE(Başvuru!$I$2:$I$5077)=VALUE($C$4))*(Başvuru!$P$2:$P$5077=D$8))</f>
        <v>0</v>
      </c>
      <c r="E27" s="141" cm="1">
        <f t="array" ref="E27">SUMPRODUCT((Başvuru!$D$2:$D$5077=$A27)*(VALUE(Başvuru!$I$2:$I$5077)=VALUE($C$4))*(Başvuru!$P$2:$P$5077=E$8))</f>
        <v>0</v>
      </c>
      <c r="F27" s="141" cm="1">
        <f t="array" ref="F27">SUMPRODUCT((Başvuru!$D$2:$D$5077=$A27)*(VALUE(Başvuru!$I$2:$I$5077)=VALUE($C$4))*(Başvuru!$P$2:$P$5077=F$8))</f>
        <v>0</v>
      </c>
      <c r="G27" s="141" cm="1">
        <f t="array" ref="G27">SUMPRODUCT((Başvuru!$D$2:$D$5077=$A27)*(VALUE(Başvuru!$I$2:$I$5077)=VALUE($C$4))*(Başvuru!$P$2:$P$5077=G$8))</f>
        <v>0</v>
      </c>
      <c r="H27" s="141" cm="1">
        <f t="array" ref="H27">SUMPRODUCT((Başvuru!$D$2:$D$5077=$A27)*(VALUE(Başvuru!$I$2:$I$5077)=VALUE($C$4))*(Başvuru!$P$2:$P$5077=H$8))</f>
        <v>0</v>
      </c>
      <c r="I27" s="141" cm="1">
        <f t="array" ref="I27">SUMPRODUCT((Başvuru!$D$2:$D$5077=$A27)*(VALUE(Başvuru!$I$2:$I$5077)=VALUE($C$4))*(Başvuru!$P$2:$P$5077=I$8))</f>
        <v>0</v>
      </c>
    </row>
    <row r="28" spans="1:9" x14ac:dyDescent="0.25">
      <c r="A28" s="134" t="str">
        <v>Protetik Diş Tedavisi Anabilim Dalı</v>
      </c>
      <c r="B28" s="141" cm="1">
        <f t="array" ref="B28">SUMPRODUCT((Başvuru!$D$2:$D$5077=$A28)*(VALUE(Başvuru!$I$2:$I$5077)=VALUE($C$4)))</f>
        <v>1</v>
      </c>
      <c r="C28" s="141" cm="1">
        <f t="array" ref="C28">SUMPRODUCT((Başvuru!$D$2:$D$5077=$A28)*(VALUE(Başvuru!$I$2:$I$5077)=VALUE($C$4))*(Başvuru!$P$2:$P$5077=C$8))</f>
        <v>0</v>
      </c>
      <c r="D28" s="141" cm="1">
        <f t="array" ref="D28">SUMPRODUCT((Başvuru!$D$2:$D$5077=$A28)*(VALUE(Başvuru!$I$2:$I$5077)=VALUE($C$4))*(Başvuru!$P$2:$P$5077=D$8))</f>
        <v>0</v>
      </c>
      <c r="E28" s="141" cm="1">
        <f t="array" ref="E28">SUMPRODUCT((Başvuru!$D$2:$D$5077=$A28)*(VALUE(Başvuru!$I$2:$I$5077)=VALUE($C$4))*(Başvuru!$P$2:$P$5077=E$8))</f>
        <v>0</v>
      </c>
      <c r="F28" s="141" cm="1">
        <f t="array" ref="F28">SUMPRODUCT((Başvuru!$D$2:$D$5077=$A28)*(VALUE(Başvuru!$I$2:$I$5077)=VALUE($C$4))*(Başvuru!$P$2:$P$5077=F$8))</f>
        <v>0</v>
      </c>
      <c r="G28" s="141" cm="1">
        <f t="array" ref="G28">SUMPRODUCT((Başvuru!$D$2:$D$5077=$A28)*(VALUE(Başvuru!$I$2:$I$5077)=VALUE($C$4))*(Başvuru!$P$2:$P$5077=G$8))</f>
        <v>0</v>
      </c>
      <c r="H28" s="141" cm="1">
        <f t="array" ref="H28">SUMPRODUCT((Başvuru!$D$2:$D$5077=$A28)*(VALUE(Başvuru!$I$2:$I$5077)=VALUE($C$4))*(Başvuru!$P$2:$P$5077=H$8))</f>
        <v>0</v>
      </c>
      <c r="I28" s="141" cm="1">
        <f t="array" ref="I28">SUMPRODUCT((Başvuru!$D$2:$D$5077=$A28)*(VALUE(Başvuru!$I$2:$I$5077)=VALUE($C$4))*(Başvuru!$P$2:$P$5077=I$8))</f>
        <v>0</v>
      </c>
    </row>
    <row r="29" spans="1:9" x14ac:dyDescent="0.25">
      <c r="A29" s="134" t="str">
        <v>Radyoloji Anabilim Dalı</v>
      </c>
      <c r="B29" s="141" cm="1">
        <f t="array" ref="B29">SUMPRODUCT((Başvuru!$D$2:$D$5077=$A29)*(VALUE(Başvuru!$I$2:$I$5077)=VALUE($C$4)))</f>
        <v>1</v>
      </c>
      <c r="C29" s="141" cm="1">
        <f t="array" ref="C29">SUMPRODUCT((Başvuru!$D$2:$D$5077=$A29)*(VALUE(Başvuru!$I$2:$I$5077)=VALUE($C$4))*(Başvuru!$P$2:$P$5077=C$8))</f>
        <v>0</v>
      </c>
      <c r="D29" s="141" cm="1">
        <f t="array" ref="D29">SUMPRODUCT((Başvuru!$D$2:$D$5077=$A29)*(VALUE(Başvuru!$I$2:$I$5077)=VALUE($C$4))*(Başvuru!$P$2:$P$5077=D$8))</f>
        <v>0</v>
      </c>
      <c r="E29" s="141" cm="1">
        <f t="array" ref="E29">SUMPRODUCT((Başvuru!$D$2:$D$5077=$A29)*(VALUE(Başvuru!$I$2:$I$5077)=VALUE($C$4))*(Başvuru!$P$2:$P$5077=E$8))</f>
        <v>0</v>
      </c>
      <c r="F29" s="141" cm="1">
        <f t="array" ref="F29">SUMPRODUCT((Başvuru!$D$2:$D$5077=$A29)*(VALUE(Başvuru!$I$2:$I$5077)=VALUE($C$4))*(Başvuru!$P$2:$P$5077=F$8))</f>
        <v>0</v>
      </c>
      <c r="G29" s="141" cm="1">
        <f t="array" ref="G29">SUMPRODUCT((Başvuru!$D$2:$D$5077=$A29)*(VALUE(Başvuru!$I$2:$I$5077)=VALUE($C$4))*(Başvuru!$P$2:$P$5077=G$8))</f>
        <v>0</v>
      </c>
      <c r="H29" s="141" cm="1">
        <f t="array" ref="H29">SUMPRODUCT((Başvuru!$D$2:$D$5077=$A29)*(VALUE(Başvuru!$I$2:$I$5077)=VALUE($C$4))*(Başvuru!$P$2:$P$5077=H$8))</f>
        <v>0</v>
      </c>
      <c r="I29" s="141" cm="1">
        <f t="array" ref="I29">SUMPRODUCT((Başvuru!$D$2:$D$5077=$A29)*(VALUE(Başvuru!$I$2:$I$5077)=VALUE($C$4))*(Başvuru!$P$2:$P$5077=I$8))</f>
        <v>0</v>
      </c>
    </row>
    <row r="30" spans="1:9" x14ac:dyDescent="0.25">
      <c r="A30" s="134" t="str">
        <v>Restoratif Diş Tedavisi Anabilim Dalı</v>
      </c>
      <c r="B30" s="141" cm="1">
        <f t="array" ref="B30">SUMPRODUCT((Başvuru!$D$2:$D$5077=$A30)*(VALUE(Başvuru!$I$2:$I$5077)=VALUE($C$4)))</f>
        <v>1</v>
      </c>
      <c r="C30" s="141" cm="1">
        <f t="array" ref="C30">SUMPRODUCT((Başvuru!$D$2:$D$5077=$A30)*(VALUE(Başvuru!$I$2:$I$5077)=VALUE($C$4))*(Başvuru!$P$2:$P$5077=C$8))</f>
        <v>0</v>
      </c>
      <c r="D30" s="141" cm="1">
        <f t="array" ref="D30">SUMPRODUCT((Başvuru!$D$2:$D$5077=$A30)*(VALUE(Başvuru!$I$2:$I$5077)=VALUE($C$4))*(Başvuru!$P$2:$P$5077=D$8))</f>
        <v>0</v>
      </c>
      <c r="E30" s="141" cm="1">
        <f t="array" ref="E30">SUMPRODUCT((Başvuru!$D$2:$D$5077=$A30)*(VALUE(Başvuru!$I$2:$I$5077)=VALUE($C$4))*(Başvuru!$P$2:$P$5077=E$8))</f>
        <v>0</v>
      </c>
      <c r="F30" s="141" cm="1">
        <f t="array" ref="F30">SUMPRODUCT((Başvuru!$D$2:$D$5077=$A30)*(VALUE(Başvuru!$I$2:$I$5077)=VALUE($C$4))*(Başvuru!$P$2:$P$5077=F$8))</f>
        <v>0</v>
      </c>
      <c r="G30" s="141" cm="1">
        <f t="array" ref="G30">SUMPRODUCT((Başvuru!$D$2:$D$5077=$A30)*(VALUE(Başvuru!$I$2:$I$5077)=VALUE($C$4))*(Başvuru!$P$2:$P$5077=G$8))</f>
        <v>0</v>
      </c>
      <c r="H30" s="141" cm="1">
        <f t="array" ref="H30">SUMPRODUCT((Başvuru!$D$2:$D$5077=$A30)*(VALUE(Başvuru!$I$2:$I$5077)=VALUE($C$4))*(Başvuru!$P$2:$P$5077=H$8))</f>
        <v>0</v>
      </c>
      <c r="I30" s="141" cm="1">
        <f t="array" ref="I30">SUMPRODUCT((Başvuru!$D$2:$D$5077=$A30)*(VALUE(Başvuru!$I$2:$I$5077)=VALUE($C$4))*(Başvuru!$P$2:$P$5077=I$8))</f>
        <v>0</v>
      </c>
    </row>
    <row r="31" spans="1:9" x14ac:dyDescent="0.25">
      <c r="A31" s="134" t="str">
        <v>Sosyal Hizmet Anabilim Dalı</v>
      </c>
      <c r="B31" s="141" cm="1">
        <f t="array" ref="B31">SUMPRODUCT((Başvuru!$D$2:$D$5077=$A31)*(VALUE(Başvuru!$I$2:$I$5077)=VALUE($C$4)))</f>
        <v>1</v>
      </c>
      <c r="C31" s="141" cm="1">
        <f t="array" ref="C31">SUMPRODUCT((Başvuru!$D$2:$D$5077=$A31)*(VALUE(Başvuru!$I$2:$I$5077)=VALUE($C$4))*(Başvuru!$P$2:$P$5077=C$8))</f>
        <v>0</v>
      </c>
      <c r="D31" s="141" cm="1">
        <f t="array" ref="D31">SUMPRODUCT((Başvuru!$D$2:$D$5077=$A31)*(VALUE(Başvuru!$I$2:$I$5077)=VALUE($C$4))*(Başvuru!$P$2:$P$5077=D$8))</f>
        <v>0</v>
      </c>
      <c r="E31" s="141" cm="1">
        <f t="array" ref="E31">SUMPRODUCT((Başvuru!$D$2:$D$5077=$A31)*(VALUE(Başvuru!$I$2:$I$5077)=VALUE($C$4))*(Başvuru!$P$2:$P$5077=E$8))</f>
        <v>0</v>
      </c>
      <c r="F31" s="141" cm="1">
        <f t="array" ref="F31">SUMPRODUCT((Başvuru!$D$2:$D$5077=$A31)*(VALUE(Başvuru!$I$2:$I$5077)=VALUE($C$4))*(Başvuru!$P$2:$P$5077=F$8))</f>
        <v>0</v>
      </c>
      <c r="G31" s="141" cm="1">
        <f t="array" ref="G31">SUMPRODUCT((Başvuru!$D$2:$D$5077=$A31)*(VALUE(Başvuru!$I$2:$I$5077)=VALUE($C$4))*(Başvuru!$P$2:$P$5077=G$8))</f>
        <v>0</v>
      </c>
      <c r="H31" s="141" cm="1">
        <f t="array" ref="H31">SUMPRODUCT((Başvuru!$D$2:$D$5077=$A31)*(VALUE(Başvuru!$I$2:$I$5077)=VALUE($C$4))*(Başvuru!$P$2:$P$5077=H$8))</f>
        <v>0</v>
      </c>
      <c r="I31" s="141" cm="1">
        <f t="array" ref="I31">SUMPRODUCT((Başvuru!$D$2:$D$5077=$A31)*(VALUE(Başvuru!$I$2:$I$5077)=VALUE($C$4))*(Başvuru!$P$2:$P$5077=I$8))</f>
        <v>0</v>
      </c>
    </row>
    <row r="32" spans="1:9" x14ac:dyDescent="0.25">
      <c r="A32" s="134" t="str">
        <v>Üroloji Anabilim Dalı</v>
      </c>
      <c r="B32" s="141" cm="1">
        <f t="array" ref="B32">SUMPRODUCT((Başvuru!$D$2:$D$5077=$A32)*(VALUE(Başvuru!$I$2:$I$5077)=VALUE($C$4)))</f>
        <v>3</v>
      </c>
      <c r="C32" s="141" cm="1">
        <f t="array" ref="C32">SUMPRODUCT((Başvuru!$D$2:$D$5077=$A32)*(VALUE(Başvuru!$I$2:$I$5077)=VALUE($C$4))*(Başvuru!$P$2:$P$5077=C$8))</f>
        <v>0</v>
      </c>
      <c r="D32" s="141" cm="1">
        <f t="array" ref="D32">SUMPRODUCT((Başvuru!$D$2:$D$5077=$A32)*(VALUE(Başvuru!$I$2:$I$5077)=VALUE($C$4))*(Başvuru!$P$2:$P$5077=D$8))</f>
        <v>0</v>
      </c>
      <c r="E32" s="141" cm="1">
        <f t="array" ref="E32">SUMPRODUCT((Başvuru!$D$2:$D$5077=$A32)*(VALUE(Başvuru!$I$2:$I$5077)=VALUE($C$4))*(Başvuru!$P$2:$P$5077=E$8))</f>
        <v>0</v>
      </c>
      <c r="F32" s="141" cm="1">
        <f t="array" ref="F32">SUMPRODUCT((Başvuru!$D$2:$D$5077=$A32)*(VALUE(Başvuru!$I$2:$I$5077)=VALUE($C$4))*(Başvuru!$P$2:$P$5077=F$8))</f>
        <v>0</v>
      </c>
      <c r="G32" s="141" cm="1">
        <f t="array" ref="G32">SUMPRODUCT((Başvuru!$D$2:$D$5077=$A32)*(VALUE(Başvuru!$I$2:$I$5077)=VALUE($C$4))*(Başvuru!$P$2:$P$5077=G$8))</f>
        <v>0</v>
      </c>
      <c r="H32" s="141" cm="1">
        <f t="array" ref="H32">SUMPRODUCT((Başvuru!$D$2:$D$5077=$A32)*(VALUE(Başvuru!$I$2:$I$5077)=VALUE($C$4))*(Başvuru!$P$2:$P$5077=H$8))</f>
        <v>0</v>
      </c>
      <c r="I32" s="141" cm="1">
        <f t="array" ref="I32">SUMPRODUCT((Başvuru!$D$2:$D$5077=$A32)*(VALUE(Başvuru!$I$2:$I$5077)=VALUE($C$4))*(Başvuru!$P$2:$P$5077=I$8))</f>
        <v>0</v>
      </c>
    </row>
    <row r="33" spans="2:9" x14ac:dyDescent="0.25">
      <c r="B33" s="141" cm="1">
        <f t="array" ref="B33">SUMPRODUCT((Başvuru!$D$2:$D$5077=$A33)*(VALUE(Başvuru!$I$2:$I$5077)=VALUE($C$4)))</f>
        <v>0</v>
      </c>
      <c r="C33" s="141" cm="1">
        <f t="array" ref="C33">SUMPRODUCT((Başvuru!$D$2:$D$5077=$A33)*(VALUE(Başvuru!$I$2:$I$5077)=VALUE($C$4))*(Başvuru!$P$2:$P$5077=C$8))</f>
        <v>0</v>
      </c>
      <c r="D33" s="141" cm="1">
        <f t="array" ref="D33">SUMPRODUCT((Başvuru!$D$2:$D$5077=$A33)*(VALUE(Başvuru!$I$2:$I$5077)=VALUE($C$4))*(Başvuru!$P$2:$P$5077=D$8))</f>
        <v>0</v>
      </c>
      <c r="E33" s="141" cm="1">
        <f t="array" ref="E33">SUMPRODUCT((Başvuru!$D$2:$D$5077=$A33)*(VALUE(Başvuru!$I$2:$I$5077)=VALUE($C$4))*(Başvuru!$P$2:$P$5077=E$8))</f>
        <v>0</v>
      </c>
      <c r="F33" s="141" cm="1">
        <f t="array" ref="F33">SUMPRODUCT((Başvuru!$D$2:$D$5077=$A33)*(VALUE(Başvuru!$I$2:$I$5077)=VALUE($C$4))*(Başvuru!$P$2:$P$5077=F$8))</f>
        <v>0</v>
      </c>
      <c r="G33" s="141" cm="1">
        <f t="array" ref="G33">SUMPRODUCT((Başvuru!$D$2:$D$5077=$A33)*(VALUE(Başvuru!$I$2:$I$5077)=VALUE($C$4))*(Başvuru!$P$2:$P$5077=G$8))</f>
        <v>0</v>
      </c>
      <c r="H33" s="141" cm="1">
        <f t="array" ref="H33">SUMPRODUCT((Başvuru!$D$2:$D$5077=$A33)*(VALUE(Başvuru!$I$2:$I$5077)=VALUE($C$4))*(Başvuru!$P$2:$P$5077=H$8))</f>
        <v>0</v>
      </c>
      <c r="I33" s="141" cm="1">
        <f t="array" ref="I33">SUMPRODUCT((Başvuru!$D$2:$D$5077=$A33)*(VALUE(Başvuru!$I$2:$I$5077)=VALUE($C$4))*(Başvuru!$P$2:$P$5077=I$8))</f>
        <v>0</v>
      </c>
    </row>
    <row r="34" spans="2:9" x14ac:dyDescent="0.25">
      <c r="B34" s="141" cm="1">
        <f t="array" ref="B34">SUMPRODUCT((Başvuru!$D$2:$D$5077=$A34)*(VALUE(Başvuru!$I$2:$I$5077)=VALUE($C$4)))</f>
        <v>0</v>
      </c>
      <c r="C34" s="141" cm="1">
        <f t="array" ref="C34">SUMPRODUCT((Başvuru!$D$2:$D$5077=$A34)*(VALUE(Başvuru!$I$2:$I$5077)=VALUE($C$4))*(Başvuru!$P$2:$P$5077=C$8))</f>
        <v>0</v>
      </c>
      <c r="D34" s="141" cm="1">
        <f t="array" ref="D34">SUMPRODUCT((Başvuru!$D$2:$D$5077=$A34)*(VALUE(Başvuru!$I$2:$I$5077)=VALUE($C$4))*(Başvuru!$P$2:$P$5077=D$8))</f>
        <v>0</v>
      </c>
      <c r="E34" s="141" cm="1">
        <f t="array" ref="E34">SUMPRODUCT((Başvuru!$D$2:$D$5077=$A34)*(VALUE(Başvuru!$I$2:$I$5077)=VALUE($C$4))*(Başvuru!$P$2:$P$5077=E$8))</f>
        <v>0</v>
      </c>
      <c r="F34" s="141" cm="1">
        <f t="array" ref="F34">SUMPRODUCT((Başvuru!$D$2:$D$5077=$A34)*(VALUE(Başvuru!$I$2:$I$5077)=VALUE($C$4))*(Başvuru!$P$2:$P$5077=F$8))</f>
        <v>0</v>
      </c>
      <c r="G34" s="141" cm="1">
        <f t="array" ref="G34">SUMPRODUCT((Başvuru!$D$2:$D$5077=$A34)*(VALUE(Başvuru!$I$2:$I$5077)=VALUE($C$4))*(Başvuru!$P$2:$P$5077=G$8))</f>
        <v>0</v>
      </c>
      <c r="H34" s="141" cm="1">
        <f t="array" ref="H34">SUMPRODUCT((Başvuru!$D$2:$D$5077=$A34)*(VALUE(Başvuru!$I$2:$I$5077)=VALUE($C$4))*(Başvuru!$P$2:$P$5077=H$8))</f>
        <v>0</v>
      </c>
      <c r="I34" s="141" cm="1">
        <f t="array" ref="I34">SUMPRODUCT((Başvuru!$D$2:$D$5077=$A34)*(VALUE(Başvuru!$I$2:$I$5077)=VALUE($C$4))*(Başvuru!$P$2:$P$5077=I$8))</f>
        <v>0</v>
      </c>
    </row>
    <row r="35" spans="2:9" x14ac:dyDescent="0.25">
      <c r="B35" s="141" cm="1">
        <f t="array" ref="B35">SUMPRODUCT((Başvuru!$D$2:$D$5077=$A35)*(VALUE(Başvuru!$I$2:$I$5077)=VALUE($C$4)))</f>
        <v>0</v>
      </c>
      <c r="C35" s="141" cm="1">
        <f t="array" ref="C35">SUMPRODUCT((Başvuru!$D$2:$D$5077=$A35)*(VALUE(Başvuru!$I$2:$I$5077)=VALUE($C$4))*(Başvuru!$P$2:$P$5077=C$8))</f>
        <v>0</v>
      </c>
      <c r="D35" s="141" cm="1">
        <f t="array" ref="D35">SUMPRODUCT((Başvuru!$D$2:$D$5077=$A35)*(VALUE(Başvuru!$I$2:$I$5077)=VALUE($C$4))*(Başvuru!$P$2:$P$5077=D$8))</f>
        <v>0</v>
      </c>
      <c r="E35" s="141" cm="1">
        <f t="array" ref="E35">SUMPRODUCT((Başvuru!$D$2:$D$5077=$A35)*(VALUE(Başvuru!$I$2:$I$5077)=VALUE($C$4))*(Başvuru!$P$2:$P$5077=E$8))</f>
        <v>0</v>
      </c>
      <c r="F35" s="141" cm="1">
        <f t="array" ref="F35">SUMPRODUCT((Başvuru!$D$2:$D$5077=$A35)*(VALUE(Başvuru!$I$2:$I$5077)=VALUE($C$4))*(Başvuru!$P$2:$P$5077=F$8))</f>
        <v>0</v>
      </c>
      <c r="G35" s="141" cm="1">
        <f t="array" ref="G35">SUMPRODUCT((Başvuru!$D$2:$D$5077=$A35)*(VALUE(Başvuru!$I$2:$I$5077)=VALUE($C$4))*(Başvuru!$P$2:$P$5077=G$8))</f>
        <v>0</v>
      </c>
      <c r="H35" s="141" cm="1">
        <f t="array" ref="H35">SUMPRODUCT((Başvuru!$D$2:$D$5077=$A35)*(VALUE(Başvuru!$I$2:$I$5077)=VALUE($C$4))*(Başvuru!$P$2:$P$5077=H$8))</f>
        <v>0</v>
      </c>
      <c r="I35" s="141" cm="1">
        <f t="array" ref="I35">SUMPRODUCT((Başvuru!$D$2:$D$5077=$A35)*(VALUE(Başvuru!$I$2:$I$5077)=VALUE($C$4))*(Başvuru!$P$2:$P$5077=I$8))</f>
        <v>0</v>
      </c>
    </row>
    <row r="36" spans="2:9" x14ac:dyDescent="0.25">
      <c r="B36" s="141" cm="1">
        <f t="array" ref="B36">SUMPRODUCT((Başvuru!$D$2:$D$5077=$A36)*(VALUE(Başvuru!$I$2:$I$5077)=VALUE($C$4)))</f>
        <v>0</v>
      </c>
      <c r="C36" s="141" cm="1">
        <f t="array" ref="C36">SUMPRODUCT((Başvuru!$D$2:$D$5077=$A36)*(VALUE(Başvuru!$I$2:$I$5077)=VALUE($C$4))*(Başvuru!$P$2:$P$5077=C$8))</f>
        <v>0</v>
      </c>
      <c r="D36" s="141" cm="1">
        <f t="array" ref="D36">SUMPRODUCT((Başvuru!$D$2:$D$5077=$A36)*(VALUE(Başvuru!$I$2:$I$5077)=VALUE($C$4))*(Başvuru!$P$2:$P$5077=D$8))</f>
        <v>0</v>
      </c>
      <c r="E36" s="141" cm="1">
        <f t="array" ref="E36">SUMPRODUCT((Başvuru!$D$2:$D$5077=$A36)*(VALUE(Başvuru!$I$2:$I$5077)=VALUE($C$4))*(Başvuru!$P$2:$P$5077=E$8))</f>
        <v>0</v>
      </c>
      <c r="F36" s="141" cm="1">
        <f t="array" ref="F36">SUMPRODUCT((Başvuru!$D$2:$D$5077=$A36)*(VALUE(Başvuru!$I$2:$I$5077)=VALUE($C$4))*(Başvuru!$P$2:$P$5077=F$8))</f>
        <v>0</v>
      </c>
      <c r="G36" s="141" cm="1">
        <f t="array" ref="G36">SUMPRODUCT((Başvuru!$D$2:$D$5077=$A36)*(VALUE(Başvuru!$I$2:$I$5077)=VALUE($C$4))*(Başvuru!$P$2:$P$5077=G$8))</f>
        <v>0</v>
      </c>
      <c r="H36" s="141" cm="1">
        <f t="array" ref="H36">SUMPRODUCT((Başvuru!$D$2:$D$5077=$A36)*(VALUE(Başvuru!$I$2:$I$5077)=VALUE($C$4))*(Başvuru!$P$2:$P$5077=H$8))</f>
        <v>0</v>
      </c>
      <c r="I36" s="141" cm="1">
        <f t="array" ref="I36">SUMPRODUCT((Başvuru!$D$2:$D$5077=$A36)*(VALUE(Başvuru!$I$2:$I$5077)=VALUE($C$4))*(Başvuru!$P$2:$P$5077=I$8))</f>
        <v>0</v>
      </c>
    </row>
    <row r="37" spans="2:9" x14ac:dyDescent="0.25">
      <c r="B37" s="141" cm="1">
        <f t="array" ref="B37">SUMPRODUCT((Başvuru!$D$2:$D$5077=$A37)*(VALUE(Başvuru!$I$2:$I$5077)=VALUE($C$4)))</f>
        <v>0</v>
      </c>
      <c r="C37" s="141" cm="1">
        <f t="array" ref="C37">SUMPRODUCT((Başvuru!$D$2:$D$5077=$A37)*(VALUE(Başvuru!$I$2:$I$5077)=VALUE($C$4))*(Başvuru!$P$2:$P$5077=C$8))</f>
        <v>0</v>
      </c>
      <c r="D37" s="141" cm="1">
        <f t="array" ref="D37">SUMPRODUCT((Başvuru!$D$2:$D$5077=$A37)*(VALUE(Başvuru!$I$2:$I$5077)=VALUE($C$4))*(Başvuru!$P$2:$P$5077=D$8))</f>
        <v>0</v>
      </c>
      <c r="E37" s="141" cm="1">
        <f t="array" ref="E37">SUMPRODUCT((Başvuru!$D$2:$D$5077=$A37)*(VALUE(Başvuru!$I$2:$I$5077)=VALUE($C$4))*(Başvuru!$P$2:$P$5077=E$8))</f>
        <v>0</v>
      </c>
      <c r="F37" s="141" cm="1">
        <f t="array" ref="F37">SUMPRODUCT((Başvuru!$D$2:$D$5077=$A37)*(VALUE(Başvuru!$I$2:$I$5077)=VALUE($C$4))*(Başvuru!$P$2:$P$5077=F$8))</f>
        <v>0</v>
      </c>
      <c r="G37" s="141" cm="1">
        <f t="array" ref="G37">SUMPRODUCT((Başvuru!$D$2:$D$5077=$A37)*(VALUE(Başvuru!$I$2:$I$5077)=VALUE($C$4))*(Başvuru!$P$2:$P$5077=G$8))</f>
        <v>0</v>
      </c>
      <c r="H37" s="141" cm="1">
        <f t="array" ref="H37">SUMPRODUCT((Başvuru!$D$2:$D$5077=$A37)*(VALUE(Başvuru!$I$2:$I$5077)=VALUE($C$4))*(Başvuru!$P$2:$P$5077=H$8))</f>
        <v>0</v>
      </c>
      <c r="I37" s="141" cm="1">
        <f t="array" ref="I37">SUMPRODUCT((Başvuru!$D$2:$D$5077=$A37)*(VALUE(Başvuru!$I$2:$I$5077)=VALUE($C$4))*(Başvuru!$P$2:$P$5077=I$8))</f>
        <v>0</v>
      </c>
    </row>
    <row r="38" spans="2:9" x14ac:dyDescent="0.25">
      <c r="B38" s="141" cm="1">
        <f t="array" ref="B38">SUMPRODUCT((Başvuru!$D$2:$D$5077=$A38)*(VALUE(Başvuru!$I$2:$I$5077)=VALUE($C$4)))</f>
        <v>0</v>
      </c>
      <c r="C38" s="141" cm="1">
        <f t="array" ref="C38">SUMPRODUCT((Başvuru!$D$2:$D$5077=$A38)*(VALUE(Başvuru!$I$2:$I$5077)=VALUE($C$4))*(Başvuru!$P$2:$P$5077=C$8))</f>
        <v>0</v>
      </c>
      <c r="D38" s="141" cm="1">
        <f t="array" ref="D38">SUMPRODUCT((Başvuru!$D$2:$D$5077=$A38)*(VALUE(Başvuru!$I$2:$I$5077)=VALUE($C$4))*(Başvuru!$P$2:$P$5077=D$8))</f>
        <v>0</v>
      </c>
      <c r="E38" s="141" cm="1">
        <f t="array" ref="E38">SUMPRODUCT((Başvuru!$D$2:$D$5077=$A38)*(VALUE(Başvuru!$I$2:$I$5077)=VALUE($C$4))*(Başvuru!$P$2:$P$5077=E$8))</f>
        <v>0</v>
      </c>
      <c r="F38" s="141" cm="1">
        <f t="array" ref="F38">SUMPRODUCT((Başvuru!$D$2:$D$5077=$A38)*(VALUE(Başvuru!$I$2:$I$5077)=VALUE($C$4))*(Başvuru!$P$2:$P$5077=F$8))</f>
        <v>0</v>
      </c>
      <c r="G38" s="141" cm="1">
        <f t="array" ref="G38">SUMPRODUCT((Başvuru!$D$2:$D$5077=$A38)*(VALUE(Başvuru!$I$2:$I$5077)=VALUE($C$4))*(Başvuru!$P$2:$P$5077=G$8))</f>
        <v>0</v>
      </c>
      <c r="H38" s="141" cm="1">
        <f t="array" ref="H38">SUMPRODUCT((Başvuru!$D$2:$D$5077=$A38)*(VALUE(Başvuru!$I$2:$I$5077)=VALUE($C$4))*(Başvuru!$P$2:$P$5077=H$8))</f>
        <v>0</v>
      </c>
      <c r="I38" s="141" cm="1">
        <f t="array" ref="I38">SUMPRODUCT((Başvuru!$D$2:$D$5077=$A38)*(VALUE(Başvuru!$I$2:$I$5077)=VALUE($C$4))*(Başvuru!$P$2:$P$5077=I$8))</f>
        <v>0</v>
      </c>
    </row>
    <row r="39" spans="2:9" x14ac:dyDescent="0.25">
      <c r="B39" s="141" cm="1">
        <f t="array" ref="B39">SUMPRODUCT((Başvuru!$D$2:$D$5077=$A39)*(VALUE(Başvuru!$I$2:$I$5077)=VALUE($C$4)))</f>
        <v>0</v>
      </c>
      <c r="C39" s="141" cm="1">
        <f t="array" ref="C39">SUMPRODUCT((Başvuru!$D$2:$D$5077=$A39)*(VALUE(Başvuru!$I$2:$I$5077)=VALUE($C$4))*(Başvuru!$P$2:$P$5077=C$8))</f>
        <v>0</v>
      </c>
      <c r="D39" s="141" cm="1">
        <f t="array" ref="D39">SUMPRODUCT((Başvuru!$D$2:$D$5077=$A39)*(VALUE(Başvuru!$I$2:$I$5077)=VALUE($C$4))*(Başvuru!$P$2:$P$5077=D$8))</f>
        <v>0</v>
      </c>
      <c r="E39" s="141" cm="1">
        <f t="array" ref="E39">SUMPRODUCT((Başvuru!$D$2:$D$5077=$A39)*(VALUE(Başvuru!$I$2:$I$5077)=VALUE($C$4))*(Başvuru!$P$2:$P$5077=E$8))</f>
        <v>0</v>
      </c>
      <c r="F39" s="141" cm="1">
        <f t="array" ref="F39">SUMPRODUCT((Başvuru!$D$2:$D$5077=$A39)*(VALUE(Başvuru!$I$2:$I$5077)=VALUE($C$4))*(Başvuru!$P$2:$P$5077=F$8))</f>
        <v>0</v>
      </c>
      <c r="G39" s="141" cm="1">
        <f t="array" ref="G39">SUMPRODUCT((Başvuru!$D$2:$D$5077=$A39)*(VALUE(Başvuru!$I$2:$I$5077)=VALUE($C$4))*(Başvuru!$P$2:$P$5077=G$8))</f>
        <v>0</v>
      </c>
      <c r="H39" s="141" cm="1">
        <f t="array" ref="H39">SUMPRODUCT((Başvuru!$D$2:$D$5077=$A39)*(VALUE(Başvuru!$I$2:$I$5077)=VALUE($C$4))*(Başvuru!$P$2:$P$5077=H$8))</f>
        <v>0</v>
      </c>
      <c r="I39" s="141" cm="1">
        <f t="array" ref="I39">SUMPRODUCT((Başvuru!$D$2:$D$5077=$A39)*(VALUE(Başvuru!$I$2:$I$5077)=VALUE($C$4))*(Başvuru!$P$2:$P$5077=I$8))</f>
        <v>0</v>
      </c>
    </row>
    <row r="40" spans="2:9" x14ac:dyDescent="0.25">
      <c r="B40" s="141" cm="1">
        <f t="array" ref="B40">SUMPRODUCT((Başvuru!$D$2:$D$5077=$A40)*(VALUE(Başvuru!$I$2:$I$5077)=VALUE($C$4)))</f>
        <v>0</v>
      </c>
      <c r="C40" s="141" cm="1">
        <f t="array" ref="C40">SUMPRODUCT((Başvuru!$D$2:$D$5077=$A40)*(VALUE(Başvuru!$I$2:$I$5077)=VALUE($C$4))*(Başvuru!$P$2:$P$5077=C$8))</f>
        <v>0</v>
      </c>
      <c r="D40" s="141" cm="1">
        <f t="array" ref="D40">SUMPRODUCT((Başvuru!$D$2:$D$5077=$A40)*(VALUE(Başvuru!$I$2:$I$5077)=VALUE($C$4))*(Başvuru!$P$2:$P$5077=D$8))</f>
        <v>0</v>
      </c>
      <c r="E40" s="141" cm="1">
        <f t="array" ref="E40">SUMPRODUCT((Başvuru!$D$2:$D$5077=$A40)*(VALUE(Başvuru!$I$2:$I$5077)=VALUE($C$4))*(Başvuru!$P$2:$P$5077=E$8))</f>
        <v>0</v>
      </c>
      <c r="F40" s="141" cm="1">
        <f t="array" ref="F40">SUMPRODUCT((Başvuru!$D$2:$D$5077=$A40)*(VALUE(Başvuru!$I$2:$I$5077)=VALUE($C$4))*(Başvuru!$P$2:$P$5077=F$8))</f>
        <v>0</v>
      </c>
      <c r="G40" s="141" cm="1">
        <f t="array" ref="G40">SUMPRODUCT((Başvuru!$D$2:$D$5077=$A40)*(VALUE(Başvuru!$I$2:$I$5077)=VALUE($C$4))*(Başvuru!$P$2:$P$5077=G$8))</f>
        <v>0</v>
      </c>
      <c r="H40" s="141" cm="1">
        <f t="array" ref="H40">SUMPRODUCT((Başvuru!$D$2:$D$5077=$A40)*(VALUE(Başvuru!$I$2:$I$5077)=VALUE($C$4))*(Başvuru!$P$2:$P$5077=H$8))</f>
        <v>0</v>
      </c>
      <c r="I40" s="141" cm="1">
        <f t="array" ref="I40">SUMPRODUCT((Başvuru!$D$2:$D$5077=$A40)*(VALUE(Başvuru!$I$2:$I$5077)=VALUE($C$4))*(Başvuru!$P$2:$P$5077=I$8))</f>
        <v>0</v>
      </c>
    </row>
    <row r="41" spans="2:9" x14ac:dyDescent="0.25">
      <c r="B41" s="141" cm="1">
        <f t="array" ref="B41">SUMPRODUCT((Başvuru!$D$2:$D$5077=$A41)*(VALUE(Başvuru!$I$2:$I$5077)=VALUE($C$4)))</f>
        <v>0</v>
      </c>
      <c r="C41" s="141" cm="1">
        <f t="array" ref="C41">SUMPRODUCT((Başvuru!$D$2:$D$5077=$A41)*(VALUE(Başvuru!$I$2:$I$5077)=VALUE($C$4))*(Başvuru!$P$2:$P$5077=C$8))</f>
        <v>0</v>
      </c>
      <c r="D41" s="141" cm="1">
        <f t="array" ref="D41">SUMPRODUCT((Başvuru!$D$2:$D$5077=$A41)*(VALUE(Başvuru!$I$2:$I$5077)=VALUE($C$4))*(Başvuru!$P$2:$P$5077=D$8))</f>
        <v>0</v>
      </c>
      <c r="E41" s="141" cm="1">
        <f t="array" ref="E41">SUMPRODUCT((Başvuru!$D$2:$D$5077=$A41)*(VALUE(Başvuru!$I$2:$I$5077)=VALUE($C$4))*(Başvuru!$P$2:$P$5077=E$8))</f>
        <v>0</v>
      </c>
      <c r="F41" s="141" cm="1">
        <f t="array" ref="F41">SUMPRODUCT((Başvuru!$D$2:$D$5077=$A41)*(VALUE(Başvuru!$I$2:$I$5077)=VALUE($C$4))*(Başvuru!$P$2:$P$5077=F$8))</f>
        <v>0</v>
      </c>
      <c r="G41" s="141" cm="1">
        <f t="array" ref="G41">SUMPRODUCT((Başvuru!$D$2:$D$5077=$A41)*(VALUE(Başvuru!$I$2:$I$5077)=VALUE($C$4))*(Başvuru!$P$2:$P$5077=G$8))</f>
        <v>0</v>
      </c>
      <c r="H41" s="141" cm="1">
        <f t="array" ref="H41">SUMPRODUCT((Başvuru!$D$2:$D$5077=$A41)*(VALUE(Başvuru!$I$2:$I$5077)=VALUE($C$4))*(Başvuru!$P$2:$P$5077=H$8))</f>
        <v>0</v>
      </c>
      <c r="I41" s="141" cm="1">
        <f t="array" ref="I41">SUMPRODUCT((Başvuru!$D$2:$D$5077=$A41)*(VALUE(Başvuru!$I$2:$I$5077)=VALUE($C$4))*(Başvuru!$P$2:$P$5077=I$8))</f>
        <v>0</v>
      </c>
    </row>
    <row r="42" spans="2:9" x14ac:dyDescent="0.25">
      <c r="B42" s="141" cm="1">
        <f t="array" ref="B42">SUMPRODUCT((Başvuru!$D$2:$D$5077=$A42)*(VALUE(Başvuru!$I$2:$I$5077)=VALUE($C$4)))</f>
        <v>0</v>
      </c>
      <c r="C42" s="141" cm="1">
        <f t="array" ref="C42">SUMPRODUCT((Başvuru!$D$2:$D$5077=$A42)*(VALUE(Başvuru!$I$2:$I$5077)=VALUE($C$4))*(Başvuru!$P$2:$P$5077=C$8))</f>
        <v>0</v>
      </c>
      <c r="D42" s="141" cm="1">
        <f t="array" ref="D42">SUMPRODUCT((Başvuru!$D$2:$D$5077=$A42)*(VALUE(Başvuru!$I$2:$I$5077)=VALUE($C$4))*(Başvuru!$P$2:$P$5077=D$8))</f>
        <v>0</v>
      </c>
      <c r="E42" s="141" cm="1">
        <f t="array" ref="E42">SUMPRODUCT((Başvuru!$D$2:$D$5077=$A42)*(VALUE(Başvuru!$I$2:$I$5077)=VALUE($C$4))*(Başvuru!$P$2:$P$5077=E$8))</f>
        <v>0</v>
      </c>
      <c r="F42" s="141" cm="1">
        <f t="array" ref="F42">SUMPRODUCT((Başvuru!$D$2:$D$5077=$A42)*(VALUE(Başvuru!$I$2:$I$5077)=VALUE($C$4))*(Başvuru!$P$2:$P$5077=F$8))</f>
        <v>0</v>
      </c>
      <c r="G42" s="141" cm="1">
        <f t="array" ref="G42">SUMPRODUCT((Başvuru!$D$2:$D$5077=$A42)*(VALUE(Başvuru!$I$2:$I$5077)=VALUE($C$4))*(Başvuru!$P$2:$P$5077=G$8))</f>
        <v>0</v>
      </c>
      <c r="H42" s="141" cm="1">
        <f t="array" ref="H42">SUMPRODUCT((Başvuru!$D$2:$D$5077=$A42)*(VALUE(Başvuru!$I$2:$I$5077)=VALUE($C$4))*(Başvuru!$P$2:$P$5077=H$8))</f>
        <v>0</v>
      </c>
      <c r="I42" s="141" cm="1">
        <f t="array" ref="I42">SUMPRODUCT((Başvuru!$D$2:$D$5077=$A42)*(VALUE(Başvuru!$I$2:$I$5077)=VALUE($C$4))*(Başvuru!$P$2:$P$5077=I$8))</f>
        <v>0</v>
      </c>
    </row>
    <row r="43" spans="2:9" ht="21" thickBot="1" x14ac:dyDescent="0.3">
      <c r="B43" s="141" cm="1">
        <f t="array" ref="B43">SUMPRODUCT((Başvuru!$D$2:$D$5077=$A43)*(VALUE(Başvuru!$I$2:$I$5077)=VALUE($C$4)))</f>
        <v>0</v>
      </c>
      <c r="C43" s="141" cm="1">
        <f t="array" ref="C43">SUMPRODUCT((Başvuru!$D$2:$D$5077=$A43)*(VALUE(Başvuru!$I$2:$I$5077)=VALUE($C$4))*(Başvuru!$P$2:$P$5077=C$8))</f>
        <v>0</v>
      </c>
      <c r="D43" s="141" cm="1">
        <f t="array" ref="D43">SUMPRODUCT((Başvuru!$D$2:$D$5077=$A43)*(VALUE(Başvuru!$I$2:$I$5077)=VALUE($C$4))*(Başvuru!$P$2:$P$5077=D$8))</f>
        <v>0</v>
      </c>
      <c r="E43" s="141" cm="1">
        <f t="array" ref="E43">SUMPRODUCT((Başvuru!$D$2:$D$5077=$A43)*(VALUE(Başvuru!$I$2:$I$5077)=VALUE($C$4))*(Başvuru!$P$2:$P$5077=E$8))</f>
        <v>0</v>
      </c>
      <c r="F43" s="141" cm="1">
        <f t="array" ref="F43">SUMPRODUCT((Başvuru!$D$2:$D$5077=$A43)*(VALUE(Başvuru!$I$2:$I$5077)=VALUE($C$4))*(Başvuru!$P$2:$P$5077=F$8))</f>
        <v>0</v>
      </c>
      <c r="G43" s="141" cm="1">
        <f t="array" ref="G43">SUMPRODUCT((Başvuru!$D$2:$D$5077=$A43)*(VALUE(Başvuru!$I$2:$I$5077)=VALUE($C$4))*(Başvuru!$P$2:$P$5077=G$8))</f>
        <v>0</v>
      </c>
      <c r="H43" s="141" cm="1">
        <f t="array" ref="H43">SUMPRODUCT((Başvuru!$D$2:$D$5077=$A43)*(VALUE(Başvuru!$I$2:$I$5077)=VALUE($C$4))*(Başvuru!$P$2:$P$5077=H$8))</f>
        <v>0</v>
      </c>
      <c r="I43" s="141" cm="1">
        <f t="array" ref="I43">SUMPRODUCT((Başvuru!$D$2:$D$5077=$A43)*(VALUE(Başvuru!$I$2:$I$5077)=VALUE($C$4))*(Başvuru!$P$2:$P$5077=I$8))</f>
        <v>0</v>
      </c>
    </row>
    <row r="44" spans="2:9" ht="21" thickBot="1" x14ac:dyDescent="0.3">
      <c r="B44" s="141" cm="1">
        <f t="array" ref="B44">SUMPRODUCT((Başvuru!$D$2:$D$5077=$A44)*(VALUE(Başvuru!$I$2:$I$5077)=VALUE($C$4)))</f>
        <v>0</v>
      </c>
      <c r="C44" s="144" t="s">
        <v>57</v>
      </c>
      <c r="D44" s="143" t="s">
        <v>58</v>
      </c>
      <c r="E44" s="144" t="s">
        <v>73</v>
      </c>
      <c r="F44" s="144" t="s">
        <v>86</v>
      </c>
      <c r="G44" s="144" t="s">
        <v>59</v>
      </c>
      <c r="H44" s="144" t="s">
        <v>307</v>
      </c>
      <c r="I44" s="145" t="s">
        <v>78</v>
      </c>
    </row>
    <row r="45" spans="2:9" x14ac:dyDescent="0.25">
      <c r="B45" s="141" t="s">
        <v>4248</v>
      </c>
      <c r="C45" s="150">
        <f>SUM(C9:C40)</f>
        <v>0</v>
      </c>
      <c r="D45" s="150">
        <f t="shared" ref="D45:I45" si="0">SUM(D9:D40)</f>
        <v>0</v>
      </c>
      <c r="E45" s="150">
        <f t="shared" si="0"/>
        <v>0</v>
      </c>
      <c r="F45" s="150">
        <f t="shared" si="0"/>
        <v>0</v>
      </c>
      <c r="G45" s="150">
        <f t="shared" si="0"/>
        <v>0</v>
      </c>
      <c r="H45" s="150">
        <f t="shared" si="0"/>
        <v>0</v>
      </c>
      <c r="I45" s="150">
        <f t="shared" si="0"/>
        <v>0</v>
      </c>
    </row>
    <row r="46" spans="2:9" x14ac:dyDescent="0.25">
      <c r="B46" s="141" cm="1">
        <f t="array" ref="B46">SUMPRODUCT((Başvuru!$D$2:$D$5077=$A46)*(VALUE(Başvuru!$I$2:$I$5077)=VALUE($C$4)))</f>
        <v>0</v>
      </c>
      <c r="C46" s="141" cm="1">
        <f t="array" ref="C46">SUMPRODUCT((Başvuru!$D$2:$D$5077=$A46)*(VALUE(Başvuru!$I$2:$I$5077)=VALUE($C$4))*(Başvuru!$P$2:$P$5077=C$8))</f>
        <v>0</v>
      </c>
      <c r="D46" s="141" cm="1">
        <f t="array" ref="D46">SUMPRODUCT((Başvuru!$D$2:$D$5077=$A46)*(VALUE(Başvuru!$I$2:$I$5077)=VALUE($C$4))*(Başvuru!$P$2:$P$5077=D$8))</f>
        <v>0</v>
      </c>
      <c r="E46" s="141" cm="1">
        <f t="array" ref="E46">SUMPRODUCT((Başvuru!$D$2:$D$5077=$A46)*(VALUE(Başvuru!$I$2:$I$5077)=VALUE($C$4))*(Başvuru!$P$2:$P$5077=E$8))</f>
        <v>0</v>
      </c>
      <c r="F46" s="141" cm="1">
        <f t="array" ref="F46">SUMPRODUCT((Başvuru!$D$2:$D$5077=$A46)*(VALUE(Başvuru!$I$2:$I$5077)=VALUE($C$4))*(Başvuru!$P$2:$P$5077=F$8))</f>
        <v>0</v>
      </c>
      <c r="G46" s="141" cm="1">
        <f t="array" ref="G46">SUMPRODUCT((Başvuru!$D$2:$D$5077=$A46)*(VALUE(Başvuru!$I$2:$I$5077)=VALUE($C$4))*(Başvuru!$P$2:$P$5077=G$8))</f>
        <v>0</v>
      </c>
      <c r="H46" s="141" cm="1">
        <f t="array" ref="H46">SUMPRODUCT((Başvuru!$D$2:$D$5077=$A46)*(VALUE(Başvuru!$I$2:$I$5077)=VALUE($C$4))*(Başvuru!$P$2:$P$5077=H$8))</f>
        <v>0</v>
      </c>
      <c r="I46" s="141" cm="1">
        <f t="array" ref="I46">SUMPRODUCT((Başvuru!$D$2:$D$5077=$A46)*(VALUE(Başvuru!$I$2:$I$5077)=VALUE($C$4))*(Başvuru!$P$2:$P$5077=I$8))</f>
        <v>0</v>
      </c>
    </row>
    <row r="47" spans="2:9" x14ac:dyDescent="0.25">
      <c r="B47" s="141" cm="1">
        <f t="array" ref="B47">SUMPRODUCT((Başvuru!$D$2:$D$5077=$A47)*(VALUE(Başvuru!$I$2:$I$5077)=VALUE($C$4)))</f>
        <v>0</v>
      </c>
      <c r="C47" s="141" cm="1">
        <f t="array" ref="C47">SUMPRODUCT((Başvuru!$D$2:$D$5077=$A47)*(VALUE(Başvuru!$I$2:$I$5077)=VALUE($C$4))*(Başvuru!$P$2:$P$5077=C$8))</f>
        <v>0</v>
      </c>
      <c r="D47" s="141" cm="1">
        <f t="array" ref="D47">SUMPRODUCT((Başvuru!$D$2:$D$5077=$A47)*(VALUE(Başvuru!$I$2:$I$5077)=VALUE($C$4))*(Başvuru!$P$2:$P$5077=D$8))</f>
        <v>0</v>
      </c>
      <c r="E47" s="141" cm="1">
        <f t="array" ref="E47">SUMPRODUCT((Başvuru!$D$2:$D$5077=$A47)*(VALUE(Başvuru!$I$2:$I$5077)=VALUE($C$4))*(Başvuru!$P$2:$P$5077=E$8))</f>
        <v>0</v>
      </c>
      <c r="F47" s="141" cm="1">
        <f t="array" ref="F47">SUMPRODUCT((Başvuru!$D$2:$D$5077=$A47)*(VALUE(Başvuru!$I$2:$I$5077)=VALUE($C$4))*(Başvuru!$P$2:$P$5077=F$8))</f>
        <v>0</v>
      </c>
      <c r="G47" s="141" cm="1">
        <f t="array" ref="G47">SUMPRODUCT((Başvuru!$D$2:$D$5077=$A47)*(VALUE(Başvuru!$I$2:$I$5077)=VALUE($C$4))*(Başvuru!$P$2:$P$5077=G$8))</f>
        <v>0</v>
      </c>
      <c r="H47" s="141" cm="1">
        <f t="array" ref="H47">SUMPRODUCT((Başvuru!$D$2:$D$5077=$A47)*(VALUE(Başvuru!$I$2:$I$5077)=VALUE($C$4))*(Başvuru!$P$2:$P$5077=H$8))</f>
        <v>0</v>
      </c>
      <c r="I47" s="141" cm="1">
        <f t="array" ref="I47">SUMPRODUCT((Başvuru!$D$2:$D$5077=$A47)*(VALUE(Başvuru!$I$2:$I$5077)=VALUE($C$4))*(Başvuru!$P$2:$P$5077=I$8))</f>
        <v>0</v>
      </c>
    </row>
    <row r="48" spans="2:9" x14ac:dyDescent="0.25">
      <c r="B48" s="141" cm="1">
        <f t="array" ref="B48">SUMPRODUCT((Başvuru!$D$2:$D$5077=$A48)*(VALUE(Başvuru!$I$2:$I$5077)=VALUE($C$4)))</f>
        <v>0</v>
      </c>
      <c r="C48" s="141" cm="1">
        <f t="array" ref="C48">SUMPRODUCT((Başvuru!$D$2:$D$5077=$A48)*(VALUE(Başvuru!$I$2:$I$5077)=VALUE($C$4))*(Başvuru!$P$2:$P$5077=C$8))</f>
        <v>0</v>
      </c>
      <c r="D48" s="141" cm="1">
        <f t="array" ref="D48">SUMPRODUCT((Başvuru!$D$2:$D$5077=$A48)*(VALUE(Başvuru!$I$2:$I$5077)=VALUE($C$4))*(Başvuru!$P$2:$P$5077=D$8))</f>
        <v>0</v>
      </c>
      <c r="E48" s="141" cm="1">
        <f t="array" ref="E48">SUMPRODUCT((Başvuru!$D$2:$D$5077=$A48)*(VALUE(Başvuru!$I$2:$I$5077)=VALUE($C$4))*(Başvuru!$P$2:$P$5077=E$8))</f>
        <v>0</v>
      </c>
      <c r="F48" s="141" cm="1">
        <f t="array" ref="F48">SUMPRODUCT((Başvuru!$D$2:$D$5077=$A48)*(VALUE(Başvuru!$I$2:$I$5077)=VALUE($C$4))*(Başvuru!$P$2:$P$5077=F$8))</f>
        <v>0</v>
      </c>
      <c r="G48" s="141" cm="1">
        <f t="array" ref="G48">SUMPRODUCT((Başvuru!$D$2:$D$5077=$A48)*(VALUE(Başvuru!$I$2:$I$5077)=VALUE($C$4))*(Başvuru!$P$2:$P$5077=G$8))</f>
        <v>0</v>
      </c>
      <c r="H48" s="141" cm="1">
        <f t="array" ref="H48">SUMPRODUCT((Başvuru!$D$2:$D$5077=$A48)*(VALUE(Başvuru!$I$2:$I$5077)=VALUE($C$4))*(Başvuru!$P$2:$P$5077=H$8))</f>
        <v>0</v>
      </c>
      <c r="I48" s="141" cm="1">
        <f t="array" ref="I48">SUMPRODUCT((Başvuru!$D$2:$D$5077=$A48)*(VALUE(Başvuru!$I$2:$I$5077)=VALUE($C$4))*(Başvuru!$P$2:$P$5077=I$8))</f>
        <v>0</v>
      </c>
    </row>
    <row r="49" spans="2:9" x14ac:dyDescent="0.25">
      <c r="B49" s="141" cm="1">
        <f t="array" ref="B49">SUMPRODUCT((Başvuru!$D$2:$D$5077=$A49)*(VALUE(Başvuru!$I$2:$I$5077)=VALUE($C$4)))</f>
        <v>0</v>
      </c>
      <c r="C49" s="141" cm="1">
        <f t="array" ref="C49">SUMPRODUCT((Başvuru!$D$2:$D$5077=$A49)*(VALUE(Başvuru!$I$2:$I$5077)=VALUE($C$4))*(Başvuru!$P$2:$P$5077=C$8))</f>
        <v>0</v>
      </c>
      <c r="D49" s="141" cm="1">
        <f t="array" ref="D49">SUMPRODUCT((Başvuru!$D$2:$D$5077=$A49)*(VALUE(Başvuru!$I$2:$I$5077)=VALUE($C$4))*(Başvuru!$P$2:$P$5077=D$8))</f>
        <v>0</v>
      </c>
      <c r="E49" s="141" cm="1">
        <f t="array" ref="E49">SUMPRODUCT((Başvuru!$D$2:$D$5077=$A49)*(VALUE(Başvuru!$I$2:$I$5077)=VALUE($C$4))*(Başvuru!$P$2:$P$5077=E$8))</f>
        <v>0</v>
      </c>
      <c r="F49" s="141" cm="1">
        <f t="array" ref="F49">SUMPRODUCT((Başvuru!$D$2:$D$5077=$A49)*(VALUE(Başvuru!$I$2:$I$5077)=VALUE($C$4))*(Başvuru!$P$2:$P$5077=F$8))</f>
        <v>0</v>
      </c>
      <c r="G49" s="141" cm="1">
        <f t="array" ref="G49">SUMPRODUCT((Başvuru!$D$2:$D$5077=$A49)*(VALUE(Başvuru!$I$2:$I$5077)=VALUE($C$4))*(Başvuru!$P$2:$P$5077=G$8))</f>
        <v>0</v>
      </c>
      <c r="H49" s="141" cm="1">
        <f t="array" ref="H49">SUMPRODUCT((Başvuru!$D$2:$D$5077=$A49)*(VALUE(Başvuru!$I$2:$I$5077)=VALUE($C$4))*(Başvuru!$P$2:$P$5077=H$8))</f>
        <v>0</v>
      </c>
      <c r="I49" s="141" cm="1">
        <f t="array" ref="I49">SUMPRODUCT((Başvuru!$D$2:$D$5077=$A49)*(VALUE(Başvuru!$I$2:$I$5077)=VALUE($C$4))*(Başvuru!$P$2:$P$5077=I$8))</f>
        <v>0</v>
      </c>
    </row>
  </sheetData>
  <mergeCells count="1">
    <mergeCell ref="A1:I1"/>
  </mergeCells>
  <conditionalFormatting sqref="A9:I43 A44:B45 A46:I100">
    <cfRule type="expression" dxfId="7" priority="1">
      <formula>AND($A9&lt;&gt;"", ISEVEN(ROW()))</formula>
    </cfRule>
    <cfRule type="expression" dxfId="6" priority="2">
      <formula>$A9&lt;&gt;""</formula>
    </cfRule>
  </conditionalFormatting>
  <conditionalFormatting sqref="C4">
    <cfRule type="expression" dxfId="5" priority="6">
      <formula>C4=""</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2D856A8-6013-4E48-8F39-060CE76BECBA}">
          <x14:formula1>
            <xm:f>_xlfn.ANCHORARRAY(İstatistik!$AA$4)</xm:f>
          </x14:formula1>
          <xm:sqref>C4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059BF-EBD2-40DC-B226-585DF29BB542}">
  <sheetPr>
    <tabColor rgb="FF00B050"/>
  </sheetPr>
  <dimension ref="A1:AZ138"/>
  <sheetViews>
    <sheetView workbookViewId="0">
      <pane xSplit="1" ySplit="3" topLeftCell="B14" activePane="bottomRight" state="frozenSplit"/>
      <selection pane="topRight" activeCell="D1" sqref="D1"/>
      <selection pane="bottomLeft" activeCell="A9" sqref="A9"/>
      <selection pane="bottomRight" activeCell="A2" sqref="A2"/>
    </sheetView>
  </sheetViews>
  <sheetFormatPr defaultRowHeight="21" x14ac:dyDescent="0.25"/>
  <cols>
    <col min="1" max="1" width="18.85546875" bestFit="1" customWidth="1"/>
    <col min="2" max="2" width="37.42578125" bestFit="1" customWidth="1"/>
    <col min="3" max="3" width="50.140625" customWidth="1"/>
    <col min="4" max="4" width="71.28515625" style="102" customWidth="1"/>
    <col min="5" max="5" width="45.28515625" style="102" customWidth="1"/>
    <col min="6" max="6" width="17.28515625" style="108" bestFit="1" customWidth="1"/>
    <col min="7" max="7" width="12.85546875" style="100" customWidth="1"/>
    <col min="8" max="8" width="15" style="100" bestFit="1" customWidth="1"/>
    <col min="9" max="10" width="34.140625" bestFit="1" customWidth="1"/>
    <col min="11" max="14" width="20.7109375" bestFit="1" customWidth="1"/>
    <col min="15" max="15" width="20.140625" bestFit="1" customWidth="1"/>
    <col min="16" max="16" width="10.5703125" style="104" customWidth="1"/>
    <col min="18" max="18" width="37.42578125" style="98" bestFit="1" customWidth="1"/>
    <col min="19" max="19" width="9.140625" style="98"/>
    <col min="21" max="21" width="50" style="98" bestFit="1" customWidth="1"/>
    <col min="22" max="22" width="9.140625" style="98"/>
    <col min="23" max="23" width="37.42578125" style="98" bestFit="1" customWidth="1"/>
    <col min="24" max="24" width="9.140625" style="99"/>
    <col min="25" max="25" width="59.5703125" style="98" bestFit="1" customWidth="1"/>
    <col min="26" max="26" width="9.140625" style="99"/>
    <col min="27" max="27" width="18" style="106" bestFit="1" customWidth="1"/>
    <col min="28" max="28" width="27.28515625" bestFit="1" customWidth="1"/>
    <col min="29" max="29" width="24.85546875" bestFit="1" customWidth="1"/>
    <col min="30" max="30" width="18.42578125" bestFit="1" customWidth="1"/>
    <col min="31" max="31" width="19.28515625" bestFit="1" customWidth="1"/>
    <col min="32" max="32" width="10.7109375" bestFit="1" customWidth="1"/>
    <col min="34" max="34" width="13.7109375" bestFit="1" customWidth="1"/>
    <col min="35" max="35" width="7.42578125" bestFit="1" customWidth="1"/>
    <col min="36" max="36" width="9" bestFit="1" customWidth="1"/>
    <col min="37" max="37" width="5.5703125" bestFit="1" customWidth="1"/>
    <col min="38" max="38" width="16.140625" bestFit="1" customWidth="1"/>
    <col min="39" max="39" width="17" bestFit="1" customWidth="1"/>
    <col min="41" max="41" width="26.28515625" style="100" bestFit="1" customWidth="1"/>
    <col min="43" max="43" width="34.140625" bestFit="1" customWidth="1"/>
    <col min="46" max="46" width="35.85546875" bestFit="1" customWidth="1"/>
    <col min="47" max="47" width="17.140625" bestFit="1" customWidth="1"/>
    <col min="48" max="48" width="9.42578125" bestFit="1" customWidth="1"/>
    <col min="49" max="49" width="59.5703125" bestFit="1" customWidth="1"/>
    <col min="50" max="50" width="6.85546875" bestFit="1" customWidth="1"/>
    <col min="51" max="51" width="20.7109375" bestFit="1" customWidth="1"/>
    <col min="52" max="52" width="6.42578125" style="129" bestFit="1" customWidth="1"/>
  </cols>
  <sheetData>
    <row r="1" spans="1:52" ht="18.75" x14ac:dyDescent="0.3">
      <c r="A1" t="s">
        <v>4070</v>
      </c>
      <c r="C1" t="s">
        <v>4073</v>
      </c>
      <c r="D1" s="102" t="s">
        <v>4071</v>
      </c>
      <c r="E1" s="102" t="s">
        <v>4071</v>
      </c>
      <c r="F1" s="108" t="s">
        <v>4072</v>
      </c>
      <c r="H1" s="100" t="s">
        <v>4081</v>
      </c>
      <c r="I1">
        <f>IF(A6="Kayıt Yok", 0, COUNTA(INDEX(_xlfn.ANCHORARRAY(A6),,1)))</f>
        <v>1</v>
      </c>
      <c r="AQ1" t="str" cm="1">
        <f t="array" ref="AQ1:AQ13">_xlfn._xlws.SORT(_xlfn.UNIQUE(_xlfn.VSTACK(Başvuru!J2:J625, Başvuru!K2:K251)))</f>
        <v>Doç. Dr. Burcu ERSÖZ ALAN</v>
      </c>
      <c r="AT1" s="121" t="s">
        <v>4240</v>
      </c>
      <c r="AU1" s="121" t="s">
        <v>4222</v>
      </c>
      <c r="AW1" s="121" t="s">
        <v>4234</v>
      </c>
      <c r="AY1" s="121" t="s">
        <v>4235</v>
      </c>
      <c r="AZ1" s="121" t="s">
        <v>4222</v>
      </c>
    </row>
    <row r="2" spans="1:52" x14ac:dyDescent="0.25">
      <c r="A2" t="s">
        <v>23</v>
      </c>
      <c r="C2">
        <f>COUNTIF(Başvuru!G:G, A2)</f>
        <v>17</v>
      </c>
      <c r="D2" s="102">
        <f>COUNTIF(Başvuru!G:G, A2)</f>
        <v>17</v>
      </c>
      <c r="E2" s="102">
        <f>COUNTIFS(Başvuru!G:G, A2, Başvuru!P:P, "")</f>
        <v>4</v>
      </c>
      <c r="F2" s="108">
        <f>COUNTIFS(Başvuru!G:G, A2, Başvuru!P:P, "")</f>
        <v>4</v>
      </c>
      <c r="AQ2" t="str">
        <v>Doç. Dr. Ekim GÜMELER</v>
      </c>
      <c r="AT2" s="125" t="s">
        <v>57</v>
      </c>
      <c r="AU2" s="129">
        <f>Üye_Yeni!A4</f>
        <v>0</v>
      </c>
      <c r="AW2" t="str" cm="1">
        <f t="array" ref="AW2:AW53">_xlfn._xlws.SORT(_xlfn.UNIQUE(Başvuru!D2:D10077))</f>
        <v>Ağız, Diş ve Çene Cerrahisi Anabilim Dalı</v>
      </c>
      <c r="AY2" s="125" t="s">
        <v>57</v>
      </c>
      <c r="AZ2" s="129">
        <f>Birim_Yeni!A4</f>
        <v>0</v>
      </c>
    </row>
    <row r="3" spans="1:52" ht="31.5" x14ac:dyDescent="0.25">
      <c r="A3" s="48" t="s">
        <v>77</v>
      </c>
      <c r="B3" s="48" t="s">
        <v>61</v>
      </c>
      <c r="C3" s="48" t="s">
        <v>4062</v>
      </c>
      <c r="D3" s="48" t="s">
        <v>62</v>
      </c>
      <c r="E3" s="48" t="s">
        <v>21</v>
      </c>
      <c r="F3" s="109" t="s">
        <v>26</v>
      </c>
      <c r="G3" s="49" t="s">
        <v>154</v>
      </c>
      <c r="H3" s="49" t="s">
        <v>22</v>
      </c>
      <c r="I3" s="48" t="s">
        <v>4063</v>
      </c>
      <c r="J3" s="48" t="s">
        <v>4064</v>
      </c>
      <c r="K3" s="64" t="s">
        <v>4065</v>
      </c>
      <c r="L3" s="65" t="s">
        <v>4066</v>
      </c>
      <c r="M3" s="65" t="s">
        <v>4067</v>
      </c>
      <c r="N3" s="70" t="s">
        <v>4068</v>
      </c>
      <c r="O3" s="65" t="s">
        <v>4069</v>
      </c>
      <c r="P3" s="65" t="s">
        <v>4074</v>
      </c>
      <c r="R3" s="48" t="s">
        <v>4075</v>
      </c>
      <c r="S3" s="99"/>
      <c r="T3" s="103"/>
      <c r="U3" s="48" t="s">
        <v>4076</v>
      </c>
      <c r="W3" s="48" t="s">
        <v>4077</v>
      </c>
      <c r="Y3" s="48" t="s">
        <v>4078</v>
      </c>
      <c r="AA3" s="107" t="s">
        <v>22</v>
      </c>
      <c r="AB3" s="48" t="s">
        <v>76</v>
      </c>
      <c r="AC3" s="48" t="s">
        <v>25</v>
      </c>
      <c r="AD3" s="48" t="s">
        <v>23</v>
      </c>
      <c r="AE3" s="48" t="s">
        <v>24</v>
      </c>
      <c r="AF3" s="110" t="s">
        <v>60</v>
      </c>
      <c r="AG3" s="48" t="s">
        <v>57</v>
      </c>
      <c r="AH3" s="48" t="s">
        <v>58</v>
      </c>
      <c r="AI3" s="48" t="s">
        <v>73</v>
      </c>
      <c r="AJ3" s="48" t="s">
        <v>86</v>
      </c>
      <c r="AK3" s="48" t="s">
        <v>307</v>
      </c>
      <c r="AL3" s="48" t="s">
        <v>59</v>
      </c>
      <c r="AM3" s="48" t="s">
        <v>78</v>
      </c>
      <c r="AO3" s="48" t="s">
        <v>4080</v>
      </c>
      <c r="AQ3" t="str">
        <v>Doç. Dr. Kübra AYKAÇ</v>
      </c>
      <c r="AT3" s="126" t="s">
        <v>58</v>
      </c>
      <c r="AU3" s="129">
        <f>Üye_Yeni!B4</f>
        <v>0</v>
      </c>
      <c r="AW3" t="str">
        <v>Ağız, Diş ve Çene Radyolojisi Anabilim Dalı</v>
      </c>
      <c r="AY3" s="126" t="s">
        <v>58</v>
      </c>
      <c r="AZ3" s="129">
        <f>Birim_Yeni!B4</f>
        <v>0</v>
      </c>
    </row>
    <row r="4" spans="1:52" ht="60" x14ac:dyDescent="0.25">
      <c r="A4" s="101" t="str" cm="1">
        <f t="array" ref="A4:P20">_xlfn._xlws.FILTER(Başvuru!B2:Q1117, Başvuru!G2:G1117=A2, "Seçilen nitelikte kayıt bulunamadı")</f>
        <v>SBA 26/004</v>
      </c>
      <c r="B4" s="101" t="str">
        <v>Prof. Dr. Bayram ŞAHİN</v>
      </c>
      <c r="C4" s="101" t="str">
        <v>Lokman Hekim Üniversitesi
Sağlık Hizmetleri Meslek Yüksekokulu</v>
      </c>
      <c r="D4" s="97" t="str">
        <v>Lokman Hekim Üniversitesi Sağlık Hizmetleri Meslek Yüksekokulu öğretim üyelerinden Prof. Dr. Bayram ŞAHİN'in sorumlu araştırmacı olduğu; Prof. Dr. Müberra AKDOĞAN, Uzm. Dr. Aykut Burak BAYAV ile birlikte çalışacakları ve Gülcan AYDIN’ın doktora tezi olan,</v>
      </c>
      <c r="E4" s="97" t="str">
        <v>“Katarakt Cerrahisinin Uygunluğunun Değerlendirilmesi”</v>
      </c>
      <c r="F4" s="101" t="str">
        <v>Doktora Tezi</v>
      </c>
      <c r="G4" s="100">
        <v>0</v>
      </c>
      <c r="H4" s="100">
        <v>46028</v>
      </c>
      <c r="I4" s="101" t="str">
        <v>Doç. Dr. Tolga ÇAKMAK</v>
      </c>
      <c r="J4" s="101" t="str">
        <v>Doç. Dr. Burcu ERSÖZ ALAN</v>
      </c>
      <c r="K4" s="101" t="str">
        <v>DÜZELTME</v>
      </c>
      <c r="L4" s="101" t="str">
        <v>ONAY</v>
      </c>
      <c r="M4" s="101">
        <v>0</v>
      </c>
      <c r="N4" s="101">
        <v>0</v>
      </c>
      <c r="O4" s="101" t="str">
        <v>ONAY</v>
      </c>
      <c r="P4" s="105">
        <v>0</v>
      </c>
      <c r="R4" s="98" t="str" cm="1">
        <f t="array" ref="R4:S18">_xlfn._xlws.SORT(_xlfn.HSTACK(_xlfn.UNIQUE(_xlfn._xlws.FILTER(Başvuru!C2:C617, Başvuru!G2:G617=A2)), COUNTIF(Başvuru!C2:C617, _xlfn.UNIQUE(_xlfn._xlws.FILTER(Başvuru!C2:C617, Başvuru!G2:G617=A2)))))</f>
        <v>Doç. Dr. Aslıhan AYKARA</v>
      </c>
      <c r="S4" s="98">
        <v>2</v>
      </c>
      <c r="U4" s="98" t="str" cm="1">
        <f t="array" ref="U4:V17">_xlfn._xlws.SORT(_xlfn.HSTACK(_xlfn.UNIQUE(_xlfn._xlws.FILTER(Başvuru!D2:D617, Başvuru!G2:G617=A2)), COUNTIF(Başvuru!D2:D617, _xlfn.UNIQUE(_xlfn._xlws.FILTER(Başvuru!D2:D617, Başvuru!G2:G617=A2)))), 2, -1)</f>
        <v>İç Hastalıkları Anabilim Dalı</v>
      </c>
      <c r="V4" s="98">
        <v>27</v>
      </c>
      <c r="W4" s="98" t="str" cm="1">
        <f t="array" ref="W4:X138">_xlfn._xlws.SORT(_xlfn.HSTACK(_xlfn.UNIQUE(_xlfn._xlws.FILTER(Başvuru!C2:C617, Başvuru!C2:C617&lt;&gt;"")), COUNTIF(Başvuru!C2:C617, _xlfn.UNIQUE(_xlfn._xlws.FILTER(Başvuru!C2:C617, Başvuru!C2:C617&lt;&gt;"")))))</f>
        <v>Arş. Gör. Dr. Aycan UYSAL</v>
      </c>
      <c r="X4" s="99">
        <v>1</v>
      </c>
      <c r="Y4" s="98" t="str" cm="1">
        <f t="array" ref="Y4:Z54">_xlfn._xlws.SORT(_xlfn.HSTACK(_xlfn.UNIQUE(_xlfn._xlws.FILTER(Başvuru!D2:D617, Başvuru!D2:D617&lt;&gt;"")), COUNTIF(Başvuru!D2:D617, _xlfn.UNIQUE(_xlfn._xlws.FILTER(Başvuru!D2:D617, Başvuru!D2:D617&lt;&gt;"")))), 2, -1)</f>
        <v>İç Hastalıkları Anabilim Dalı</v>
      </c>
      <c r="Z4" s="99">
        <v>27</v>
      </c>
      <c r="AA4" s="100" cm="1">
        <f t="array" ref="AA4:AA7">_xlfn._xlws.SORT(_xlfn.UNIQUE(_xlfn._xlws.FILTER(Başvuru!I2:I625, Başvuru!I2:I625&lt;&gt;"")))</f>
        <v>46028</v>
      </c>
      <c r="AB4" s="99" cm="1">
        <f t="array" ref="AB4:AB7">COUNTIFS(Başvuru!$I:$I,_xlfn.ANCHORARRAY( $AA$4), Başvuru!$G:$G, AB$3)</f>
        <v>38</v>
      </c>
      <c r="AC4" s="99" cm="1">
        <f t="array" ref="AC4:AC7">COUNTIFS(Başvuru!$I:$I,_xlfn.ANCHORARRAY( $AA$4), Başvuru!$G:$G, AC$3)</f>
        <v>1</v>
      </c>
      <c r="AD4" s="99" cm="1">
        <f t="array" ref="AD4:AD7">COUNTIFS(Başvuru!$I:$I,_xlfn.ANCHORARRAY( $AA$4), Başvuru!$G:$G, AD$3)</f>
        <v>5</v>
      </c>
      <c r="AE4" s="99" cm="1">
        <f t="array" ref="AE4:AE7">COUNTIFS(Başvuru!$I:$I,_xlfn.ANCHORARRAY( $AA$4), Başvuru!$G:$G, AE$3)</f>
        <v>11</v>
      </c>
      <c r="AF4" s="99" cm="1">
        <f t="array" ref="AF4:AF7">_xlfn.ANCHORARRAY(AB4) +_xlfn.ANCHORARRAY( AC4) +_xlfn.ANCHORARRAY( AD4) +_xlfn.ANCHORARRAY( AE4)</f>
        <v>55</v>
      </c>
      <c r="AG4" s="99" cm="1">
        <f t="array" ref="AG4:AG7">COUNTIFS(Başvuru!$I:$I,_xlfn.ANCHORARRAY( $AA$4), Başvuru!$P:$P, "ONAY")</f>
        <v>44</v>
      </c>
      <c r="AH4" s="99" cm="1">
        <f t="array" ref="AH4:AH7">COUNTIFS(Başvuru!$I:$I,_xlfn.ANCHORARRAY( $AA$4), Başvuru!$P:$P, "DÜZELTME")</f>
        <v>4</v>
      </c>
      <c r="AI4" s="99" cm="1">
        <f t="array" ref="AI4:AI7">COUNTIFS(Başvuru!$I:$I,_xlfn.ANCHORARRAY( $AA$4), Başvuru!$P:$P, "KAEK")</f>
        <v>2</v>
      </c>
      <c r="AJ4" s="99" cm="1">
        <f t="array" ref="AJ4:AJ7">COUNTIFS(Başvuru!$I:$I,_xlfn.ANCHORARRAY( $AA$4), Başvuru!$P:$P, "GÖRÜŞ")</f>
        <v>2</v>
      </c>
      <c r="AK4" s="99" cm="1">
        <f t="array" ref="AK4:AK7">COUNTIFS(Başvuru!$I:$I,_xlfn.ANCHORARRAY( $AA$4), Başvuru!$P:$P, "RET")</f>
        <v>2</v>
      </c>
      <c r="AL4" s="99" cm="1">
        <f t="array" ref="AL4:AL7">COUNTIFS(Başvuru!$I:$I,_xlfn.ANCHORARRAY( $AA$4), Başvuru!$P:$P, "KAPSAM DIŞI")</f>
        <v>1</v>
      </c>
      <c r="AM4" s="99" cm="1">
        <f t="array" ref="AM4:AM7">COUNTIFS(Başvuru!$I:$I,_xlfn.ANCHORARRAY( $AA$4), Başvuru!$P:$P, "GERİ ÇEKİLDİ")</f>
        <v>0</v>
      </c>
      <c r="AO4" s="100" cm="1">
        <f t="array" ref="AO4:AO7">_xlfn._xlws.SORT(_xlfn.UNIQUE(_xlfn._xlws.FILTER(Başvuru!I2:I625, Başvuru!I2:I625&lt;&gt;"")))</f>
        <v>46028</v>
      </c>
      <c r="AQ4" t="str">
        <v>Doç. Dr. Tolga ÇAKMAK</v>
      </c>
      <c r="AT4" s="122" t="s">
        <v>73</v>
      </c>
      <c r="AU4" s="129">
        <f>Üye_Yeni!C4</f>
        <v>0</v>
      </c>
      <c r="AW4" t="str">
        <v>Aile Hekimliği Anabilim Dalı</v>
      </c>
      <c r="AY4" s="122" t="s">
        <v>73</v>
      </c>
      <c r="AZ4" s="129">
        <f>Birim_Yeni!C4</f>
        <v>0</v>
      </c>
    </row>
    <row r="5" spans="1:52" ht="45" x14ac:dyDescent="0.25">
      <c r="A5" s="101" t="str">
        <v>SBA 26/005</v>
      </c>
      <c r="B5" s="101" t="str">
        <v>Prof. Dr. Ömür ÇELİKBIÇAK</v>
      </c>
      <c r="C5" s="101" t="str">
        <v>Fizikokimya Anabilim Dalı</v>
      </c>
      <c r="D5" s="97" t="str">
        <v>Üniversitemiz Fen Fakültesi Fizikokimya Anabilim Dalı öğretim üyelerinden Prof. Dr. Ömür ÇELİKBIÇAK’ın sorumlu araştırmacı olduğu, Neslihan ZENCİRCİ’nin doktora tezi olan,</v>
      </c>
      <c r="E5" s="97" t="str">
        <v>“Sentetik Peptit Temelli Yeni Nesil Biyosidal Malzemelerin Geliştirilmesi”</v>
      </c>
      <c r="F5" s="101" t="str">
        <v>Doktora Tezi</v>
      </c>
      <c r="G5" s="100">
        <v>0</v>
      </c>
      <c r="H5" s="100">
        <v>46028</v>
      </c>
      <c r="I5" s="101" t="str">
        <v>Prof. Dr. Yavuz AYHAN</v>
      </c>
      <c r="J5" s="101" t="str">
        <v>Prof. Dr. Melih Önder BABAOĞLU</v>
      </c>
      <c r="K5" s="101" t="str">
        <v>DÜZELTME</v>
      </c>
      <c r="L5" s="101" t="str">
        <v>ONAY</v>
      </c>
      <c r="M5" s="101">
        <v>0</v>
      </c>
      <c r="N5" s="101">
        <v>0</v>
      </c>
      <c r="O5" s="101" t="str">
        <v>ONAY</v>
      </c>
      <c r="P5" s="105">
        <v>0</v>
      </c>
      <c r="R5" s="98" t="str">
        <v>Doç. Dr. Burcu HATİBOĞLU</v>
      </c>
      <c r="S5" s="98">
        <v>1</v>
      </c>
      <c r="U5" s="98" t="str">
        <v>Klinik Eczacılık Anabilim Dalı</v>
      </c>
      <c r="V5" s="98">
        <v>9</v>
      </c>
      <c r="W5" s="98" t="str">
        <v>Arş. Gör. Dr. Sebiha Şükran GÜNDEŞLİ</v>
      </c>
      <c r="X5" s="99">
        <v>1</v>
      </c>
      <c r="Y5" s="98" t="str">
        <v>Çocuk Sağlığı ve Hastalıkları Anabilim Dalı</v>
      </c>
      <c r="Z5" s="99">
        <v>23</v>
      </c>
      <c r="AA5" s="100">
        <v>46042</v>
      </c>
      <c r="AB5" s="99">
        <v>30</v>
      </c>
      <c r="AC5" s="99">
        <v>1</v>
      </c>
      <c r="AD5" s="99">
        <v>5</v>
      </c>
      <c r="AE5" s="99">
        <v>9</v>
      </c>
      <c r="AF5" s="99">
        <v>45</v>
      </c>
      <c r="AG5" s="99">
        <v>27</v>
      </c>
      <c r="AH5" s="99">
        <v>13</v>
      </c>
      <c r="AI5" s="99">
        <v>0</v>
      </c>
      <c r="AJ5" s="99">
        <v>3</v>
      </c>
      <c r="AK5" s="99">
        <v>0</v>
      </c>
      <c r="AL5" s="99">
        <v>0</v>
      </c>
      <c r="AM5" s="99">
        <v>0</v>
      </c>
      <c r="AO5" s="100">
        <v>46042</v>
      </c>
      <c r="AQ5" t="str">
        <v>Dr. Öğr. Üyesi Müge DEMİR</v>
      </c>
      <c r="AT5" s="127" t="s">
        <v>86</v>
      </c>
      <c r="AU5" s="129">
        <f>Üye_Yeni!D4</f>
        <v>0</v>
      </c>
      <c r="AW5" t="str">
        <v>Anatomi Anabilim Dalı</v>
      </c>
      <c r="AY5" s="127" t="s">
        <v>86</v>
      </c>
      <c r="AZ5" s="129">
        <f>Birim_Yeni!D4</f>
        <v>0</v>
      </c>
    </row>
    <row r="6" spans="1:52" ht="75" x14ac:dyDescent="0.25">
      <c r="A6" s="101" t="str">
        <v>SBA 26/010</v>
      </c>
      <c r="B6" s="101" t="str">
        <v>Prof. Dr. Yakut AKYÖN YILMAZ</v>
      </c>
      <c r="C6" s="101" t="str">
        <v>Tıbbi Mikrobiyoloji Anabilim Dalı</v>
      </c>
      <c r="D6" s="97" t="str">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v>
      </c>
      <c r="E6" s="97" t="str">
        <v>“Apikal Periyodontitis Etiyopatogenezinde İnflamatuar Sitokin Polimorfizmleri -Mikrobiyom İlişkisinin Araştırılması”</v>
      </c>
      <c r="F6" s="101" t="str">
        <v>Doktora Tezi</v>
      </c>
      <c r="G6" s="100">
        <v>0</v>
      </c>
      <c r="H6" s="100">
        <v>46028</v>
      </c>
      <c r="I6" s="98" t="str">
        <v>Prof. Dr. M. Özgür UYANIK</v>
      </c>
      <c r="J6" s="98" t="str">
        <v>Prof. Dr. Ayşe Nurten AKARSU</v>
      </c>
      <c r="K6" s="98" t="str">
        <v>DÜZELTME</v>
      </c>
      <c r="L6" s="98" t="str">
        <v>ONAY</v>
      </c>
      <c r="M6" s="98">
        <v>0</v>
      </c>
      <c r="N6" s="98">
        <v>0</v>
      </c>
      <c r="O6" s="98" t="str">
        <v>ONAY</v>
      </c>
      <c r="P6" s="105">
        <v>0</v>
      </c>
      <c r="R6" s="98" t="str">
        <v>Doç. Dr. Ceren GÜNENÇ BEŞER</v>
      </c>
      <c r="S6" s="98">
        <v>1</v>
      </c>
      <c r="U6" s="98" t="str">
        <v>Anatomi Anabilim Dalı</v>
      </c>
      <c r="V6" s="98">
        <v>5</v>
      </c>
      <c r="W6" s="98" t="str">
        <v>Arş. Gör. Dt. Dilara KARA</v>
      </c>
      <c r="X6" s="99">
        <v>1</v>
      </c>
      <c r="Y6" s="98" t="str">
        <v>Göğüs Hastalıkları Anabilim Dalı</v>
      </c>
      <c r="Z6" s="99">
        <v>9</v>
      </c>
      <c r="AA6" s="100">
        <v>46057</v>
      </c>
      <c r="AB6" s="99">
        <v>32</v>
      </c>
      <c r="AC6" s="99">
        <v>1</v>
      </c>
      <c r="AD6" s="99">
        <v>4</v>
      </c>
      <c r="AE6" s="99">
        <v>8</v>
      </c>
      <c r="AF6" s="99">
        <v>45</v>
      </c>
      <c r="AG6" s="99">
        <v>1</v>
      </c>
      <c r="AH6">
        <v>1</v>
      </c>
      <c r="AI6">
        <v>0</v>
      </c>
      <c r="AJ6">
        <v>0</v>
      </c>
      <c r="AK6">
        <v>0</v>
      </c>
      <c r="AL6">
        <v>0</v>
      </c>
      <c r="AM6">
        <v>0</v>
      </c>
      <c r="AO6" s="100">
        <v>46057</v>
      </c>
      <c r="AQ6" t="str">
        <v>Prof. Dr. Ayşe KİN İŞLER</v>
      </c>
      <c r="AT6" s="123" t="s">
        <v>59</v>
      </c>
      <c r="AU6" s="129">
        <f>Üye_Yeni!E4</f>
        <v>0</v>
      </c>
      <c r="AW6" t="str">
        <v>Anesteziyoloji ve Reanimasyon Anabilim Dalı</v>
      </c>
      <c r="AY6" s="123" t="s">
        <v>59</v>
      </c>
      <c r="AZ6" s="129">
        <f>Birim_Yeni!E4</f>
        <v>0</v>
      </c>
    </row>
    <row r="7" spans="1:52" ht="60" x14ac:dyDescent="0.25">
      <c r="A7" s="101" t="str">
        <v>SBA 26/021</v>
      </c>
      <c r="B7" s="101" t="str">
        <v>Prof. Dr. Oğuz IŞIK</v>
      </c>
      <c r="C7" s="101" t="str">
        <v>Sağlık Yönetimi Anabilim Dalı</v>
      </c>
      <c r="D7" s="97" t="str">
        <v>Üniversitemiz İktisadi İdari Bilimler Fakültesi Sağlık Yönetimi Anabilim Dalı öğretim üyelerinden Prof. Dr. Oğuz IŞIK’ın sorumlu araştırmacı olduğu, Kübra TEKAYAK’ın doktora tezi olan,</v>
      </c>
      <c r="E7" s="97" t="str">
        <v>“Sağlık Hizmetlerinde Aşırı Kullanım Algısı: Nedenleri, Sonuçları ve Hekime Güven ile İlişkisinin Hasta Perspektifinden Değerlendirilmesi”</v>
      </c>
      <c r="F7" s="101" t="str">
        <v>Doktora Tezi</v>
      </c>
      <c r="G7" s="100">
        <v>0</v>
      </c>
      <c r="H7" s="100">
        <v>46028</v>
      </c>
      <c r="I7" s="98" t="str">
        <v>Prof. Dr. Ayşe KİN İŞLER</v>
      </c>
      <c r="J7" s="98" t="str">
        <v>Prof. Dr. Melih Önder BABAOĞLU</v>
      </c>
      <c r="K7" s="98" t="str">
        <v>DÜZELTME</v>
      </c>
      <c r="L7" s="98" t="str">
        <v>GÖRÜŞ</v>
      </c>
      <c r="M7" s="98" t="str">
        <v>ONAY</v>
      </c>
      <c r="N7" s="98">
        <v>0</v>
      </c>
      <c r="O7" s="98" t="str">
        <v>ONAY</v>
      </c>
      <c r="P7" s="105">
        <v>0</v>
      </c>
      <c r="R7" s="98" t="str">
        <v>Doç. Dr. Ceren ÖZKUL KOÇAK</v>
      </c>
      <c r="S7" s="98">
        <v>1</v>
      </c>
      <c r="U7" s="98" t="str">
        <v>Sosyal Hizmet Anabilim Dalı</v>
      </c>
      <c r="V7" s="98">
        <v>3</v>
      </c>
      <c r="W7" s="98" t="str">
        <v>Doç. Dr. Almıla Gülsün PAMUK</v>
      </c>
      <c r="X7" s="99">
        <v>1</v>
      </c>
      <c r="Y7" s="98" t="str">
        <v>Kadın Hastalıkları ve Doğum Anabilim Dalı</v>
      </c>
      <c r="Z7" s="99">
        <v>9</v>
      </c>
      <c r="AA7" s="100">
        <v>46070</v>
      </c>
      <c r="AB7" s="99">
        <v>32</v>
      </c>
      <c r="AC7" s="99">
        <v>2</v>
      </c>
      <c r="AD7" s="99">
        <v>3</v>
      </c>
      <c r="AE7" s="99">
        <v>8</v>
      </c>
      <c r="AF7" s="99">
        <v>45</v>
      </c>
      <c r="AG7" s="99">
        <v>0</v>
      </c>
      <c r="AH7">
        <v>0</v>
      </c>
      <c r="AI7">
        <v>0</v>
      </c>
      <c r="AJ7">
        <v>0</v>
      </c>
      <c r="AK7">
        <v>0</v>
      </c>
      <c r="AL7">
        <v>0</v>
      </c>
      <c r="AM7">
        <v>0</v>
      </c>
      <c r="AO7" s="100">
        <v>46070</v>
      </c>
      <c r="AQ7" t="str">
        <v>Prof. Dr. Ayşe Nurten AKARSU</v>
      </c>
      <c r="AT7" s="128" t="s">
        <v>307</v>
      </c>
      <c r="AU7" s="129">
        <f>Üye_Yeni!F4</f>
        <v>0</v>
      </c>
      <c r="AW7" t="str">
        <v>Barcelona Institute for Global Health</v>
      </c>
      <c r="AY7" s="128" t="s">
        <v>307</v>
      </c>
      <c r="AZ7" s="129">
        <f>Birim_Yeni!F4</f>
        <v>0</v>
      </c>
    </row>
    <row r="8" spans="1:52" ht="60" x14ac:dyDescent="0.25">
      <c r="A8" s="101" t="str">
        <v>SBA 26/045</v>
      </c>
      <c r="B8" s="101" t="str">
        <v>Prof. Dr. Dilek ASLAN</v>
      </c>
      <c r="C8" s="101" t="str">
        <v>Halk Sağlığı Anabilim Dalı</v>
      </c>
      <c r="D8" s="97" t="str">
        <v>Üniversitemiz Tıp Fakültesi Halk Sağlığı Anabilim öğretim üyelerinden Prof. Dr. Dilek ASLAN’ın sorumlu araştırmacı olduğu, Dr. Nur Sima SEKBAN’ın doktora tezi olan,</v>
      </c>
      <c r="E8" s="97" t="str">
        <v>“Aile Hekimliği Polikliniklerine Başvuran 18 Yaş ve Üzeri Hipertansiyon Hastalarının Hastalık Yönetim Süreçlerine Uyumları ve İlişkili Faktörler”</v>
      </c>
      <c r="F8" s="101" t="str">
        <v>Doktora Tezi</v>
      </c>
      <c r="G8" s="100">
        <v>46017</v>
      </c>
      <c r="H8" s="100">
        <v>46028</v>
      </c>
      <c r="I8" s="98" t="str">
        <v>Prof. Dr. Ayşe KİN İŞLER</v>
      </c>
      <c r="J8" s="98" t="str">
        <v>Dr. Öğr. Üyesi Müge DEMİR</v>
      </c>
      <c r="K8" s="98" t="str">
        <v>ONAY</v>
      </c>
      <c r="L8" s="98">
        <v>0</v>
      </c>
      <c r="M8" s="98">
        <v>0</v>
      </c>
      <c r="N8" s="98">
        <v>0</v>
      </c>
      <c r="O8" s="98" t="str">
        <v>ONAY</v>
      </c>
      <c r="P8" s="105">
        <v>0</v>
      </c>
      <c r="R8" s="98" t="str">
        <v>Prof. Dr. Ayşe KİN İŞLER</v>
      </c>
      <c r="S8" s="98">
        <v>2</v>
      </c>
      <c r="U8" s="98" t="str">
        <v>Sağlık Yönetimi Anabilim Dalı</v>
      </c>
      <c r="V8" s="98">
        <v>2</v>
      </c>
      <c r="W8" s="98" t="str">
        <v>Doç. Dr. Aslıhan AYKARA</v>
      </c>
      <c r="X8" s="99">
        <v>2</v>
      </c>
      <c r="Y8" s="98" t="str">
        <v>Klinik Eczacılık Anabilim Dalı</v>
      </c>
      <c r="Z8" s="99">
        <v>9</v>
      </c>
      <c r="AA8" s="100"/>
      <c r="AB8" s="99"/>
      <c r="AC8" s="99"/>
      <c r="AD8" s="99"/>
      <c r="AE8" s="99"/>
      <c r="AF8" s="99"/>
      <c r="AG8" s="99"/>
      <c r="AQ8" t="str">
        <v>Prof. Dr. Gözde GİRGİN</v>
      </c>
      <c r="AT8" s="124" t="s">
        <v>78</v>
      </c>
      <c r="AU8" s="129">
        <f>Üye_Yeni!G4</f>
        <v>0</v>
      </c>
      <c r="AW8" t="str">
        <v>Biyoinformatik Anabilim Dalı</v>
      </c>
      <c r="AY8" s="124" t="s">
        <v>78</v>
      </c>
      <c r="AZ8" s="129">
        <f>Birim_Yeni!G4</f>
        <v>0</v>
      </c>
    </row>
    <row r="9" spans="1:52" ht="60" x14ac:dyDescent="0.25">
      <c r="A9" s="101" t="str">
        <v>SBA 26/058</v>
      </c>
      <c r="B9" s="101" t="str">
        <v>Prof. Dr. Salih Kutay DEMİRKAN</v>
      </c>
      <c r="C9" s="101" t="str">
        <v>Klinik Eczacılık Anabilim Dalı</v>
      </c>
      <c r="D9" s="97" t="str">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v>
      </c>
      <c r="E9" s="97" t="str">
        <v>“Diyabetik Yaşlı Hastalarda Sarkopeni ile Kullandıkları İlaçlar Arasındaki İlişkinin Değerlendirilmesi”</v>
      </c>
      <c r="F9" s="101" t="str">
        <v>Doktora Tezi</v>
      </c>
      <c r="G9" s="100">
        <v>46024</v>
      </c>
      <c r="H9" s="100">
        <v>46042</v>
      </c>
      <c r="I9" s="98" t="str">
        <v>Prof. Dr. Nazmiye Ebru ORTAÇ ERSOY</v>
      </c>
      <c r="J9" s="98" t="str">
        <v>Doç. Dr. Tolga ÇAKMAK</v>
      </c>
      <c r="K9" s="98">
        <v>0</v>
      </c>
      <c r="L9" s="98">
        <v>0</v>
      </c>
      <c r="M9" s="98">
        <v>0</v>
      </c>
      <c r="N9" s="98">
        <v>0</v>
      </c>
      <c r="O9" s="98">
        <v>0</v>
      </c>
      <c r="P9" s="105">
        <v>0</v>
      </c>
      <c r="R9" s="98" t="str">
        <v>Prof. Dr. Bayram ŞAHİN</v>
      </c>
      <c r="S9" s="98">
        <v>1</v>
      </c>
      <c r="U9" s="98" t="str">
        <v>Halk Sağlığı Anabilim Dalı</v>
      </c>
      <c r="V9" s="98">
        <v>2</v>
      </c>
      <c r="W9" s="98" t="str">
        <v>Doç. Dr. Ayhan EYMİRLİ</v>
      </c>
      <c r="X9" s="99">
        <v>1</v>
      </c>
      <c r="Y9" s="98" t="str">
        <v>Göz Hastalıkları Anabilim Dalı</v>
      </c>
      <c r="Z9" s="99">
        <v>6</v>
      </c>
      <c r="AA9" s="100"/>
      <c r="AB9" s="99"/>
      <c r="AC9" s="99"/>
      <c r="AD9" s="99"/>
      <c r="AE9" s="99"/>
      <c r="AF9" s="99"/>
      <c r="AG9" s="99"/>
      <c r="AQ9" t="str">
        <v>Prof. Dr. M. Özgür UYANIK</v>
      </c>
      <c r="AW9" t="str">
        <v>Çocuk Cerrahisi Anabilim Dalı</v>
      </c>
    </row>
    <row r="10" spans="1:52" ht="45" x14ac:dyDescent="0.25">
      <c r="A10" s="101" t="str">
        <v>SBA 26/074</v>
      </c>
      <c r="B10" s="101" t="str">
        <v>Prof. Dr. Sıddika Songül YALÇIN</v>
      </c>
      <c r="C10" s="101" t="str">
        <v>Sosyal Pediatri Anabilim Dalı</v>
      </c>
      <c r="D10" s="97" t="str">
        <v>Üniversitemiz Çocuk Sağlığı Enstitüsü Sosyal Pediatri Anabilim Dalı öğretim üyelerinden Prof. Dr. Sıddika Songül YALÇIN’ın sorumlu araştırmacı olduğu, Uzm. Dr. Murat GÜLŞEN’in doktora tezi olan,</v>
      </c>
      <c r="E10" s="97" t="str">
        <v>“Nadir Hastalığı Olan Çocuklar Özelinde Ebeveynlerinin Tutumu, Sağlık Okuryazarlığı ve Ekran Kullanımı”</v>
      </c>
      <c r="F10" s="101" t="str">
        <v>Doktora Tezi</v>
      </c>
      <c r="G10" s="100">
        <v>46030</v>
      </c>
      <c r="H10" s="100">
        <v>46042</v>
      </c>
      <c r="I10" s="98" t="str">
        <v>Doç. Dr. Tolga ÇAKMAK</v>
      </c>
      <c r="J10" s="98" t="str">
        <v>Doç. Dr. Burcu ERSÖZ ALAN</v>
      </c>
      <c r="K10" s="98" t="str">
        <v>ONAY</v>
      </c>
      <c r="L10" s="98">
        <v>0</v>
      </c>
      <c r="M10" s="98">
        <v>0</v>
      </c>
      <c r="N10" s="98">
        <v>0</v>
      </c>
      <c r="O10" s="98" t="str">
        <v>ONAY</v>
      </c>
      <c r="P10" s="105">
        <v>0</v>
      </c>
      <c r="R10" s="98" t="str">
        <v>Prof. Dr. Dilek ASLAN</v>
      </c>
      <c r="S10" s="98">
        <v>1</v>
      </c>
      <c r="U10" s="98" t="str">
        <v>Hareket ve Antrenman Bilimleri Anabilim Dalı</v>
      </c>
      <c r="V10" s="98">
        <v>2</v>
      </c>
      <c r="W10" s="98" t="str">
        <v>Doç. Dr. Basri GÜLBAKAN</v>
      </c>
      <c r="X10" s="99">
        <v>1</v>
      </c>
      <c r="Y10" s="98" t="str">
        <v>Kulak Burun Boğaz Anabilim Dalı</v>
      </c>
      <c r="Z10" s="99">
        <v>6</v>
      </c>
      <c r="AA10" s="100"/>
      <c r="AB10" s="99"/>
      <c r="AC10" s="99"/>
      <c r="AD10" s="99"/>
      <c r="AE10" s="99"/>
      <c r="AF10" s="99"/>
      <c r="AG10" s="99"/>
      <c r="AQ10" t="str">
        <v>Prof. Dr. Melih Önder BABAOĞLU</v>
      </c>
      <c r="AT10" s="130" t="s">
        <v>4225</v>
      </c>
      <c r="AW10" t="str">
        <v>Çocuk Sağlığı ve Hastalıkları Anabilim Dalı</v>
      </c>
    </row>
    <row r="11" spans="1:52" ht="75" x14ac:dyDescent="0.25">
      <c r="A11" s="101" t="str">
        <v>SBA 26/079</v>
      </c>
      <c r="B11" s="101" t="str">
        <v>Prof. Dr. Ülkü ÜNDEĞER BUCURGAT</v>
      </c>
      <c r="C11" s="101" t="str">
        <v>Farmasötik Toksikoloji Anabilim Dalı</v>
      </c>
      <c r="D11" s="97" t="str">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v>
      </c>
      <c r="E11" s="97" t="str">
        <v>“Kaynakçılarda Demir Metabolizmasının Gözden Geçirilmesi ve Sistemik Aşırı Demir Fazlalığı Olan ve Olmayan Aktif Kaynakçılarda Genotoksisitenin Comet Yöntemi ile Değerlendirilmesi”</v>
      </c>
      <c r="F11" s="101" t="str">
        <v>Doktora Tezi</v>
      </c>
      <c r="G11" s="100">
        <v>46031</v>
      </c>
      <c r="H11" s="100">
        <v>46042</v>
      </c>
      <c r="I11" s="98" t="str">
        <v>Doç. Dr. Tolga ÇAKMAK</v>
      </c>
      <c r="J11" s="98" t="str">
        <v>Prof. Dr. Gözde GİRGİN</v>
      </c>
      <c r="K11" s="98" t="str">
        <v>DÜZELTME</v>
      </c>
      <c r="L11" s="98" t="str">
        <v>ONAY</v>
      </c>
      <c r="M11" s="98">
        <v>0</v>
      </c>
      <c r="N11" s="98">
        <v>0</v>
      </c>
      <c r="O11" s="98" t="str">
        <v>ONAY</v>
      </c>
      <c r="P11" s="105">
        <v>0</v>
      </c>
      <c r="R11" s="98" t="str">
        <v>Prof. Dr. Hatice DOĞAN BUZOĞLU</v>
      </c>
      <c r="S11" s="98">
        <v>1</v>
      </c>
      <c r="U11" s="98" t="str">
        <v>Endodonti Anabilim Dalı</v>
      </c>
      <c r="V11" s="98">
        <v>2</v>
      </c>
      <c r="W11" s="98" t="str">
        <v>Doç. Dr. Başak YALICI ARMAĞAN</v>
      </c>
      <c r="X11" s="99">
        <v>1</v>
      </c>
      <c r="Y11" s="98" t="str">
        <v>Radyoloji Anabilim Dalı</v>
      </c>
      <c r="Z11" s="99">
        <v>5</v>
      </c>
      <c r="AA11" s="100"/>
      <c r="AB11" s="99"/>
      <c r="AC11" s="99"/>
      <c r="AD11" s="99"/>
      <c r="AE11" s="99"/>
      <c r="AF11" s="99"/>
      <c r="AG11" s="99"/>
      <c r="AQ11" t="str">
        <v>Prof. Dr. Nazmiye Ebru ORTAÇ ERSOY</v>
      </c>
      <c r="AT11" s="125" t="s">
        <v>57</v>
      </c>
      <c r="AU11">
        <f>VLOOKUP(Üye_Yeni!$E$1, $AA$4:$AZ$2000, 7, 0)</f>
        <v>1</v>
      </c>
      <c r="AW11" t="str">
        <v>Çocuk ve Ergen Ruh Sağlığı ve Hastalıkları Anabilim Dalı</v>
      </c>
    </row>
    <row r="12" spans="1:52" ht="60" x14ac:dyDescent="0.25">
      <c r="A12" s="101" t="str">
        <v>SBA 26/096</v>
      </c>
      <c r="B12" s="101" t="str">
        <v>Doç. Dr. Aslıhan AYKARA</v>
      </c>
      <c r="C12" s="101" t="str">
        <v>Sosyal Hizmet Anabilim Dalı</v>
      </c>
      <c r="D12" s="97" t="str">
        <v>Üniversitemiz İktisadi ve İdari Bilimler Fakültesi Sosyal Hizmet Anabilim Dalı öğretim üyelerinden Doç. Dr. Aslıhan AYKARA’nın sorumlu araştırmacı olduğu, Derya AKKURT'un doktora tezi olan,</v>
      </c>
      <c r="E12" s="97" t="str">
        <v>“Post-Neoliberal Bir Gündem Olarak Bakım Krizi: Engelli Bakım Politika ve Hizmetlerinin Toplumsal Yeniden Üretim Açısından Değerlendirilmesi”</v>
      </c>
      <c r="F12" s="101" t="str">
        <v>Doktora Tezi</v>
      </c>
      <c r="G12" s="100">
        <v>46037</v>
      </c>
      <c r="H12" s="100">
        <v>46042</v>
      </c>
      <c r="I12" s="98" t="str">
        <v>Dr. Öğr. Üyesi Müge DEMİR</v>
      </c>
      <c r="J12" s="98" t="str">
        <v>Doç. Dr. Tolga ÇAKMAK</v>
      </c>
      <c r="K12" s="98" t="str">
        <v>ONAY</v>
      </c>
      <c r="L12" s="98">
        <v>0</v>
      </c>
      <c r="M12" s="98">
        <v>0</v>
      </c>
      <c r="N12" s="98">
        <v>0</v>
      </c>
      <c r="O12" s="98" t="str">
        <v>ONAY</v>
      </c>
      <c r="P12" s="105">
        <v>0</v>
      </c>
      <c r="R12" s="98" t="str">
        <v>Prof. Dr. Meltem Gülhan HALİL</v>
      </c>
      <c r="S12" s="98">
        <v>6</v>
      </c>
      <c r="U12" s="98" t="str">
        <v>Lokman Hekim Üniversitesi
Sağlık Hizmetleri Meslek Yüksekokulu</v>
      </c>
      <c r="V12" s="98">
        <v>1</v>
      </c>
      <c r="W12" s="98" t="str">
        <v>Doç. Dr. Burcu ERSÖZ ALAN</v>
      </c>
      <c r="X12" s="99">
        <v>1</v>
      </c>
      <c r="Y12" s="98" t="str">
        <v>Kardiyoloji Anabilim Dalı</v>
      </c>
      <c r="Z12" s="99">
        <v>5</v>
      </c>
      <c r="AA12" s="100"/>
      <c r="AB12" s="99"/>
      <c r="AC12" s="99"/>
      <c r="AD12" s="99"/>
      <c r="AE12" s="99"/>
      <c r="AF12" s="99"/>
      <c r="AG12" s="99"/>
      <c r="AQ12" t="str">
        <v>Prof. Dr. Yavuz AYHAN</v>
      </c>
      <c r="AT12" s="126" t="s">
        <v>58</v>
      </c>
      <c r="AU12">
        <f>VLOOKUP(Üye_Yeni!$E$1, $AA$4:$AZ$2000, 8, 0)</f>
        <v>1</v>
      </c>
      <c r="AW12" t="str">
        <v>Deri ve Zührevi Hastalıklar Anabilim Dalı</v>
      </c>
    </row>
    <row r="13" spans="1:52" ht="45" x14ac:dyDescent="0.25">
      <c r="A13" s="101" t="str">
        <v>SBA 26/099</v>
      </c>
      <c r="B13" s="101" t="str">
        <v>Doç. Dr. Aslıhan AYKARA</v>
      </c>
      <c r="C13" s="101" t="str">
        <v>Sosyal Hizmet Anabilim Dalı</v>
      </c>
      <c r="D13" s="97" t="str">
        <v>Üniversitemiz İktisadi ve İdari Bilimler Fakültesi Sosyal Hizmet Anabilim Dalı öğretim üyelerinden Doç. Dr. Aslıhan AYKARA’nın sorumlu araştırmacı olduğu, Dilara KESER GÜNENÇ’in doktora tezi olan,</v>
      </c>
      <c r="E13" s="97" t="str">
        <v>“Feminist Sosyal Hizmet Perspektifinden Engelli Kadınların Yaşantıları ve Aktivizm Deneyimleri”</v>
      </c>
      <c r="F13" s="101" t="str">
        <v>Doktora Tezi</v>
      </c>
      <c r="G13" s="100">
        <v>46037</v>
      </c>
      <c r="H13" s="100">
        <v>46042</v>
      </c>
      <c r="I13" s="98" t="str">
        <v>Dr. Öğr. Üyesi Müge DEMİR</v>
      </c>
      <c r="J13" s="98" t="str">
        <v>Doç. Dr. Ekim GÜMELER</v>
      </c>
      <c r="K13" s="98" t="str">
        <v>ONAY</v>
      </c>
      <c r="L13" s="98">
        <v>0</v>
      </c>
      <c r="M13" s="98">
        <v>0</v>
      </c>
      <c r="N13" s="98">
        <v>0</v>
      </c>
      <c r="O13" s="98" t="str">
        <v>ONAY</v>
      </c>
      <c r="P13" s="105">
        <v>0</v>
      </c>
      <c r="R13" s="98" t="str">
        <v>Prof. Dr. Oğuz IŞIK</v>
      </c>
      <c r="S13" s="98">
        <v>2</v>
      </c>
      <c r="U13" s="98" t="str">
        <v>Fizikokimya Anabilim Dalı</v>
      </c>
      <c r="V13" s="98">
        <v>1</v>
      </c>
      <c r="W13" s="98" t="str">
        <v>Doç. Dr. Burcu HATİBOĞLU</v>
      </c>
      <c r="X13" s="99">
        <v>1</v>
      </c>
      <c r="Y13" s="98" t="str">
        <v>Anatomi Anabilim Dalı</v>
      </c>
      <c r="Z13" s="99">
        <v>5</v>
      </c>
      <c r="AA13" s="100"/>
      <c r="AB13" s="99"/>
      <c r="AC13" s="99"/>
      <c r="AD13" s="99"/>
      <c r="AE13" s="99"/>
      <c r="AF13" s="99"/>
      <c r="AG13" s="99"/>
      <c r="AQ13">
        <v>0</v>
      </c>
      <c r="AT13" s="122" t="s">
        <v>73</v>
      </c>
      <c r="AU13" s="129">
        <f>VLOOKUP(Üye_Yeni!$E$1, $AA$4:$AZ$2000, 9, 0)</f>
        <v>0</v>
      </c>
      <c r="AW13" t="str">
        <v>Endodonti Anabilim Dalı</v>
      </c>
    </row>
    <row r="14" spans="1:52" ht="60" x14ac:dyDescent="0.25">
      <c r="A14" s="101" t="str">
        <v>SBA 26/113</v>
      </c>
      <c r="B14" s="101" t="str">
        <v>Prof. Dr. Ayşe KİN İŞLER</v>
      </c>
      <c r="C14" s="101" t="str">
        <v>Hareket ve Antrenman Bilimleri Anabilim Dalı</v>
      </c>
      <c r="D14" s="97" t="str">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v>
      </c>
      <c r="E14" s="97" t="str">
        <v>“Bilateral ve Unilateral Ön-Kondisyonlanma Protokollerinin Cimnastikçilerde Performans Asimetrileri Üzerine Etkisi”</v>
      </c>
      <c r="F14" s="101" t="str">
        <v>Doktora Tezi</v>
      </c>
      <c r="G14" s="100">
        <v>46044</v>
      </c>
      <c r="H14" s="100">
        <v>46057</v>
      </c>
      <c r="I14" s="98" t="str">
        <v>Prof. Dr. Ayşe Nurten AKARSU</v>
      </c>
      <c r="J14" s="98" t="str">
        <v>Prof. Dr. Nazmiye Ebru ORTAÇ ERSOY</v>
      </c>
      <c r="K14" s="98" t="str">
        <v>DÜZELTME</v>
      </c>
      <c r="L14" s="98">
        <v>0</v>
      </c>
      <c r="M14" s="98">
        <v>0</v>
      </c>
      <c r="N14" s="98">
        <v>0</v>
      </c>
      <c r="O14" s="98">
        <v>0</v>
      </c>
      <c r="P14" s="105">
        <v>0</v>
      </c>
      <c r="R14" s="98" t="str">
        <v>Prof. Dr. Ömür ÇELİKBIÇAK</v>
      </c>
      <c r="S14" s="98">
        <v>1</v>
      </c>
      <c r="U14" s="98" t="str">
        <v>Tıbbi Mikrobiyoloji Anabilim Dalı</v>
      </c>
      <c r="V14" s="98">
        <v>1</v>
      </c>
      <c r="W14" s="98" t="str">
        <v>Doç. Dr. Ceren GÜNENÇ BEŞER</v>
      </c>
      <c r="X14" s="99">
        <v>1</v>
      </c>
      <c r="Y14" s="98" t="str">
        <v>Nöroloji Anabilim Dalı</v>
      </c>
      <c r="Z14" s="99">
        <v>5</v>
      </c>
      <c r="AA14" s="100"/>
      <c r="AB14" s="99"/>
      <c r="AC14" s="99"/>
      <c r="AD14" s="99"/>
      <c r="AE14" s="99"/>
      <c r="AF14" s="99"/>
      <c r="AG14" s="99"/>
      <c r="AT14" s="127" t="s">
        <v>86</v>
      </c>
      <c r="AU14" s="129">
        <f>VLOOKUP(Üye_Yeni!$E$1, $AA$4:$AZ$2000, 10, 0)</f>
        <v>0</v>
      </c>
      <c r="AW14" t="str">
        <v>Farmasötik Mikrobiyoloji Anabilim Dalı</v>
      </c>
    </row>
    <row r="15" spans="1:52" ht="60" x14ac:dyDescent="0.25">
      <c r="A15" s="101" t="str">
        <v>SBA 26/116</v>
      </c>
      <c r="B15" s="101" t="str">
        <v>Doç. Dr. Ceren GÜNENÇ BEŞER</v>
      </c>
      <c r="C15" s="101" t="str">
        <v>Anatomi Anabilim Dalı</v>
      </c>
      <c r="D15" s="97" t="str">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v>
      </c>
      <c r="E15" s="97" t="str">
        <v>“Arteria Mesenterica Superior ve Vena Mesenterica Superior'un Anatomik İlişkisi: Radyolojik Ölçümlerle Cerrahi Risk Açısından Değerlendirme”</v>
      </c>
      <c r="F15" s="101" t="str">
        <v>Doktora Tezi</v>
      </c>
      <c r="G15" s="100">
        <v>46044</v>
      </c>
      <c r="H15" s="100">
        <v>46057</v>
      </c>
      <c r="I15" s="98" t="str">
        <v>Prof. Dr. Ayşe Nurten AKARSU</v>
      </c>
      <c r="J15" s="98" t="str">
        <v>Doç. Dr. Burcu ERSÖZ ALAN</v>
      </c>
      <c r="K15" s="98" t="str">
        <v>ONAY</v>
      </c>
      <c r="L15" s="98">
        <v>0</v>
      </c>
      <c r="M15" s="98">
        <v>0</v>
      </c>
      <c r="N15" s="98">
        <v>0</v>
      </c>
      <c r="O15" s="98">
        <v>0</v>
      </c>
      <c r="P15" s="105">
        <v>0</v>
      </c>
      <c r="R15" s="98" t="str">
        <v>Prof. Dr. Salih Kutay DEMİRKAN</v>
      </c>
      <c r="S15" s="98">
        <v>3</v>
      </c>
      <c r="U15" s="98" t="str">
        <v>Sosyal Pediatri Anabilim Dalı</v>
      </c>
      <c r="V15" s="98">
        <v>1</v>
      </c>
      <c r="W15" s="98" t="str">
        <v>Doç. Dr. Ceren ÖZKUL KOÇAK</v>
      </c>
      <c r="X15" s="99">
        <v>1</v>
      </c>
      <c r="Y15" s="98" t="str">
        <v>Ortopedi ve Travmatoloji Anabilim Dalı</v>
      </c>
      <c r="Z15" s="99">
        <v>5</v>
      </c>
      <c r="AA15" s="100"/>
      <c r="AB15" s="99"/>
      <c r="AC15" s="99"/>
      <c r="AD15" s="99"/>
      <c r="AE15" s="99"/>
      <c r="AF15" s="99"/>
      <c r="AG15" s="99"/>
      <c r="AT15" s="123" t="s">
        <v>59</v>
      </c>
      <c r="AU15" s="129">
        <f>VLOOKUP(Üye_Yeni!$E$1, $AA$4:$AZ$2000, 11, 0)</f>
        <v>0</v>
      </c>
      <c r="AW15" t="str">
        <v>Farmasötik Toksikoloji Anabilim Dalı</v>
      </c>
    </row>
    <row r="16" spans="1:52" ht="75" x14ac:dyDescent="0.25">
      <c r="A16" s="101" t="str">
        <v>SBA 26/126</v>
      </c>
      <c r="B16" s="101" t="str">
        <v>Doç. Dr. Ceren ÖZKUL KOÇAK</v>
      </c>
      <c r="C16" s="101" t="str">
        <v>Farmasötik Mikrobiyoloji Anabilim Dalı</v>
      </c>
      <c r="D16" s="97"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6" s="97" t="str">
        <v>“Kistik Fibrozis Hastalarından İzole Edilen Pseudomonas aeruginosa İzolatlarında Kolistin ve Tobramisinin Sub-inhibitör Düzeydeki Etkilerinin Karşılaştırmalı Transkriptomik ve Metabolomik Analizi”</v>
      </c>
      <c r="F16" s="101" t="str">
        <v>Doktora Tezi</v>
      </c>
      <c r="G16" s="100">
        <v>46045</v>
      </c>
      <c r="H16" s="100">
        <v>46057</v>
      </c>
      <c r="I16" s="98" t="str">
        <v>Doç. Dr. Kübra AYKAÇ</v>
      </c>
      <c r="J16" s="98" t="str">
        <v>Prof. Dr. Gözde GİRGİN</v>
      </c>
      <c r="K16" s="98" t="str">
        <v>DÜZELTME</v>
      </c>
      <c r="L16" s="98">
        <v>0</v>
      </c>
      <c r="M16" s="98">
        <v>0</v>
      </c>
      <c r="N16" s="98">
        <v>0</v>
      </c>
      <c r="O16" s="98">
        <v>0</v>
      </c>
      <c r="P16" s="105">
        <v>0</v>
      </c>
      <c r="R16" s="98" t="str">
        <v>Prof. Dr. Sıddika Songül YALÇIN</v>
      </c>
      <c r="S16" s="98">
        <v>3</v>
      </c>
      <c r="U16" s="98" t="str">
        <v>Farmasötik Toksikoloji Anabilim Dalı</v>
      </c>
      <c r="V16" s="98">
        <v>1</v>
      </c>
      <c r="W16" s="98" t="str">
        <v>Doç. Dr. Derman BAŞARAN</v>
      </c>
      <c r="X16" s="99">
        <v>1</v>
      </c>
      <c r="Y16" s="98" t="str">
        <v>Çocuk ve Ergen Ruh Sağlığı ve Hastalıkları Anabilim Dalı</v>
      </c>
      <c r="Z16" s="99">
        <v>4</v>
      </c>
      <c r="AA16" s="100"/>
      <c r="AB16" s="99"/>
      <c r="AC16" s="99"/>
      <c r="AD16" s="99"/>
      <c r="AE16" s="99"/>
      <c r="AF16" s="99"/>
      <c r="AG16" s="99"/>
      <c r="AT16" s="128" t="s">
        <v>307</v>
      </c>
      <c r="AU16" s="129">
        <f>VLOOKUP(Üye_Yeni!$E$1, $AA$4:$AZ$2000, 12, 0)</f>
        <v>0</v>
      </c>
      <c r="AW16" t="str">
        <v>Fizikokimya Anabilim Dalı</v>
      </c>
    </row>
    <row r="17" spans="1:49" ht="45" x14ac:dyDescent="0.25">
      <c r="A17" s="101" t="str">
        <v>SBA 26/127</v>
      </c>
      <c r="B17" s="101" t="str">
        <v>Prof. Dr. Oğuz IŞIK</v>
      </c>
      <c r="C17" s="101" t="str">
        <v>Sağlık Yönetimi Anabilim Dalı</v>
      </c>
      <c r="D17" s="97" t="str">
        <v>Üniversitemiz İktisadi ve İdari Bilimler Fakültesi Sağlık Yönetimi Anabilim Dalı öğretim üyelerinden Prof. Dr. Oğuz IŞIK’ın sorumlu araştırmacı olduğu, Arş. Gör. Hamza SIĞIRCI’nın doktora tezi olan,</v>
      </c>
      <c r="E17" s="97" t="str">
        <v>“Sağlık Hizmetlerinde Yalın Yönetim: Ağız ve Diş Sağlığı Merkezi Örneği”</v>
      </c>
      <c r="F17" s="101" t="str">
        <v>Doktora Tezi</v>
      </c>
      <c r="G17" s="100">
        <v>46045</v>
      </c>
      <c r="H17" s="100">
        <v>46057</v>
      </c>
      <c r="I17" s="98" t="str">
        <v>Prof. Dr. Ayşe Nurten AKARSU</v>
      </c>
      <c r="J17" s="98" t="str">
        <v>Prof. Dr. Gözde GİRGİN</v>
      </c>
      <c r="K17" s="98" t="str">
        <v>ONAY</v>
      </c>
      <c r="L17" s="98">
        <v>0</v>
      </c>
      <c r="M17" s="98">
        <v>0</v>
      </c>
      <c r="N17" s="98">
        <v>0</v>
      </c>
      <c r="O17" s="98">
        <v>0</v>
      </c>
      <c r="P17" s="105">
        <v>0</v>
      </c>
      <c r="R17" s="98" t="str">
        <v>Prof. Dr. Ülkü ÜNDEĞER BUCURGAT</v>
      </c>
      <c r="S17" s="98">
        <v>1</v>
      </c>
      <c r="U17" s="98" t="str">
        <v>Farmasötik Mikrobiyoloji Anabilim Dalı</v>
      </c>
      <c r="V17" s="98">
        <v>1</v>
      </c>
      <c r="W17" s="98" t="str">
        <v>Doç. Dr. Dilek ÜNAL</v>
      </c>
      <c r="X17" s="99">
        <v>1</v>
      </c>
      <c r="Y17" s="98" t="str">
        <v>Ortodonti Anabilim Dalı</v>
      </c>
      <c r="Z17" s="99">
        <v>4</v>
      </c>
      <c r="AB17" s="99"/>
      <c r="AT17" s="124" t="s">
        <v>78</v>
      </c>
      <c r="AU17" s="129">
        <f>VLOOKUP(Üye_Yeni!$E$1, $AA$4:$AZ$2000, 13, 0)</f>
        <v>0</v>
      </c>
      <c r="AW17" t="str">
        <v>Fiziksel Tıp ve Rehabilitasyon Anabilim Dalı</v>
      </c>
    </row>
    <row r="18" spans="1:49" ht="75" x14ac:dyDescent="0.25">
      <c r="A18" s="101" t="str">
        <v>SBA 26/152</v>
      </c>
      <c r="B18" s="101" t="str">
        <v>Prof. Dr. Meltem Gülhan HALİL</v>
      </c>
      <c r="C18" s="101" t="str">
        <v>İç Hastalıkları Anabilim Dalı</v>
      </c>
      <c r="D18" s="97"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18" s="97" t="str">
        <v>“Santral Paranteral Beslenme Kontrol Listesinin Kateter İlişkili Komplikasyonlara Etkisinin Değerlendirilmesi”</v>
      </c>
      <c r="F18" s="101" t="str">
        <v>Doktora Tezi</v>
      </c>
      <c r="G18" s="100">
        <v>46058</v>
      </c>
      <c r="H18" s="100">
        <v>46070</v>
      </c>
      <c r="I18" s="98" t="str">
        <v>Prof. Dr. Yavuz AYHAN</v>
      </c>
      <c r="J18" s="98" t="str">
        <v>Prof. Dr. Gözde GİRGİN</v>
      </c>
      <c r="K18" s="98">
        <v>0</v>
      </c>
      <c r="L18" s="98">
        <v>0</v>
      </c>
      <c r="M18" s="98">
        <v>0</v>
      </c>
      <c r="N18" s="98">
        <v>0</v>
      </c>
      <c r="O18" s="98">
        <v>0</v>
      </c>
      <c r="P18" s="105">
        <v>0</v>
      </c>
      <c r="R18" s="98" t="str">
        <v>Prof. Dr. Yakut AKYÖN YILMAZ</v>
      </c>
      <c r="S18" s="98">
        <v>1</v>
      </c>
      <c r="W18" s="98" t="str">
        <v>Doç. Dr. Duygu GÜLSEREN</v>
      </c>
      <c r="X18" s="99">
        <v>1</v>
      </c>
      <c r="Y18" s="98" t="str">
        <v>Deri ve Zührevi Hastalıklar Anabilim Dalı</v>
      </c>
      <c r="Z18" s="99">
        <v>4</v>
      </c>
      <c r="AB18" s="99"/>
      <c r="AW18" t="str">
        <v>Fizyoloji Anabilim Dalı</v>
      </c>
    </row>
    <row r="19" spans="1:49" ht="60" x14ac:dyDescent="0.25">
      <c r="A19" s="101" t="str">
        <v>SBA 26/154</v>
      </c>
      <c r="B19" s="101" t="str">
        <v>Doç. Dr. Burcu HATİBOĞLU</v>
      </c>
      <c r="C19" s="101" t="str">
        <v>Sosyal Hizmet Anabilim Dalı</v>
      </c>
      <c r="D19" s="97" t="str">
        <v>Üniversitemiz İktisadi ve İdari Bilimler Fakültesi Sosyal Hizmet Anabilim Dalı öğretim üyelerinden Doç. Dr. Burcu HATİBOĞLU’nun sorumlu araştırmacı olduğu, Semra GÜNDÜZ’ün doktora tezi olan,</v>
      </c>
      <c r="E19" s="97" t="str">
        <v>Toplumsal Cinsiyet ve Hegernonik Erkeklik Bağlamında Alkol Kullanım Bozukluğu olan Erkeklerin Deneyimleri: Adsız Alkolikler (AA) Örneği"</v>
      </c>
      <c r="F19" s="101" t="str">
        <v>Doktora Tezi</v>
      </c>
      <c r="G19" s="100">
        <v>46058</v>
      </c>
      <c r="H19" s="100">
        <v>46070</v>
      </c>
      <c r="I19" s="98" t="str">
        <v>Dr. Öğr. Üyesi Müge DEMİR</v>
      </c>
      <c r="J19" s="98" t="str">
        <v>Doç. Dr. Burcu ERSÖZ ALAN</v>
      </c>
      <c r="K19" s="98">
        <v>0</v>
      </c>
      <c r="L19" s="98">
        <v>0</v>
      </c>
      <c r="M19" s="98">
        <v>0</v>
      </c>
      <c r="N19" s="98">
        <v>0</v>
      </c>
      <c r="O19" s="98">
        <v>0</v>
      </c>
      <c r="P19" s="105">
        <v>0</v>
      </c>
      <c r="W19" s="98" t="str">
        <v>Doç. Dr. Ekim GÜMELER</v>
      </c>
      <c r="X19" s="99">
        <v>1</v>
      </c>
      <c r="Y19" s="98" t="str">
        <v>Üroloji Anabilim Dalı</v>
      </c>
      <c r="Z19" s="99">
        <v>4</v>
      </c>
      <c r="AB19" s="99"/>
      <c r="AW19" t="str">
        <v>Göğüs Cerrahisi Anabilim Dalı</v>
      </c>
    </row>
    <row r="20" spans="1:49" ht="75" x14ac:dyDescent="0.25">
      <c r="A20" s="101" t="str">
        <v>SBA 26/157</v>
      </c>
      <c r="B20" s="101" t="str">
        <v>Prof. Dr. Hatice DOĞAN BUZOĞLU</v>
      </c>
      <c r="C20" s="101" t="str">
        <v>Endodonti Anabilim Dalı</v>
      </c>
      <c r="D20" s="97" t="str">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v>
      </c>
      <c r="E20" s="97" t="str">
        <v>“Lipit Mediyatör Maresin 1'in İnflamasyon Ortamında Dental Pulpa Kök Hücreleri Üzerine Etkisi”</v>
      </c>
      <c r="F20" s="101" t="str">
        <v>Doktora Tezi</v>
      </c>
      <c r="G20" s="100">
        <v>46058</v>
      </c>
      <c r="H20" s="100">
        <v>46070</v>
      </c>
      <c r="I20" s="98" t="str">
        <v>Prof. Dr. M. Özgür UYANIK</v>
      </c>
      <c r="J20" s="98" t="str">
        <v>Doç. Dr. Kübra AYKAÇ</v>
      </c>
      <c r="K20" s="98">
        <v>0</v>
      </c>
      <c r="L20" s="98">
        <v>0</v>
      </c>
      <c r="M20" s="98">
        <v>0</v>
      </c>
      <c r="N20" s="98">
        <v>0</v>
      </c>
      <c r="O20" s="98">
        <v>0</v>
      </c>
      <c r="P20" s="105">
        <v>0</v>
      </c>
      <c r="W20" s="98" t="str">
        <v>Doç. Dr. Emel ISIYEL</v>
      </c>
      <c r="X20" s="99">
        <v>1</v>
      </c>
      <c r="Y20" s="98" t="str">
        <v>Spor Hekimliği Anabilim Dalı</v>
      </c>
      <c r="Z20" s="99">
        <v>3</v>
      </c>
      <c r="AB20" s="99"/>
      <c r="AW20" t="str">
        <v>Göğüs Hastalıkları Anabilim Dalı</v>
      </c>
    </row>
    <row r="21" spans="1:49" x14ac:dyDescent="0.25">
      <c r="A21" s="101"/>
      <c r="B21" s="101"/>
      <c r="C21" s="101"/>
      <c r="D21" s="97"/>
      <c r="E21" s="97"/>
      <c r="F21" s="101"/>
      <c r="I21" s="98"/>
      <c r="J21" s="98"/>
      <c r="K21" s="98"/>
      <c r="L21" s="98"/>
      <c r="M21" s="98"/>
      <c r="N21" s="98"/>
      <c r="O21" s="98"/>
      <c r="P21" s="105"/>
      <c r="W21" s="98" t="str">
        <v>Doç. Dr. Erdal SAĞ</v>
      </c>
      <c r="X21" s="99">
        <v>1</v>
      </c>
      <c r="Y21" s="98" t="str">
        <v>Anesteziyoloji ve Reanimasyon Anabilim Dalı</v>
      </c>
      <c r="Z21" s="99">
        <v>3</v>
      </c>
      <c r="AB21" s="99"/>
      <c r="AW21" t="str">
        <v>Göz Hastalıkları Anabilim Dalı</v>
      </c>
    </row>
    <row r="22" spans="1:49" x14ac:dyDescent="0.25">
      <c r="A22" s="101"/>
      <c r="B22" s="101"/>
      <c r="C22" s="101"/>
      <c r="D22" s="97"/>
      <c r="E22" s="97"/>
      <c r="F22" s="101"/>
      <c r="I22" s="98"/>
      <c r="J22" s="98"/>
      <c r="K22" s="98"/>
      <c r="L22" s="98"/>
      <c r="M22" s="98"/>
      <c r="N22" s="98"/>
      <c r="O22" s="98"/>
      <c r="P22" s="105"/>
      <c r="W22" s="98" t="str">
        <v>Doç. Dr. Erdem FADILOĞLU</v>
      </c>
      <c r="X22" s="99">
        <v>1</v>
      </c>
      <c r="Y22" s="98" t="str">
        <v>Göğüs Cerrahisi Anabilim Dalı</v>
      </c>
      <c r="Z22" s="99">
        <v>3</v>
      </c>
      <c r="AB22" s="99"/>
      <c r="AW22" t="str">
        <v>Gülhane Sağlık Bilimleri Üniversitesi
Hemşirelik Fakültesi
Doğum ve Kadın Hastalıkları Hemşireliği Anabilim Dalı</v>
      </c>
    </row>
    <row r="23" spans="1:49" x14ac:dyDescent="0.25">
      <c r="A23" s="101"/>
      <c r="B23" s="101"/>
      <c r="C23" s="101"/>
      <c r="D23" s="97"/>
      <c r="E23" s="97"/>
      <c r="F23" s="101"/>
      <c r="I23" s="98"/>
      <c r="J23" s="98"/>
      <c r="K23" s="98"/>
      <c r="L23" s="98"/>
      <c r="M23" s="98"/>
      <c r="N23" s="98"/>
      <c r="O23" s="98"/>
      <c r="P23" s="105"/>
      <c r="W23" s="98" t="str">
        <v>Doç. Dr. Ezgi ATİK</v>
      </c>
      <c r="X23" s="99">
        <v>2</v>
      </c>
      <c r="Y23" s="98" t="str">
        <v>Çocuk Cerrahisi Anabilim Dalı</v>
      </c>
      <c r="Z23" s="99">
        <v>3</v>
      </c>
      <c r="AB23" s="99"/>
      <c r="AW23" t="str">
        <v>Halk Sağlığı Anabilim Dalı</v>
      </c>
    </row>
    <row r="24" spans="1:49" x14ac:dyDescent="0.25">
      <c r="A24" s="101"/>
      <c r="B24" s="101"/>
      <c r="C24" s="101"/>
      <c r="D24" s="97"/>
      <c r="E24" s="97"/>
      <c r="F24" s="101"/>
      <c r="I24" s="98"/>
      <c r="J24" s="98"/>
      <c r="K24" s="98"/>
      <c r="L24" s="98"/>
      <c r="M24" s="98"/>
      <c r="N24" s="98"/>
      <c r="O24" s="98"/>
      <c r="P24" s="105"/>
      <c r="W24" s="98" t="str">
        <v>Doç. Dr. Gamze ATAY</v>
      </c>
      <c r="X24" s="99">
        <v>1</v>
      </c>
      <c r="Y24" s="98" t="str">
        <v>Ruh Sağlığı ve Hastalıkları Anabilim Dalı</v>
      </c>
      <c r="Z24" s="99">
        <v>3</v>
      </c>
      <c r="AB24" s="99"/>
      <c r="AW24" t="str">
        <v>Hareket ve Antrenman Bilimleri Anabilim Dalı</v>
      </c>
    </row>
    <row r="25" spans="1:49" x14ac:dyDescent="0.25">
      <c r="A25" s="101"/>
      <c r="B25" s="101"/>
      <c r="C25" s="101"/>
      <c r="D25" s="97"/>
      <c r="E25" s="97"/>
      <c r="F25" s="101"/>
      <c r="I25" s="98"/>
      <c r="J25" s="98"/>
      <c r="K25" s="98"/>
      <c r="L25" s="98"/>
      <c r="M25" s="98"/>
      <c r="N25" s="98"/>
      <c r="O25" s="98"/>
      <c r="P25" s="105"/>
      <c r="W25" s="98" t="str">
        <v>Doç. Dr. Gamze DURHAN</v>
      </c>
      <c r="X25" s="99">
        <v>3</v>
      </c>
      <c r="Y25" s="98" t="str">
        <v>Periodontoloji Anabilim Dalı</v>
      </c>
      <c r="Z25" s="99">
        <v>3</v>
      </c>
      <c r="AB25" s="99"/>
      <c r="AW25" t="str">
        <v>Histoloji ve Embriyoloji Anabilim Dalı</v>
      </c>
    </row>
    <row r="26" spans="1:49" x14ac:dyDescent="0.25">
      <c r="A26" s="101"/>
      <c r="B26" s="101"/>
      <c r="C26" s="101"/>
      <c r="D26" s="97"/>
      <c r="E26" s="97"/>
      <c r="F26" s="101"/>
      <c r="I26" s="98"/>
      <c r="J26" s="98"/>
      <c r="K26" s="98"/>
      <c r="L26" s="98"/>
      <c r="M26" s="98"/>
      <c r="N26" s="98"/>
      <c r="O26" s="98"/>
      <c r="P26" s="105"/>
      <c r="W26" s="98" t="str">
        <v>Doç. Dr. Gölşah KÖK</v>
      </c>
      <c r="X26" s="99">
        <v>1</v>
      </c>
      <c r="Y26" s="98" t="str">
        <v>Sosyal Hizmet Anabilim Dalı</v>
      </c>
      <c r="Z26" s="99">
        <v>3</v>
      </c>
      <c r="AB26" s="99"/>
      <c r="AW26" t="str">
        <v>İç Hastalıkları Anabilim Dalı</v>
      </c>
    </row>
    <row r="27" spans="1:49" x14ac:dyDescent="0.25">
      <c r="A27" s="101"/>
      <c r="B27" s="101"/>
      <c r="C27" s="101"/>
      <c r="D27" s="97"/>
      <c r="E27" s="97"/>
      <c r="F27" s="101"/>
      <c r="I27" s="98"/>
      <c r="J27" s="98"/>
      <c r="K27" s="98"/>
      <c r="L27" s="98"/>
      <c r="M27" s="98"/>
      <c r="N27" s="98"/>
      <c r="O27" s="98"/>
      <c r="P27" s="105"/>
      <c r="W27" s="98" t="str">
        <v>Doç. Dr. Hacı Hasan YETER</v>
      </c>
      <c r="X27" s="99">
        <v>1</v>
      </c>
      <c r="Y27" s="98" t="str">
        <v>Endodonti Anabilim Dalı</v>
      </c>
      <c r="Z27" s="99">
        <v>2</v>
      </c>
      <c r="AB27" s="99"/>
      <c r="AW27" t="str">
        <v>Kadın Hastalıkları ve Doğum Anabilim Dalı</v>
      </c>
    </row>
    <row r="28" spans="1:49" x14ac:dyDescent="0.25">
      <c r="A28" s="101"/>
      <c r="B28" s="101"/>
      <c r="C28" s="101"/>
      <c r="D28" s="97"/>
      <c r="E28" s="97"/>
      <c r="F28" s="101"/>
      <c r="I28" s="98"/>
      <c r="J28" s="98"/>
      <c r="K28" s="98"/>
      <c r="L28" s="98"/>
      <c r="M28" s="98"/>
      <c r="N28" s="98"/>
      <c r="O28" s="98"/>
      <c r="P28" s="105"/>
      <c r="W28" s="98" t="str">
        <v>Doç. Dr. Hande GÖRÜCÜ COŞKUNER</v>
      </c>
      <c r="X28" s="99">
        <v>1</v>
      </c>
      <c r="Y28" s="98" t="str">
        <v>Histoloji ve Embriyoloji Anabilim Dalı</v>
      </c>
      <c r="Z28" s="99">
        <v>2</v>
      </c>
      <c r="AB28" s="99"/>
      <c r="AW28" t="str">
        <v>Kardiyoloji Anabilim Dalı</v>
      </c>
    </row>
    <row r="29" spans="1:49" x14ac:dyDescent="0.25">
      <c r="A29" s="101"/>
      <c r="B29" s="101"/>
      <c r="C29" s="101"/>
      <c r="D29" s="97"/>
      <c r="E29" s="97"/>
      <c r="F29" s="101"/>
      <c r="I29" s="98"/>
      <c r="J29" s="98"/>
      <c r="K29" s="98"/>
      <c r="L29" s="98"/>
      <c r="M29" s="98"/>
      <c r="N29" s="98"/>
      <c r="O29" s="98"/>
      <c r="P29" s="105"/>
      <c r="W29" s="98" t="str">
        <v>Doç. Dr. Hilal KORKMAZ</v>
      </c>
      <c r="X29" s="99">
        <v>1</v>
      </c>
      <c r="Y29" s="98" t="str">
        <v>Sağlık Yönetimi Anabilim Dalı</v>
      </c>
      <c r="Z29" s="99">
        <v>2</v>
      </c>
      <c r="AB29" s="99"/>
      <c r="AW29" t="str">
        <v>Klinik Eczacılık Anabilim Dalı</v>
      </c>
    </row>
    <row r="30" spans="1:49" x14ac:dyDescent="0.25">
      <c r="A30" s="101"/>
      <c r="B30" s="101"/>
      <c r="C30" s="101"/>
      <c r="D30" s="97"/>
      <c r="E30" s="97"/>
      <c r="F30" s="101"/>
      <c r="I30" s="98"/>
      <c r="J30" s="98"/>
      <c r="K30" s="98"/>
      <c r="L30" s="98"/>
      <c r="M30" s="98"/>
      <c r="N30" s="98"/>
      <c r="O30" s="98"/>
      <c r="P30" s="105"/>
      <c r="W30" s="98" t="str">
        <v>Doç. Dr. İlker ERTUĞRUL</v>
      </c>
      <c r="X30" s="99">
        <v>1</v>
      </c>
      <c r="Y30" s="98" t="str">
        <v>Ağız, Diş ve Çene Cerrahisi Anabilim Dalı</v>
      </c>
      <c r="Z30" s="99">
        <v>2</v>
      </c>
      <c r="AB30" s="99"/>
      <c r="AW30" t="str">
        <v>Kulak Burun Boğaz Anabilim Dalı</v>
      </c>
    </row>
    <row r="31" spans="1:49" x14ac:dyDescent="0.25">
      <c r="A31" s="101"/>
      <c r="B31" s="101"/>
      <c r="C31" s="101"/>
      <c r="D31" s="97"/>
      <c r="E31" s="97"/>
      <c r="F31" s="101"/>
      <c r="I31" s="98"/>
      <c r="J31" s="98"/>
      <c r="K31" s="98"/>
      <c r="L31" s="98"/>
      <c r="M31" s="98"/>
      <c r="N31" s="98"/>
      <c r="O31" s="98"/>
      <c r="P31" s="105"/>
      <c r="W31" s="98" t="str">
        <v>Doç. Dr. İrem KOÇ</v>
      </c>
      <c r="X31" s="99">
        <v>2</v>
      </c>
      <c r="Y31" s="98" t="str">
        <v>Nükleer Tıp Anabilim Dalı</v>
      </c>
      <c r="Z31" s="99">
        <v>2</v>
      </c>
      <c r="AB31" s="99"/>
      <c r="AW31" t="str">
        <v>Lokman Hekim Üniversitesi
Sağlık Hizmetleri Meslek Yüksekokulu</v>
      </c>
    </row>
    <row r="32" spans="1:49" x14ac:dyDescent="0.25">
      <c r="A32" s="101"/>
      <c r="B32" s="101"/>
      <c r="C32" s="101"/>
      <c r="D32" s="97"/>
      <c r="E32" s="97"/>
      <c r="F32" s="101"/>
      <c r="I32" s="98"/>
      <c r="J32" s="98"/>
      <c r="K32" s="98"/>
      <c r="L32" s="98"/>
      <c r="M32" s="98"/>
      <c r="N32" s="98"/>
      <c r="O32" s="98"/>
      <c r="P32" s="105"/>
      <c r="W32" s="98" t="str">
        <v>Doç. Dr. İzzet FİDANCI</v>
      </c>
      <c r="X32" s="99">
        <v>1</v>
      </c>
      <c r="Y32" s="98" t="str">
        <v>Halk Sağlığı Anabilim Dalı</v>
      </c>
      <c r="Z32" s="99">
        <v>2</v>
      </c>
      <c r="AB32" s="99"/>
      <c r="AW32" t="str">
        <v>Moleküler Biyoloji Anabilim Dalı</v>
      </c>
    </row>
    <row r="33" spans="1:49" x14ac:dyDescent="0.25">
      <c r="A33" s="101"/>
      <c r="B33" s="101"/>
      <c r="C33" s="101"/>
      <c r="D33" s="97"/>
      <c r="E33" s="97"/>
      <c r="F33" s="101"/>
      <c r="I33" s="98"/>
      <c r="J33" s="98"/>
      <c r="K33" s="98"/>
      <c r="L33" s="98"/>
      <c r="M33" s="98"/>
      <c r="N33" s="98"/>
      <c r="O33" s="98"/>
      <c r="P33" s="105"/>
      <c r="W33" s="98" t="str">
        <v>Doç. Dr. Kübra AYKAÇ</v>
      </c>
      <c r="X33" s="99">
        <v>1</v>
      </c>
      <c r="Y33" s="98" t="str">
        <v>Fiziksel Tıp ve Rehabilitasyon Anabilim Dalı</v>
      </c>
      <c r="Z33" s="99">
        <v>2</v>
      </c>
      <c r="AB33" s="99"/>
      <c r="AW33" t="str">
        <v>Nöroloji Anabilim Dalı</v>
      </c>
    </row>
    <row r="34" spans="1:49" x14ac:dyDescent="0.25">
      <c r="A34" s="101"/>
      <c r="B34" s="101"/>
      <c r="C34" s="101"/>
      <c r="D34" s="97"/>
      <c r="E34" s="97"/>
      <c r="F34" s="101"/>
      <c r="I34" s="98"/>
      <c r="J34" s="98"/>
      <c r="K34" s="98"/>
      <c r="L34" s="98"/>
      <c r="M34" s="98"/>
      <c r="N34" s="98"/>
      <c r="O34" s="98"/>
      <c r="P34" s="105"/>
      <c r="W34" s="98" t="str">
        <v>Doç. Dr. Levent KILIÇ</v>
      </c>
      <c r="X34" s="99">
        <v>2</v>
      </c>
      <c r="Y34" s="98" t="str">
        <v>Protetik Diş Tedavisi Anabilim Dalı</v>
      </c>
      <c r="Z34" s="99">
        <v>2</v>
      </c>
      <c r="AB34" s="99"/>
      <c r="AW34" t="str">
        <v>Nükleer Tıp Anabilim Dalı</v>
      </c>
    </row>
    <row r="35" spans="1:49" x14ac:dyDescent="0.25">
      <c r="A35" s="101"/>
      <c r="B35" s="101"/>
      <c r="C35" s="101"/>
      <c r="D35" s="97"/>
      <c r="E35" s="97"/>
      <c r="F35" s="101"/>
      <c r="I35" s="98"/>
      <c r="J35" s="98"/>
      <c r="K35" s="98"/>
      <c r="L35" s="98"/>
      <c r="M35" s="98"/>
      <c r="N35" s="98"/>
      <c r="O35" s="98"/>
      <c r="P35" s="105"/>
      <c r="W35" s="98" t="str">
        <v>Doç. Dr. Mert EŞME</v>
      </c>
      <c r="X35" s="99">
        <v>3</v>
      </c>
      <c r="Y35" s="98" t="str">
        <v>Ağız, Diş ve Çene Radyolojisi Anabilim Dalı</v>
      </c>
      <c r="Z35" s="99">
        <v>2</v>
      </c>
      <c r="AB35" s="99"/>
      <c r="AW35" t="str">
        <v>Ortodonti Anabilim Dalı</v>
      </c>
    </row>
    <row r="36" spans="1:49" x14ac:dyDescent="0.25">
      <c r="A36" s="101"/>
      <c r="B36" s="101"/>
      <c r="C36" s="101"/>
      <c r="D36" s="97"/>
      <c r="E36" s="97"/>
      <c r="F36" s="101"/>
      <c r="I36" s="98"/>
      <c r="J36" s="98"/>
      <c r="K36" s="98"/>
      <c r="L36" s="98"/>
      <c r="M36" s="98"/>
      <c r="N36" s="98"/>
      <c r="O36" s="98"/>
      <c r="P36" s="105"/>
      <c r="W36" s="98" t="str">
        <v>Doç. Dr. Mesut ALTAN</v>
      </c>
      <c r="X36" s="99">
        <v>2</v>
      </c>
      <c r="Y36" s="98" t="str">
        <v>Hareket ve Antrenman Bilimleri Anabilim Dalı</v>
      </c>
      <c r="Z36" s="99">
        <v>2</v>
      </c>
      <c r="AB36" s="99"/>
      <c r="AW36" t="str">
        <v>Ortopedi ve Travmatoloji Anabilim Dalı</v>
      </c>
    </row>
    <row r="37" spans="1:49" x14ac:dyDescent="0.25">
      <c r="A37" s="101"/>
      <c r="B37" s="101"/>
      <c r="C37" s="101"/>
      <c r="D37" s="97"/>
      <c r="E37" s="97"/>
      <c r="F37" s="101"/>
      <c r="I37" s="98"/>
      <c r="J37" s="98"/>
      <c r="K37" s="98"/>
      <c r="L37" s="98"/>
      <c r="M37" s="98"/>
      <c r="N37" s="98"/>
      <c r="O37" s="98"/>
      <c r="P37" s="105"/>
      <c r="W37" s="98" t="str">
        <v>Doç. Dr. Neslihan AKDOĞAN</v>
      </c>
      <c r="X37" s="99">
        <v>1</v>
      </c>
      <c r="Y37" s="98" t="str">
        <v>Pediatrik Temel Bilimler Anabilim Dalı</v>
      </c>
      <c r="Z37" s="99">
        <v>2</v>
      </c>
      <c r="AB37" s="99"/>
      <c r="AW37" t="str">
        <v>Pediatrik Temel Bilimler Anabilim Dalı</v>
      </c>
    </row>
    <row r="38" spans="1:49" x14ac:dyDescent="0.25">
      <c r="A38" s="101"/>
      <c r="B38" s="101"/>
      <c r="C38" s="101"/>
      <c r="D38" s="97"/>
      <c r="E38" s="97"/>
      <c r="F38" s="101"/>
      <c r="I38" s="98"/>
      <c r="J38" s="98"/>
      <c r="K38" s="98"/>
      <c r="L38" s="98"/>
      <c r="M38" s="98"/>
      <c r="N38" s="98"/>
      <c r="O38" s="98"/>
      <c r="P38" s="105"/>
      <c r="W38" s="98" t="str">
        <v>Doç. Dr. Nursel ÇALIK BAŞARAN</v>
      </c>
      <c r="X38" s="99">
        <v>1</v>
      </c>
      <c r="Y38" s="98" t="str">
        <v>Sağlık Bilimleri Enstitüsü</v>
      </c>
      <c r="Z38" s="99">
        <v>1</v>
      </c>
      <c r="AB38" s="99"/>
      <c r="AW38" t="str">
        <v>Periodontoloji Anabilim Dalı</v>
      </c>
    </row>
    <row r="39" spans="1:49" x14ac:dyDescent="0.25">
      <c r="A39" s="101"/>
      <c r="B39" s="101"/>
      <c r="C39" s="101"/>
      <c r="D39" s="97"/>
      <c r="E39" s="97"/>
      <c r="F39" s="101"/>
      <c r="I39" s="98"/>
      <c r="J39" s="98"/>
      <c r="K39" s="98"/>
      <c r="L39" s="98"/>
      <c r="M39" s="98"/>
      <c r="N39" s="98"/>
      <c r="O39" s="98"/>
      <c r="P39" s="105"/>
      <c r="W39" s="98" t="str">
        <v>Doç. Dr. Saliha ESENBOĞA</v>
      </c>
      <c r="X39" s="99">
        <v>1</v>
      </c>
      <c r="Y39" s="98" t="str">
        <v>Moleküler Biyoloji Anabilim Dalı</v>
      </c>
      <c r="Z39" s="99">
        <v>1</v>
      </c>
      <c r="AB39" s="99"/>
      <c r="AW39" t="str">
        <v>Protetik Diş Tedavisi Anabilim Dalı</v>
      </c>
    </row>
    <row r="40" spans="1:49" x14ac:dyDescent="0.25">
      <c r="A40" s="101"/>
      <c r="B40" s="101"/>
      <c r="C40" s="101"/>
      <c r="D40" s="97"/>
      <c r="E40" s="97"/>
      <c r="F40" s="101"/>
      <c r="I40" s="98"/>
      <c r="J40" s="98"/>
      <c r="K40" s="98"/>
      <c r="L40" s="98"/>
      <c r="M40" s="98"/>
      <c r="N40" s="98"/>
      <c r="O40" s="98"/>
      <c r="P40" s="105"/>
      <c r="W40" s="98" t="str">
        <v>Doç. Dr. Seda Hanife OĞUZ BAYKAL</v>
      </c>
      <c r="X40" s="99">
        <v>1</v>
      </c>
      <c r="Y40" s="98" t="str">
        <v>Lokman Hekim Üniversitesi
Sağlık Hizmetleri Meslek Yüksekokulu</v>
      </c>
      <c r="Z40" s="99">
        <v>1</v>
      </c>
      <c r="AB40" s="99"/>
      <c r="AW40" t="str">
        <v>Radyoloji Anabilim Dalı</v>
      </c>
    </row>
    <row r="41" spans="1:49" x14ac:dyDescent="0.25">
      <c r="A41" s="101"/>
      <c r="B41" s="101"/>
      <c r="C41" s="101"/>
      <c r="D41" s="97"/>
      <c r="E41" s="97"/>
      <c r="F41" s="101"/>
      <c r="I41" s="98"/>
      <c r="J41" s="98"/>
      <c r="K41" s="98"/>
      <c r="L41" s="98"/>
      <c r="M41" s="98"/>
      <c r="N41" s="98"/>
      <c r="O41" s="98"/>
      <c r="P41" s="105"/>
      <c r="W41" s="98" t="str">
        <v>Doç. Dr. Serra ÖRSTEN</v>
      </c>
      <c r="X41" s="99">
        <v>1</v>
      </c>
      <c r="Y41" s="98" t="str">
        <v>Fizikokimya Anabilim Dalı</v>
      </c>
      <c r="Z41" s="99">
        <v>1</v>
      </c>
      <c r="AB41" s="99"/>
      <c r="AW41" t="str">
        <v>Restoratif Diş Tedavisi Anabilim Dalı</v>
      </c>
    </row>
    <row r="42" spans="1:49" x14ac:dyDescent="0.25">
      <c r="A42" s="101"/>
      <c r="B42" s="101"/>
      <c r="C42" s="101"/>
      <c r="D42" s="97"/>
      <c r="E42" s="97"/>
      <c r="F42" s="101"/>
      <c r="I42" s="98"/>
      <c r="J42" s="98"/>
      <c r="K42" s="98"/>
      <c r="L42" s="98"/>
      <c r="M42" s="98"/>
      <c r="N42" s="98"/>
      <c r="O42" s="98"/>
      <c r="P42" s="105"/>
      <c r="W42" s="98" t="str">
        <v>Doç. Dr. Süleyman Nahit ŞENDUR</v>
      </c>
      <c r="X42" s="99">
        <v>4</v>
      </c>
      <c r="Y42" s="98" t="str">
        <v>Tıbbi Mikrobiyoloji Anabilim Dalı</v>
      </c>
      <c r="Z42" s="99">
        <v>1</v>
      </c>
      <c r="AB42" s="99"/>
      <c r="AW42" t="str">
        <v>Ruh Sağlığı ve Hastalıkları Anabilim Dalı</v>
      </c>
    </row>
    <row r="43" spans="1:49" x14ac:dyDescent="0.25">
      <c r="A43" s="101"/>
      <c r="B43" s="101"/>
      <c r="C43" s="101"/>
      <c r="D43" s="97"/>
      <c r="E43" s="97"/>
      <c r="F43" s="101"/>
      <c r="I43" s="98"/>
      <c r="J43" s="98"/>
      <c r="K43" s="98"/>
      <c r="L43" s="98"/>
      <c r="M43" s="98"/>
      <c r="N43" s="98"/>
      <c r="O43" s="98"/>
      <c r="P43" s="105"/>
      <c r="W43" s="98" t="str">
        <v>Doç. Dr. Ulaş KUMBASAR</v>
      </c>
      <c r="X43" s="99">
        <v>1</v>
      </c>
      <c r="Y43" s="98" t="str">
        <v>Tıp Eğitimi ve Bilişimi Anabilim Dalı</v>
      </c>
      <c r="Z43" s="99">
        <v>1</v>
      </c>
      <c r="AW43" t="str">
        <v>Sağlık Araştırmaları Anabilim Dalı</v>
      </c>
    </row>
    <row r="44" spans="1:49" x14ac:dyDescent="0.25">
      <c r="A44" s="101"/>
      <c r="B44" s="101"/>
      <c r="C44" s="101"/>
      <c r="D44" s="97"/>
      <c r="E44" s="97"/>
      <c r="F44" s="101"/>
      <c r="I44" s="98"/>
      <c r="J44" s="98"/>
      <c r="K44" s="98"/>
      <c r="L44" s="98"/>
      <c r="M44" s="98"/>
      <c r="N44" s="98"/>
      <c r="O44" s="98"/>
      <c r="P44" s="105"/>
      <c r="W44" s="98" t="str">
        <v>Doç. Dr. Utku AKGÖR</v>
      </c>
      <c r="X44" s="99">
        <v>2</v>
      </c>
      <c r="Y44" s="98" t="str">
        <v>Sağlık Araştırmaları Anabilim Dalı</v>
      </c>
      <c r="Z44" s="99">
        <v>1</v>
      </c>
      <c r="AW44" t="str">
        <v>Sağlık Bilimleri Enstitüsü</v>
      </c>
    </row>
    <row r="45" spans="1:49" x14ac:dyDescent="0.25">
      <c r="A45" s="101"/>
      <c r="B45" s="101"/>
      <c r="C45" s="101"/>
      <c r="D45" s="97"/>
      <c r="E45" s="97"/>
      <c r="F45" s="101"/>
      <c r="I45" s="98"/>
      <c r="J45" s="98"/>
      <c r="K45" s="98"/>
      <c r="L45" s="98"/>
      <c r="M45" s="98"/>
      <c r="N45" s="98"/>
      <c r="O45" s="98"/>
      <c r="P45" s="105"/>
      <c r="W45" s="98" t="str">
        <v>Doç.Dr. Tekin AKSU</v>
      </c>
      <c r="X45" s="99">
        <v>1</v>
      </c>
      <c r="Y45" s="98" t="str">
        <v>Barcelona Institute for Global Health</v>
      </c>
      <c r="Z45" s="99">
        <v>1</v>
      </c>
      <c r="AW45" t="str">
        <v>Sağlık Yönetimi Anabilim Dalı</v>
      </c>
    </row>
    <row r="46" spans="1:49" x14ac:dyDescent="0.25">
      <c r="A46" s="101"/>
      <c r="B46" s="101"/>
      <c r="C46" s="101"/>
      <c r="D46" s="97"/>
      <c r="E46" s="97"/>
      <c r="F46" s="101"/>
      <c r="I46" s="98"/>
      <c r="J46" s="98"/>
      <c r="K46" s="98"/>
      <c r="L46" s="98"/>
      <c r="M46" s="98"/>
      <c r="N46" s="98"/>
      <c r="O46" s="98"/>
      <c r="P46" s="105"/>
      <c r="W46" s="98" t="str">
        <v>Dr. Natalia RAKİSLOVA</v>
      </c>
      <c r="X46" s="99">
        <v>1</v>
      </c>
      <c r="Y46" s="98" t="str">
        <v>Sosyal Pediatri Anabilim Dalı</v>
      </c>
      <c r="Z46" s="99">
        <v>1</v>
      </c>
      <c r="AW46" t="str">
        <v>Sosyal Hizmet Anabilim Dalı</v>
      </c>
    </row>
    <row r="47" spans="1:49" x14ac:dyDescent="0.25">
      <c r="A47" s="101"/>
      <c r="B47" s="101"/>
      <c r="C47" s="101"/>
      <c r="D47" s="97"/>
      <c r="E47" s="97"/>
      <c r="F47" s="101"/>
      <c r="I47" s="98"/>
      <c r="J47" s="98"/>
      <c r="K47" s="98"/>
      <c r="L47" s="98"/>
      <c r="M47" s="98"/>
      <c r="N47" s="98"/>
      <c r="O47" s="98"/>
      <c r="P47" s="105"/>
      <c r="W47" s="98" t="str">
        <v>Dr. Öğr. Üyesi Ahmet KIVRAK</v>
      </c>
      <c r="X47" s="99">
        <v>3</v>
      </c>
      <c r="Y47" s="98" t="str">
        <v>Farmasötik Toksikoloji Anabilim Dalı</v>
      </c>
      <c r="Z47" s="99">
        <v>1</v>
      </c>
      <c r="AW47" t="str">
        <v>Sosyal Pediatri Anabilim Dalı</v>
      </c>
    </row>
    <row r="48" spans="1:49" x14ac:dyDescent="0.25">
      <c r="A48" s="101"/>
      <c r="B48" s="101"/>
      <c r="C48" s="101"/>
      <c r="D48" s="97"/>
      <c r="E48" s="97"/>
      <c r="F48" s="101"/>
      <c r="I48" s="98"/>
      <c r="J48" s="98"/>
      <c r="K48" s="98"/>
      <c r="L48" s="98"/>
      <c r="M48" s="98"/>
      <c r="N48" s="98"/>
      <c r="O48" s="98"/>
      <c r="P48" s="105"/>
      <c r="W48" s="98" t="str">
        <v>Dr. Öğr. Üyesi Arda ÇETİNKAYA</v>
      </c>
      <c r="X48" s="99">
        <v>1</v>
      </c>
      <c r="Y48" s="98" t="str">
        <v>Tıbbi Laboratuvar Teknikleri Programı</v>
      </c>
      <c r="Z48" s="99">
        <v>1</v>
      </c>
      <c r="AW48" t="str">
        <v>Spor Hekimliği Anabilim Dalı</v>
      </c>
    </row>
    <row r="49" spans="1:49" x14ac:dyDescent="0.25">
      <c r="A49" s="101"/>
      <c r="B49" s="101"/>
      <c r="C49" s="101"/>
      <c r="D49" s="97"/>
      <c r="E49" s="97"/>
      <c r="F49" s="101"/>
      <c r="I49" s="98"/>
      <c r="J49" s="98"/>
      <c r="K49" s="98"/>
      <c r="L49" s="98"/>
      <c r="M49" s="98"/>
      <c r="N49" s="98"/>
      <c r="O49" s="98"/>
      <c r="P49" s="105"/>
      <c r="W49" s="98" t="str">
        <v>Dr. Öğr. Üyesi Aybüke USLU TEKCE</v>
      </c>
      <c r="X49" s="99">
        <v>1</v>
      </c>
      <c r="Y49" s="98" t="str">
        <v>Farmasötik Mikrobiyoloji Anabilim Dalı</v>
      </c>
      <c r="Z49" s="99">
        <v>1</v>
      </c>
      <c r="AW49" t="str">
        <v>Tıbbi Laboratuvar Teknikleri Programı</v>
      </c>
    </row>
    <row r="50" spans="1:49" x14ac:dyDescent="0.25">
      <c r="A50" s="101"/>
      <c r="B50" s="101"/>
      <c r="C50" s="101"/>
      <c r="D50" s="97"/>
      <c r="E50" s="97"/>
      <c r="F50" s="101"/>
      <c r="I50" s="98"/>
      <c r="J50" s="98"/>
      <c r="K50" s="98"/>
      <c r="L50" s="98"/>
      <c r="M50" s="98"/>
      <c r="N50" s="98"/>
      <c r="O50" s="98"/>
      <c r="P50" s="105"/>
      <c r="W50" s="98" t="str">
        <v>Dr. Öğr. Üyesi Ayşe METE YEŞİL</v>
      </c>
      <c r="X50" s="99">
        <v>1</v>
      </c>
      <c r="Y50" s="98" t="str">
        <v>Biyoinformatik Anabilim Dalı</v>
      </c>
      <c r="Z50" s="99">
        <v>1</v>
      </c>
      <c r="AW50" t="str">
        <v>Tıbbi Mikrobiyoloji Anabilim Dalı</v>
      </c>
    </row>
    <row r="51" spans="1:49" x14ac:dyDescent="0.25">
      <c r="A51" s="101"/>
      <c r="B51" s="101"/>
      <c r="C51" s="101"/>
      <c r="D51" s="97"/>
      <c r="E51" s="97"/>
      <c r="F51" s="101"/>
      <c r="I51" s="98"/>
      <c r="J51" s="98"/>
      <c r="K51" s="98"/>
      <c r="L51" s="98"/>
      <c r="M51" s="98"/>
      <c r="N51" s="98"/>
      <c r="O51" s="98"/>
      <c r="P51" s="105"/>
      <c r="W51" s="98" t="str">
        <v>Dr. Öğr. Üyesi Barış KAFA</v>
      </c>
      <c r="X51" s="99">
        <v>1</v>
      </c>
      <c r="Y51" s="98" t="str">
        <v>Gülhane Sağlık Bilimleri Üniversitesi
Hemşirelik Fakültesi
Doğum ve Kadın Hastalıkları Hemşireliği Anabilim Dalı</v>
      </c>
      <c r="Z51" s="99">
        <v>1</v>
      </c>
      <c r="AW51" t="str">
        <v>Tıp Eğitimi ve Bilişimi Anabilim Dalı</v>
      </c>
    </row>
    <row r="52" spans="1:49" x14ac:dyDescent="0.25">
      <c r="A52" s="101"/>
      <c r="B52" s="101"/>
      <c r="C52" s="101"/>
      <c r="D52" s="97"/>
      <c r="E52" s="97"/>
      <c r="F52" s="101"/>
      <c r="I52" s="98"/>
      <c r="J52" s="98"/>
      <c r="K52" s="98"/>
      <c r="L52" s="98"/>
      <c r="M52" s="98"/>
      <c r="N52" s="98"/>
      <c r="O52" s="98"/>
      <c r="P52" s="105"/>
      <c r="W52" s="98" t="str">
        <v>Dr. Öğr. Üyesi Burcu KELLECİ ÇAKIR</v>
      </c>
      <c r="X52" s="99">
        <v>4</v>
      </c>
      <c r="Y52" s="98" t="str">
        <v>Fizyoloji Anabilim Dalı</v>
      </c>
      <c r="Z52" s="99">
        <v>1</v>
      </c>
      <c r="AW52" t="str">
        <v>Üroloji Anabilim Dalı</v>
      </c>
    </row>
    <row r="53" spans="1:49" x14ac:dyDescent="0.25">
      <c r="A53" s="101"/>
      <c r="B53" s="101"/>
      <c r="C53" s="101"/>
      <c r="D53" s="97"/>
      <c r="E53" s="97"/>
      <c r="F53" s="101"/>
      <c r="I53" s="98"/>
      <c r="J53" s="98"/>
      <c r="K53" s="98"/>
      <c r="L53" s="98"/>
      <c r="M53" s="98"/>
      <c r="N53" s="98"/>
      <c r="O53" s="98"/>
      <c r="P53" s="105"/>
      <c r="W53" s="98" t="str">
        <v>Dr. Öğr. Üyesi Burkay UTKU</v>
      </c>
      <c r="X53" s="99">
        <v>1</v>
      </c>
      <c r="Y53" s="98" t="str">
        <v>Aile Hekimliği Anabilim Dalı</v>
      </c>
      <c r="Z53" s="99">
        <v>1</v>
      </c>
      <c r="AW53">
        <v>0</v>
      </c>
    </row>
    <row r="54" spans="1:49" x14ac:dyDescent="0.25">
      <c r="A54" s="101"/>
      <c r="B54" s="101"/>
      <c r="C54" s="101"/>
      <c r="D54" s="97"/>
      <c r="E54" s="97"/>
      <c r="F54" s="101"/>
      <c r="I54" s="98"/>
      <c r="J54" s="98"/>
      <c r="K54" s="98"/>
      <c r="L54" s="98"/>
      <c r="M54" s="98"/>
      <c r="N54" s="98"/>
      <c r="O54" s="98"/>
      <c r="P54" s="105"/>
      <c r="W54" s="98" t="str">
        <v>Dr. Öğr. Üyesi Emre KARA</v>
      </c>
      <c r="X54" s="99">
        <v>1</v>
      </c>
      <c r="Y54" s="98" t="str">
        <v>Restoratif Diş Tedavisi Anabilim Dalı</v>
      </c>
      <c r="Z54" s="99">
        <v>1</v>
      </c>
    </row>
    <row r="55" spans="1:49" x14ac:dyDescent="0.25">
      <c r="A55" s="101"/>
      <c r="B55" s="101"/>
      <c r="C55" s="101"/>
      <c r="D55" s="97"/>
      <c r="E55" s="97"/>
      <c r="F55" s="101"/>
      <c r="I55" s="98"/>
      <c r="J55" s="98"/>
      <c r="K55" s="98"/>
      <c r="L55" s="98"/>
      <c r="M55" s="98"/>
      <c r="N55" s="98"/>
      <c r="O55" s="98"/>
      <c r="P55" s="105"/>
      <c r="W55" s="98" t="str">
        <v>Dr. Öğr. Üyesi Ergin EROĞLU</v>
      </c>
      <c r="X55" s="99">
        <v>1</v>
      </c>
    </row>
    <row r="56" spans="1:49" x14ac:dyDescent="0.25">
      <c r="A56" s="101"/>
      <c r="B56" s="101"/>
      <c r="C56" s="101"/>
      <c r="D56" s="97"/>
      <c r="E56" s="97"/>
      <c r="F56" s="101"/>
      <c r="I56" s="98"/>
      <c r="J56" s="98"/>
      <c r="K56" s="98"/>
      <c r="L56" s="98"/>
      <c r="M56" s="98"/>
      <c r="N56" s="98"/>
      <c r="O56" s="98"/>
      <c r="P56" s="105"/>
      <c r="W56" s="98" t="str">
        <v>Dr. Öğr. Üyesi Figen BEZCİ AYGÜN</v>
      </c>
      <c r="X56" s="99">
        <v>4</v>
      </c>
    </row>
    <row r="57" spans="1:49" x14ac:dyDescent="0.25">
      <c r="A57" s="101"/>
      <c r="B57" s="101"/>
      <c r="C57" s="101"/>
      <c r="D57" s="97"/>
      <c r="E57" s="97"/>
      <c r="F57" s="101"/>
      <c r="I57" s="98"/>
      <c r="J57" s="98"/>
      <c r="K57" s="98"/>
      <c r="L57" s="98"/>
      <c r="M57" s="98"/>
      <c r="N57" s="98"/>
      <c r="O57" s="98"/>
      <c r="P57" s="105"/>
      <c r="W57" s="98" t="str">
        <v>Dr. Öğr. Üyesi Gonca ÖZTEN</v>
      </c>
      <c r="X57" s="99">
        <v>4</v>
      </c>
    </row>
    <row r="58" spans="1:49" x14ac:dyDescent="0.25">
      <c r="A58" s="101"/>
      <c r="B58" s="101"/>
      <c r="C58" s="101"/>
      <c r="D58" s="97"/>
      <c r="E58" s="97"/>
      <c r="F58" s="101"/>
      <c r="I58" s="98"/>
      <c r="J58" s="98"/>
      <c r="K58" s="98"/>
      <c r="L58" s="98"/>
      <c r="M58" s="98"/>
      <c r="N58" s="98"/>
      <c r="O58" s="98"/>
      <c r="P58" s="105"/>
      <c r="W58" s="98" t="str">
        <v>Dr. Öğr. Üyesi Gökçen AKÇİÇEK</v>
      </c>
      <c r="X58" s="99">
        <v>1</v>
      </c>
    </row>
    <row r="59" spans="1:49" x14ac:dyDescent="0.25">
      <c r="A59" s="101"/>
      <c r="B59" s="101"/>
      <c r="C59" s="101"/>
      <c r="D59" s="97"/>
      <c r="E59" s="97"/>
      <c r="F59" s="101"/>
      <c r="I59" s="98"/>
      <c r="J59" s="98"/>
      <c r="K59" s="98"/>
      <c r="L59" s="98"/>
      <c r="M59" s="98"/>
      <c r="N59" s="98"/>
      <c r="O59" s="98"/>
      <c r="P59" s="105"/>
      <c r="W59" s="98" t="str">
        <v>Dr. Öğr. Üyesi Hanife Merva PARLAK</v>
      </c>
      <c r="X59" s="99">
        <v>1</v>
      </c>
    </row>
    <row r="60" spans="1:49" x14ac:dyDescent="0.25">
      <c r="A60" s="101"/>
      <c r="B60" s="101"/>
      <c r="C60" s="101"/>
      <c r="D60" s="97"/>
      <c r="E60" s="97"/>
      <c r="F60" s="101"/>
      <c r="I60" s="98"/>
      <c r="J60" s="98"/>
      <c r="K60" s="98"/>
      <c r="L60" s="98"/>
      <c r="M60" s="98"/>
      <c r="N60" s="98"/>
      <c r="O60" s="98"/>
      <c r="P60" s="105"/>
      <c r="W60" s="98" t="str">
        <v>Dr. Öğr. Üyesi Hilal AKDEMİR AKTAŞ</v>
      </c>
      <c r="X60" s="99">
        <v>1</v>
      </c>
    </row>
    <row r="61" spans="1:49" x14ac:dyDescent="0.25">
      <c r="A61" s="101"/>
      <c r="B61" s="101"/>
      <c r="C61" s="101"/>
      <c r="D61" s="97"/>
      <c r="E61" s="97"/>
      <c r="F61" s="101"/>
      <c r="I61" s="98"/>
      <c r="J61" s="98"/>
      <c r="K61" s="98"/>
      <c r="L61" s="98"/>
      <c r="M61" s="98"/>
      <c r="N61" s="98"/>
      <c r="O61" s="98"/>
      <c r="P61" s="105"/>
      <c r="W61" s="98" t="str">
        <v>Dr. Öğr. Üyesi Irmak OCAK</v>
      </c>
      <c r="X61" s="99">
        <v>1</v>
      </c>
    </row>
    <row r="62" spans="1:49" x14ac:dyDescent="0.25">
      <c r="A62" s="101"/>
      <c r="B62" s="101"/>
      <c r="C62" s="101"/>
      <c r="D62" s="97"/>
      <c r="E62" s="97"/>
      <c r="F62" s="101"/>
      <c r="I62" s="98"/>
      <c r="J62" s="98"/>
      <c r="K62" s="98"/>
      <c r="L62" s="98"/>
      <c r="M62" s="98"/>
      <c r="N62" s="98"/>
      <c r="O62" s="98"/>
      <c r="P62" s="105"/>
      <c r="W62" s="98" t="str">
        <v>Dr. Öğr. Üyesi Merva PARLAK</v>
      </c>
      <c r="X62" s="99">
        <v>1</v>
      </c>
    </row>
    <row r="63" spans="1:49" x14ac:dyDescent="0.25">
      <c r="A63" s="101"/>
      <c r="B63" s="101"/>
      <c r="C63" s="101"/>
      <c r="D63" s="97"/>
      <c r="E63" s="97"/>
      <c r="F63" s="101"/>
      <c r="I63" s="98"/>
      <c r="J63" s="98"/>
      <c r="K63" s="98"/>
      <c r="L63" s="98"/>
      <c r="M63" s="98"/>
      <c r="N63" s="98"/>
      <c r="O63" s="98"/>
      <c r="P63" s="105"/>
      <c r="W63" s="98" t="str">
        <v>Dr. Öğr. Üyesi Muhammed Çağrı KÜLEKCİ</v>
      </c>
      <c r="X63" s="99">
        <v>1</v>
      </c>
    </row>
    <row r="64" spans="1:49" x14ac:dyDescent="0.25">
      <c r="A64" s="101"/>
      <c r="B64" s="101"/>
      <c r="C64" s="101"/>
      <c r="D64" s="97"/>
      <c r="E64" s="97"/>
      <c r="F64" s="101"/>
      <c r="I64" s="98"/>
      <c r="J64" s="98"/>
      <c r="K64" s="98"/>
      <c r="L64" s="98"/>
      <c r="M64" s="98"/>
      <c r="N64" s="98"/>
      <c r="O64" s="98"/>
      <c r="P64" s="105"/>
      <c r="W64" s="98" t="str">
        <v>Dr. Öğr. Üyesi Murat ÇAĞAN</v>
      </c>
      <c r="X64" s="99">
        <v>1</v>
      </c>
    </row>
    <row r="65" spans="1:24" x14ac:dyDescent="0.25">
      <c r="A65" s="101"/>
      <c r="B65" s="101"/>
      <c r="C65" s="101"/>
      <c r="D65" s="97"/>
      <c r="E65" s="97"/>
      <c r="F65" s="101"/>
      <c r="I65" s="98"/>
      <c r="J65" s="98"/>
      <c r="K65" s="98"/>
      <c r="L65" s="98"/>
      <c r="M65" s="98"/>
      <c r="N65" s="98"/>
      <c r="O65" s="98"/>
      <c r="P65" s="105"/>
      <c r="W65" s="98" t="str">
        <v>Dr. Öğr. Üyesi Özge YAVUZ SARI</v>
      </c>
      <c r="X65" s="99">
        <v>1</v>
      </c>
    </row>
    <row r="66" spans="1:24" x14ac:dyDescent="0.25">
      <c r="A66" s="101"/>
      <c r="B66" s="101"/>
      <c r="C66" s="101"/>
      <c r="D66" s="97"/>
      <c r="E66" s="97"/>
      <c r="F66" s="101"/>
      <c r="I66" s="98"/>
      <c r="J66" s="98"/>
      <c r="K66" s="98"/>
      <c r="L66" s="98"/>
      <c r="M66" s="98"/>
      <c r="N66" s="98"/>
      <c r="O66" s="98"/>
      <c r="P66" s="105"/>
      <c r="W66" s="98" t="str">
        <v>Dr. Öğr. Üyesi Serkan UYSAL</v>
      </c>
      <c r="X66" s="99">
        <v>2</v>
      </c>
    </row>
    <row r="67" spans="1:24" x14ac:dyDescent="0.25">
      <c r="A67" s="101"/>
      <c r="B67" s="101"/>
      <c r="C67" s="101"/>
      <c r="D67" s="97"/>
      <c r="E67" s="97"/>
      <c r="F67" s="101"/>
      <c r="I67" s="98"/>
      <c r="J67" s="98"/>
      <c r="K67" s="98"/>
      <c r="L67" s="98"/>
      <c r="M67" s="98"/>
      <c r="N67" s="98"/>
      <c r="O67" s="98"/>
      <c r="P67" s="105"/>
      <c r="W67" s="98" t="str">
        <v>Dr. Öğr. Üyesi Yiğitcan KARANFİL</v>
      </c>
      <c r="X67" s="99">
        <v>2</v>
      </c>
    </row>
    <row r="68" spans="1:24" x14ac:dyDescent="0.25">
      <c r="A68" s="101"/>
      <c r="B68" s="101"/>
      <c r="C68" s="101"/>
      <c r="D68" s="97"/>
      <c r="E68" s="97"/>
      <c r="F68" s="101"/>
      <c r="I68" s="98"/>
      <c r="J68" s="98"/>
      <c r="K68" s="98"/>
      <c r="L68" s="98"/>
      <c r="M68" s="98"/>
      <c r="N68" s="98"/>
      <c r="O68" s="98"/>
      <c r="P68" s="105"/>
      <c r="W68" s="98" t="str">
        <v>Dr. Vet. Hek. Özgür Doğuş EROL DUYAR</v>
      </c>
      <c r="X68" s="99">
        <v>1</v>
      </c>
    </row>
    <row r="69" spans="1:24" x14ac:dyDescent="0.25">
      <c r="A69" s="101"/>
      <c r="B69" s="101"/>
      <c r="C69" s="101"/>
      <c r="D69" s="97"/>
      <c r="E69" s="97"/>
      <c r="F69" s="101"/>
      <c r="I69" s="98"/>
      <c r="J69" s="98"/>
      <c r="K69" s="98"/>
      <c r="L69" s="98"/>
      <c r="M69" s="98"/>
      <c r="N69" s="98"/>
      <c r="O69" s="98"/>
      <c r="P69" s="105"/>
      <c r="W69" s="98" t="str">
        <v>Öğr. Gör. Dr. Aytekin İDİKUT</v>
      </c>
      <c r="X69" s="99">
        <v>1</v>
      </c>
    </row>
    <row r="70" spans="1:24" x14ac:dyDescent="0.25">
      <c r="A70" s="101"/>
      <c r="B70" s="101"/>
      <c r="C70" s="101"/>
      <c r="D70" s="97"/>
      <c r="E70" s="97"/>
      <c r="F70" s="101"/>
      <c r="I70" s="98"/>
      <c r="J70" s="98"/>
      <c r="K70" s="98"/>
      <c r="L70" s="98"/>
      <c r="M70" s="98"/>
      <c r="N70" s="98"/>
      <c r="O70" s="98"/>
      <c r="P70" s="105"/>
      <c r="W70" s="98" t="str">
        <v>Öğr. Gör. Dr. Bahattin PASLI</v>
      </c>
      <c r="X70" s="99">
        <v>2</v>
      </c>
    </row>
    <row r="71" spans="1:24" x14ac:dyDescent="0.25">
      <c r="A71" s="101"/>
      <c r="B71" s="101"/>
      <c r="C71" s="101"/>
      <c r="D71" s="97"/>
      <c r="E71" s="97"/>
      <c r="F71" s="101"/>
      <c r="I71" s="98"/>
      <c r="J71" s="98"/>
      <c r="K71" s="98"/>
      <c r="L71" s="98"/>
      <c r="M71" s="98"/>
      <c r="N71" s="98"/>
      <c r="O71" s="98"/>
      <c r="P71" s="105"/>
      <c r="W71" s="98" t="str">
        <v>Öğr. Gör. Dr. Buket KILIÇ</v>
      </c>
      <c r="X71" s="99">
        <v>1</v>
      </c>
    </row>
    <row r="72" spans="1:24" x14ac:dyDescent="0.25">
      <c r="A72" s="101"/>
      <c r="B72" s="101"/>
      <c r="C72" s="101"/>
      <c r="F72" s="101"/>
      <c r="I72" s="98"/>
      <c r="J72" s="98"/>
      <c r="K72" s="98"/>
      <c r="L72" s="98"/>
      <c r="M72" s="98"/>
      <c r="N72" s="98"/>
      <c r="O72" s="98"/>
      <c r="P72" s="105"/>
      <c r="W72" s="98" t="str">
        <v>Öğr. Gör. Dr. Burçay TELLİOĞLU</v>
      </c>
      <c r="X72" s="99">
        <v>1</v>
      </c>
    </row>
    <row r="73" spans="1:24" x14ac:dyDescent="0.25">
      <c r="A73" s="101"/>
      <c r="B73" s="101"/>
      <c r="C73" s="101"/>
      <c r="F73" s="101"/>
      <c r="I73" s="98"/>
      <c r="J73" s="98"/>
      <c r="K73" s="98"/>
      <c r="L73" s="98"/>
      <c r="M73" s="98"/>
      <c r="N73" s="98"/>
      <c r="O73" s="98"/>
      <c r="P73" s="105"/>
      <c r="W73" s="98" t="str">
        <v>Öğr. Gör. Dr. Helin YÜCEDAĞ GÜNDOĞDU</v>
      </c>
      <c r="X73" s="99">
        <v>1</v>
      </c>
    </row>
    <row r="74" spans="1:24" x14ac:dyDescent="0.25">
      <c r="A74" s="101"/>
      <c r="B74" s="101"/>
      <c r="C74" s="101"/>
      <c r="F74" s="101"/>
      <c r="I74" s="98"/>
      <c r="J74" s="98"/>
      <c r="K74" s="98"/>
      <c r="L74" s="98"/>
      <c r="M74" s="98"/>
      <c r="N74" s="98"/>
      <c r="O74" s="98"/>
      <c r="P74" s="105"/>
      <c r="W74" s="98" t="str">
        <v>Öğr. Gör. Dr. Pınar ÖZDEMİR YAŞAR</v>
      </c>
      <c r="X74" s="99">
        <v>1</v>
      </c>
    </row>
    <row r="75" spans="1:24" x14ac:dyDescent="0.25">
      <c r="A75" s="101"/>
      <c r="B75" s="101"/>
      <c r="C75" s="101"/>
      <c r="F75" s="101"/>
      <c r="I75" s="98"/>
      <c r="J75" s="98"/>
      <c r="K75" s="98"/>
      <c r="L75" s="98"/>
      <c r="M75" s="98"/>
      <c r="N75" s="98"/>
      <c r="O75" s="98"/>
      <c r="P75" s="105"/>
      <c r="W75" s="98" t="str">
        <v>Prof. Dr. Ali DÜZOVA</v>
      </c>
      <c r="X75" s="99">
        <v>1</v>
      </c>
    </row>
    <row r="76" spans="1:24" x14ac:dyDescent="0.25">
      <c r="A76" s="101"/>
      <c r="B76" s="101"/>
      <c r="C76" s="101"/>
      <c r="F76" s="101"/>
      <c r="I76" s="98"/>
      <c r="J76" s="98"/>
      <c r="K76" s="98"/>
      <c r="L76" s="98"/>
      <c r="M76" s="98"/>
      <c r="N76" s="98"/>
      <c r="O76" s="98"/>
      <c r="P76" s="105"/>
      <c r="W76" s="98" t="str">
        <v>Prof. Dr. Ali Fuat KALYONCU</v>
      </c>
      <c r="X76" s="99">
        <v>4</v>
      </c>
    </row>
    <row r="77" spans="1:24" x14ac:dyDescent="0.25">
      <c r="A77" s="101"/>
      <c r="B77" s="101"/>
      <c r="C77" s="101"/>
      <c r="F77" s="101"/>
      <c r="I77" s="98"/>
      <c r="J77" s="98"/>
      <c r="K77" s="98"/>
      <c r="L77" s="98"/>
      <c r="M77" s="98"/>
      <c r="N77" s="98"/>
      <c r="O77" s="98"/>
      <c r="P77" s="105"/>
      <c r="W77" s="98" t="str">
        <v>Prof. Dr. Alp ÇETİN</v>
      </c>
      <c r="X77" s="99">
        <v>1</v>
      </c>
    </row>
    <row r="78" spans="1:24" x14ac:dyDescent="0.25">
      <c r="A78" s="101"/>
      <c r="B78" s="101"/>
      <c r="C78" s="101"/>
      <c r="W78" s="98" t="str">
        <v>Prof. Dr. Aygin EKİNCİOĞLU</v>
      </c>
      <c r="X78" s="99">
        <v>1</v>
      </c>
    </row>
    <row r="79" spans="1:24" x14ac:dyDescent="0.25">
      <c r="A79" s="101"/>
      <c r="B79" s="101"/>
      <c r="C79" s="101"/>
      <c r="W79" s="98" t="str">
        <v>Prof. Dr. Ayşe KİN İŞLER</v>
      </c>
      <c r="X79" s="99">
        <v>2</v>
      </c>
    </row>
    <row r="80" spans="1:24" x14ac:dyDescent="0.25">
      <c r="W80" s="98" t="str">
        <v>Prof. Dr. Ayşe Tomris ERBAŞ</v>
      </c>
      <c r="X80" s="99">
        <v>2</v>
      </c>
    </row>
    <row r="81" spans="23:24" x14ac:dyDescent="0.25">
      <c r="W81" s="98" t="str">
        <v>Prof. Dr. Bahar GÜÇİZ DOĞAN</v>
      </c>
      <c r="X81" s="99">
        <v>1</v>
      </c>
    </row>
    <row r="82" spans="23:24" x14ac:dyDescent="0.25">
      <c r="W82" s="98" t="str">
        <v>Prof. Dr. Banu KILIÇASLAN</v>
      </c>
      <c r="X82" s="99">
        <v>1</v>
      </c>
    </row>
    <row r="83" spans="23:24" x14ac:dyDescent="0.25">
      <c r="W83" s="98" t="str">
        <v>Prof. Dr. Bayram ŞAHİN</v>
      </c>
      <c r="X83" s="99">
        <v>1</v>
      </c>
    </row>
    <row r="84" spans="23:24" x14ac:dyDescent="0.25">
      <c r="W84" s="98" t="str">
        <v>Prof. Dr. Bülent ALTUN</v>
      </c>
      <c r="X84" s="99">
        <v>1</v>
      </c>
    </row>
    <row r="85" spans="23:24" x14ac:dyDescent="0.25">
      <c r="W85" s="98" t="str">
        <v>Prof. Dr. Cengiz KILIÇ</v>
      </c>
      <c r="X85" s="99">
        <v>2</v>
      </c>
    </row>
    <row r="86" spans="23:24" x14ac:dyDescent="0.25">
      <c r="W86" s="98" t="str">
        <v>Prof. Dr. Çağrı Mesut TEMUÇİN</v>
      </c>
      <c r="X86" s="99">
        <v>2</v>
      </c>
    </row>
    <row r="87" spans="23:24" x14ac:dyDescent="0.25">
      <c r="W87" s="98" t="str">
        <v>Prof. Dr. Deniz ÇAĞDAŞ AYVAZ</v>
      </c>
      <c r="X87" s="99">
        <v>3</v>
      </c>
    </row>
    <row r="88" spans="23:24" x14ac:dyDescent="0.25">
      <c r="W88" s="98" t="str">
        <v>Prof. Dr. Deniz DOĞRU ERSÖZ</v>
      </c>
      <c r="X88" s="99">
        <v>1</v>
      </c>
    </row>
    <row r="89" spans="23:24" x14ac:dyDescent="0.25">
      <c r="W89" s="98" t="str">
        <v>Prof. Dr. Dilek ASLAN</v>
      </c>
      <c r="X89" s="99">
        <v>1</v>
      </c>
    </row>
    <row r="90" spans="23:24" x14ac:dyDescent="0.25">
      <c r="W90" s="98" t="str">
        <v>Prof. Dr. Dilşad FOTO ÖZDEMİR</v>
      </c>
      <c r="X90" s="99">
        <v>1</v>
      </c>
    </row>
    <row r="91" spans="23:24" x14ac:dyDescent="0.25">
      <c r="W91" s="98" t="str">
        <v>Prof. Dr. Ebru DAMADOĞLU</v>
      </c>
      <c r="X91" s="99">
        <v>2</v>
      </c>
    </row>
    <row r="92" spans="23:24" x14ac:dyDescent="0.25">
      <c r="W92" s="98" t="str">
        <v>Prof. Dr. Egemen TURHAN</v>
      </c>
      <c r="X92" s="99">
        <v>1</v>
      </c>
    </row>
    <row r="93" spans="23:24" x14ac:dyDescent="0.25">
      <c r="W93" s="98" t="str">
        <v>Prof. Dr. Emre TOSUN</v>
      </c>
      <c r="X93" s="99">
        <v>1</v>
      </c>
    </row>
    <row r="94" spans="23:24" x14ac:dyDescent="0.25">
      <c r="W94" s="98" t="str">
        <v>Prof. Dr. Esra BİRBEN</v>
      </c>
      <c r="X94" s="99">
        <v>1</v>
      </c>
    </row>
    <row r="95" spans="23:24" x14ac:dyDescent="0.25">
      <c r="W95" s="98" t="str">
        <v>Prof. Dr. Fatma Gökçem YILDIZ SARIKAYA</v>
      </c>
      <c r="X95" s="99">
        <v>1</v>
      </c>
    </row>
    <row r="96" spans="23:24" x14ac:dyDescent="0.25">
      <c r="W96" s="98" t="str">
        <v>Prof. Dr. Gül KARAKAYA</v>
      </c>
      <c r="X96" s="99">
        <v>1</v>
      </c>
    </row>
    <row r="97" spans="23:24" x14ac:dyDescent="0.25">
      <c r="W97" s="98" t="str">
        <v>Prof. Dr. Güliz Nigar GÜNCÜ</v>
      </c>
      <c r="X97" s="99">
        <v>1</v>
      </c>
    </row>
    <row r="98" spans="23:24" x14ac:dyDescent="0.25">
      <c r="W98" s="98" t="str">
        <v>Prof. Dr. Hakan Hıfzı TÜZ</v>
      </c>
      <c r="X98" s="99">
        <v>1</v>
      </c>
    </row>
    <row r="99" spans="23:24" x14ac:dyDescent="0.25">
      <c r="W99" s="98" t="str">
        <v>Prof. Dr. Hasan Serkan DOĞAN</v>
      </c>
      <c r="X99" s="99">
        <v>1</v>
      </c>
    </row>
    <row r="100" spans="23:24" x14ac:dyDescent="0.25">
      <c r="W100" s="98" t="str">
        <v>Prof. Dr. Hatice DOĞAN BUZOĞLU</v>
      </c>
      <c r="X100" s="99">
        <v>1</v>
      </c>
    </row>
    <row r="101" spans="23:24" x14ac:dyDescent="0.25">
      <c r="W101" s="98" t="str">
        <v>Prof. Dr. Hatice Yasemin BALABAN</v>
      </c>
      <c r="X101" s="99">
        <v>2</v>
      </c>
    </row>
    <row r="102" spans="23:24" x14ac:dyDescent="0.25">
      <c r="W102" s="98" t="str">
        <v>Prof. Dr. Hikmet YORGUN</v>
      </c>
      <c r="X102" s="99">
        <v>1</v>
      </c>
    </row>
    <row r="103" spans="23:24" x14ac:dyDescent="0.25">
      <c r="W103" s="98" t="str">
        <v>Prof. Dr. Hülya DEMİR</v>
      </c>
      <c r="X103" s="99">
        <v>1</v>
      </c>
    </row>
    <row r="104" spans="23:24" x14ac:dyDescent="0.25">
      <c r="W104" s="98" t="str">
        <v>Prof. Dr. Kıvanç AKÇA</v>
      </c>
      <c r="X104" s="99">
        <v>1</v>
      </c>
    </row>
    <row r="105" spans="23:24" x14ac:dyDescent="0.25">
      <c r="W105" s="98" t="str">
        <v>Prof. Dr. Kudret AYTEMİR</v>
      </c>
      <c r="X105" s="99">
        <v>1</v>
      </c>
    </row>
    <row r="106" spans="23:24" x14ac:dyDescent="0.25">
      <c r="W106" s="98" t="str">
        <v>Prof. Dr. Mehmet Akif TOPÇUOĞLU</v>
      </c>
      <c r="X106" s="99">
        <v>1</v>
      </c>
    </row>
    <row r="107" spans="23:24" x14ac:dyDescent="0.25">
      <c r="W107" s="98" t="str">
        <v>Prof. Dr. Mehmet AYVAZ</v>
      </c>
      <c r="X107" s="99">
        <v>3</v>
      </c>
    </row>
    <row r="108" spans="23:24" x14ac:dyDescent="0.25">
      <c r="W108" s="98" t="str">
        <v>Prof. Dr. Meltem Gülhan HALİL</v>
      </c>
      <c r="X108" s="99">
        <v>6</v>
      </c>
    </row>
    <row r="109" spans="23:24" x14ac:dyDescent="0.25">
      <c r="W109" s="98" t="str">
        <v>Prof. Dr. Mustafa Barış GÜNCÜ</v>
      </c>
      <c r="X109" s="99">
        <v>1</v>
      </c>
    </row>
    <row r="110" spans="23:24" x14ac:dyDescent="0.25">
      <c r="W110" s="98" t="str">
        <v>Prof. Dr. Müzeyyen Pınar ÖZGEN KIRATLI</v>
      </c>
      <c r="X110" s="99">
        <v>1</v>
      </c>
    </row>
    <row r="111" spans="23:24" x14ac:dyDescent="0.25">
      <c r="W111" s="98" t="str">
        <v>Prof. Dr. N. Dilara ZEYBEK</v>
      </c>
      <c r="X111" s="99">
        <v>1</v>
      </c>
    </row>
    <row r="112" spans="23:24" x14ac:dyDescent="0.25">
      <c r="W112" s="98" t="str">
        <v>Prof. Dr. Nagehan EMİRALİOĞLU ORDUKAYA</v>
      </c>
      <c r="X112" s="99">
        <v>1</v>
      </c>
    </row>
    <row r="113" spans="23:24" x14ac:dyDescent="0.25">
      <c r="W113" s="98" t="str">
        <v>Prof. Dr. Neşe DERİCİOĞLU</v>
      </c>
      <c r="X113" s="99">
        <v>1</v>
      </c>
    </row>
    <row r="114" spans="23:24" x14ac:dyDescent="0.25">
      <c r="W114" s="98" t="str">
        <v>Prof. Dr. Oğuz IŞIK</v>
      </c>
      <c r="X114" s="99">
        <v>2</v>
      </c>
    </row>
    <row r="115" spans="23:24" x14ac:dyDescent="0.25">
      <c r="W115" s="98" t="str">
        <v>Prof. Dr. Orhan ODABAŞI</v>
      </c>
      <c r="X115" s="99">
        <v>1</v>
      </c>
    </row>
    <row r="116" spans="23:24" x14ac:dyDescent="0.25">
      <c r="W116" s="98" t="str">
        <v>Prof. Dr. Oya ÖZDEMİR</v>
      </c>
      <c r="X116" s="99">
        <v>1</v>
      </c>
    </row>
    <row r="117" spans="23:24" x14ac:dyDescent="0.25">
      <c r="W117" s="98" t="str">
        <v>Prof. Dr. Ömer KARADAĞ</v>
      </c>
      <c r="X117" s="99">
        <v>1</v>
      </c>
    </row>
    <row r="118" spans="23:24" x14ac:dyDescent="0.25">
      <c r="W118" s="98" t="str">
        <v>Prof. Dr. Ömer UĞUR</v>
      </c>
      <c r="X118" s="99">
        <v>1</v>
      </c>
    </row>
    <row r="119" spans="23:24" x14ac:dyDescent="0.25">
      <c r="W119" s="98" t="str">
        <v>Prof. Dr. Ömür ÇELİKBIÇAK</v>
      </c>
      <c r="X119" s="99">
        <v>1</v>
      </c>
    </row>
    <row r="120" spans="23:24" x14ac:dyDescent="0.25">
      <c r="W120" s="98" t="str">
        <v>Prof. Dr. Özlem BOYBEYİ</v>
      </c>
      <c r="X120" s="99">
        <v>1</v>
      </c>
    </row>
    <row r="121" spans="23:24" x14ac:dyDescent="0.25">
      <c r="W121" s="98" t="str">
        <v>Prof. Dr. Petek KORKUSUZ</v>
      </c>
      <c r="X121" s="99">
        <v>1</v>
      </c>
    </row>
    <row r="122" spans="23:24" x14ac:dyDescent="0.25">
      <c r="W122" s="98" t="str">
        <v>Prof. Dr. Rıza Köksal ÖZGÜL</v>
      </c>
      <c r="X122" s="99">
        <v>1</v>
      </c>
    </row>
    <row r="123" spans="23:24" x14ac:dyDescent="0.25">
      <c r="W123" s="98" t="str">
        <v>Prof. Dr. Salih AKSU</v>
      </c>
      <c r="X123" s="99">
        <v>1</v>
      </c>
    </row>
    <row r="124" spans="23:24" x14ac:dyDescent="0.25">
      <c r="W124" s="98" t="str">
        <v>Prof. Dr. Salih Kutay DEMİRKAN</v>
      </c>
      <c r="X124" s="99">
        <v>3</v>
      </c>
    </row>
    <row r="125" spans="23:24" x14ac:dyDescent="0.25">
      <c r="W125" s="98" t="str">
        <v>Prof. Dr. Selçuk DAĞDELEN</v>
      </c>
      <c r="X125" s="99">
        <v>1</v>
      </c>
    </row>
    <row r="126" spans="23:24" x14ac:dyDescent="0.25">
      <c r="W126" s="98" t="str">
        <v>Prof. Dr. Serdar ÖZER</v>
      </c>
      <c r="X126" s="99">
        <v>1</v>
      </c>
    </row>
    <row r="127" spans="23:24" x14ac:dyDescent="0.25">
      <c r="W127" s="98" t="str">
        <v>Prof. Dr. Serdar TEKGÜL</v>
      </c>
      <c r="X127" s="99">
        <v>1</v>
      </c>
    </row>
    <row r="128" spans="23:24" x14ac:dyDescent="0.25">
      <c r="W128" s="98" t="str">
        <v>Prof. Dr. Sevinç SARINÇ</v>
      </c>
      <c r="X128" s="99">
        <v>1</v>
      </c>
    </row>
    <row r="129" spans="23:24" x14ac:dyDescent="0.25">
      <c r="W129" s="98" t="str">
        <v>Prof. Dr. Seza ÖZEN</v>
      </c>
      <c r="X129" s="99">
        <v>1</v>
      </c>
    </row>
    <row r="130" spans="23:24" x14ac:dyDescent="0.25">
      <c r="W130" s="98" t="str">
        <v>Prof. Dr. Sıddika Songül YALÇIN</v>
      </c>
      <c r="X130" s="99">
        <v>3</v>
      </c>
    </row>
    <row r="131" spans="23:24" x14ac:dyDescent="0.25">
      <c r="W131" s="98" t="str">
        <v>Prof. Dr. Sibel ERSOY EVANS</v>
      </c>
      <c r="X131" s="99">
        <v>1</v>
      </c>
    </row>
    <row r="132" spans="23:24" x14ac:dyDescent="0.25">
      <c r="W132" s="98" t="str">
        <v>Prof. Dr. Taner YILMAZ</v>
      </c>
      <c r="X132" s="99">
        <v>1</v>
      </c>
    </row>
    <row r="133" spans="23:24" x14ac:dyDescent="0.25">
      <c r="W133" s="98" t="str">
        <v>Prof. Dr. Tutku SOYER</v>
      </c>
      <c r="X133" s="99">
        <v>2</v>
      </c>
    </row>
    <row r="134" spans="23:24" x14ac:dyDescent="0.25">
      <c r="W134" s="98" t="str">
        <v>Prof. Dr. Ülkü ÜNDEĞER BUCURGAT</v>
      </c>
      <c r="X134" s="99">
        <v>1</v>
      </c>
    </row>
    <row r="135" spans="23:24" x14ac:dyDescent="0.25">
      <c r="W135" s="98" t="str">
        <v>Prof. Dr. Yahya BÜYÜKAŞIK</v>
      </c>
      <c r="X135" s="99">
        <v>1</v>
      </c>
    </row>
    <row r="136" spans="23:24" x14ac:dyDescent="0.25">
      <c r="W136" s="98" t="str">
        <v>Prof. Dr. Yakut AKYÖN YILMAZ</v>
      </c>
      <c r="X136" s="99">
        <v>1</v>
      </c>
    </row>
    <row r="137" spans="23:24" x14ac:dyDescent="0.25">
      <c r="W137" s="98" t="str">
        <v>Prof. Dr. Yasemin ÖZSÜREKCİ</v>
      </c>
      <c r="X137" s="99">
        <v>5</v>
      </c>
    </row>
    <row r="138" spans="23:24" x14ac:dyDescent="0.25">
      <c r="W138" s="98" t="str">
        <v>Prof. Dr. Yavuz AYHAN</v>
      </c>
      <c r="X138" s="99">
        <v>1</v>
      </c>
    </row>
  </sheetData>
  <conditionalFormatting sqref="E3">
    <cfRule type="duplicateValues" dxfId="4" priority="1"/>
  </conditionalFormatting>
  <dataValidations count="1">
    <dataValidation type="list" allowBlank="1" showInputMessage="1" showErrorMessage="1" sqref="A2" xr:uid="{8DCF5088-4FB8-4B0E-88EC-87740B607C7C}">
      <formula1>"Bireysel Araştırma,Yüksek Lisans Tezi,Doktora Tezi,Uzmanlık Tezi"</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90022-13EC-4F50-831C-714C11DC894E}">
  <sheetPr>
    <tabColor rgb="FF00B050"/>
  </sheetPr>
  <dimension ref="A1:AH181"/>
  <sheetViews>
    <sheetView workbookViewId="0">
      <selection activeCell="E10" sqref="E10"/>
    </sheetView>
  </sheetViews>
  <sheetFormatPr defaultRowHeight="15.75" x14ac:dyDescent="0.25"/>
  <cols>
    <col min="1" max="1" width="34.28515625" style="133" bestFit="1" customWidth="1"/>
    <col min="2" max="2" width="26.140625" style="133" bestFit="1" customWidth="1"/>
    <col min="3" max="3" width="48" style="133" customWidth="1"/>
    <col min="4" max="4" width="16.85546875" style="133" customWidth="1"/>
    <col min="5" max="5" width="41.28515625" style="133" bestFit="1" customWidth="1"/>
    <col min="6" max="6" width="13.7109375" style="133" customWidth="1"/>
    <col min="7" max="8" width="9.140625" style="133"/>
    <col min="9" max="9" width="10.28515625" style="133" bestFit="1" customWidth="1"/>
    <col min="10" max="27" width="9.140625" style="133"/>
    <col min="28" max="28" width="48.7109375" style="3" bestFit="1" customWidth="1"/>
    <col min="29" max="29" width="16.28515625" style="3" customWidth="1"/>
    <col min="30" max="30" width="54.85546875" style="3" bestFit="1" customWidth="1"/>
    <col min="31" max="34" width="9.140625" style="153"/>
    <col min="35" max="16384" width="9.140625" style="133"/>
  </cols>
  <sheetData>
    <row r="1" spans="1:34" s="152" customFormat="1" ht="23.25" x14ac:dyDescent="0.35">
      <c r="A1" s="158" t="s">
        <v>4249</v>
      </c>
      <c r="B1" s="157" t="s">
        <v>4250</v>
      </c>
      <c r="C1" s="187" t="s">
        <v>4251</v>
      </c>
      <c r="D1" s="188"/>
      <c r="E1" s="160" t="s">
        <v>4252</v>
      </c>
      <c r="F1" s="161"/>
      <c r="AB1" s="8" t="s">
        <v>350</v>
      </c>
      <c r="AC1" s="8">
        <f>COUNTIFS(Başvuru!$D$2:$D$2077, "*" &amp; AB1 &amp; "*")</f>
        <v>0</v>
      </c>
      <c r="AD1" s="8" t="s">
        <v>351</v>
      </c>
      <c r="AE1" s="1">
        <f>COUNTIFS(Başvuru!$C$2:$C$2077, "*" &amp; AD1 &amp; "*")</f>
        <v>0</v>
      </c>
      <c r="AF1" s="1"/>
      <c r="AG1" s="1"/>
      <c r="AH1" s="153"/>
    </row>
    <row r="2" spans="1:34" s="151" customFormat="1" ht="23.25" x14ac:dyDescent="0.25">
      <c r="A2" s="159">
        <f>COUNTIFS(Başvuru!$C$2:$C$2077, "&lt;&gt;", Başvuru!$C$2:$C$2077, "?*")</f>
        <v>190</v>
      </c>
      <c r="B2" s="159">
        <f>COUNT(_xlfn.UNIQUE(Başvuru!$I$2:$I$2077))</f>
        <v>4</v>
      </c>
      <c r="C2" s="156" t="str">
        <f>Pivot!A4</f>
        <v>İç Hastalıkları Anabilim Dalı</v>
      </c>
      <c r="D2" s="163">
        <f>GETPIVOTDATA("BİRİMİ",Pivot!$A$3,"BİRİMİ","İç Hastalıkları Anabilim Dalı")</f>
        <v>27</v>
      </c>
      <c r="E2" s="156" t="str">
        <f>Pivot!D4</f>
        <v>Prof. Dr. Meltem Gülhan HALİL</v>
      </c>
      <c r="F2" s="162">
        <f>GETPIVOTDATA("SORUMLUSU",Pivot!$D$3,"SORUMLUSU","Prof. Dr. Meltem Gülhan HALİL")</f>
        <v>6</v>
      </c>
      <c r="I2"/>
      <c r="AB2" s="8" t="s">
        <v>352</v>
      </c>
      <c r="AC2" s="8">
        <f>COUNTIFS(Başvuru!$D$2:$D$2077, "*" &amp; AB2 &amp; "*")</f>
        <v>0</v>
      </c>
      <c r="AD2" s="8" t="s">
        <v>353</v>
      </c>
      <c r="AE2" s="1">
        <f>COUNTIFS(Başvuru!$C$2:$C$2077, "*" &amp; AD2 &amp; "*")</f>
        <v>0</v>
      </c>
      <c r="AF2" s="153"/>
      <c r="AG2" s="153"/>
      <c r="AH2" s="1"/>
    </row>
    <row r="3" spans="1:34" x14ac:dyDescent="0.25">
      <c r="AB3" s="8" t="s">
        <v>354</v>
      </c>
      <c r="AC3" s="8">
        <f>COUNTIFS(Başvuru!$D$2:$D$2077, "*" &amp; AB3 &amp; "*")</f>
        <v>0</v>
      </c>
      <c r="AD3" s="8" t="s">
        <v>355</v>
      </c>
      <c r="AE3" s="1">
        <f>COUNTIFS(Başvuru!$C$2:$C$2077, "*" &amp; AD3 &amp; "*")</f>
        <v>0</v>
      </c>
    </row>
    <row r="4" spans="1:34" ht="14.25" customHeight="1" x14ac:dyDescent="0.25">
      <c r="AB4" s="8" t="s">
        <v>356</v>
      </c>
      <c r="AC4" s="8">
        <f>COUNTIFS(Başvuru!$D$2:$D$2077, "*" &amp; AB4 &amp; "*")</f>
        <v>0</v>
      </c>
      <c r="AD4" s="53" t="s">
        <v>357</v>
      </c>
      <c r="AE4" s="1">
        <f>COUNTIFS(Başvuru!$C$2:$C$2077, "*" &amp; AD4 &amp; "*")</f>
        <v>0</v>
      </c>
    </row>
    <row r="5" spans="1:34" x14ac:dyDescent="0.25">
      <c r="AB5" s="8" t="s">
        <v>358</v>
      </c>
      <c r="AC5" s="8">
        <f>COUNTIFS(Başvuru!$D$2:$D$2077, "*" &amp; AB5 &amp; "*")</f>
        <v>0</v>
      </c>
      <c r="AD5" s="8" t="s">
        <v>359</v>
      </c>
      <c r="AE5" s="1">
        <f>COUNTIFS(Başvuru!$C$2:$C$2077, "*" &amp; AD5 &amp; "*")</f>
        <v>0</v>
      </c>
    </row>
    <row r="6" spans="1:34" x14ac:dyDescent="0.25">
      <c r="AB6" s="8" t="s">
        <v>360</v>
      </c>
      <c r="AC6" s="8">
        <f>COUNTIFS(Başvuru!$D$2:$D$2077, "*" &amp; AB6 &amp; "*")</f>
        <v>0</v>
      </c>
      <c r="AD6" s="8" t="s">
        <v>361</v>
      </c>
      <c r="AE6" s="1">
        <f>COUNTIFS(Başvuru!$C$2:$C$2077, "*" &amp; AD6 &amp; "*")</f>
        <v>0</v>
      </c>
    </row>
    <row r="7" spans="1:34" x14ac:dyDescent="0.25">
      <c r="AB7" s="8" t="s">
        <v>364</v>
      </c>
      <c r="AC7" s="8">
        <f>COUNTIFS(Başvuru!$D$2:$D$2077, "*" &amp; AB7 &amp; "*")</f>
        <v>0</v>
      </c>
      <c r="AD7" s="8" t="s">
        <v>365</v>
      </c>
      <c r="AE7" s="1">
        <f>COUNTIFS(Başvuru!$C$2:$C$2077, "*" &amp; AD7 &amp; "*")</f>
        <v>0</v>
      </c>
    </row>
    <row r="8" spans="1:34" x14ac:dyDescent="0.25">
      <c r="AB8" s="8" t="s">
        <v>366</v>
      </c>
      <c r="AC8" s="8">
        <f>COUNTIFS(Başvuru!$D$2:$D$2077, "*" &amp; AB8 &amp; "*")</f>
        <v>0</v>
      </c>
      <c r="AD8" s="8" t="s">
        <v>361</v>
      </c>
      <c r="AE8" s="1">
        <f>COUNTIFS(Başvuru!$C$2:$C$2077, "*" &amp; AD8 &amp; "*")</f>
        <v>0</v>
      </c>
    </row>
    <row r="9" spans="1:34" x14ac:dyDescent="0.25">
      <c r="AB9" s="8" t="s">
        <v>369</v>
      </c>
      <c r="AC9" s="8">
        <f>COUNTIFS(Başvuru!$D$2:$D$2077, "*" &amp; AB9 &amp; "*")</f>
        <v>0</v>
      </c>
      <c r="AD9" s="8" t="s">
        <v>370</v>
      </c>
      <c r="AE9" s="1">
        <f>COUNTIFS(Başvuru!$C$2:$C$2077, "*" &amp; AD9 &amp; "*")</f>
        <v>0</v>
      </c>
    </row>
    <row r="10" spans="1:34" x14ac:dyDescent="0.25">
      <c r="AB10" s="8" t="s">
        <v>371</v>
      </c>
      <c r="AC10" s="8">
        <f>COUNTIFS(Başvuru!$D$2:$D$2077, "*" &amp; AB10 &amp; "*")</f>
        <v>0</v>
      </c>
      <c r="AD10" s="8" t="s">
        <v>372</v>
      </c>
      <c r="AE10" s="1">
        <f>COUNTIFS(Başvuru!$C$2:$C$2077, "*" &amp; AD10 &amp; "*")</f>
        <v>0</v>
      </c>
    </row>
    <row r="11" spans="1:34" x14ac:dyDescent="0.25">
      <c r="AB11" s="8" t="s">
        <v>373</v>
      </c>
      <c r="AC11" s="8">
        <f>COUNTIFS(Başvuru!$D$2:$D$2077, "*" &amp; AB11 &amp; "*")</f>
        <v>0</v>
      </c>
      <c r="AD11" s="8" t="s">
        <v>361</v>
      </c>
      <c r="AE11" s="1">
        <f>COUNTIFS(Başvuru!$C$2:$C$2077, "*" &amp; AD11 &amp; "*")</f>
        <v>0</v>
      </c>
    </row>
    <row r="12" spans="1:34" x14ac:dyDescent="0.25">
      <c r="AB12" s="8" t="s">
        <v>375</v>
      </c>
      <c r="AC12" s="8">
        <f>COUNTIFS(Başvuru!$D$2:$D$2077, "*" &amp; AB12 &amp; "*")</f>
        <v>0</v>
      </c>
      <c r="AD12" s="8" t="s">
        <v>376</v>
      </c>
      <c r="AE12" s="1">
        <f>COUNTIFS(Başvuru!$C$2:$C$2077, "*" &amp; AD12 &amp; "*")</f>
        <v>0</v>
      </c>
    </row>
    <row r="13" spans="1:34" x14ac:dyDescent="0.25">
      <c r="AB13" s="8" t="s">
        <v>377</v>
      </c>
      <c r="AC13" s="8">
        <f>COUNTIFS(Başvuru!$D$2:$D$2077, "*" &amp; AB13 &amp; "*")</f>
        <v>0</v>
      </c>
      <c r="AD13" s="8" t="s">
        <v>378</v>
      </c>
      <c r="AE13" s="1">
        <f>COUNTIFS(Başvuru!$C$2:$C$2077, "*" &amp; AD13 &amp; "*")</f>
        <v>0</v>
      </c>
    </row>
    <row r="14" spans="1:34" x14ac:dyDescent="0.25">
      <c r="AB14" s="8" t="s">
        <v>380</v>
      </c>
      <c r="AC14" s="8">
        <f>COUNTIFS(Başvuru!$D$2:$D$2077, "*" &amp; AB14 &amp; "*")</f>
        <v>0</v>
      </c>
      <c r="AD14" s="8" t="s">
        <v>381</v>
      </c>
      <c r="AE14" s="1">
        <f>COUNTIFS(Başvuru!$C$2:$C$2077, "*" &amp; AD14 &amp; "*")</f>
        <v>0</v>
      </c>
    </row>
    <row r="15" spans="1:34" x14ac:dyDescent="0.25">
      <c r="AB15" s="8" t="s">
        <v>382</v>
      </c>
      <c r="AC15" s="8">
        <f>COUNTIFS(Başvuru!$D$2:$D$2077, "*" &amp; AB15 &amp; "*")</f>
        <v>0</v>
      </c>
      <c r="AD15" s="8" t="s">
        <v>383</v>
      </c>
      <c r="AE15" s="1">
        <f>COUNTIFS(Başvuru!$C$2:$C$2077, "*" &amp; AD15 &amp; "*")</f>
        <v>0</v>
      </c>
    </row>
    <row r="16" spans="1:34" x14ac:dyDescent="0.25">
      <c r="AB16" s="8" t="s">
        <v>385</v>
      </c>
      <c r="AC16" s="8">
        <f>COUNTIFS(Başvuru!$D$2:$D$2077, "*" &amp; AB16 &amp; "*")</f>
        <v>0</v>
      </c>
      <c r="AD16" s="8" t="s">
        <v>383</v>
      </c>
      <c r="AE16" s="1">
        <f>COUNTIFS(Başvuru!$C$2:$C$2077, "*" &amp; AD16 &amp; "*")</f>
        <v>0</v>
      </c>
    </row>
    <row r="17" spans="28:31" x14ac:dyDescent="0.25">
      <c r="AB17" s="8" t="s">
        <v>388</v>
      </c>
      <c r="AC17" s="8">
        <f>COUNTIFS(Başvuru!$D$2:$D$2077, "*" &amp; AB17 &amp; "*")</f>
        <v>0</v>
      </c>
      <c r="AD17" s="8" t="s">
        <v>387</v>
      </c>
      <c r="AE17" s="1">
        <f>COUNTIFS(Başvuru!$C$2:$C$2077, "*" &amp; AD17 &amp; "*")</f>
        <v>0</v>
      </c>
    </row>
    <row r="18" spans="28:31" x14ac:dyDescent="0.25">
      <c r="AB18" s="8" t="s">
        <v>389</v>
      </c>
      <c r="AC18" s="8">
        <f>COUNTIFS(Başvuru!$D$2:$D$2077, "*" &amp; AB18 &amp; "*")</f>
        <v>0</v>
      </c>
      <c r="AD18" s="8" t="s">
        <v>391</v>
      </c>
      <c r="AE18" s="1">
        <f>COUNTIFS(Başvuru!$C$2:$C$2077, "*" &amp; AD18 &amp; "*")</f>
        <v>0</v>
      </c>
    </row>
    <row r="19" spans="28:31" x14ac:dyDescent="0.25">
      <c r="AB19" s="8" t="s">
        <v>390</v>
      </c>
      <c r="AC19" s="8">
        <f>COUNTIFS(Başvuru!$D$2:$D$2077, "*" &amp; AB19 &amp; "*")</f>
        <v>0</v>
      </c>
      <c r="AD19" s="8" t="s">
        <v>392</v>
      </c>
      <c r="AE19" s="1">
        <f>COUNTIFS(Başvuru!$C$2:$C$2077, "*" &amp; AD19 &amp; "*")</f>
        <v>0</v>
      </c>
    </row>
    <row r="20" spans="28:31" x14ac:dyDescent="0.25">
      <c r="AB20" s="8" t="s">
        <v>390</v>
      </c>
      <c r="AC20" s="8">
        <f>COUNTIFS(Başvuru!$D$2:$D$2077, "*" &amp; AB20 &amp; "*")</f>
        <v>0</v>
      </c>
      <c r="AD20" s="8" t="s">
        <v>392</v>
      </c>
      <c r="AE20" s="1">
        <f>COUNTIFS(Başvuru!$C$2:$C$2077, "*" &amp; AD20 &amp; "*")</f>
        <v>0</v>
      </c>
    </row>
    <row r="21" spans="28:31" x14ac:dyDescent="0.25">
      <c r="AB21" s="8" t="s">
        <v>393</v>
      </c>
      <c r="AC21" s="8">
        <f>COUNTIFS(Başvuru!$D$2:$D$2077, "*" &amp; AB21 &amp; "*")</f>
        <v>0</v>
      </c>
      <c r="AD21" s="8" t="s">
        <v>394</v>
      </c>
      <c r="AE21" s="1">
        <f>COUNTIFS(Başvuru!$C$2:$C$2077, "*" &amp; AD21 &amp; "*")</f>
        <v>0</v>
      </c>
    </row>
    <row r="22" spans="28:31" x14ac:dyDescent="0.25">
      <c r="AB22" s="8" t="s">
        <v>397</v>
      </c>
      <c r="AC22" s="8">
        <f>COUNTIFS(Başvuru!$D$2:$D$2077, "*" &amp; AB22 &amp; "*")</f>
        <v>0</v>
      </c>
      <c r="AD22" s="8" t="s">
        <v>370</v>
      </c>
      <c r="AE22" s="1">
        <f>COUNTIFS(Başvuru!$C$2:$C$2077, "*" &amp; AD22 &amp; "*")</f>
        <v>0</v>
      </c>
    </row>
    <row r="23" spans="28:31" x14ac:dyDescent="0.25">
      <c r="AB23" s="8" t="s">
        <v>398</v>
      </c>
      <c r="AC23" s="8">
        <f>COUNTIFS(Başvuru!$D$2:$D$2077, "*" &amp; AB23 &amp; "*")</f>
        <v>0</v>
      </c>
      <c r="AD23" s="8" t="s">
        <v>399</v>
      </c>
      <c r="AE23" s="1">
        <f>COUNTIFS(Başvuru!$C$2:$C$2077, "*" &amp; AD23 &amp; "*")</f>
        <v>0</v>
      </c>
    </row>
    <row r="24" spans="28:31" x14ac:dyDescent="0.25">
      <c r="AB24" s="8" t="s">
        <v>401</v>
      </c>
      <c r="AC24" s="8">
        <f>COUNTIFS(Başvuru!$D$2:$D$2077, "*" &amp; AB24 &amp; "*")</f>
        <v>0</v>
      </c>
      <c r="AD24" s="8" t="s">
        <v>402</v>
      </c>
      <c r="AE24" s="1">
        <f>COUNTIFS(Başvuru!$C$2:$C$2077, "*" &amp; AD24 &amp; "*")</f>
        <v>0</v>
      </c>
    </row>
    <row r="25" spans="28:31" x14ac:dyDescent="0.25">
      <c r="AB25" s="8" t="s">
        <v>404</v>
      </c>
      <c r="AC25" s="8">
        <f>COUNTIFS(Başvuru!$D$2:$D$2077, "*" &amp; AB25 &amp; "*")</f>
        <v>0</v>
      </c>
      <c r="AD25" s="8" t="s">
        <v>405</v>
      </c>
      <c r="AE25" s="1">
        <f>COUNTIFS(Başvuru!$C$2:$C$2077, "*" &amp; AD25 &amp; "*")</f>
        <v>0</v>
      </c>
    </row>
    <row r="26" spans="28:31" x14ac:dyDescent="0.25">
      <c r="AB26" s="8" t="s">
        <v>406</v>
      </c>
      <c r="AC26" s="8">
        <f>COUNTIFS(Başvuru!$D$2:$D$2077, "*" &amp; AB26 &amp; "*")</f>
        <v>0</v>
      </c>
      <c r="AD26" s="8" t="s">
        <v>407</v>
      </c>
      <c r="AE26" s="1">
        <f>COUNTIFS(Başvuru!$C$2:$C$2077, "*" &amp; AD26 &amp; "*")</f>
        <v>0</v>
      </c>
    </row>
    <row r="27" spans="28:31" x14ac:dyDescent="0.25">
      <c r="AB27" s="8" t="s">
        <v>380</v>
      </c>
      <c r="AC27" s="8">
        <f>COUNTIFS(Başvuru!$D$2:$D$2077, "*" &amp; AB27 &amp; "*")</f>
        <v>0</v>
      </c>
      <c r="AD27" s="8" t="s">
        <v>381</v>
      </c>
      <c r="AE27" s="1">
        <f>COUNTIFS(Başvuru!$C$2:$C$2077, "*" &amp; AD27 &amp; "*")</f>
        <v>0</v>
      </c>
    </row>
    <row r="28" spans="28:31" x14ac:dyDescent="0.25">
      <c r="AB28" s="8" t="s">
        <v>409</v>
      </c>
      <c r="AC28" s="8">
        <f>COUNTIFS(Başvuru!$D$2:$D$2077, "*" &amp; AB28 &amp; "*")</f>
        <v>0</v>
      </c>
      <c r="AD28" s="8" t="s">
        <v>361</v>
      </c>
      <c r="AE28" s="1">
        <f>COUNTIFS(Başvuru!$C$2:$C$2077, "*" &amp; AD28 &amp; "*")</f>
        <v>0</v>
      </c>
    </row>
    <row r="29" spans="28:31" x14ac:dyDescent="0.25">
      <c r="AB29" s="8" t="s">
        <v>413</v>
      </c>
      <c r="AC29" s="8">
        <f>COUNTIFS(Başvuru!$D$2:$D$2077, "*" &amp; AB29 &amp; "*")</f>
        <v>0</v>
      </c>
      <c r="AD29" s="8" t="s">
        <v>407</v>
      </c>
      <c r="AE29" s="1">
        <f>COUNTIFS(Başvuru!$C$2:$C$2077, "*" &amp; AD29 &amp; "*")</f>
        <v>0</v>
      </c>
    </row>
    <row r="30" spans="28:31" x14ac:dyDescent="0.25">
      <c r="AB30" s="8" t="s">
        <v>382</v>
      </c>
      <c r="AC30" s="8">
        <f>COUNTIFS(Başvuru!$D$2:$D$2077, "*" &amp; AB30 &amp; "*")</f>
        <v>0</v>
      </c>
      <c r="AD30" s="8" t="s">
        <v>383</v>
      </c>
      <c r="AE30" s="1">
        <f>COUNTIFS(Başvuru!$C$2:$C$2077, "*" &amp; AD30 &amp; "*")</f>
        <v>0</v>
      </c>
    </row>
    <row r="31" spans="28:31" x14ac:dyDescent="0.25">
      <c r="AB31" s="8" t="s">
        <v>382</v>
      </c>
      <c r="AC31" s="8">
        <f>COUNTIFS(Başvuru!$D$2:$D$2077, "*" &amp; AB31 &amp; "*")</f>
        <v>0</v>
      </c>
      <c r="AD31" s="8" t="s">
        <v>383</v>
      </c>
      <c r="AE31" s="1">
        <f>COUNTIFS(Başvuru!$C$2:$C$2077, "*" &amp; AD31 &amp; "*")</f>
        <v>0</v>
      </c>
    </row>
    <row r="32" spans="28:31" x14ac:dyDescent="0.25">
      <c r="AB32" s="8" t="s">
        <v>1284</v>
      </c>
      <c r="AC32" s="8">
        <f>COUNTIFS(Başvuru!$D$2:$D$2077, "*" &amp; AB32 &amp; "*")</f>
        <v>0</v>
      </c>
      <c r="AD32" s="8" t="s">
        <v>383</v>
      </c>
      <c r="AE32" s="1">
        <f>COUNTIFS(Başvuru!$C$2:$C$2077, "*" &amp; AD32 &amp; "*")</f>
        <v>0</v>
      </c>
    </row>
    <row r="33" spans="28:31" x14ac:dyDescent="0.25">
      <c r="AB33" s="8" t="s">
        <v>360</v>
      </c>
      <c r="AC33" s="8">
        <f>COUNTIFS(Başvuru!$D$2:$D$2077, "*" &amp; AB33 &amp; "*")</f>
        <v>0</v>
      </c>
      <c r="AD33" s="8" t="s">
        <v>361</v>
      </c>
      <c r="AE33" s="1">
        <f>COUNTIFS(Başvuru!$C$2:$C$2077, "*" &amp; AD33 &amp; "*")</f>
        <v>0</v>
      </c>
    </row>
    <row r="34" spans="28:31" x14ac:dyDescent="0.25">
      <c r="AB34" s="8" t="s">
        <v>1161</v>
      </c>
      <c r="AC34" s="8">
        <f>COUNTIFS(Başvuru!$D$2:$D$2077, "*" &amp; AB34 &amp; "*")</f>
        <v>0</v>
      </c>
      <c r="AD34" s="8" t="s">
        <v>1162</v>
      </c>
      <c r="AE34" s="1">
        <f>COUNTIFS(Başvuru!$C$2:$C$2077, "*" &amp; AD34 &amp; "*")</f>
        <v>0</v>
      </c>
    </row>
    <row r="35" spans="28:31" x14ac:dyDescent="0.25">
      <c r="AB35" s="8" t="s">
        <v>1161</v>
      </c>
      <c r="AC35" s="8">
        <f>COUNTIFS(Başvuru!$D$2:$D$2077, "*" &amp; AB35 &amp; "*")</f>
        <v>0</v>
      </c>
      <c r="AD35" s="8" t="s">
        <v>1162</v>
      </c>
      <c r="AE35" s="1">
        <f>COUNTIFS(Başvuru!$C$2:$C$2077, "*" &amp; AD35 &amp; "*")</f>
        <v>0</v>
      </c>
    </row>
    <row r="36" spans="28:31" x14ac:dyDescent="0.25">
      <c r="AB36" s="8" t="s">
        <v>2092</v>
      </c>
      <c r="AC36" s="8">
        <f>COUNTIFS(Başvuru!$D$2:$D$2077, "*" &amp; AB36 &amp; "*")</f>
        <v>0</v>
      </c>
      <c r="AD36" s="8" t="s">
        <v>1514</v>
      </c>
      <c r="AE36" s="1">
        <f>COUNTIFS(Başvuru!$C$2:$C$2077, "*" &amp; AD36 &amp; "*")</f>
        <v>0</v>
      </c>
    </row>
    <row r="37" spans="28:31" x14ac:dyDescent="0.25">
      <c r="AB37" s="8" t="s">
        <v>569</v>
      </c>
      <c r="AC37" s="8">
        <f>COUNTIFS(Başvuru!$D$2:$D$2077, "*" &amp; AB37 &amp; "*")</f>
        <v>0</v>
      </c>
      <c r="AD37" s="8" t="s">
        <v>402</v>
      </c>
      <c r="AE37" s="1">
        <f>COUNTIFS(Başvuru!$C$2:$C$2077, "*" &amp; AD37 &amp; "*")</f>
        <v>0</v>
      </c>
    </row>
    <row r="38" spans="28:31" x14ac:dyDescent="0.25">
      <c r="AB38" s="8" t="s">
        <v>3859</v>
      </c>
      <c r="AC38" s="8">
        <f>COUNTIFS(Başvuru!$D$2:$D$2077, "*" &amp; AB38 &amp; "*")</f>
        <v>0</v>
      </c>
      <c r="AD38" s="8" t="s">
        <v>715</v>
      </c>
      <c r="AE38" s="1">
        <f>COUNTIFS(Başvuru!$C$2:$C$2077, "*" &amp; AD38 &amp; "*")</f>
        <v>0</v>
      </c>
    </row>
    <row r="39" spans="28:31" x14ac:dyDescent="0.25">
      <c r="AB39" s="8" t="s">
        <v>1038</v>
      </c>
      <c r="AC39" s="8">
        <f>COUNTIFS(Başvuru!$D$2:$D$2077, "*" &amp; AB39 &amp; "*")</f>
        <v>0</v>
      </c>
      <c r="AD39" s="8" t="s">
        <v>416</v>
      </c>
      <c r="AE39" s="1">
        <f>COUNTIFS(Başvuru!$C$2:$C$2077, "*" &amp; AD39 &amp; "*")</f>
        <v>0</v>
      </c>
    </row>
    <row r="40" spans="28:31" x14ac:dyDescent="0.25">
      <c r="AB40" s="8" t="s">
        <v>554</v>
      </c>
      <c r="AC40" s="8">
        <f>COUNTIFS(Başvuru!$D$2:$D$2077, "*" &amp; AB40 &amp; "*")</f>
        <v>0</v>
      </c>
      <c r="AD40" s="8" t="s">
        <v>402</v>
      </c>
      <c r="AE40" s="1">
        <f>COUNTIFS(Başvuru!$C$2:$C$2077, "*" &amp; AD40 &amp; "*")</f>
        <v>0</v>
      </c>
    </row>
    <row r="41" spans="28:31" x14ac:dyDescent="0.25">
      <c r="AB41" s="8" t="s">
        <v>3868</v>
      </c>
      <c r="AC41" s="8">
        <f>COUNTIFS(Başvuru!$D$2:$D$2077, "*" &amp; AB41 &amp; "*")</f>
        <v>0</v>
      </c>
      <c r="AD41" s="8" t="s">
        <v>407</v>
      </c>
      <c r="AE41" s="1">
        <f>COUNTIFS(Başvuru!$C$2:$C$2077, "*" &amp; AD41 &amp; "*")</f>
        <v>0</v>
      </c>
    </row>
    <row r="42" spans="28:31" x14ac:dyDescent="0.25">
      <c r="AB42" s="8" t="s">
        <v>3868</v>
      </c>
      <c r="AC42" s="8">
        <f>COUNTIFS(Başvuru!$D$2:$D$2077, "*" &amp; AB42 &amp; "*")</f>
        <v>0</v>
      </c>
      <c r="AD42" s="8" t="s">
        <v>407</v>
      </c>
      <c r="AE42" s="1">
        <f>COUNTIFS(Başvuru!$C$2:$C$2077, "*" &amp; AD42 &amp; "*")</f>
        <v>0</v>
      </c>
    </row>
    <row r="43" spans="28:31" x14ac:dyDescent="0.25">
      <c r="AB43" s="8" t="s">
        <v>3868</v>
      </c>
      <c r="AC43" s="8">
        <f>COUNTIFS(Başvuru!$D$2:$D$2077, "*" &amp; AB43 &amp; "*")</f>
        <v>0</v>
      </c>
      <c r="AD43" s="8" t="s">
        <v>407</v>
      </c>
      <c r="AE43" s="1">
        <f>COUNTIFS(Başvuru!$C$2:$C$2077, "*" &amp; AD43 &amp; "*")</f>
        <v>0</v>
      </c>
    </row>
    <row r="44" spans="28:31" x14ac:dyDescent="0.25">
      <c r="AB44" s="8" t="s">
        <v>643</v>
      </c>
      <c r="AC44" s="8">
        <f>COUNTIFS(Başvuru!$D$2:$D$2077, "*" &amp; AB44 &amp; "*")</f>
        <v>0</v>
      </c>
      <c r="AD44" s="8" t="s">
        <v>361</v>
      </c>
      <c r="AE44" s="1">
        <f>COUNTIFS(Başvuru!$C$2:$C$2077, "*" &amp; AD44 &amp; "*")</f>
        <v>0</v>
      </c>
    </row>
    <row r="45" spans="28:31" x14ac:dyDescent="0.25">
      <c r="AB45" s="8" t="s">
        <v>1330</v>
      </c>
      <c r="AC45" s="8">
        <f>COUNTIFS(Başvuru!$D$2:$D$2077, "*" &amp; AB45 &amp; "*")</f>
        <v>0</v>
      </c>
      <c r="AD45" s="8" t="s">
        <v>837</v>
      </c>
      <c r="AE45" s="1">
        <f>COUNTIFS(Başvuru!$C$2:$C$2077, "*" &amp; AD45 &amp; "*")</f>
        <v>0</v>
      </c>
    </row>
    <row r="46" spans="28:31" x14ac:dyDescent="0.25">
      <c r="AB46" s="8" t="s">
        <v>3878</v>
      </c>
      <c r="AC46" s="8">
        <f>COUNTIFS(Başvuru!$D$2:$D$2077, "*" &amp; AB46 &amp; "*")</f>
        <v>0</v>
      </c>
      <c r="AD46" s="8" t="s">
        <v>402</v>
      </c>
      <c r="AE46" s="1">
        <f>COUNTIFS(Başvuru!$C$2:$C$2077, "*" &amp; AD46 &amp; "*")</f>
        <v>0</v>
      </c>
    </row>
    <row r="47" spans="28:31" x14ac:dyDescent="0.25">
      <c r="AB47" s="8" t="s">
        <v>3881</v>
      </c>
      <c r="AC47" s="8">
        <f>COUNTIFS(Başvuru!$D$2:$D$2077, "*" &amp; AB47 &amp; "*")</f>
        <v>0</v>
      </c>
      <c r="AD47" s="8" t="s">
        <v>376</v>
      </c>
      <c r="AE47" s="1">
        <f>COUNTIFS(Başvuru!$C$2:$C$2077, "*" &amp; AD47 &amp; "*")</f>
        <v>0</v>
      </c>
    </row>
    <row r="48" spans="28:31" x14ac:dyDescent="0.25">
      <c r="AB48" s="8" t="s">
        <v>3225</v>
      </c>
      <c r="AC48" s="8">
        <f>COUNTIFS(Başvuru!$D$2:$D$2077, "*" &amp; AB48 &amp; "*")</f>
        <v>0</v>
      </c>
      <c r="AD48" s="8" t="s">
        <v>426</v>
      </c>
      <c r="AE48" s="1">
        <f>COUNTIFS(Başvuru!$C$2:$C$2077, "*" &amp; AD48 &amp; "*")</f>
        <v>0</v>
      </c>
    </row>
    <row r="49" spans="28:31" x14ac:dyDescent="0.25">
      <c r="AB49" s="8" t="s">
        <v>3886</v>
      </c>
      <c r="AC49" s="8">
        <f>COUNTIFS(Başvuru!$D$2:$D$2077, "*" &amp; AB49 &amp; "*")</f>
        <v>0</v>
      </c>
      <c r="AD49" s="8" t="s">
        <v>3887</v>
      </c>
      <c r="AE49" s="1">
        <f>COUNTIFS(Başvuru!$C$2:$C$2077, "*" &amp; AD49 &amp; "*")</f>
        <v>0</v>
      </c>
    </row>
    <row r="50" spans="28:31" x14ac:dyDescent="0.25">
      <c r="AB50" s="8" t="s">
        <v>3890</v>
      </c>
      <c r="AC50" s="8">
        <f>COUNTIFS(Başvuru!$D$2:$D$2077, "*" &amp; AB50 &amp; "*")</f>
        <v>0</v>
      </c>
      <c r="AD50" s="8" t="s">
        <v>3891</v>
      </c>
      <c r="AE50" s="1">
        <f>COUNTIFS(Başvuru!$C$2:$C$2077, "*" &amp; AD50 &amp; "*")</f>
        <v>0</v>
      </c>
    </row>
    <row r="51" spans="28:31" x14ac:dyDescent="0.25">
      <c r="AB51" s="8" t="s">
        <v>1923</v>
      </c>
      <c r="AC51" s="8">
        <f>COUNTIFS(Başvuru!$D$2:$D$2077, "*" &amp; AB51 &amp; "*")</f>
        <v>0</v>
      </c>
      <c r="AD51" s="8" t="s">
        <v>405</v>
      </c>
      <c r="AE51" s="1">
        <f>COUNTIFS(Başvuru!$C$2:$C$2077, "*" &amp; AD51 &amp; "*")</f>
        <v>0</v>
      </c>
    </row>
    <row r="52" spans="28:31" x14ac:dyDescent="0.25">
      <c r="AB52" s="8" t="s">
        <v>1951</v>
      </c>
      <c r="AC52" s="8">
        <f>COUNTIFS(Başvuru!$D$2:$D$2077, "*" &amp; AB52 &amp; "*")</f>
        <v>0</v>
      </c>
      <c r="AD52" s="8" t="s">
        <v>3896</v>
      </c>
      <c r="AE52" s="1">
        <f>COUNTIFS(Başvuru!$C$2:$C$2077, "*" &amp; AD52 &amp; "*")</f>
        <v>0</v>
      </c>
    </row>
    <row r="53" spans="28:31" x14ac:dyDescent="0.25">
      <c r="AB53" s="8" t="s">
        <v>906</v>
      </c>
      <c r="AC53" s="8">
        <f>COUNTIFS(Başvuru!$D$2:$D$2077, "*" &amp; AB53 &amp; "*")</f>
        <v>0</v>
      </c>
      <c r="AD53" s="8" t="s">
        <v>426</v>
      </c>
      <c r="AE53" s="1">
        <f>COUNTIFS(Başvuru!$C$2:$C$2077, "*" &amp; AD53 &amp; "*")</f>
        <v>0</v>
      </c>
    </row>
    <row r="54" spans="28:31" x14ac:dyDescent="0.25">
      <c r="AB54" s="8" t="s">
        <v>746</v>
      </c>
      <c r="AC54" s="8">
        <f>COUNTIFS(Başvuru!$D$2:$D$2077, "*" &amp; AB54 &amp; "*")</f>
        <v>0</v>
      </c>
      <c r="AD54" s="8" t="s">
        <v>426</v>
      </c>
      <c r="AE54" s="1">
        <f>COUNTIFS(Başvuru!$C$2:$C$2077, "*" &amp; AD54 &amp; "*")</f>
        <v>0</v>
      </c>
    </row>
    <row r="55" spans="28:31" x14ac:dyDescent="0.25">
      <c r="AB55" s="8" t="s">
        <v>580</v>
      </c>
      <c r="AC55" s="8">
        <f>COUNTIFS(Başvuru!$D$2:$D$2077, "*" &amp; AB55 &amp; "*")</f>
        <v>0</v>
      </c>
      <c r="AD55" s="8" t="s">
        <v>402</v>
      </c>
      <c r="AE55" s="1">
        <f>COUNTIFS(Başvuru!$C$2:$C$2077, "*" &amp; AD55 &amp; "*")</f>
        <v>0</v>
      </c>
    </row>
    <row r="56" spans="28:31" x14ac:dyDescent="0.25">
      <c r="AB56" s="8" t="s">
        <v>927</v>
      </c>
      <c r="AC56" s="8">
        <f>COUNTIFS(Başvuru!$D$2:$D$2077, "*" &amp; AB56 &amp; "*")</f>
        <v>0</v>
      </c>
      <c r="AD56" s="8" t="s">
        <v>3943</v>
      </c>
      <c r="AE56" s="1">
        <f>COUNTIFS(Başvuru!$C$2:$C$2077, "*" &amp; AD56 &amp; "*")</f>
        <v>0</v>
      </c>
    </row>
    <row r="57" spans="28:31" x14ac:dyDescent="0.25">
      <c r="AB57" s="8" t="s">
        <v>840</v>
      </c>
      <c r="AC57" s="8">
        <f>COUNTIFS(Başvuru!$D$2:$D$2077, "*" &amp; AB57 &amp; "*")</f>
        <v>0</v>
      </c>
      <c r="AD57" s="8" t="s">
        <v>3946</v>
      </c>
      <c r="AE57" s="1">
        <f>COUNTIFS(Başvuru!$C$2:$C$2077, "*" &amp; AD57 &amp; "*")</f>
        <v>0</v>
      </c>
    </row>
    <row r="58" spans="28:31" x14ac:dyDescent="0.25">
      <c r="AB58" s="8" t="s">
        <v>492</v>
      </c>
      <c r="AC58" s="8">
        <f>COUNTIFS(Başvuru!$D$2:$D$2077, "*" &amp; AB58 &amp; "*")</f>
        <v>0</v>
      </c>
      <c r="AD58" s="8" t="s">
        <v>3948</v>
      </c>
      <c r="AE58" s="1">
        <f>COUNTIFS(Başvuru!$C$2:$C$2077, "*" &amp; AD58 &amp; "*")</f>
        <v>0</v>
      </c>
    </row>
    <row r="59" spans="28:31" x14ac:dyDescent="0.25">
      <c r="AB59" s="8" t="s">
        <v>1302</v>
      </c>
      <c r="AC59" s="8">
        <f>COUNTIFS(Başvuru!$D$2:$D$2077, "*" &amp; AB59 &amp; "*")</f>
        <v>0</v>
      </c>
      <c r="AD59" s="8" t="s">
        <v>3952</v>
      </c>
      <c r="AE59" s="1">
        <f>COUNTIFS(Başvuru!$C$2:$C$2077, "*" &amp; AD59 &amp; "*")</f>
        <v>0</v>
      </c>
    </row>
    <row r="60" spans="28:31" x14ac:dyDescent="0.25">
      <c r="AB60" s="8" t="s">
        <v>580</v>
      </c>
      <c r="AC60" s="8">
        <f>COUNTIFS(Başvuru!$D$2:$D$2077, "*" &amp; AB60 &amp; "*")</f>
        <v>0</v>
      </c>
      <c r="AD60" s="8" t="s">
        <v>402</v>
      </c>
      <c r="AE60" s="1">
        <f>COUNTIFS(Başvuru!$C$2:$C$2077, "*" &amp; AD60 &amp; "*")</f>
        <v>0</v>
      </c>
    </row>
    <row r="61" spans="28:31" x14ac:dyDescent="0.25">
      <c r="AB61" s="8" t="s">
        <v>3956</v>
      </c>
      <c r="AC61" s="8">
        <f>COUNTIFS(Başvuru!$D$2:$D$2077, "*" &amp; AB61 &amp; "*")</f>
        <v>0</v>
      </c>
      <c r="AD61" s="8" t="s">
        <v>3957</v>
      </c>
      <c r="AE61" s="1">
        <f>COUNTIFS(Başvuru!$C$2:$C$2077, "*" &amp; AD61 &amp; "*")</f>
        <v>0</v>
      </c>
    </row>
    <row r="62" spans="28:31" x14ac:dyDescent="0.25">
      <c r="AB62" s="8" t="s">
        <v>2933</v>
      </c>
      <c r="AC62" s="8">
        <f>COUNTIFS(Başvuru!$D$2:$D$2077, "*" &amp; AB62 &amp; "*")</f>
        <v>0</v>
      </c>
      <c r="AD62" s="8" t="s">
        <v>3948</v>
      </c>
      <c r="AE62" s="1">
        <f>COUNTIFS(Başvuru!$C$2:$C$2077, "*" &amp; AD62 &amp; "*")</f>
        <v>0</v>
      </c>
    </row>
    <row r="63" spans="28:31" x14ac:dyDescent="0.25">
      <c r="AB63" s="8" t="s">
        <v>2328</v>
      </c>
      <c r="AC63" s="8">
        <f>COUNTIFS(Başvuru!$D$2:$D$2077, "*" &amp; AB63 &amp; "*")</f>
        <v>0</v>
      </c>
      <c r="AD63" s="8" t="s">
        <v>3896</v>
      </c>
      <c r="AE63" s="1">
        <f>COUNTIFS(Başvuru!$C$2:$C$2077, "*" &amp; AD63 &amp; "*")</f>
        <v>0</v>
      </c>
    </row>
    <row r="64" spans="28:31" x14ac:dyDescent="0.25">
      <c r="AB64" s="8" t="s">
        <v>634</v>
      </c>
      <c r="AC64" s="8">
        <f>COUNTIFS(Başvuru!$D$2:$D$2077, "*" &amp; AB64 &amp; "*")</f>
        <v>0</v>
      </c>
      <c r="AD64" s="8" t="s">
        <v>3964</v>
      </c>
      <c r="AE64" s="1">
        <f>COUNTIFS(Başvuru!$C$2:$C$2077, "*" &amp; AD64 &amp; "*")</f>
        <v>0</v>
      </c>
    </row>
    <row r="65" spans="28:31" x14ac:dyDescent="0.25">
      <c r="AB65" s="8" t="s">
        <v>634</v>
      </c>
      <c r="AC65" s="8">
        <f>COUNTIFS(Başvuru!$D$2:$D$2077, "*" &amp; AB65 &amp; "*")</f>
        <v>0</v>
      </c>
      <c r="AD65" s="8" t="s">
        <v>3964</v>
      </c>
      <c r="AE65" s="1">
        <f>COUNTIFS(Başvuru!$C$2:$C$2077, "*" &amp; AD65 &amp; "*")</f>
        <v>0</v>
      </c>
    </row>
    <row r="66" spans="28:31" x14ac:dyDescent="0.25">
      <c r="AB66" s="8" t="s">
        <v>535</v>
      </c>
      <c r="AC66" s="8">
        <f>COUNTIFS(Başvuru!$D$2:$D$2077, "*" &amp; AB66 &amp; "*")</f>
        <v>0</v>
      </c>
      <c r="AD66" s="8" t="s">
        <v>391</v>
      </c>
      <c r="AE66" s="1">
        <f>COUNTIFS(Başvuru!$C$2:$C$2077, "*" &amp; AD66 &amp; "*")</f>
        <v>0</v>
      </c>
    </row>
    <row r="67" spans="28:31" x14ac:dyDescent="0.25">
      <c r="AB67" s="8" t="s">
        <v>3971</v>
      </c>
      <c r="AC67" s="8">
        <f>COUNTIFS(Başvuru!$D$2:$D$2077, "*" &amp; AB67 &amp; "*")</f>
        <v>0</v>
      </c>
      <c r="AD67" s="8" t="s">
        <v>355</v>
      </c>
      <c r="AE67" s="1">
        <f>COUNTIFS(Başvuru!$C$2:$C$2077, "*" &amp; AD67 &amp; "*")</f>
        <v>0</v>
      </c>
    </row>
    <row r="68" spans="28:31" x14ac:dyDescent="0.25">
      <c r="AB68" s="8" t="s">
        <v>93</v>
      </c>
      <c r="AC68" s="8">
        <f>COUNTIFS(Başvuru!$D$2:$D$2077, "*" &amp; AB68 &amp; "*")</f>
        <v>0</v>
      </c>
      <c r="AD68" s="8" t="s">
        <v>355</v>
      </c>
      <c r="AE68" s="1">
        <f>COUNTIFS(Başvuru!$C$2:$C$2077, "*" &amp; AD68 &amp; "*")</f>
        <v>0</v>
      </c>
    </row>
    <row r="69" spans="28:31" x14ac:dyDescent="0.25">
      <c r="AB69" s="8" t="s">
        <v>2933</v>
      </c>
      <c r="AC69" s="8">
        <f>COUNTIFS(Başvuru!$D$2:$D$2077, "*" &amp; AB69 &amp; "*")</f>
        <v>0</v>
      </c>
      <c r="AD69" s="8" t="s">
        <v>3948</v>
      </c>
      <c r="AE69" s="1">
        <f>COUNTIFS(Başvuru!$C$2:$C$2077, "*" &amp; AD69 &amp; "*")</f>
        <v>0</v>
      </c>
    </row>
    <row r="70" spans="28:31" x14ac:dyDescent="0.25">
      <c r="AB70" s="8" t="s">
        <v>3978</v>
      </c>
      <c r="AC70" s="8">
        <f>COUNTIFS(Başvuru!$D$2:$D$2077, "*" &amp; AB70 &amp; "*")</f>
        <v>0</v>
      </c>
      <c r="AD70" s="8" t="s">
        <v>1514</v>
      </c>
      <c r="AE70" s="1">
        <f>COUNTIFS(Başvuru!$C$2:$C$2077, "*" &amp; AD70 &amp; "*")</f>
        <v>0</v>
      </c>
    </row>
    <row r="71" spans="28:31" x14ac:dyDescent="0.25">
      <c r="AB71" s="8" t="s">
        <v>3983</v>
      </c>
      <c r="AC71" s="8">
        <f>COUNTIFS(Başvuru!$D$2:$D$2077, "*" &amp; AB71 &amp; "*")</f>
        <v>0</v>
      </c>
      <c r="AD71" s="8" t="s">
        <v>3984</v>
      </c>
      <c r="AE71" s="1">
        <f>COUNTIFS(Başvuru!$C$2:$C$2077, "*" &amp; AD71 &amp; "*")</f>
        <v>0</v>
      </c>
    </row>
    <row r="72" spans="28:31" x14ac:dyDescent="0.25">
      <c r="AB72" s="8" t="s">
        <v>1826</v>
      </c>
      <c r="AC72" s="8">
        <f>COUNTIFS(Başvuru!$D$2:$D$2077, "*" &amp; AB72 &amp; "*")</f>
        <v>0</v>
      </c>
      <c r="AD72" s="8" t="s">
        <v>402</v>
      </c>
      <c r="AE72" s="1">
        <f>COUNTIFS(Başvuru!$C$2:$C$2077, "*" &amp; AD72 &amp; "*")</f>
        <v>0</v>
      </c>
    </row>
    <row r="73" spans="28:31" x14ac:dyDescent="0.25">
      <c r="AB73" s="8" t="s">
        <v>492</v>
      </c>
      <c r="AC73" s="8">
        <f>COUNTIFS(Başvuru!$D$2:$D$2077, "*" &amp; AB73 &amp; "*")</f>
        <v>0</v>
      </c>
      <c r="AD73" s="8" t="s">
        <v>3948</v>
      </c>
      <c r="AE73" s="1">
        <f>COUNTIFS(Başvuru!$C$2:$C$2077, "*" &amp; AD73 &amp; "*")</f>
        <v>0</v>
      </c>
    </row>
    <row r="74" spans="28:31" x14ac:dyDescent="0.25">
      <c r="AB74" s="8" t="s">
        <v>3991</v>
      </c>
      <c r="AC74" s="8">
        <f>COUNTIFS(Başvuru!$D$2:$D$2077, "*" &amp; AB74 &amp; "*")</f>
        <v>0</v>
      </c>
      <c r="AD74" s="8" t="s">
        <v>3992</v>
      </c>
      <c r="AE74" s="1">
        <f>COUNTIFS(Başvuru!$C$2:$C$2077, "*" &amp; AD74 &amp; "*")</f>
        <v>0</v>
      </c>
    </row>
    <row r="75" spans="28:31" x14ac:dyDescent="0.25">
      <c r="AB75" s="8" t="s">
        <v>1059</v>
      </c>
      <c r="AC75" s="8">
        <f>COUNTIFS(Başvuru!$D$2:$D$2077, "*" &amp; AB75 &amp; "*")</f>
        <v>0</v>
      </c>
      <c r="AD75" s="8" t="s">
        <v>3995</v>
      </c>
      <c r="AE75" s="1">
        <f>COUNTIFS(Başvuru!$C$2:$C$2077, "*" &amp; AD75 &amp; "*")</f>
        <v>0</v>
      </c>
    </row>
    <row r="76" spans="28:31" x14ac:dyDescent="0.25">
      <c r="AB76" s="8" t="s">
        <v>1503</v>
      </c>
      <c r="AC76" s="8">
        <f>COUNTIFS(Başvuru!$D$2:$D$2077, "*" &amp; AB76 &amp; "*")</f>
        <v>0</v>
      </c>
      <c r="AD76" s="8" t="s">
        <v>416</v>
      </c>
      <c r="AE76" s="1">
        <f>COUNTIFS(Başvuru!$C$2:$C$2077, "*" &amp; AD76 &amp; "*")</f>
        <v>0</v>
      </c>
    </row>
    <row r="77" spans="28:31" x14ac:dyDescent="0.25">
      <c r="AB77" s="8" t="s">
        <v>1246</v>
      </c>
      <c r="AC77" s="8">
        <f>COUNTIFS(Başvuru!$D$2:$D$2077, "*" &amp; AB77 &amp; "*")</f>
        <v>0</v>
      </c>
      <c r="AD77" s="8" t="s">
        <v>3943</v>
      </c>
      <c r="AE77" s="1">
        <f>COUNTIFS(Başvuru!$C$2:$C$2077, "*" &amp; AD77 &amp; "*")</f>
        <v>0</v>
      </c>
    </row>
    <row r="78" spans="28:31" x14ac:dyDescent="0.25">
      <c r="AB78" s="8" t="s">
        <v>569</v>
      </c>
      <c r="AC78" s="8">
        <f>COUNTIFS(Başvuru!$D$2:$D$2077, "*" &amp; AB78 &amp; "*")</f>
        <v>0</v>
      </c>
      <c r="AD78" s="8" t="s">
        <v>402</v>
      </c>
      <c r="AE78" s="1">
        <f>COUNTIFS(Başvuru!$C$2:$C$2077, "*" &amp; AD78 &amp; "*")</f>
        <v>0</v>
      </c>
    </row>
    <row r="79" spans="28:31" x14ac:dyDescent="0.25">
      <c r="AB79" s="8" t="s">
        <v>4004</v>
      </c>
      <c r="AC79" s="8">
        <f>COUNTIFS(Başvuru!$D$2:$D$2077, "*" &amp; AB79 &amp; "*")</f>
        <v>0</v>
      </c>
      <c r="AD79" s="8" t="s">
        <v>4005</v>
      </c>
      <c r="AE79" s="1">
        <f>COUNTIFS(Başvuru!$C$2:$C$2077, "*" &amp; AD79 &amp; "*")</f>
        <v>0</v>
      </c>
    </row>
    <row r="80" spans="28:31" x14ac:dyDescent="0.25">
      <c r="AB80" s="8" t="s">
        <v>518</v>
      </c>
      <c r="AC80" s="8">
        <f>COUNTIFS(Başvuru!$D$2:$D$2077, "*" &amp; AB80 &amp; "*")</f>
        <v>0</v>
      </c>
      <c r="AD80" s="8" t="s">
        <v>402</v>
      </c>
      <c r="AE80" s="1">
        <f>COUNTIFS(Başvuru!$C$2:$C$2077, "*" &amp; AD80 &amp; "*")</f>
        <v>0</v>
      </c>
    </row>
    <row r="81" spans="28:31" x14ac:dyDescent="0.25">
      <c r="AB81" s="8" t="s">
        <v>2552</v>
      </c>
      <c r="AC81" s="8">
        <f>COUNTIFS(Başvuru!$D$2:$D$2077, "*" &amp; AB81 &amp; "*")</f>
        <v>0</v>
      </c>
      <c r="AD81" s="8" t="s">
        <v>715</v>
      </c>
      <c r="AE81" s="1">
        <f>COUNTIFS(Başvuru!$C$2:$C$2077, "*" &amp; AD81 &amp; "*")</f>
        <v>0</v>
      </c>
    </row>
    <row r="82" spans="28:31" x14ac:dyDescent="0.25">
      <c r="AB82" s="8" t="s">
        <v>1310</v>
      </c>
      <c r="AC82" s="8">
        <f>COUNTIFS(Başvuru!$D$2:$D$2077, "*" &amp; AB82 &amp; "*")</f>
        <v>0</v>
      </c>
      <c r="AD82" s="8" t="s">
        <v>3896</v>
      </c>
      <c r="AE82" s="1">
        <f>COUNTIFS(Başvuru!$C$2:$C$2077, "*" &amp; AD82 &amp; "*")</f>
        <v>0</v>
      </c>
    </row>
    <row r="83" spans="28:31" x14ac:dyDescent="0.25">
      <c r="AB83" s="8" t="s">
        <v>817</v>
      </c>
      <c r="AC83" s="8">
        <f>COUNTIFS(Başvuru!$D$2:$D$2077, "*" &amp; AB83 &amp; "*")</f>
        <v>0</v>
      </c>
      <c r="AD83" s="8" t="s">
        <v>361</v>
      </c>
      <c r="AE83" s="1">
        <f>COUNTIFS(Başvuru!$C$2:$C$2077, "*" &amp; AD83 &amp; "*")</f>
        <v>0</v>
      </c>
    </row>
    <row r="84" spans="28:31" x14ac:dyDescent="0.25">
      <c r="AB84" s="8" t="s">
        <v>360</v>
      </c>
      <c r="AC84" s="8">
        <f>COUNTIFS(Başvuru!$D$2:$D$2077, "*" &amp; AB84 &amp; "*")</f>
        <v>0</v>
      </c>
      <c r="AD84" s="8" t="s">
        <v>361</v>
      </c>
      <c r="AE84" s="1">
        <f>COUNTIFS(Başvuru!$C$2:$C$2077, "*" &amp; AD84 &amp; "*")</f>
        <v>0</v>
      </c>
    </row>
    <row r="85" spans="28:31" x14ac:dyDescent="0.25">
      <c r="AB85" s="8" t="s">
        <v>507</v>
      </c>
      <c r="AC85" s="8">
        <f>COUNTIFS(Başvuru!$D$2:$D$2077, "*" &amp; AB85 &amp; "*")</f>
        <v>0</v>
      </c>
      <c r="AD85" s="8" t="s">
        <v>361</v>
      </c>
      <c r="AE85" s="1">
        <f>COUNTIFS(Başvuru!$C$2:$C$2077, "*" &amp; AD85 &amp; "*")</f>
        <v>0</v>
      </c>
    </row>
    <row r="86" spans="28:31" x14ac:dyDescent="0.25">
      <c r="AB86" s="8" t="s">
        <v>4020</v>
      </c>
      <c r="AC86" s="8">
        <f>COUNTIFS(Başvuru!$D$2:$D$2077, "*" &amp; AB86 &amp; "*")</f>
        <v>0</v>
      </c>
      <c r="AD86" s="8" t="s">
        <v>4021</v>
      </c>
      <c r="AE86" s="1">
        <f>COUNTIFS(Başvuru!$C$2:$C$2077, "*" &amp; AD86 &amp; "*")</f>
        <v>0</v>
      </c>
    </row>
    <row r="87" spans="28:31" x14ac:dyDescent="0.25">
      <c r="AB87" s="8" t="s">
        <v>3991</v>
      </c>
      <c r="AC87" s="8">
        <f>COUNTIFS(Başvuru!$D$2:$D$2077, "*" &amp; AB87 &amp; "*")</f>
        <v>0</v>
      </c>
      <c r="AD87" s="8" t="s">
        <v>402</v>
      </c>
      <c r="AE87" s="1">
        <f>COUNTIFS(Başvuru!$C$2:$C$2077, "*" &amp; AD87 &amp; "*")</f>
        <v>0</v>
      </c>
    </row>
    <row r="88" spans="28:31" x14ac:dyDescent="0.25">
      <c r="AB88" s="8" t="s">
        <v>1253</v>
      </c>
      <c r="AC88" s="8">
        <f>COUNTIFS(Başvuru!$D$2:$D$2077, "*" &amp; AB88 &amp; "*")</f>
        <v>0</v>
      </c>
      <c r="AD88" s="8" t="s">
        <v>392</v>
      </c>
      <c r="AE88" s="1">
        <f>COUNTIFS(Başvuru!$C$2:$C$2077, "*" &amp; AD88 &amp; "*")</f>
        <v>0</v>
      </c>
    </row>
    <row r="89" spans="28:31" x14ac:dyDescent="0.25">
      <c r="AB89" s="8" t="s">
        <v>1253</v>
      </c>
      <c r="AC89" s="8">
        <f>COUNTIFS(Başvuru!$D$2:$D$2077, "*" &amp; AB89 &amp; "*")</f>
        <v>0</v>
      </c>
      <c r="AD89" s="8" t="s">
        <v>392</v>
      </c>
      <c r="AE89" s="1">
        <f>COUNTIFS(Başvuru!$C$2:$C$2077, "*" &amp; AD89 &amp; "*")</f>
        <v>0</v>
      </c>
    </row>
    <row r="90" spans="28:31" x14ac:dyDescent="0.25">
      <c r="AB90" s="8" t="s">
        <v>580</v>
      </c>
      <c r="AC90" s="8">
        <f>COUNTIFS(Başvuru!$D$2:$D$2077, "*" &amp; AB90 &amp; "*")</f>
        <v>0</v>
      </c>
      <c r="AD90" s="8" t="s">
        <v>402</v>
      </c>
      <c r="AE90" s="1">
        <f>COUNTIFS(Başvuru!$C$2:$C$2077, "*" &amp; AD90 &amp; "*")</f>
        <v>0</v>
      </c>
    </row>
    <row r="91" spans="28:31" x14ac:dyDescent="0.25">
      <c r="AB91" s="8" t="s">
        <v>1401</v>
      </c>
      <c r="AC91" s="8">
        <f>COUNTIFS(Başvuru!$D$2:$D$2077, "*" &amp; AB91 &amp; "*")</f>
        <v>0</v>
      </c>
      <c r="AD91" s="8" t="s">
        <v>361</v>
      </c>
      <c r="AE91" s="1">
        <f>COUNTIFS(Başvuru!$C$2:$C$2077, "*" &amp; AD91 &amp; "*")</f>
        <v>0</v>
      </c>
    </row>
    <row r="92" spans="28:31" x14ac:dyDescent="0.25">
      <c r="AB92" s="8" t="s">
        <v>390</v>
      </c>
      <c r="AC92" s="8">
        <f>COUNTIFS(Başvuru!$D$2:$D$2077, "*" &amp; AB92 &amp; "*")</f>
        <v>0</v>
      </c>
      <c r="AD92" s="8" t="s">
        <v>392</v>
      </c>
      <c r="AE92" s="1">
        <f>COUNTIFS(Başvuru!$C$2:$C$2077, "*" &amp; AD92 &amp; "*")</f>
        <v>0</v>
      </c>
    </row>
    <row r="93" spans="28:31" x14ac:dyDescent="0.25">
      <c r="AB93" s="8" t="s">
        <v>96</v>
      </c>
      <c r="AC93" s="8">
        <f>COUNTIFS(Başvuru!$D$2:$D$2077, "*" &amp; AB93 &amp; "*")</f>
        <v>0</v>
      </c>
      <c r="AD93" s="8" t="s">
        <v>402</v>
      </c>
      <c r="AE93" s="1">
        <f>COUNTIFS(Başvuru!$C$2:$C$2077, "*" &amp; AD93 &amp; "*")</f>
        <v>0</v>
      </c>
    </row>
    <row r="94" spans="28:31" x14ac:dyDescent="0.25">
      <c r="AB94" s="8" t="s">
        <v>3585</v>
      </c>
      <c r="AC94" s="8">
        <f>COUNTIFS(Başvuru!$D$2:$D$2077, "*" &amp; AB94 &amp; "*")</f>
        <v>0</v>
      </c>
      <c r="AD94" s="8" t="s">
        <v>402</v>
      </c>
      <c r="AE94" s="1">
        <f>COUNTIFS(Başvuru!$C$2:$C$2077, "*" &amp; AD94 &amp; "*")</f>
        <v>0</v>
      </c>
    </row>
    <row r="95" spans="28:31" x14ac:dyDescent="0.25">
      <c r="AB95" s="8" t="s">
        <v>637</v>
      </c>
      <c r="AC95" s="8">
        <f>COUNTIFS(Başvuru!$D$2:$D$2077, "*" &amp; AB95 &amp; "*")</f>
        <v>0</v>
      </c>
      <c r="AD95" s="8" t="s">
        <v>361</v>
      </c>
      <c r="AE95" s="1">
        <f>COUNTIFS(Başvuru!$C$2:$C$2077, "*" &amp; AD95 &amp; "*")</f>
        <v>0</v>
      </c>
    </row>
    <row r="96" spans="28:31" x14ac:dyDescent="0.25">
      <c r="AB96" s="8" t="s">
        <v>1087</v>
      </c>
      <c r="AC96" s="8">
        <f>COUNTIFS(Başvuru!$D$2:$D$2077, "*" &amp; AB96 &amp; "*")</f>
        <v>0</v>
      </c>
      <c r="AD96" s="8" t="s">
        <v>4055</v>
      </c>
      <c r="AE96" s="1">
        <f>COUNTIFS(Başvuru!$C$2:$C$2077, "*" &amp; AD96 &amp; "*")</f>
        <v>0</v>
      </c>
    </row>
    <row r="97" spans="28:31" x14ac:dyDescent="0.25">
      <c r="AB97" s="8" t="s">
        <v>360</v>
      </c>
      <c r="AC97" s="8">
        <f>COUNTIFS(Başvuru!$D$2:$D$2077, "*" &amp; AB97 &amp; "*")</f>
        <v>0</v>
      </c>
      <c r="AD97" s="8" t="s">
        <v>361</v>
      </c>
      <c r="AE97" s="1">
        <f>COUNTIFS(Başvuru!$C$2:$C$2077, "*" &amp; AD97 &amp; "*")</f>
        <v>0</v>
      </c>
    </row>
    <row r="98" spans="28:31" x14ac:dyDescent="0.25">
      <c r="AB98" s="8" t="s">
        <v>360</v>
      </c>
      <c r="AC98" s="8">
        <f>COUNTIFS(Başvuru!$D$2:$D$2077, "*" &amp; AB98 &amp; "*")</f>
        <v>0</v>
      </c>
      <c r="AD98" s="8" t="s">
        <v>361</v>
      </c>
      <c r="AE98" s="1">
        <f>COUNTIFS(Başvuru!$C$2:$C$2077, "*" &amp; AD98 &amp; "*")</f>
        <v>0</v>
      </c>
    </row>
    <row r="99" spans="28:31" x14ac:dyDescent="0.25">
      <c r="AB99" s="8" t="s">
        <v>1087</v>
      </c>
      <c r="AC99" s="8">
        <f>COUNTIFS(Başvuru!$D$2:$D$2077, "*" &amp; AB99 &amp; "*")</f>
        <v>0</v>
      </c>
      <c r="AD99" s="8" t="s">
        <v>4055</v>
      </c>
      <c r="AE99" s="1">
        <f>COUNTIFS(Başvuru!$C$2:$C$2077, "*" &amp; AD99 &amp; "*")</f>
        <v>0</v>
      </c>
    </row>
    <row r="100" spans="28:31" x14ac:dyDescent="0.25">
      <c r="AB100" s="8" t="s">
        <v>3991</v>
      </c>
      <c r="AC100" s="8">
        <f>COUNTIFS(Başvuru!$D$2:$D$2077, "*" &amp; AB100 &amp; "*")</f>
        <v>0</v>
      </c>
      <c r="AD100" s="8" t="s">
        <v>402</v>
      </c>
      <c r="AE100" s="1">
        <f>COUNTIFS(Başvuru!$C$2:$C$2077, "*" &amp; AD100 &amp; "*")</f>
        <v>0</v>
      </c>
    </row>
    <row r="101" spans="28:31" x14ac:dyDescent="0.25">
      <c r="AB101" s="8" t="s">
        <v>933</v>
      </c>
      <c r="AC101" s="8">
        <f>COUNTIFS(Başvuru!$D$2:$D$2077, "*" &amp; AB101 &amp; "*")</f>
        <v>0</v>
      </c>
      <c r="AD101" s="8" t="s">
        <v>399</v>
      </c>
      <c r="AE101" s="1">
        <f>COUNTIFS(Başvuru!$C$2:$C$2077, "*" &amp; AD101 &amp; "*")</f>
        <v>0</v>
      </c>
    </row>
    <row r="102" spans="28:31" x14ac:dyDescent="0.25">
      <c r="AB102" s="8" t="s">
        <v>4136</v>
      </c>
      <c r="AC102" s="8">
        <f>COUNTIFS(Başvuru!$D$2:$D$2077, "*" &amp; AB102 &amp; "*")</f>
        <v>0</v>
      </c>
      <c r="AD102" s="8" t="s">
        <v>381</v>
      </c>
      <c r="AE102" s="1">
        <f>COUNTIFS(Başvuru!$C$2:$C$2077, "*" &amp; AD102 &amp; "*")</f>
        <v>0</v>
      </c>
    </row>
    <row r="103" spans="28:31" x14ac:dyDescent="0.25">
      <c r="AB103" s="8" t="s">
        <v>84</v>
      </c>
      <c r="AC103" s="8">
        <f>COUNTIFS(Başvuru!$D$2:$D$2077, "*" &amp; AB103 &amp; "*")</f>
        <v>0</v>
      </c>
      <c r="AD103" s="8" t="s">
        <v>370</v>
      </c>
      <c r="AE103" s="1">
        <f>COUNTIFS(Başvuru!$C$2:$C$2077, "*" &amp; AD103 &amp; "*")</f>
        <v>0</v>
      </c>
    </row>
    <row r="104" spans="28:31" x14ac:dyDescent="0.25">
      <c r="AB104" s="8" t="s">
        <v>1027</v>
      </c>
      <c r="AC104" s="8">
        <f>COUNTIFS(Başvuru!$D$2:$D$2077, "*" &amp; AB104 &amp; "*")</f>
        <v>0</v>
      </c>
      <c r="AD104" s="8" t="s">
        <v>361</v>
      </c>
      <c r="AE104" s="1">
        <f>COUNTIFS(Başvuru!$C$2:$C$2077, "*" &amp; AD104 &amp; "*")</f>
        <v>0</v>
      </c>
    </row>
    <row r="105" spans="28:31" x14ac:dyDescent="0.25">
      <c r="AB105" s="8" t="s">
        <v>4142</v>
      </c>
      <c r="AC105" s="8">
        <f>COUNTIFS(Başvuru!$D$2:$D$2077, "*" &amp; AB105 &amp; "*")</f>
        <v>0</v>
      </c>
      <c r="AD105" s="8" t="s">
        <v>383</v>
      </c>
      <c r="AE105" s="1">
        <f>COUNTIFS(Başvuru!$C$2:$C$2077, "*" &amp; AD105 &amp; "*")</f>
        <v>0</v>
      </c>
    </row>
    <row r="106" spans="28:31" x14ac:dyDescent="0.25">
      <c r="AB106" s="8" t="s">
        <v>2563</v>
      </c>
      <c r="AC106" s="8">
        <f>COUNTIFS(Başvuru!$D$2:$D$2077, "*" &amp; AB106 &amp; "*")</f>
        <v>0</v>
      </c>
      <c r="AD106" s="8" t="s">
        <v>405</v>
      </c>
      <c r="AE106" s="1">
        <f>COUNTIFS(Başvuru!$C$2:$C$2077, "*" &amp; AD106 &amp; "*")</f>
        <v>0</v>
      </c>
    </row>
    <row r="107" spans="28:31" x14ac:dyDescent="0.25">
      <c r="AB107" s="8" t="s">
        <v>1886</v>
      </c>
      <c r="AC107" s="8">
        <f>COUNTIFS(Başvuru!$D$2:$D$2077, "*" &amp; AB107 &amp; "*")</f>
        <v>0</v>
      </c>
      <c r="AD107" s="8" t="s">
        <v>405</v>
      </c>
      <c r="AE107" s="1">
        <f>COUNTIFS(Başvuru!$C$2:$C$2077, "*" &amp; AD107 &amp; "*")</f>
        <v>0</v>
      </c>
    </row>
    <row r="108" spans="28:31" x14ac:dyDescent="0.25">
      <c r="AB108" s="8" t="s">
        <v>4150</v>
      </c>
      <c r="AC108" s="8">
        <f>COUNTIFS(Başvuru!$D$2:$D$2077, "*" &amp; AB108 &amp; "*")</f>
        <v>0</v>
      </c>
      <c r="AD108" s="8" t="s">
        <v>3995</v>
      </c>
      <c r="AE108" s="1">
        <f>COUNTIFS(Başvuru!$C$2:$C$2077, "*" &amp; AD108 &amp; "*")</f>
        <v>0</v>
      </c>
    </row>
    <row r="109" spans="28:31" x14ac:dyDescent="0.25">
      <c r="AB109" s="8" t="s">
        <v>4153</v>
      </c>
      <c r="AC109" s="8">
        <f>COUNTIFS(Başvuru!$D$2:$D$2077, "*" &amp; AB109 &amp; "*")</f>
        <v>0</v>
      </c>
      <c r="AD109" s="8" t="s">
        <v>402</v>
      </c>
      <c r="AE109" s="1">
        <f>COUNTIFS(Başvuru!$C$2:$C$2077, "*" &amp; AD109 &amp; "*")</f>
        <v>0</v>
      </c>
    </row>
    <row r="110" spans="28:31" x14ac:dyDescent="0.25">
      <c r="AB110" s="8" t="s">
        <v>492</v>
      </c>
      <c r="AC110" s="8">
        <f>COUNTIFS(Başvuru!$D$2:$D$2077, "*" &amp; AB110 &amp; "*")</f>
        <v>0</v>
      </c>
      <c r="AD110" s="8" t="s">
        <v>3948</v>
      </c>
      <c r="AE110" s="1">
        <f>COUNTIFS(Başvuru!$C$2:$C$2077, "*" &amp; AD110 &amp; "*")</f>
        <v>0</v>
      </c>
    </row>
    <row r="111" spans="28:31" x14ac:dyDescent="0.25">
      <c r="AB111" s="8" t="s">
        <v>525</v>
      </c>
      <c r="AC111" s="8">
        <f>COUNTIFS(Başvuru!$D$2:$D$2077, "*" &amp; AB111 &amp; "*")</f>
        <v>0</v>
      </c>
      <c r="AD111" s="8" t="s">
        <v>3896</v>
      </c>
      <c r="AE111" s="1">
        <f>COUNTIFS(Başvuru!$C$2:$C$2077, "*" &amp; AD111 &amp; "*")</f>
        <v>0</v>
      </c>
    </row>
    <row r="112" spans="28:31" x14ac:dyDescent="0.25">
      <c r="AB112" s="8" t="s">
        <v>415</v>
      </c>
      <c r="AC112" s="8">
        <f>COUNTIFS(Başvuru!$D$2:$D$2077, "*" &amp; AB112 &amp; "*")</f>
        <v>0</v>
      </c>
      <c r="AD112" s="8" t="s">
        <v>416</v>
      </c>
      <c r="AE112" s="1">
        <f>COUNTIFS(Başvuru!$C$2:$C$2077, "*" &amp; AD112 &amp; "*")</f>
        <v>0</v>
      </c>
    </row>
    <row r="113" spans="28:31" x14ac:dyDescent="0.25">
      <c r="AB113" s="8" t="s">
        <v>88</v>
      </c>
      <c r="AC113" s="8">
        <f>COUNTIFS(Başvuru!$D$2:$D$2077, "*" &amp; AB113 &amp; "*")</f>
        <v>0</v>
      </c>
      <c r="AD113" s="8" t="s">
        <v>4162</v>
      </c>
      <c r="AE113" s="1">
        <f>COUNTIFS(Başvuru!$C$2:$C$2077, "*" &amp; AD113 &amp; "*")</f>
        <v>0</v>
      </c>
    </row>
    <row r="114" spans="28:31" x14ac:dyDescent="0.25">
      <c r="AB114" s="8" t="s">
        <v>1284</v>
      </c>
      <c r="AC114" s="8">
        <f>COUNTIFS(Başvuru!$D$2:$D$2077, "*" &amp; AB114 &amp; "*")</f>
        <v>0</v>
      </c>
      <c r="AD114" s="8" t="s">
        <v>383</v>
      </c>
      <c r="AE114" s="1">
        <f>COUNTIFS(Başvuru!$C$2:$C$2077, "*" &amp; AD114 &amp; "*")</f>
        <v>0</v>
      </c>
    </row>
    <row r="115" spans="28:31" x14ac:dyDescent="0.25">
      <c r="AB115" s="8" t="s">
        <v>441</v>
      </c>
      <c r="AC115" s="8">
        <f>COUNTIFS(Başvuru!$D$2:$D$2077, "*" &amp; AB115 &amp; "*")</f>
        <v>0</v>
      </c>
      <c r="AD115" s="8" t="s">
        <v>3887</v>
      </c>
      <c r="AE115" s="1">
        <f>COUNTIFS(Başvuru!$C$2:$C$2077, "*" &amp; AD115 &amp; "*")</f>
        <v>0</v>
      </c>
    </row>
    <row r="116" spans="28:31" x14ac:dyDescent="0.25">
      <c r="AB116" s="8" t="s">
        <v>3712</v>
      </c>
      <c r="AC116" s="8">
        <f>COUNTIFS(Başvuru!$D$2:$D$2077, "*" &amp; AB116 &amp; "*")</f>
        <v>0</v>
      </c>
      <c r="AD116" s="8" t="s">
        <v>1162</v>
      </c>
      <c r="AE116" s="1">
        <f>COUNTIFS(Başvuru!$C$2:$C$2077, "*" &amp; AD116 &amp; "*")</f>
        <v>0</v>
      </c>
    </row>
    <row r="117" spans="28:31" x14ac:dyDescent="0.25">
      <c r="AB117" s="8" t="s">
        <v>2144</v>
      </c>
      <c r="AC117" s="8">
        <f>COUNTIFS(Başvuru!$D$2:$D$2077, "*" &amp; AB117 &amp; "*")</f>
        <v>0</v>
      </c>
      <c r="AD117" s="8" t="s">
        <v>361</v>
      </c>
      <c r="AE117" s="1">
        <f>COUNTIFS(Başvuru!$C$2:$C$2077, "*" &amp; AD117 &amp; "*")</f>
        <v>0</v>
      </c>
    </row>
    <row r="118" spans="28:31" x14ac:dyDescent="0.25">
      <c r="AB118" s="8" t="s">
        <v>4173</v>
      </c>
      <c r="AC118" s="8">
        <f>COUNTIFS(Başvuru!$D$2:$D$2077, "*" &amp; AB118 &amp; "*")</f>
        <v>0</v>
      </c>
      <c r="AD118" s="8" t="s">
        <v>4174</v>
      </c>
      <c r="AE118" s="1">
        <f>COUNTIFS(Başvuru!$C$2:$C$2077, "*" &amp; AD118 &amp; "*")</f>
        <v>0</v>
      </c>
    </row>
    <row r="119" spans="28:31" x14ac:dyDescent="0.25">
      <c r="AB119" s="8" t="s">
        <v>2530</v>
      </c>
      <c r="AC119" s="8">
        <f>COUNTIFS(Başvuru!$D$2:$D$2077, "*" &amp; AB119 &amp; "*")</f>
        <v>0</v>
      </c>
      <c r="AD119" s="8" t="s">
        <v>1162</v>
      </c>
      <c r="AE119" s="1">
        <f>COUNTIFS(Başvuru!$C$2:$C$2077, "*" &amp; AD119 &amp; "*")</f>
        <v>0</v>
      </c>
    </row>
    <row r="120" spans="28:31" x14ac:dyDescent="0.25">
      <c r="AB120" s="8" t="s">
        <v>692</v>
      </c>
      <c r="AC120" s="8">
        <f>COUNTIFS(Başvuru!$D$2:$D$2077, "*" &amp; AB120 &amp; "*")</f>
        <v>0</v>
      </c>
      <c r="AD120" s="8" t="s">
        <v>4179</v>
      </c>
      <c r="AE120" s="1">
        <f>COUNTIFS(Başvuru!$C$2:$C$2077, "*" &amp; AD120 &amp; "*")</f>
        <v>0</v>
      </c>
    </row>
    <row r="121" spans="28:31" x14ac:dyDescent="0.25">
      <c r="AB121" s="8" t="s">
        <v>88</v>
      </c>
      <c r="AC121" s="8">
        <f>COUNTIFS(Başvuru!$D$2:$D$2077, "*" &amp; AB121 &amp; "*")</f>
        <v>0</v>
      </c>
      <c r="AD121" s="8" t="s">
        <v>4162</v>
      </c>
      <c r="AE121" s="1">
        <f>COUNTIFS(Başvuru!$C$2:$C$2077, "*" &amp; AD121 &amp; "*")</f>
        <v>0</v>
      </c>
    </row>
    <row r="122" spans="28:31" x14ac:dyDescent="0.25">
      <c r="AB122" s="8" t="s">
        <v>535</v>
      </c>
      <c r="AC122" s="8">
        <f>COUNTIFS(Başvuru!$D$2:$D$2077, "*" &amp; AB122 &amp; "*")</f>
        <v>0</v>
      </c>
      <c r="AD122" s="8" t="s">
        <v>391</v>
      </c>
      <c r="AE122" s="1">
        <f>COUNTIFS(Başvuru!$C$2:$C$2077, "*" &amp; AD122 &amp; "*")</f>
        <v>0</v>
      </c>
    </row>
    <row r="123" spans="28:31" x14ac:dyDescent="0.25">
      <c r="AB123" s="8" t="s">
        <v>4186</v>
      </c>
      <c r="AC123" s="8">
        <f>COUNTIFS(Başvuru!$D$2:$D$2077, "*" &amp; AB123 &amp; "*")</f>
        <v>0</v>
      </c>
      <c r="AD123" s="8" t="s">
        <v>361</v>
      </c>
      <c r="AE123" s="1">
        <f>COUNTIFS(Başvuru!$C$2:$C$2077, "*" &amp; AD123 &amp; "*")</f>
        <v>0</v>
      </c>
    </row>
    <row r="124" spans="28:31" x14ac:dyDescent="0.25">
      <c r="AB124" s="8" t="s">
        <v>91</v>
      </c>
      <c r="AC124" s="8">
        <f>COUNTIFS(Başvuru!$D$2:$D$2077, "*" &amp; AB124 &amp; "*")</f>
        <v>0</v>
      </c>
      <c r="AD124" s="8" t="s">
        <v>3964</v>
      </c>
      <c r="AE124" s="1">
        <f>COUNTIFS(Başvuru!$C$2:$C$2077, "*" &amp; AD124 &amp; "*")</f>
        <v>0</v>
      </c>
    </row>
    <row r="125" spans="28:31" x14ac:dyDescent="0.25">
      <c r="AB125" s="8" t="s">
        <v>382</v>
      </c>
      <c r="AC125" s="8">
        <f>COUNTIFS(Başvuru!$D$2:$D$2077, "*" &amp; AB125 &amp; "*")</f>
        <v>0</v>
      </c>
      <c r="AD125" s="8" t="s">
        <v>383</v>
      </c>
      <c r="AE125" s="1">
        <f>COUNTIFS(Başvuru!$C$2:$C$2077, "*" &amp; AD125 &amp; "*")</f>
        <v>0</v>
      </c>
    </row>
    <row r="126" spans="28:31" x14ac:dyDescent="0.25">
      <c r="AB126" s="8" t="s">
        <v>4193</v>
      </c>
      <c r="AC126" s="8">
        <f>COUNTIFS(Başvuru!$D$2:$D$2077, "*" &amp; AB126 &amp; "*")</f>
        <v>0</v>
      </c>
      <c r="AD126" s="8" t="s">
        <v>4194</v>
      </c>
      <c r="AE126" s="1">
        <f>COUNTIFS(Başvuru!$C$2:$C$2077, "*" &amp; AD126 &amp; "*")</f>
        <v>0</v>
      </c>
    </row>
    <row r="127" spans="28:31" x14ac:dyDescent="0.25">
      <c r="AB127" s="8" t="s">
        <v>393</v>
      </c>
      <c r="AC127" s="8">
        <f>COUNTIFS(Başvuru!$D$2:$D$2077, "*" &amp; AB127 &amp; "*")</f>
        <v>0</v>
      </c>
      <c r="AD127" s="8" t="s">
        <v>394</v>
      </c>
      <c r="AE127" s="1">
        <f>COUNTIFS(Başvuru!$C$2:$C$2077, "*" &amp; AD127 &amp; "*")</f>
        <v>0</v>
      </c>
    </row>
    <row r="128" spans="28:31" x14ac:dyDescent="0.25">
      <c r="AB128" s="8" t="s">
        <v>4199</v>
      </c>
      <c r="AC128" s="8">
        <f>COUNTIFS(Başvuru!$D$2:$D$2077, "*" &amp; AB128 &amp; "*")</f>
        <v>0</v>
      </c>
      <c r="AD128" s="8" t="s">
        <v>402</v>
      </c>
      <c r="AE128" s="1">
        <f>COUNTIFS(Başvuru!$C$2:$C$2077, "*" &amp; AD128 &amp; "*")</f>
        <v>0</v>
      </c>
    </row>
    <row r="129" spans="28:31" x14ac:dyDescent="0.25">
      <c r="AB129" s="8" t="s">
        <v>480</v>
      </c>
      <c r="AC129" s="8">
        <f>COUNTIFS(Başvuru!$D$2:$D$2077, "*" &amp; AB129 &amp; "*")</f>
        <v>0</v>
      </c>
      <c r="AD129" s="8" t="s">
        <v>370</v>
      </c>
      <c r="AE129" s="1">
        <f>COUNTIFS(Başvuru!$C$2:$C$2077, "*" &amp; AD129 &amp; "*")</f>
        <v>0</v>
      </c>
    </row>
    <row r="130" spans="28:31" x14ac:dyDescent="0.25">
      <c r="AB130" s="8" t="s">
        <v>930</v>
      </c>
      <c r="AC130" s="8">
        <f>COUNTIFS(Başvuru!$D$2:$D$2077, "*" &amp; AB130 &amp; "*")</f>
        <v>0</v>
      </c>
      <c r="AD130" s="8" t="s">
        <v>715</v>
      </c>
      <c r="AE130" s="1">
        <f>COUNTIFS(Başvuru!$C$2:$C$2077, "*" &amp; AD130 &amp; "*")</f>
        <v>0</v>
      </c>
    </row>
    <row r="131" spans="28:31" x14ac:dyDescent="0.25">
      <c r="AB131" s="8" t="s">
        <v>2144</v>
      </c>
      <c r="AC131" s="8">
        <f>COUNTIFS(Başvuru!$D$2:$D$2077, "*" &amp; AB131 &amp; "*")</f>
        <v>0</v>
      </c>
      <c r="AD131" s="8" t="s">
        <v>361</v>
      </c>
      <c r="AE131" s="1">
        <f>COUNTIFS(Başvuru!$C$2:$C$2077, "*" &amp; AD131 &amp; "*")</f>
        <v>0</v>
      </c>
    </row>
    <row r="132" spans="28:31" x14ac:dyDescent="0.25">
      <c r="AB132" s="8" t="s">
        <v>459</v>
      </c>
      <c r="AC132" s="8">
        <f>COUNTIFS(Başvuru!$D$2:$D$2077, "*" &amp; AB132 &amp; "*")</f>
        <v>0</v>
      </c>
      <c r="AD132" s="8" t="s">
        <v>361</v>
      </c>
      <c r="AE132" s="1">
        <f>COUNTIFS(Başvuru!$C$2:$C$2077, "*" &amp; AD132 &amp; "*")</f>
        <v>0</v>
      </c>
    </row>
    <row r="133" spans="28:31" x14ac:dyDescent="0.25">
      <c r="AB133" s="8" t="s">
        <v>1348</v>
      </c>
      <c r="AC133" s="8">
        <f>COUNTIFS(Başvuru!$D$2:$D$2077, "*" &amp; AB133 &amp; "*")</f>
        <v>0</v>
      </c>
      <c r="AD133" s="8" t="s">
        <v>3948</v>
      </c>
      <c r="AE133" s="1">
        <f>COUNTIFS(Başvuru!$C$2:$C$2077, "*" &amp; AD133 &amp; "*")</f>
        <v>0</v>
      </c>
    </row>
    <row r="134" spans="28:31" x14ac:dyDescent="0.25">
      <c r="AB134" s="8" t="s">
        <v>354</v>
      </c>
      <c r="AC134" s="8">
        <f>COUNTIFS(Başvuru!$D$2:$D$2077, "*" &amp; AB134 &amp; "*")</f>
        <v>0</v>
      </c>
      <c r="AD134" s="8" t="s">
        <v>355</v>
      </c>
      <c r="AE134" s="1">
        <f>COUNTIFS(Başvuru!$C$2:$C$2077, "*" &amp; AD134 &amp; "*")</f>
        <v>0</v>
      </c>
    </row>
    <row r="135" spans="28:31" x14ac:dyDescent="0.25">
      <c r="AB135" s="8" t="s">
        <v>1503</v>
      </c>
      <c r="AC135" s="8">
        <f>COUNTIFS(Başvuru!$D$2:$D$2077, "*" &amp; AB135 &amp; "*")</f>
        <v>0</v>
      </c>
      <c r="AD135" s="8" t="s">
        <v>416</v>
      </c>
      <c r="AE135" s="1">
        <f>COUNTIFS(Başvuru!$C$2:$C$2077, "*" &amp; AD135 &amp; "*")</f>
        <v>0</v>
      </c>
    </row>
    <row r="136" spans="28:31" x14ac:dyDescent="0.25">
      <c r="AB136" s="8" t="s">
        <v>4215</v>
      </c>
      <c r="AC136" s="8">
        <f>COUNTIFS(Başvuru!$D$2:$D$2077, "*" &amp; AB136 &amp; "*")</f>
        <v>0</v>
      </c>
      <c r="AD136" s="8" t="s">
        <v>4216</v>
      </c>
      <c r="AE136" s="1">
        <f>COUNTIFS(Başvuru!$C$2:$C$2077, "*" &amp; AD136 &amp; "*")</f>
        <v>0</v>
      </c>
    </row>
    <row r="137" spans="28:31" x14ac:dyDescent="0.25">
      <c r="AB137" s="8" t="s">
        <v>4219</v>
      </c>
      <c r="AC137" s="8">
        <f>COUNTIFS(Başvuru!$D$2:$D$2077, "*" &amp; AB137 &amp; "*")</f>
        <v>0</v>
      </c>
      <c r="AD137" s="8" t="s">
        <v>715</v>
      </c>
      <c r="AE137" s="1">
        <f>COUNTIFS(Başvuru!$C$2:$C$2077, "*" &amp; AD137 &amp; "*")</f>
        <v>0</v>
      </c>
    </row>
    <row r="138" spans="28:31" x14ac:dyDescent="0.25">
      <c r="AB138" s="8" t="s">
        <v>1564</v>
      </c>
      <c r="AC138" s="8">
        <f>COUNTIFS(Başvuru!$D$2:$D$2077, "*" &amp; AB138 &amp; "*")</f>
        <v>0</v>
      </c>
      <c r="AD138" s="8" t="s">
        <v>402</v>
      </c>
      <c r="AE138" s="1">
        <f>COUNTIFS(Başvuru!$C$2:$C$2077, "*" &amp; AD138 &amp; "*")</f>
        <v>0</v>
      </c>
    </row>
    <row r="139" spans="28:31" x14ac:dyDescent="0.25">
      <c r="AB139" s="8" t="s">
        <v>936</v>
      </c>
      <c r="AC139" s="8">
        <f>COUNTIFS(Başvuru!$D$2:$D$2077, "*" &amp; AB139 &amp; "*")</f>
        <v>0</v>
      </c>
      <c r="AD139" s="8" t="s">
        <v>361</v>
      </c>
      <c r="AE139" s="1">
        <f>COUNTIFS(Başvuru!$C$2:$C$2077, "*" &amp; AD139 &amp; "*")</f>
        <v>0</v>
      </c>
    </row>
    <row r="140" spans="28:31" x14ac:dyDescent="0.25">
      <c r="AB140" s="8" t="s">
        <v>637</v>
      </c>
      <c r="AC140" s="8">
        <f>COUNTIFS(Başvuru!$D$2:$D$2077, "*" &amp; AB140 &amp; "*")</f>
        <v>0</v>
      </c>
      <c r="AD140" s="8" t="s">
        <v>361</v>
      </c>
      <c r="AE140" s="1">
        <f>COUNTIFS(Başvuru!$C$2:$C$2077, "*" &amp; AD140 &amp; "*")</f>
        <v>0</v>
      </c>
    </row>
    <row r="141" spans="28:31" x14ac:dyDescent="0.25">
      <c r="AB141" s="8" t="s">
        <v>1602</v>
      </c>
      <c r="AC141" s="8">
        <f>COUNTIFS(Başvuru!$D$2:$D$2077, "*" &amp; AB141 &amp; "*")</f>
        <v>0</v>
      </c>
      <c r="AD141" s="8" t="s">
        <v>402</v>
      </c>
      <c r="AE141" s="1">
        <f>COUNTIFS(Başvuru!$C$2:$C$2077, "*" &amp; AD141 &amp; "*")</f>
        <v>0</v>
      </c>
    </row>
    <row r="142" spans="28:31" x14ac:dyDescent="0.25">
      <c r="AB142" s="8" t="s">
        <v>614</v>
      </c>
      <c r="AC142" s="8">
        <f>COUNTIFS(Başvuru!$D$2:$D$2077, "*" &amp; AB142 &amp; "*")</f>
        <v>0</v>
      </c>
      <c r="AD142" s="8" t="s">
        <v>3948</v>
      </c>
      <c r="AE142" s="1">
        <f>COUNTIFS(Başvuru!$C$2:$C$2077, "*" &amp; AD142 &amp; "*")</f>
        <v>0</v>
      </c>
    </row>
    <row r="143" spans="28:31" x14ac:dyDescent="0.25">
      <c r="AB143" s="8" t="s">
        <v>927</v>
      </c>
      <c r="AC143" s="8">
        <f>COUNTIFS(Başvuru!$D$2:$D$2077, "*" &amp; AB143 &amp; "*")</f>
        <v>0</v>
      </c>
      <c r="AD143" s="8" t="s">
        <v>3943</v>
      </c>
      <c r="AE143" s="1">
        <f>COUNTIFS(Başvuru!$C$2:$C$2077, "*" &amp; AD143 &amp; "*")</f>
        <v>0</v>
      </c>
    </row>
    <row r="144" spans="28:31" x14ac:dyDescent="0.25">
      <c r="AB144" s="8" t="s">
        <v>1937</v>
      </c>
      <c r="AC144" s="8">
        <f>COUNTIFS(Başvuru!$D$2:$D$2077, "*" &amp; AB144 &amp; "*")</f>
        <v>0</v>
      </c>
      <c r="AD144" s="8" t="s">
        <v>402</v>
      </c>
      <c r="AE144" s="1">
        <f>COUNTIFS(Başvuru!$C$2:$C$2077, "*" &amp; AD144 &amp; "*")</f>
        <v>0</v>
      </c>
    </row>
    <row r="145" spans="28:31" x14ac:dyDescent="0.25">
      <c r="AB145" s="8" t="s">
        <v>2933</v>
      </c>
      <c r="AC145" s="8">
        <f>COUNTIFS(Başvuru!$D$2:$D$2077, "*" &amp; AB145 &amp; "*")</f>
        <v>0</v>
      </c>
      <c r="AD145" s="8" t="s">
        <v>3948</v>
      </c>
      <c r="AE145" s="1">
        <f>COUNTIFS(Başvuru!$C$2:$C$2077, "*" &amp; AD145 &amp; "*")</f>
        <v>0</v>
      </c>
    </row>
    <row r="146" spans="28:31" x14ac:dyDescent="0.25">
      <c r="AB146" s="8"/>
      <c r="AC146" s="8">
        <f>COUNTIFS(Başvuru!$D$2:$D$2077, "*" &amp; AB146 &amp; "*")</f>
        <v>190</v>
      </c>
      <c r="AD146" s="8"/>
      <c r="AE146" s="1">
        <f>COUNTIFS(Başvuru!$C$2:$C$2077, "*" &amp; AD146 &amp; "*")</f>
        <v>190</v>
      </c>
    </row>
    <row r="147" spans="28:31" x14ac:dyDescent="0.25">
      <c r="AB147" s="8"/>
      <c r="AC147" s="8">
        <f>COUNTIFS(Başvuru!$D$2:$D$2077, "*" &amp; AB147 &amp; "*")</f>
        <v>190</v>
      </c>
      <c r="AD147" s="8"/>
      <c r="AE147" s="1">
        <f>COUNTIFS(Başvuru!$C$2:$C$2077, "*" &amp; AD147 &amp; "*")</f>
        <v>190</v>
      </c>
    </row>
    <row r="148" spans="28:31" x14ac:dyDescent="0.25">
      <c r="AB148" s="8"/>
      <c r="AC148" s="8">
        <f>COUNTIFS(Başvuru!$D$2:$D$2077, "*" &amp; AB148 &amp; "*")</f>
        <v>190</v>
      </c>
      <c r="AD148" s="8"/>
      <c r="AE148" s="1">
        <f>COUNTIFS(Başvuru!$C$2:$C$2077, "*" &amp; AD148 &amp; "*")</f>
        <v>190</v>
      </c>
    </row>
    <row r="149" spans="28:31" x14ac:dyDescent="0.25">
      <c r="AB149" s="8"/>
      <c r="AC149" s="8">
        <f>COUNTIFS(Başvuru!$D$2:$D$2077, "*" &amp; AB149 &amp; "*")</f>
        <v>190</v>
      </c>
      <c r="AD149" s="8"/>
      <c r="AE149" s="1">
        <f>COUNTIFS(Başvuru!$C$2:$C$2077, "*" &amp; AD149 &amp; "*")</f>
        <v>190</v>
      </c>
    </row>
    <row r="150" spans="28:31" x14ac:dyDescent="0.25">
      <c r="AB150" s="8"/>
      <c r="AC150" s="8">
        <f>COUNTIFS(Başvuru!$D$2:$D$2077, "*" &amp; AB150 &amp; "*")</f>
        <v>190</v>
      </c>
      <c r="AD150" s="8"/>
      <c r="AE150" s="1">
        <f>COUNTIFS(Başvuru!$C$2:$C$2077, "*" &amp; AD150 &amp; "*")</f>
        <v>190</v>
      </c>
    </row>
    <row r="151" spans="28:31" x14ac:dyDescent="0.25">
      <c r="AB151" s="8"/>
      <c r="AC151" s="8">
        <f>COUNTIFS(Başvuru!$D$2:$D$2077, "*" &amp; AB151 &amp; "*")</f>
        <v>190</v>
      </c>
      <c r="AD151" s="8"/>
      <c r="AE151" s="1">
        <f>COUNTIFS(Başvuru!$C$2:$C$2077, "*" &amp; AD151 &amp; "*")</f>
        <v>190</v>
      </c>
    </row>
    <row r="152" spans="28:31" x14ac:dyDescent="0.25">
      <c r="AB152" s="8"/>
      <c r="AC152" s="8">
        <f>COUNTIFS(Başvuru!$D$2:$D$2077, "*" &amp; AB152 &amp; "*")</f>
        <v>190</v>
      </c>
      <c r="AD152" s="8"/>
      <c r="AE152" s="1">
        <f>COUNTIFS(Başvuru!$C$2:$C$2077, "*" &amp; AD152 &amp; "*")</f>
        <v>190</v>
      </c>
    </row>
    <row r="153" spans="28:31" x14ac:dyDescent="0.25">
      <c r="AB153" s="8"/>
      <c r="AC153" s="8">
        <f>COUNTIFS(Başvuru!$D$2:$D$2077, "*" &amp; AB153 &amp; "*")</f>
        <v>190</v>
      </c>
      <c r="AD153" s="8"/>
      <c r="AE153" s="1">
        <f>COUNTIFS(Başvuru!$C$2:$C$2077, "*" &amp; AD153 &amp; "*")</f>
        <v>190</v>
      </c>
    </row>
    <row r="154" spans="28:31" x14ac:dyDescent="0.25">
      <c r="AB154" s="8"/>
      <c r="AC154" s="8">
        <f>COUNTIFS(Başvuru!$D$2:$D$2077, "*" &amp; AB154 &amp; "*")</f>
        <v>190</v>
      </c>
      <c r="AD154" s="8"/>
      <c r="AE154" s="1">
        <f>COUNTIFS(Başvuru!$C$2:$C$2077, "*" &amp; AD154 &amp; "*")</f>
        <v>190</v>
      </c>
    </row>
    <row r="155" spans="28:31" x14ac:dyDescent="0.25">
      <c r="AB155" s="8"/>
      <c r="AC155" s="8">
        <f>COUNTIFS(Başvuru!$D$2:$D$2077, "*" &amp; AB155 &amp; "*")</f>
        <v>190</v>
      </c>
      <c r="AD155" s="8"/>
      <c r="AE155" s="1">
        <f>COUNTIFS(Başvuru!$C$2:$C$2077, "*" &amp; AD155 &amp; "*")</f>
        <v>190</v>
      </c>
    </row>
    <row r="156" spans="28:31" x14ac:dyDescent="0.25">
      <c r="AB156" s="8"/>
      <c r="AC156" s="8">
        <f>COUNTIFS(Başvuru!$D$2:$D$2077, "*" &amp; AB156 &amp; "*")</f>
        <v>190</v>
      </c>
      <c r="AD156" s="8"/>
      <c r="AE156" s="1">
        <f>COUNTIFS(Başvuru!$C$2:$C$2077, "*" &amp; AD156 &amp; "*")</f>
        <v>190</v>
      </c>
    </row>
    <row r="157" spans="28:31" x14ac:dyDescent="0.25">
      <c r="AB157" s="8"/>
      <c r="AC157" s="8">
        <f>COUNTIFS(Başvuru!$D$2:$D$2077, "*" &amp; AB157 &amp; "*")</f>
        <v>190</v>
      </c>
      <c r="AD157" s="8"/>
      <c r="AE157" s="1">
        <f>COUNTIFS(Başvuru!$C$2:$C$2077, "*" &amp; AD157 &amp; "*")</f>
        <v>190</v>
      </c>
    </row>
    <row r="158" spans="28:31" x14ac:dyDescent="0.25">
      <c r="AB158" s="8"/>
      <c r="AC158" s="8">
        <f>COUNTIFS(Başvuru!$D$2:$D$2077, "*" &amp; AB158 &amp; "*")</f>
        <v>190</v>
      </c>
      <c r="AD158" s="8"/>
      <c r="AE158" s="1">
        <f>COUNTIFS(Başvuru!$C$2:$C$2077, "*" &amp; AD158 &amp; "*")</f>
        <v>190</v>
      </c>
    </row>
    <row r="159" spans="28:31" x14ac:dyDescent="0.25">
      <c r="AB159" s="8"/>
      <c r="AC159" s="8">
        <f>COUNTIFS(Başvuru!$D$2:$D$2077, "*" &amp; AB159 &amp; "*")</f>
        <v>190</v>
      </c>
      <c r="AD159" s="8"/>
      <c r="AE159" s="1">
        <f>COUNTIFS(Başvuru!$C$2:$C$2077, "*" &amp; AD159 &amp; "*")</f>
        <v>190</v>
      </c>
    </row>
    <row r="160" spans="28:31" x14ac:dyDescent="0.25">
      <c r="AB160" s="8"/>
      <c r="AC160" s="8">
        <f>COUNTIFS(Başvuru!$D$2:$D$2077, "*" &amp; AB160 &amp; "*")</f>
        <v>190</v>
      </c>
      <c r="AD160" s="8"/>
      <c r="AE160" s="1">
        <f>COUNTIFS(Başvuru!$C$2:$C$2077, "*" &amp; AD160 &amp; "*")</f>
        <v>190</v>
      </c>
    </row>
    <row r="161" spans="28:31" x14ac:dyDescent="0.25">
      <c r="AB161" s="8"/>
      <c r="AC161" s="8">
        <f>COUNTIFS(Başvuru!$D$2:$D$2077, "*" &amp; AB161 &amp; "*")</f>
        <v>190</v>
      </c>
      <c r="AD161" s="8"/>
      <c r="AE161" s="1">
        <f>COUNTIFS(Başvuru!$C$2:$C$2077, "*" &amp; AD161 &amp; "*")</f>
        <v>190</v>
      </c>
    </row>
    <row r="162" spans="28:31" x14ac:dyDescent="0.25">
      <c r="AB162" s="8"/>
      <c r="AC162" s="8">
        <f>COUNTIFS(Başvuru!$D$2:$D$2077, "*" &amp; AB162 &amp; "*")</f>
        <v>190</v>
      </c>
      <c r="AD162" s="8"/>
      <c r="AE162" s="1">
        <f>COUNTIFS(Başvuru!$C$2:$C$2077, "*" &amp; AD162 &amp; "*")</f>
        <v>190</v>
      </c>
    </row>
    <row r="163" spans="28:31" x14ac:dyDescent="0.25">
      <c r="AB163" s="8"/>
      <c r="AC163" s="8">
        <f>COUNTIFS(Başvuru!$D$2:$D$2077, "*" &amp; AB163 &amp; "*")</f>
        <v>190</v>
      </c>
      <c r="AD163" s="8"/>
      <c r="AE163" s="1">
        <f>COUNTIFS(Başvuru!$C$2:$C$2077, "*" &amp; AD163 &amp; "*")</f>
        <v>190</v>
      </c>
    </row>
    <row r="164" spans="28:31" x14ac:dyDescent="0.25">
      <c r="AB164" s="8"/>
      <c r="AC164" s="8">
        <f>COUNTIFS(Başvuru!$D$2:$D$2077, "*" &amp; AB164 &amp; "*")</f>
        <v>190</v>
      </c>
      <c r="AD164" s="8"/>
      <c r="AE164" s="1">
        <f>COUNTIFS(Başvuru!$C$2:$C$2077, "*" &amp; AD164 &amp; "*")</f>
        <v>190</v>
      </c>
    </row>
    <row r="165" spans="28:31" x14ac:dyDescent="0.25">
      <c r="AB165" s="8"/>
      <c r="AC165" s="8">
        <f>COUNTIFS(Başvuru!$D$2:$D$2077, "*" &amp; AB165 &amp; "*")</f>
        <v>190</v>
      </c>
      <c r="AD165" s="8"/>
      <c r="AE165" s="1">
        <f>COUNTIFS(Başvuru!$C$2:$C$2077, "*" &amp; AD165 &amp; "*")</f>
        <v>190</v>
      </c>
    </row>
    <row r="166" spans="28:31" x14ac:dyDescent="0.25">
      <c r="AB166" s="8"/>
      <c r="AC166" s="8">
        <f>COUNTIFS(Başvuru!$D$2:$D$2077, "*" &amp; AB166 &amp; "*")</f>
        <v>190</v>
      </c>
      <c r="AD166" s="8"/>
      <c r="AE166" s="1">
        <f>COUNTIFS(Başvuru!$C$2:$C$2077, "*" &amp; AD166 &amp; "*")</f>
        <v>190</v>
      </c>
    </row>
    <row r="167" spans="28:31" x14ac:dyDescent="0.25">
      <c r="AB167" s="8"/>
      <c r="AC167" s="8">
        <f>COUNTIFS(Başvuru!$D$2:$D$2077, "*" &amp; AB167 &amp; "*")</f>
        <v>190</v>
      </c>
      <c r="AD167" s="8"/>
      <c r="AE167" s="1">
        <f>COUNTIFS(Başvuru!$C$2:$C$2077, "*" &amp; AD167 &amp; "*")</f>
        <v>190</v>
      </c>
    </row>
    <row r="168" spans="28:31" x14ac:dyDescent="0.25">
      <c r="AB168" s="8"/>
      <c r="AC168" s="8">
        <f>COUNTIFS(Başvuru!$D$2:$D$2077, "*" &amp; AB168 &amp; "*")</f>
        <v>190</v>
      </c>
      <c r="AD168" s="8"/>
      <c r="AE168" s="1">
        <f>COUNTIFS(Başvuru!$C$2:$C$2077, "*" &amp; AD168 &amp; "*")</f>
        <v>190</v>
      </c>
    </row>
    <row r="169" spans="28:31" x14ac:dyDescent="0.25">
      <c r="AB169" s="8"/>
      <c r="AC169" s="8">
        <f>COUNTIFS(Başvuru!$D$2:$D$2077, "*" &amp; AB169 &amp; "*")</f>
        <v>190</v>
      </c>
      <c r="AD169" s="8"/>
      <c r="AE169" s="1">
        <f>COUNTIFS(Başvuru!$C$2:$C$2077, "*" &amp; AD169 &amp; "*")</f>
        <v>190</v>
      </c>
    </row>
    <row r="170" spans="28:31" x14ac:dyDescent="0.25">
      <c r="AB170" s="8"/>
      <c r="AC170" s="8">
        <f>COUNTIFS(Başvuru!$D$2:$D$2077, "*" &amp; AB170 &amp; "*")</f>
        <v>190</v>
      </c>
      <c r="AD170" s="8"/>
      <c r="AE170" s="1">
        <f>COUNTIFS(Başvuru!$C$2:$C$2077, "*" &amp; AD170 &amp; "*")</f>
        <v>190</v>
      </c>
    </row>
    <row r="171" spans="28:31" x14ac:dyDescent="0.25">
      <c r="AB171" s="8"/>
      <c r="AC171" s="8">
        <f>COUNTIFS(Başvuru!$D$2:$D$2077, "*" &amp; AB171 &amp; "*")</f>
        <v>190</v>
      </c>
      <c r="AD171" s="8"/>
      <c r="AE171" s="1">
        <f>COUNTIFS(Başvuru!$C$2:$C$2077, "*" &amp; AD171 &amp; "*")</f>
        <v>190</v>
      </c>
    </row>
    <row r="172" spans="28:31" x14ac:dyDescent="0.25">
      <c r="AB172" s="8"/>
      <c r="AC172" s="8">
        <f>COUNTIFS(Başvuru!$D$2:$D$2077, "*" &amp; AB172 &amp; "*")</f>
        <v>190</v>
      </c>
      <c r="AD172" s="8"/>
      <c r="AE172" s="1">
        <f>COUNTIFS(Başvuru!$C$2:$C$2077, "*" &amp; AD172 &amp; "*")</f>
        <v>190</v>
      </c>
    </row>
    <row r="173" spans="28:31" x14ac:dyDescent="0.25">
      <c r="AB173" s="8"/>
      <c r="AC173" s="8">
        <f>COUNTIFS(Başvuru!$D$2:$D$2077, "*" &amp; AB173 &amp; "*")</f>
        <v>190</v>
      </c>
      <c r="AD173" s="8"/>
      <c r="AE173" s="1">
        <f>COUNTIFS(Başvuru!$C$2:$C$2077, "*" &amp; AD173 &amp; "*")</f>
        <v>190</v>
      </c>
    </row>
    <row r="174" spans="28:31" x14ac:dyDescent="0.25">
      <c r="AC174" s="8">
        <f>COUNTIFS(Başvuru!$D$2:$D$2077, "*" &amp; AB174 &amp; "*")</f>
        <v>190</v>
      </c>
      <c r="AE174" s="1">
        <f>COUNTIFS(Başvuru!$C$2:$C$2077, "*" &amp; AD174 &amp; "*")</f>
        <v>190</v>
      </c>
    </row>
    <row r="175" spans="28:31" x14ac:dyDescent="0.25">
      <c r="AC175" s="8">
        <f>COUNTIFS(Başvuru!$D$2:$D$2077, "*" &amp; AB175 &amp; "*")</f>
        <v>190</v>
      </c>
      <c r="AE175" s="1">
        <f>COUNTIFS(Başvuru!$C$2:$C$2077, "*" &amp; AD175 &amp; "*")</f>
        <v>190</v>
      </c>
    </row>
    <row r="176" spans="28:31" x14ac:dyDescent="0.25">
      <c r="AC176" s="8">
        <f>COUNTIF(Başvuru!$D$2:$D$2077, AB176)</f>
        <v>0</v>
      </c>
      <c r="AE176" s="1">
        <f>COUNTIFS(Başvuru!$C$2:$C$2077, "*" &amp; AD176 &amp; "*")</f>
        <v>190</v>
      </c>
    </row>
    <row r="177" spans="29:31" x14ac:dyDescent="0.25">
      <c r="AC177" s="8">
        <f>COUNTIF(Başvuru!$D$2:$D$2077, AB177)</f>
        <v>0</v>
      </c>
      <c r="AE177" s="1">
        <f>COUNTIFS(Başvuru!$C$2:$C$2077, "*" &amp; AD177 &amp; "*")</f>
        <v>190</v>
      </c>
    </row>
    <row r="178" spans="29:31" x14ac:dyDescent="0.25">
      <c r="AC178" s="8">
        <f>COUNTIF(Başvuru!$D$2:$D$2077, AB178)</f>
        <v>0</v>
      </c>
      <c r="AE178" s="1">
        <f>COUNTIFS(Başvuru!$C$2:$C$2077, "*" &amp; AD178 &amp; "*")</f>
        <v>190</v>
      </c>
    </row>
    <row r="179" spans="29:31" x14ac:dyDescent="0.25">
      <c r="AC179" s="8">
        <f>COUNTIF(Başvuru!$D$2:$D$2077, AB179)</f>
        <v>0</v>
      </c>
      <c r="AE179" s="1">
        <f>COUNTIFS(Başvuru!$C$2:$C$2077, "*" &amp; AD179 &amp; "*")</f>
        <v>190</v>
      </c>
    </row>
    <row r="180" spans="29:31" x14ac:dyDescent="0.25">
      <c r="AC180" s="8">
        <f>COUNTIF(Başvuru!$D$2:$D$2077, AB180)</f>
        <v>0</v>
      </c>
      <c r="AE180" s="1">
        <f>COUNTIFS(Başvuru!$C$2:$C$2077, "*" &amp; AD180 &amp; "*")</f>
        <v>190</v>
      </c>
    </row>
    <row r="181" spans="29:31" x14ac:dyDescent="0.25">
      <c r="AC181" s="8">
        <f>COUNTIF(Başvuru!$D$2:$D$2077, AB181)</f>
        <v>0</v>
      </c>
      <c r="AE181" s="1">
        <f>COUNTIFS(Başvuru!$C$2:$C$2077, "*" &amp; AD181 &amp; "*")</f>
        <v>190</v>
      </c>
    </row>
  </sheetData>
  <mergeCells count="1">
    <mergeCell ref="C1:D1"/>
  </mergeCells>
  <conditionalFormatting sqref="AB1:AD1 AB2:AB173 AD2:AD173 AC2:AC181">
    <cfRule type="expression" dxfId="3" priority="1">
      <formula>ISEVEN(ROW())</formula>
    </cfRule>
  </conditionalFormatting>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6FE36-CBD4-42D9-91F9-D6A019D041A9}">
  <sheetPr>
    <tabColor rgb="FF00B050"/>
  </sheetPr>
  <dimension ref="A3:E140"/>
  <sheetViews>
    <sheetView workbookViewId="0">
      <selection activeCell="B3" sqref="B3"/>
      <pivotSelection pane="bottomRight" showHeader="1" extendable="1" activeRow="2" activeCol="1" previousRow="2" previousCol="1" click="1" r:id="rId1">
        <pivotArea dataOnly="0" outline="0" axis="axisValues" fieldPosition="0"/>
      </pivotSelection>
    </sheetView>
  </sheetViews>
  <sheetFormatPr defaultRowHeight="15" x14ac:dyDescent="0.25"/>
  <cols>
    <col min="1" max="1" width="100.85546875" bestFit="1" customWidth="1"/>
    <col min="2" max="2" width="10.28515625" bestFit="1" customWidth="1"/>
    <col min="4" max="4" width="40.28515625" bestFit="1" customWidth="1"/>
    <col min="5" max="5" width="16.140625" bestFit="1" customWidth="1"/>
  </cols>
  <sheetData>
    <row r="3" spans="1:5" x14ac:dyDescent="0.25">
      <c r="A3" s="155" t="s">
        <v>4253</v>
      </c>
      <c r="B3" t="s">
        <v>4256</v>
      </c>
      <c r="D3" s="155" t="s">
        <v>4253</v>
      </c>
      <c r="E3" t="s">
        <v>4257</v>
      </c>
    </row>
    <row r="4" spans="1:5" x14ac:dyDescent="0.25">
      <c r="A4" s="108" t="s">
        <v>361</v>
      </c>
      <c r="B4" s="189">
        <v>27</v>
      </c>
      <c r="D4" s="108" t="s">
        <v>360</v>
      </c>
      <c r="E4" s="189">
        <v>6</v>
      </c>
    </row>
    <row r="5" spans="1:5" x14ac:dyDescent="0.25">
      <c r="A5" s="108" t="s">
        <v>402</v>
      </c>
      <c r="B5" s="189">
        <v>23</v>
      </c>
      <c r="D5" s="108" t="s">
        <v>569</v>
      </c>
      <c r="E5" s="189">
        <v>5</v>
      </c>
    </row>
    <row r="6" spans="1:5" x14ac:dyDescent="0.25">
      <c r="A6" s="108" t="s">
        <v>405</v>
      </c>
      <c r="B6" s="189">
        <v>9</v>
      </c>
      <c r="D6" s="108" t="s">
        <v>404</v>
      </c>
      <c r="E6" s="189">
        <v>4</v>
      </c>
    </row>
    <row r="7" spans="1:5" x14ac:dyDescent="0.25">
      <c r="A7" s="108" t="s">
        <v>3948</v>
      </c>
      <c r="B7" s="189">
        <v>9</v>
      </c>
      <c r="D7" s="108" t="s">
        <v>4186</v>
      </c>
      <c r="E7" s="189">
        <v>4</v>
      </c>
    </row>
    <row r="8" spans="1:5" x14ac:dyDescent="0.25">
      <c r="A8" s="108" t="s">
        <v>383</v>
      </c>
      <c r="B8" s="189">
        <v>9</v>
      </c>
      <c r="D8" s="108" t="s">
        <v>382</v>
      </c>
      <c r="E8" s="189">
        <v>4</v>
      </c>
    </row>
    <row r="9" spans="1:5" x14ac:dyDescent="0.25">
      <c r="A9" s="108" t="s">
        <v>392</v>
      </c>
      <c r="B9" s="189">
        <v>6</v>
      </c>
      <c r="D9" s="108" t="s">
        <v>2933</v>
      </c>
      <c r="E9" s="189">
        <v>4</v>
      </c>
    </row>
    <row r="10" spans="1:5" x14ac:dyDescent="0.25">
      <c r="A10" s="108" t="s">
        <v>715</v>
      </c>
      <c r="B10" s="189">
        <v>6</v>
      </c>
      <c r="D10" s="108" t="s">
        <v>390</v>
      </c>
      <c r="E10" s="189">
        <v>4</v>
      </c>
    </row>
    <row r="11" spans="1:5" x14ac:dyDescent="0.25">
      <c r="A11" s="108" t="s">
        <v>3896</v>
      </c>
      <c r="B11" s="189">
        <v>5</v>
      </c>
      <c r="D11" s="108" t="s">
        <v>354</v>
      </c>
      <c r="E11" s="189">
        <v>3</v>
      </c>
    </row>
    <row r="12" spans="1:5" x14ac:dyDescent="0.25">
      <c r="A12" s="108" t="s">
        <v>407</v>
      </c>
      <c r="B12" s="189">
        <v>5</v>
      </c>
      <c r="D12" s="108" t="s">
        <v>3991</v>
      </c>
      <c r="E12" s="189">
        <v>3</v>
      </c>
    </row>
    <row r="13" spans="1:5" x14ac:dyDescent="0.25">
      <c r="A13" s="108" t="s">
        <v>3946</v>
      </c>
      <c r="B13" s="189">
        <v>5</v>
      </c>
      <c r="D13" s="108" t="s">
        <v>492</v>
      </c>
      <c r="E13" s="189">
        <v>3</v>
      </c>
    </row>
    <row r="14" spans="1:5" x14ac:dyDescent="0.25">
      <c r="A14" s="108" t="s">
        <v>355</v>
      </c>
      <c r="B14" s="189">
        <v>5</v>
      </c>
      <c r="D14" s="108" t="s">
        <v>817</v>
      </c>
      <c r="E14" s="189">
        <v>3</v>
      </c>
    </row>
    <row r="15" spans="1:5" x14ac:dyDescent="0.25">
      <c r="A15" s="108" t="s">
        <v>1162</v>
      </c>
      <c r="B15" s="189">
        <v>5</v>
      </c>
      <c r="D15" s="108" t="s">
        <v>3868</v>
      </c>
      <c r="E15" s="189">
        <v>3</v>
      </c>
    </row>
    <row r="16" spans="1:5" x14ac:dyDescent="0.25">
      <c r="A16" s="108" t="s">
        <v>370</v>
      </c>
      <c r="B16" s="189">
        <v>4</v>
      </c>
      <c r="D16" s="108" t="s">
        <v>840</v>
      </c>
      <c r="E16" s="189">
        <v>3</v>
      </c>
    </row>
    <row r="17" spans="1:5" x14ac:dyDescent="0.25">
      <c r="A17" s="108" t="s">
        <v>426</v>
      </c>
      <c r="B17" s="189">
        <v>4</v>
      </c>
      <c r="D17" s="108" t="s">
        <v>580</v>
      </c>
      <c r="E17" s="189">
        <v>3</v>
      </c>
    </row>
    <row r="18" spans="1:5" x14ac:dyDescent="0.25">
      <c r="A18" s="108" t="s">
        <v>416</v>
      </c>
      <c r="B18" s="189">
        <v>4</v>
      </c>
      <c r="D18" s="108" t="s">
        <v>927</v>
      </c>
      <c r="E18" s="189">
        <v>2</v>
      </c>
    </row>
    <row r="19" spans="1:5" x14ac:dyDescent="0.25">
      <c r="A19" s="108" t="s">
        <v>3952</v>
      </c>
      <c r="B19" s="189">
        <v>4</v>
      </c>
      <c r="D19" s="108" t="s">
        <v>525</v>
      </c>
      <c r="E19" s="189">
        <v>2</v>
      </c>
    </row>
    <row r="20" spans="1:5" x14ac:dyDescent="0.25">
      <c r="A20" s="108" t="s">
        <v>387</v>
      </c>
      <c r="B20" s="189">
        <v>3</v>
      </c>
      <c r="D20" s="108" t="s">
        <v>637</v>
      </c>
      <c r="E20" s="189">
        <v>2</v>
      </c>
    </row>
    <row r="21" spans="1:5" x14ac:dyDescent="0.25">
      <c r="A21" s="108" t="s">
        <v>4055</v>
      </c>
      <c r="B21" s="189">
        <v>3</v>
      </c>
      <c r="D21" s="108" t="s">
        <v>1253</v>
      </c>
      <c r="E21" s="189">
        <v>2</v>
      </c>
    </row>
    <row r="22" spans="1:5" x14ac:dyDescent="0.25">
      <c r="A22" s="108" t="s">
        <v>3964</v>
      </c>
      <c r="B22" s="189">
        <v>3</v>
      </c>
      <c r="D22" s="108" t="s">
        <v>2144</v>
      </c>
      <c r="E22" s="189">
        <v>2</v>
      </c>
    </row>
    <row r="23" spans="1:5" x14ac:dyDescent="0.25">
      <c r="A23" s="108" t="s">
        <v>381</v>
      </c>
      <c r="B23" s="189">
        <v>3</v>
      </c>
      <c r="D23" s="108" t="s">
        <v>409</v>
      </c>
      <c r="E23" s="189">
        <v>2</v>
      </c>
    </row>
    <row r="24" spans="1:5" x14ac:dyDescent="0.25">
      <c r="A24" s="108" t="s">
        <v>391</v>
      </c>
      <c r="B24" s="189">
        <v>3</v>
      </c>
      <c r="D24" s="108" t="s">
        <v>88</v>
      </c>
      <c r="E24" s="189">
        <v>2</v>
      </c>
    </row>
    <row r="25" spans="1:5" x14ac:dyDescent="0.25">
      <c r="A25" s="108" t="s">
        <v>4021</v>
      </c>
      <c r="B25" s="189">
        <v>3</v>
      </c>
      <c r="D25" s="108" t="s">
        <v>1087</v>
      </c>
      <c r="E25" s="189">
        <v>2</v>
      </c>
    </row>
    <row r="26" spans="1:5" x14ac:dyDescent="0.25">
      <c r="A26" s="108" t="s">
        <v>3943</v>
      </c>
      <c r="B26" s="189">
        <v>3</v>
      </c>
      <c r="D26" s="108" t="s">
        <v>634</v>
      </c>
      <c r="E26" s="189">
        <v>2</v>
      </c>
    </row>
    <row r="27" spans="1:5" x14ac:dyDescent="0.25">
      <c r="A27" s="108" t="s">
        <v>394</v>
      </c>
      <c r="B27" s="189">
        <v>2</v>
      </c>
      <c r="D27" s="108" t="s">
        <v>1886</v>
      </c>
      <c r="E27" s="189">
        <v>2</v>
      </c>
    </row>
    <row r="28" spans="1:5" x14ac:dyDescent="0.25">
      <c r="A28" s="108" t="s">
        <v>365</v>
      </c>
      <c r="B28" s="189">
        <v>2</v>
      </c>
      <c r="D28" s="108" t="s">
        <v>1284</v>
      </c>
      <c r="E28" s="189">
        <v>2</v>
      </c>
    </row>
    <row r="29" spans="1:5" x14ac:dyDescent="0.25">
      <c r="A29" s="108" t="s">
        <v>3995</v>
      </c>
      <c r="B29" s="189">
        <v>2</v>
      </c>
      <c r="D29" s="108" t="s">
        <v>535</v>
      </c>
      <c r="E29" s="189">
        <v>2</v>
      </c>
    </row>
    <row r="30" spans="1:5" x14ac:dyDescent="0.25">
      <c r="A30" s="108" t="s">
        <v>376</v>
      </c>
      <c r="B30" s="189">
        <v>2</v>
      </c>
      <c r="D30" s="108" t="s">
        <v>393</v>
      </c>
      <c r="E30" s="189">
        <v>2</v>
      </c>
    </row>
    <row r="31" spans="1:5" x14ac:dyDescent="0.25">
      <c r="A31" s="108" t="s">
        <v>399</v>
      </c>
      <c r="B31" s="189">
        <v>2</v>
      </c>
      <c r="D31" s="108" t="s">
        <v>380</v>
      </c>
      <c r="E31" s="189">
        <v>2</v>
      </c>
    </row>
    <row r="32" spans="1:5" x14ac:dyDescent="0.25">
      <c r="A32" s="108" t="s">
        <v>4179</v>
      </c>
      <c r="B32" s="189">
        <v>2</v>
      </c>
      <c r="D32" s="108" t="s">
        <v>2725</v>
      </c>
      <c r="E32" s="189">
        <v>2</v>
      </c>
    </row>
    <row r="33" spans="1:5" x14ac:dyDescent="0.25">
      <c r="A33" s="108" t="s">
        <v>837</v>
      </c>
      <c r="B33" s="189">
        <v>2</v>
      </c>
      <c r="D33" s="108" t="s">
        <v>1161</v>
      </c>
      <c r="E33" s="189">
        <v>2</v>
      </c>
    </row>
    <row r="34" spans="1:5" x14ac:dyDescent="0.25">
      <c r="A34" s="108" t="s">
        <v>3887</v>
      </c>
      <c r="B34" s="189">
        <v>2</v>
      </c>
      <c r="D34" s="108" t="s">
        <v>1503</v>
      </c>
      <c r="E34" s="189">
        <v>2</v>
      </c>
    </row>
    <row r="35" spans="1:5" x14ac:dyDescent="0.25">
      <c r="A35" s="108" t="s">
        <v>4162</v>
      </c>
      <c r="B35" s="189">
        <v>2</v>
      </c>
      <c r="D35" s="108" t="s">
        <v>1246</v>
      </c>
      <c r="E35" s="189">
        <v>1</v>
      </c>
    </row>
    <row r="36" spans="1:5" x14ac:dyDescent="0.25">
      <c r="A36" s="108" t="s">
        <v>3957</v>
      </c>
      <c r="B36" s="189">
        <v>2</v>
      </c>
      <c r="D36" s="108" t="s">
        <v>435</v>
      </c>
      <c r="E36" s="189">
        <v>1</v>
      </c>
    </row>
    <row r="37" spans="1:5" x14ac:dyDescent="0.25">
      <c r="A37" s="108" t="s">
        <v>1514</v>
      </c>
      <c r="B37" s="189">
        <v>2</v>
      </c>
      <c r="D37" s="108" t="s">
        <v>91</v>
      </c>
      <c r="E37" s="189">
        <v>1</v>
      </c>
    </row>
    <row r="38" spans="1:5" x14ac:dyDescent="0.25">
      <c r="A38" s="108" t="s">
        <v>4360</v>
      </c>
      <c r="B38" s="189">
        <v>1</v>
      </c>
      <c r="D38" s="108" t="s">
        <v>364</v>
      </c>
      <c r="E38" s="189">
        <v>1</v>
      </c>
    </row>
    <row r="39" spans="1:5" x14ac:dyDescent="0.25">
      <c r="A39" s="108" t="s">
        <v>378</v>
      </c>
      <c r="B39" s="189">
        <v>1</v>
      </c>
      <c r="D39" s="108" t="s">
        <v>1937</v>
      </c>
      <c r="E39" s="189">
        <v>1</v>
      </c>
    </row>
    <row r="40" spans="1:5" x14ac:dyDescent="0.25">
      <c r="A40" s="108" t="s">
        <v>4174</v>
      </c>
      <c r="B40" s="189">
        <v>1</v>
      </c>
      <c r="D40" s="108" t="s">
        <v>4215</v>
      </c>
      <c r="E40" s="189">
        <v>1</v>
      </c>
    </row>
    <row r="41" spans="1:5" x14ac:dyDescent="0.25">
      <c r="A41" s="108" t="s">
        <v>3984</v>
      </c>
      <c r="B41" s="189">
        <v>1</v>
      </c>
      <c r="D41" s="108" t="s">
        <v>518</v>
      </c>
      <c r="E41" s="189">
        <v>1</v>
      </c>
    </row>
    <row r="42" spans="1:5" x14ac:dyDescent="0.25">
      <c r="A42" s="108" t="s">
        <v>4261</v>
      </c>
      <c r="B42" s="189">
        <v>1</v>
      </c>
      <c r="D42" s="108" t="s">
        <v>4199</v>
      </c>
      <c r="E42" s="189">
        <v>1</v>
      </c>
    </row>
    <row r="43" spans="1:5" x14ac:dyDescent="0.25">
      <c r="A43" s="108" t="s">
        <v>4216</v>
      </c>
      <c r="B43" s="189">
        <v>1</v>
      </c>
      <c r="D43" s="108" t="s">
        <v>1735</v>
      </c>
      <c r="E43" s="189">
        <v>1</v>
      </c>
    </row>
    <row r="44" spans="1:5" x14ac:dyDescent="0.25">
      <c r="A44" s="108" t="s">
        <v>353</v>
      </c>
      <c r="B44" s="189">
        <v>1</v>
      </c>
      <c r="D44" s="108" t="s">
        <v>906</v>
      </c>
      <c r="E44" s="189">
        <v>1</v>
      </c>
    </row>
    <row r="45" spans="1:5" x14ac:dyDescent="0.25">
      <c r="A45" s="108" t="s">
        <v>3891</v>
      </c>
      <c r="B45" s="189">
        <v>1</v>
      </c>
      <c r="D45" s="108" t="s">
        <v>397</v>
      </c>
      <c r="E45" s="189">
        <v>1</v>
      </c>
    </row>
    <row r="46" spans="1:5" x14ac:dyDescent="0.25">
      <c r="A46" s="108" t="s">
        <v>372</v>
      </c>
      <c r="B46" s="189">
        <v>1</v>
      </c>
      <c r="D46" s="108" t="s">
        <v>4136</v>
      </c>
      <c r="E46" s="189">
        <v>1</v>
      </c>
    </row>
    <row r="47" spans="1:5" x14ac:dyDescent="0.25">
      <c r="A47" s="108" t="s">
        <v>351</v>
      </c>
      <c r="B47" s="189">
        <v>1</v>
      </c>
      <c r="D47" s="108" t="s">
        <v>3886</v>
      </c>
      <c r="E47" s="189">
        <v>1</v>
      </c>
    </row>
    <row r="48" spans="1:5" x14ac:dyDescent="0.25">
      <c r="A48" s="108" t="s">
        <v>357</v>
      </c>
      <c r="B48" s="189">
        <v>1</v>
      </c>
      <c r="D48" s="108" t="s">
        <v>614</v>
      </c>
      <c r="E48" s="189">
        <v>1</v>
      </c>
    </row>
    <row r="49" spans="1:5" x14ac:dyDescent="0.25">
      <c r="A49" s="108" t="s">
        <v>4005</v>
      </c>
      <c r="B49" s="189">
        <v>1</v>
      </c>
      <c r="D49" s="108" t="s">
        <v>3585</v>
      </c>
      <c r="E49" s="189">
        <v>1</v>
      </c>
    </row>
    <row r="50" spans="1:5" x14ac:dyDescent="0.25">
      <c r="A50" s="108" t="s">
        <v>4328</v>
      </c>
      <c r="B50" s="189">
        <v>1</v>
      </c>
      <c r="D50" s="108" t="s">
        <v>4219</v>
      </c>
      <c r="E50" s="189">
        <v>1</v>
      </c>
    </row>
    <row r="51" spans="1:5" x14ac:dyDescent="0.25">
      <c r="A51" s="108" t="s">
        <v>359</v>
      </c>
      <c r="B51" s="189">
        <v>1</v>
      </c>
      <c r="D51" s="108" t="s">
        <v>4004</v>
      </c>
      <c r="E51" s="189">
        <v>1</v>
      </c>
    </row>
    <row r="52" spans="1:5" x14ac:dyDescent="0.25">
      <c r="A52" s="108" t="s">
        <v>4375</v>
      </c>
      <c r="B52" s="189">
        <v>1</v>
      </c>
      <c r="D52" s="108" t="s">
        <v>84</v>
      </c>
      <c r="E52" s="189">
        <v>1</v>
      </c>
    </row>
    <row r="53" spans="1:5" x14ac:dyDescent="0.25">
      <c r="A53" s="108" t="s">
        <v>3992</v>
      </c>
      <c r="B53" s="189">
        <v>1</v>
      </c>
      <c r="D53" s="108" t="s">
        <v>4279</v>
      </c>
      <c r="E53" s="189">
        <v>1</v>
      </c>
    </row>
    <row r="54" spans="1:5" x14ac:dyDescent="0.25">
      <c r="A54" s="108" t="s">
        <v>4194</v>
      </c>
      <c r="B54" s="189">
        <v>1</v>
      </c>
      <c r="D54" s="108" t="s">
        <v>3712</v>
      </c>
      <c r="E54" s="189">
        <v>1</v>
      </c>
    </row>
    <row r="55" spans="1:5" x14ac:dyDescent="0.25">
      <c r="A55" s="108" t="s">
        <v>4254</v>
      </c>
      <c r="B55" s="189"/>
      <c r="D55" s="108" t="s">
        <v>631</v>
      </c>
      <c r="E55" s="189">
        <v>1</v>
      </c>
    </row>
    <row r="56" spans="1:5" x14ac:dyDescent="0.25">
      <c r="A56" s="108" t="s">
        <v>4255</v>
      </c>
      <c r="B56" s="189">
        <v>190</v>
      </c>
      <c r="D56" s="108" t="s">
        <v>1059</v>
      </c>
      <c r="E56" s="189">
        <v>1</v>
      </c>
    </row>
    <row r="57" spans="1:5" x14ac:dyDescent="0.25">
      <c r="D57" s="108" t="s">
        <v>413</v>
      </c>
      <c r="E57" s="189">
        <v>1</v>
      </c>
    </row>
    <row r="58" spans="1:5" x14ac:dyDescent="0.25">
      <c r="D58" s="108" t="s">
        <v>2530</v>
      </c>
      <c r="E58" s="189">
        <v>1</v>
      </c>
    </row>
    <row r="59" spans="1:5" x14ac:dyDescent="0.25">
      <c r="D59" s="108" t="s">
        <v>2092</v>
      </c>
      <c r="E59" s="189">
        <v>1</v>
      </c>
    </row>
    <row r="60" spans="1:5" x14ac:dyDescent="0.25">
      <c r="D60" s="108" t="s">
        <v>415</v>
      </c>
      <c r="E60" s="189">
        <v>1</v>
      </c>
    </row>
    <row r="61" spans="1:5" x14ac:dyDescent="0.25">
      <c r="D61" s="108" t="s">
        <v>1038</v>
      </c>
      <c r="E61" s="189">
        <v>1</v>
      </c>
    </row>
    <row r="62" spans="1:5" x14ac:dyDescent="0.25">
      <c r="D62" s="108" t="s">
        <v>2563</v>
      </c>
      <c r="E62" s="189">
        <v>1</v>
      </c>
    </row>
    <row r="63" spans="1:5" x14ac:dyDescent="0.25">
      <c r="D63" s="108" t="s">
        <v>3978</v>
      </c>
      <c r="E63" s="189">
        <v>1</v>
      </c>
    </row>
    <row r="64" spans="1:5" x14ac:dyDescent="0.25">
      <c r="D64" s="108" t="s">
        <v>4153</v>
      </c>
      <c r="E64" s="189">
        <v>1</v>
      </c>
    </row>
    <row r="65" spans="4:5" x14ac:dyDescent="0.25">
      <c r="D65" s="108" t="s">
        <v>692</v>
      </c>
      <c r="E65" s="189">
        <v>1</v>
      </c>
    </row>
    <row r="66" spans="4:5" x14ac:dyDescent="0.25">
      <c r="D66" s="108" t="s">
        <v>96</v>
      </c>
      <c r="E66" s="189">
        <v>1</v>
      </c>
    </row>
    <row r="67" spans="4:5" x14ac:dyDescent="0.25">
      <c r="D67" s="108" t="s">
        <v>930</v>
      </c>
      <c r="E67" s="189">
        <v>1</v>
      </c>
    </row>
    <row r="68" spans="4:5" x14ac:dyDescent="0.25">
      <c r="D68" s="108" t="s">
        <v>350</v>
      </c>
      <c r="E68" s="189">
        <v>1</v>
      </c>
    </row>
    <row r="69" spans="4:5" x14ac:dyDescent="0.25">
      <c r="D69" s="108" t="s">
        <v>2552</v>
      </c>
      <c r="E69" s="189">
        <v>1</v>
      </c>
    </row>
    <row r="70" spans="4:5" x14ac:dyDescent="0.25">
      <c r="D70" s="108" t="s">
        <v>4142</v>
      </c>
      <c r="E70" s="189">
        <v>1</v>
      </c>
    </row>
    <row r="71" spans="4:5" x14ac:dyDescent="0.25">
      <c r="D71" s="108" t="s">
        <v>371</v>
      </c>
      <c r="E71" s="189">
        <v>1</v>
      </c>
    </row>
    <row r="72" spans="4:5" x14ac:dyDescent="0.25">
      <c r="D72" s="108" t="s">
        <v>1401</v>
      </c>
      <c r="E72" s="189">
        <v>1</v>
      </c>
    </row>
    <row r="73" spans="4:5" x14ac:dyDescent="0.25">
      <c r="D73" s="108" t="s">
        <v>2017</v>
      </c>
      <c r="E73" s="189">
        <v>1</v>
      </c>
    </row>
    <row r="74" spans="4:5" x14ac:dyDescent="0.25">
      <c r="D74" s="108" t="s">
        <v>369</v>
      </c>
      <c r="E74" s="189">
        <v>1</v>
      </c>
    </row>
    <row r="75" spans="4:5" x14ac:dyDescent="0.25">
      <c r="D75" s="108" t="s">
        <v>3658</v>
      </c>
      <c r="E75" s="189">
        <v>1</v>
      </c>
    </row>
    <row r="76" spans="4:5" x14ac:dyDescent="0.25">
      <c r="D76" s="108" t="s">
        <v>3859</v>
      </c>
      <c r="E76" s="189">
        <v>1</v>
      </c>
    </row>
    <row r="77" spans="4:5" x14ac:dyDescent="0.25">
      <c r="D77" s="108" t="s">
        <v>477</v>
      </c>
      <c r="E77" s="189">
        <v>1</v>
      </c>
    </row>
    <row r="78" spans="4:5" x14ac:dyDescent="0.25">
      <c r="D78" s="108" t="s">
        <v>3878</v>
      </c>
      <c r="E78" s="189">
        <v>1</v>
      </c>
    </row>
    <row r="79" spans="4:5" x14ac:dyDescent="0.25">
      <c r="D79" s="108" t="s">
        <v>4355</v>
      </c>
      <c r="E79" s="189">
        <v>1</v>
      </c>
    </row>
    <row r="80" spans="4:5" x14ac:dyDescent="0.25">
      <c r="D80" s="108" t="s">
        <v>4193</v>
      </c>
      <c r="E80" s="189">
        <v>1</v>
      </c>
    </row>
    <row r="81" spans="4:5" x14ac:dyDescent="0.25">
      <c r="D81" s="108" t="s">
        <v>4369</v>
      </c>
      <c r="E81" s="189">
        <v>1</v>
      </c>
    </row>
    <row r="82" spans="4:5" x14ac:dyDescent="0.25">
      <c r="D82" s="108" t="s">
        <v>441</v>
      </c>
      <c r="E82" s="189">
        <v>1</v>
      </c>
    </row>
    <row r="83" spans="4:5" x14ac:dyDescent="0.25">
      <c r="D83" s="108" t="s">
        <v>1951</v>
      </c>
      <c r="E83" s="189">
        <v>1</v>
      </c>
    </row>
    <row r="84" spans="4:5" x14ac:dyDescent="0.25">
      <c r="D84" s="108" t="s">
        <v>1348</v>
      </c>
      <c r="E84" s="189">
        <v>1</v>
      </c>
    </row>
    <row r="85" spans="4:5" x14ac:dyDescent="0.25">
      <c r="D85" s="108" t="s">
        <v>93</v>
      </c>
      <c r="E85" s="189">
        <v>1</v>
      </c>
    </row>
    <row r="86" spans="4:5" x14ac:dyDescent="0.25">
      <c r="D86" s="108" t="s">
        <v>4150</v>
      </c>
      <c r="E86" s="189">
        <v>1</v>
      </c>
    </row>
    <row r="87" spans="4:5" x14ac:dyDescent="0.25">
      <c r="D87" s="108" t="s">
        <v>375</v>
      </c>
      <c r="E87" s="189">
        <v>1</v>
      </c>
    </row>
    <row r="88" spans="4:5" x14ac:dyDescent="0.25">
      <c r="D88" s="108" t="s">
        <v>746</v>
      </c>
      <c r="E88" s="189">
        <v>1</v>
      </c>
    </row>
    <row r="89" spans="4:5" x14ac:dyDescent="0.25">
      <c r="D89" s="108" t="s">
        <v>1310</v>
      </c>
      <c r="E89" s="189">
        <v>1</v>
      </c>
    </row>
    <row r="90" spans="4:5" x14ac:dyDescent="0.25">
      <c r="D90" s="108" t="s">
        <v>3890</v>
      </c>
      <c r="E90" s="189">
        <v>1</v>
      </c>
    </row>
    <row r="91" spans="4:5" x14ac:dyDescent="0.25">
      <c r="D91" s="108" t="s">
        <v>377</v>
      </c>
      <c r="E91" s="189">
        <v>1</v>
      </c>
    </row>
    <row r="92" spans="4:5" x14ac:dyDescent="0.25">
      <c r="D92" s="108" t="s">
        <v>388</v>
      </c>
      <c r="E92" s="189">
        <v>1</v>
      </c>
    </row>
    <row r="93" spans="4:5" x14ac:dyDescent="0.25">
      <c r="D93" s="108" t="s">
        <v>373</v>
      </c>
      <c r="E93" s="189">
        <v>1</v>
      </c>
    </row>
    <row r="94" spans="4:5" x14ac:dyDescent="0.25">
      <c r="D94" s="108" t="s">
        <v>356</v>
      </c>
      <c r="E94" s="189">
        <v>1</v>
      </c>
    </row>
    <row r="95" spans="4:5" x14ac:dyDescent="0.25">
      <c r="D95" s="108" t="s">
        <v>358</v>
      </c>
      <c r="E95" s="189">
        <v>1</v>
      </c>
    </row>
    <row r="96" spans="4:5" x14ac:dyDescent="0.25">
      <c r="D96" s="108" t="s">
        <v>643</v>
      </c>
      <c r="E96" s="189">
        <v>1</v>
      </c>
    </row>
    <row r="97" spans="4:5" x14ac:dyDescent="0.25">
      <c r="D97" s="108" t="s">
        <v>3881</v>
      </c>
      <c r="E97" s="189">
        <v>1</v>
      </c>
    </row>
    <row r="98" spans="4:5" x14ac:dyDescent="0.25">
      <c r="D98" s="108" t="s">
        <v>366</v>
      </c>
      <c r="E98" s="189">
        <v>1</v>
      </c>
    </row>
    <row r="99" spans="4:5" x14ac:dyDescent="0.25">
      <c r="D99" s="108" t="s">
        <v>507</v>
      </c>
      <c r="E99" s="189">
        <v>1</v>
      </c>
    </row>
    <row r="100" spans="4:5" x14ac:dyDescent="0.25">
      <c r="D100" s="108" t="s">
        <v>554</v>
      </c>
      <c r="E100" s="189">
        <v>1</v>
      </c>
    </row>
    <row r="101" spans="4:5" x14ac:dyDescent="0.25">
      <c r="D101" s="108" t="s">
        <v>1027</v>
      </c>
      <c r="E101" s="189">
        <v>1</v>
      </c>
    </row>
    <row r="102" spans="4:5" x14ac:dyDescent="0.25">
      <c r="D102" s="108" t="s">
        <v>4374</v>
      </c>
      <c r="E102" s="189">
        <v>1</v>
      </c>
    </row>
    <row r="103" spans="4:5" x14ac:dyDescent="0.25">
      <c r="D103" s="108" t="s">
        <v>401</v>
      </c>
      <c r="E103" s="189">
        <v>1</v>
      </c>
    </row>
    <row r="104" spans="4:5" x14ac:dyDescent="0.25">
      <c r="D104" s="108" t="s">
        <v>4429</v>
      </c>
      <c r="E104" s="189">
        <v>1</v>
      </c>
    </row>
    <row r="105" spans="4:5" x14ac:dyDescent="0.25">
      <c r="D105" s="108" t="s">
        <v>3225</v>
      </c>
      <c r="E105" s="189">
        <v>1</v>
      </c>
    </row>
    <row r="106" spans="4:5" x14ac:dyDescent="0.25">
      <c r="D106" s="108" t="s">
        <v>2606</v>
      </c>
      <c r="E106" s="189">
        <v>1</v>
      </c>
    </row>
    <row r="107" spans="4:5" x14ac:dyDescent="0.25">
      <c r="D107" s="108" t="s">
        <v>389</v>
      </c>
      <c r="E107" s="189">
        <v>1</v>
      </c>
    </row>
    <row r="108" spans="4:5" x14ac:dyDescent="0.25">
      <c r="D108" s="108" t="s">
        <v>3971</v>
      </c>
      <c r="E108" s="189">
        <v>1</v>
      </c>
    </row>
    <row r="109" spans="4:5" x14ac:dyDescent="0.25">
      <c r="D109" s="108" t="s">
        <v>459</v>
      </c>
      <c r="E109" s="189">
        <v>1</v>
      </c>
    </row>
    <row r="110" spans="4:5" x14ac:dyDescent="0.25">
      <c r="D110" s="108" t="s">
        <v>936</v>
      </c>
      <c r="E110" s="189">
        <v>1</v>
      </c>
    </row>
    <row r="111" spans="4:5" x14ac:dyDescent="0.25">
      <c r="D111" s="108" t="s">
        <v>1923</v>
      </c>
      <c r="E111" s="189">
        <v>1</v>
      </c>
    </row>
    <row r="112" spans="4:5" x14ac:dyDescent="0.25">
      <c r="D112" s="108" t="s">
        <v>398</v>
      </c>
      <c r="E112" s="189">
        <v>1</v>
      </c>
    </row>
    <row r="113" spans="4:5" x14ac:dyDescent="0.25">
      <c r="D113" s="108" t="s">
        <v>4260</v>
      </c>
      <c r="E113" s="189">
        <v>1</v>
      </c>
    </row>
    <row r="114" spans="4:5" x14ac:dyDescent="0.25">
      <c r="D114" s="108" t="s">
        <v>352</v>
      </c>
      <c r="E114" s="189">
        <v>1</v>
      </c>
    </row>
    <row r="115" spans="4:5" x14ac:dyDescent="0.25">
      <c r="D115" s="108" t="s">
        <v>4276</v>
      </c>
      <c r="E115" s="189">
        <v>1</v>
      </c>
    </row>
    <row r="116" spans="4:5" x14ac:dyDescent="0.25">
      <c r="D116" s="108" t="s">
        <v>947</v>
      </c>
      <c r="E116" s="189">
        <v>1</v>
      </c>
    </row>
    <row r="117" spans="4:5" x14ac:dyDescent="0.25">
      <c r="D117" s="108" t="s">
        <v>2453</v>
      </c>
      <c r="E117" s="189">
        <v>1</v>
      </c>
    </row>
    <row r="118" spans="4:5" x14ac:dyDescent="0.25">
      <c r="D118" s="108" t="s">
        <v>385</v>
      </c>
      <c r="E118" s="189">
        <v>1</v>
      </c>
    </row>
    <row r="119" spans="4:5" x14ac:dyDescent="0.25">
      <c r="D119" s="108" t="s">
        <v>4288</v>
      </c>
      <c r="E119" s="189">
        <v>1</v>
      </c>
    </row>
    <row r="120" spans="4:5" x14ac:dyDescent="0.25">
      <c r="D120" s="108" t="s">
        <v>4020</v>
      </c>
      <c r="E120" s="189">
        <v>1</v>
      </c>
    </row>
    <row r="121" spans="4:5" x14ac:dyDescent="0.25">
      <c r="D121" s="108" t="s">
        <v>4327</v>
      </c>
      <c r="E121" s="189">
        <v>1</v>
      </c>
    </row>
    <row r="122" spans="4:5" x14ac:dyDescent="0.25">
      <c r="D122" s="108" t="s">
        <v>933</v>
      </c>
      <c r="E122" s="189">
        <v>1</v>
      </c>
    </row>
    <row r="123" spans="4:5" x14ac:dyDescent="0.25">
      <c r="D123" s="108" t="s">
        <v>2457</v>
      </c>
      <c r="E123" s="189">
        <v>1</v>
      </c>
    </row>
    <row r="124" spans="4:5" x14ac:dyDescent="0.25">
      <c r="D124" s="108" t="s">
        <v>1302</v>
      </c>
      <c r="E124" s="189">
        <v>1</v>
      </c>
    </row>
    <row r="125" spans="4:5" x14ac:dyDescent="0.25">
      <c r="D125" s="108" t="s">
        <v>2232</v>
      </c>
      <c r="E125" s="189">
        <v>1</v>
      </c>
    </row>
    <row r="126" spans="4:5" x14ac:dyDescent="0.25">
      <c r="D126" s="108" t="s">
        <v>4173</v>
      </c>
      <c r="E126" s="189">
        <v>1</v>
      </c>
    </row>
    <row r="127" spans="4:5" x14ac:dyDescent="0.25">
      <c r="D127" s="108" t="s">
        <v>1826</v>
      </c>
      <c r="E127" s="189">
        <v>1</v>
      </c>
    </row>
    <row r="128" spans="4:5" x14ac:dyDescent="0.25">
      <c r="D128" s="108" t="s">
        <v>406</v>
      </c>
      <c r="E128" s="189">
        <v>1</v>
      </c>
    </row>
    <row r="129" spans="4:5" x14ac:dyDescent="0.25">
      <c r="D129" s="108" t="s">
        <v>4365</v>
      </c>
      <c r="E129" s="189">
        <v>1</v>
      </c>
    </row>
    <row r="130" spans="4:5" x14ac:dyDescent="0.25">
      <c r="D130" s="108" t="s">
        <v>1564</v>
      </c>
      <c r="E130" s="189">
        <v>1</v>
      </c>
    </row>
    <row r="131" spans="4:5" x14ac:dyDescent="0.25">
      <c r="D131" s="108" t="s">
        <v>3983</v>
      </c>
      <c r="E131" s="189">
        <v>1</v>
      </c>
    </row>
    <row r="132" spans="4:5" x14ac:dyDescent="0.25">
      <c r="D132" s="108" t="s">
        <v>3956</v>
      </c>
      <c r="E132" s="189">
        <v>1</v>
      </c>
    </row>
    <row r="133" spans="4:5" x14ac:dyDescent="0.25">
      <c r="D133" s="108" t="s">
        <v>2328</v>
      </c>
      <c r="E133" s="189">
        <v>1</v>
      </c>
    </row>
    <row r="134" spans="4:5" x14ac:dyDescent="0.25">
      <c r="D134" s="108" t="s">
        <v>4432</v>
      </c>
      <c r="E134" s="189">
        <v>1</v>
      </c>
    </row>
    <row r="135" spans="4:5" x14ac:dyDescent="0.25">
      <c r="D135" s="108" t="s">
        <v>1602</v>
      </c>
      <c r="E135" s="189">
        <v>1</v>
      </c>
    </row>
    <row r="136" spans="4:5" x14ac:dyDescent="0.25">
      <c r="D136" s="108" t="s">
        <v>4437</v>
      </c>
      <c r="E136" s="189">
        <v>1</v>
      </c>
    </row>
    <row r="137" spans="4:5" x14ac:dyDescent="0.25">
      <c r="D137" s="108" t="s">
        <v>1330</v>
      </c>
      <c r="E137" s="189">
        <v>1</v>
      </c>
    </row>
    <row r="138" spans="4:5" x14ac:dyDescent="0.25">
      <c r="D138" s="108" t="s">
        <v>480</v>
      </c>
      <c r="E138" s="189">
        <v>1</v>
      </c>
    </row>
    <row r="139" spans="4:5" x14ac:dyDescent="0.25">
      <c r="D139" s="108" t="s">
        <v>4254</v>
      </c>
      <c r="E139" s="189"/>
    </row>
    <row r="140" spans="4:5" x14ac:dyDescent="0.25">
      <c r="D140" s="108" t="s">
        <v>4255</v>
      </c>
      <c r="E140" s="189">
        <v>190</v>
      </c>
    </row>
  </sheetData>
  <pageMargins left="0.7" right="0.7" top="0.75" bottom="0.75" header="0.3" footer="0.3"/>
  <pageSetup paperSize="9" orientation="portrait"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56A6F-CAB8-40F6-853C-DFB61D4F5900}">
  <sheetPr>
    <tabColor rgb="FFFFFF00"/>
  </sheetPr>
  <dimension ref="A1:F29"/>
  <sheetViews>
    <sheetView showZeros="0" zoomScaleNormal="100" workbookViewId="0">
      <selection activeCell="E8" sqref="E8"/>
    </sheetView>
  </sheetViews>
  <sheetFormatPr defaultRowHeight="15.75" x14ac:dyDescent="0.25"/>
  <cols>
    <col min="1" max="1" width="9.140625" style="1"/>
    <col min="2" max="2" width="17.85546875" style="1" customWidth="1"/>
    <col min="3" max="3" width="18" style="1" bestFit="1" customWidth="1"/>
    <col min="4" max="42" width="9.7109375" style="1" customWidth="1"/>
    <col min="43" max="43" width="12.85546875" style="1" customWidth="1"/>
    <col min="44" max="16384" width="9.140625" style="1"/>
  </cols>
  <sheetData>
    <row r="1" spans="1:6" x14ac:dyDescent="0.25">
      <c r="A1" s="167" t="s">
        <v>155</v>
      </c>
      <c r="B1" s="167"/>
      <c r="C1" s="167"/>
      <c r="D1" s="167"/>
      <c r="E1" s="167"/>
      <c r="F1" s="167"/>
    </row>
    <row r="3" spans="1:6" x14ac:dyDescent="0.25">
      <c r="A3" s="41" t="s">
        <v>0</v>
      </c>
      <c r="B3" s="41" t="s">
        <v>101</v>
      </c>
      <c r="C3" s="41" t="s">
        <v>98</v>
      </c>
      <c r="D3" s="41" t="s">
        <v>71</v>
      </c>
      <c r="E3" s="41" t="s">
        <v>99</v>
      </c>
      <c r="F3" s="41" t="s">
        <v>100</v>
      </c>
    </row>
    <row r="4" spans="1:6" x14ac:dyDescent="0.25">
      <c r="A4" s="42" t="s">
        <v>1</v>
      </c>
      <c r="B4" s="40">
        <v>46028</v>
      </c>
      <c r="C4" s="39">
        <v>55</v>
      </c>
      <c r="D4" s="39">
        <v>16</v>
      </c>
      <c r="E4" s="39">
        <v>9</v>
      </c>
      <c r="F4" s="39">
        <f>SUM(C4:E4)</f>
        <v>80</v>
      </c>
    </row>
    <row r="5" spans="1:6" x14ac:dyDescent="0.25">
      <c r="A5" s="42" t="s">
        <v>2</v>
      </c>
      <c r="B5" s="40">
        <v>46042</v>
      </c>
      <c r="C5" s="39">
        <v>45</v>
      </c>
      <c r="D5" s="39">
        <v>13</v>
      </c>
      <c r="E5" s="39">
        <v>11</v>
      </c>
      <c r="F5" s="39">
        <f t="shared" ref="F5:F26" si="0">SUM(C5:E5)</f>
        <v>69</v>
      </c>
    </row>
    <row r="6" spans="1:6" x14ac:dyDescent="0.25">
      <c r="A6" s="42" t="s">
        <v>3</v>
      </c>
      <c r="B6" s="40">
        <v>46057</v>
      </c>
      <c r="C6" s="39">
        <v>45</v>
      </c>
      <c r="D6" s="39">
        <v>12</v>
      </c>
      <c r="E6" s="39">
        <v>15</v>
      </c>
      <c r="F6" s="39">
        <f t="shared" si="0"/>
        <v>72</v>
      </c>
    </row>
    <row r="7" spans="1:6" x14ac:dyDescent="0.25">
      <c r="A7" s="42" t="s">
        <v>4</v>
      </c>
      <c r="B7" s="40">
        <v>46070</v>
      </c>
      <c r="C7" s="39">
        <v>45</v>
      </c>
      <c r="D7" s="39">
        <v>17</v>
      </c>
      <c r="E7" s="39">
        <v>6</v>
      </c>
      <c r="F7" s="39">
        <f t="shared" si="0"/>
        <v>68</v>
      </c>
    </row>
    <row r="8" spans="1:6" x14ac:dyDescent="0.25">
      <c r="A8" s="42" t="s">
        <v>5</v>
      </c>
      <c r="B8" s="40"/>
      <c r="C8" s="39"/>
      <c r="D8" s="39"/>
      <c r="E8" s="39"/>
      <c r="F8" s="39">
        <f t="shared" si="0"/>
        <v>0</v>
      </c>
    </row>
    <row r="9" spans="1:6" x14ac:dyDescent="0.25">
      <c r="A9" s="42" t="s">
        <v>6</v>
      </c>
      <c r="B9" s="40"/>
      <c r="C9" s="39"/>
      <c r="D9" s="39"/>
      <c r="E9" s="39"/>
      <c r="F9" s="39">
        <f t="shared" si="0"/>
        <v>0</v>
      </c>
    </row>
    <row r="10" spans="1:6" x14ac:dyDescent="0.25">
      <c r="A10" s="42" t="s">
        <v>7</v>
      </c>
      <c r="B10" s="40"/>
      <c r="C10" s="39"/>
      <c r="D10" s="39"/>
      <c r="E10" s="39"/>
      <c r="F10" s="39">
        <f t="shared" si="0"/>
        <v>0</v>
      </c>
    </row>
    <row r="11" spans="1:6" x14ac:dyDescent="0.25">
      <c r="A11" s="42" t="s">
        <v>8</v>
      </c>
      <c r="B11" s="40"/>
      <c r="C11" s="39"/>
      <c r="D11" s="39"/>
      <c r="E11" s="39"/>
      <c r="F11" s="39">
        <f t="shared" si="0"/>
        <v>0</v>
      </c>
    </row>
    <row r="12" spans="1:6" x14ac:dyDescent="0.25">
      <c r="A12" s="42" t="s">
        <v>9</v>
      </c>
      <c r="B12" s="40"/>
      <c r="C12" s="39"/>
      <c r="D12" s="39"/>
      <c r="E12" s="39"/>
      <c r="F12" s="39">
        <f t="shared" si="0"/>
        <v>0</v>
      </c>
    </row>
    <row r="13" spans="1:6" x14ac:dyDescent="0.25">
      <c r="A13" s="42" t="s">
        <v>10</v>
      </c>
      <c r="B13" s="40"/>
      <c r="C13" s="39"/>
      <c r="D13" s="39"/>
      <c r="E13" s="39"/>
      <c r="F13" s="39">
        <f t="shared" si="0"/>
        <v>0</v>
      </c>
    </row>
    <row r="14" spans="1:6" x14ac:dyDescent="0.25">
      <c r="A14" s="42" t="s">
        <v>11</v>
      </c>
      <c r="B14" s="40"/>
      <c r="C14" s="39"/>
      <c r="D14" s="39"/>
      <c r="E14" s="39"/>
      <c r="F14" s="39">
        <f t="shared" si="0"/>
        <v>0</v>
      </c>
    </row>
    <row r="15" spans="1:6" x14ac:dyDescent="0.25">
      <c r="A15" s="42" t="s">
        <v>12</v>
      </c>
      <c r="B15" s="40"/>
      <c r="C15" s="39"/>
      <c r="D15" s="39"/>
      <c r="E15" s="39"/>
      <c r="F15" s="39">
        <f t="shared" si="0"/>
        <v>0</v>
      </c>
    </row>
    <row r="16" spans="1:6" x14ac:dyDescent="0.25">
      <c r="A16" s="42" t="s">
        <v>13</v>
      </c>
      <c r="B16" s="40"/>
      <c r="C16" s="39"/>
      <c r="D16" s="39"/>
      <c r="E16" s="39"/>
      <c r="F16" s="39">
        <f t="shared" si="0"/>
        <v>0</v>
      </c>
    </row>
    <row r="17" spans="1:6" x14ac:dyDescent="0.25">
      <c r="A17" s="42" t="s">
        <v>14</v>
      </c>
      <c r="B17" s="40"/>
      <c r="C17" s="39"/>
      <c r="D17" s="39"/>
      <c r="E17" s="39"/>
      <c r="F17" s="39">
        <f t="shared" si="0"/>
        <v>0</v>
      </c>
    </row>
    <row r="18" spans="1:6" x14ac:dyDescent="0.25">
      <c r="A18" s="42" t="s">
        <v>15</v>
      </c>
      <c r="B18" s="40"/>
      <c r="C18" s="39"/>
      <c r="D18" s="39"/>
      <c r="E18" s="39"/>
      <c r="F18" s="39">
        <f t="shared" si="0"/>
        <v>0</v>
      </c>
    </row>
    <row r="19" spans="1:6" x14ac:dyDescent="0.25">
      <c r="A19" s="42" t="s">
        <v>16</v>
      </c>
      <c r="B19" s="40"/>
      <c r="C19" s="39"/>
      <c r="D19" s="39"/>
      <c r="E19" s="39"/>
      <c r="F19" s="39">
        <f t="shared" si="0"/>
        <v>0</v>
      </c>
    </row>
    <row r="20" spans="1:6" x14ac:dyDescent="0.25">
      <c r="A20" s="42" t="s">
        <v>17</v>
      </c>
      <c r="B20" s="40"/>
      <c r="C20" s="39"/>
      <c r="D20" s="39"/>
      <c r="E20" s="39"/>
      <c r="F20" s="39">
        <f t="shared" si="0"/>
        <v>0</v>
      </c>
    </row>
    <row r="21" spans="1:6" x14ac:dyDescent="0.25">
      <c r="A21" s="42" t="s">
        <v>18</v>
      </c>
      <c r="B21" s="40"/>
      <c r="C21" s="39"/>
      <c r="D21" s="39"/>
      <c r="E21" s="39"/>
      <c r="F21" s="39">
        <f t="shared" si="0"/>
        <v>0</v>
      </c>
    </row>
    <row r="22" spans="1:6" x14ac:dyDescent="0.25">
      <c r="A22" s="42" t="s">
        <v>19</v>
      </c>
      <c r="B22" s="40"/>
      <c r="C22" s="39"/>
      <c r="D22" s="39"/>
      <c r="E22" s="39"/>
      <c r="F22" s="39">
        <f t="shared" si="0"/>
        <v>0</v>
      </c>
    </row>
    <row r="23" spans="1:6" x14ac:dyDescent="0.25">
      <c r="A23" s="42" t="s">
        <v>20</v>
      </c>
      <c r="B23" s="40"/>
      <c r="C23" s="39"/>
      <c r="D23" s="39"/>
      <c r="E23" s="39"/>
      <c r="F23" s="39">
        <f t="shared" si="0"/>
        <v>0</v>
      </c>
    </row>
    <row r="24" spans="1:6" x14ac:dyDescent="0.25">
      <c r="A24" s="42" t="s">
        <v>27</v>
      </c>
      <c r="B24" s="40"/>
      <c r="C24" s="39"/>
      <c r="D24" s="39"/>
      <c r="E24" s="39"/>
      <c r="F24" s="39">
        <f t="shared" si="0"/>
        <v>0</v>
      </c>
    </row>
    <row r="25" spans="1:6" x14ac:dyDescent="0.25">
      <c r="A25" s="42" t="s">
        <v>28</v>
      </c>
      <c r="B25" s="40"/>
      <c r="C25" s="39"/>
      <c r="D25" s="39"/>
      <c r="E25" s="39"/>
      <c r="F25" s="39">
        <f t="shared" si="0"/>
        <v>0</v>
      </c>
    </row>
    <row r="26" spans="1:6" x14ac:dyDescent="0.25">
      <c r="A26" s="42" t="s">
        <v>29</v>
      </c>
      <c r="B26" s="40"/>
      <c r="C26" s="39"/>
      <c r="D26" s="39"/>
      <c r="E26" s="39"/>
      <c r="F26" s="39">
        <f t="shared" si="0"/>
        <v>0</v>
      </c>
    </row>
    <row r="27" spans="1:6" x14ac:dyDescent="0.25">
      <c r="A27" s="168" t="s">
        <v>60</v>
      </c>
      <c r="B27" s="168"/>
      <c r="C27" s="43">
        <f>SUM(C4:C26)</f>
        <v>190</v>
      </c>
      <c r="D27" s="43">
        <f>SUM(D4:D26)</f>
        <v>58</v>
      </c>
      <c r="E27" s="44">
        <f>SUM(E4:E26)</f>
        <v>41</v>
      </c>
      <c r="F27" s="43">
        <f>SUM(F4:F26)</f>
        <v>289</v>
      </c>
    </row>
    <row r="28" spans="1:6" x14ac:dyDescent="0.25">
      <c r="D28" s="164">
        <f>SUM(D27:E27)</f>
        <v>99</v>
      </c>
      <c r="E28" s="165"/>
    </row>
    <row r="29" spans="1:6" x14ac:dyDescent="0.25">
      <c r="D29" s="166">
        <f>F27-D28</f>
        <v>190</v>
      </c>
      <c r="E29" s="166"/>
    </row>
  </sheetData>
  <mergeCells count="4">
    <mergeCell ref="D28:E28"/>
    <mergeCell ref="D29:E29"/>
    <mergeCell ref="A1:F1"/>
    <mergeCell ref="A27:B27"/>
  </mergeCells>
  <phoneticPr fontId="6" type="noConversion"/>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05ABE-C5F1-4403-9575-68482C0BDEE6}">
  <sheetPr codeName="Sayfa31">
    <tabColor rgb="FF002060"/>
    <pageSetUpPr fitToPage="1"/>
  </sheetPr>
  <dimension ref="A1:C90"/>
  <sheetViews>
    <sheetView showZeros="0" topLeftCell="A12" zoomScaleNormal="100" workbookViewId="0">
      <selection activeCell="B28" sqref="B28:B30"/>
    </sheetView>
  </sheetViews>
  <sheetFormatPr defaultColWidth="64" defaultRowHeight="15.75" x14ac:dyDescent="0.25"/>
  <cols>
    <col min="1" max="1" width="41" style="62" bestFit="1" customWidth="1"/>
    <col min="2" max="3" width="38.5703125" style="62" bestFit="1" customWidth="1"/>
    <col min="4" max="16384" width="64" style="63"/>
  </cols>
  <sheetData>
    <row r="1" spans="1:3" x14ac:dyDescent="0.25">
      <c r="A1" s="154" t="s">
        <v>94</v>
      </c>
      <c r="B1" s="62" t="str" cm="1">
        <f t="array" ref="B1">INDEX($A:$A, (ROW()-1)*2 + COLUMN()-1)</f>
        <v>Prof. Dr. Nazmiye Ebru ORTAÇ ERSOY</v>
      </c>
      <c r="C1" s="62" t="str" cm="1">
        <f t="array" ref="C1">INDEX($A:$A, (ROW()-1)*2 + COLUMN()-1)</f>
        <v>Doç. Dr. Kübra AYKAÇ</v>
      </c>
    </row>
    <row r="2" spans="1:3" x14ac:dyDescent="0.25">
      <c r="A2" s="154" t="s">
        <v>96</v>
      </c>
      <c r="B2" s="62" t="str" cm="1">
        <f t="array" ref="B2">INDEX($A:$A, (ROW()-1)*2 + COLUMN()-1)</f>
        <v>Dr. Öğr. Üyesi Müge DEMİR</v>
      </c>
      <c r="C2" s="62" t="str" cm="1">
        <f t="array" ref="C2">INDEX($A:$A, (ROW()-1)*2 + COLUMN()-1)</f>
        <v>Doç. Dr. Ekim GÜMELER</v>
      </c>
    </row>
    <row r="3" spans="1:3" x14ac:dyDescent="0.25">
      <c r="A3" s="154" t="s">
        <v>64</v>
      </c>
      <c r="B3" s="62" t="str" cm="1">
        <f t="array" ref="B3">INDEX($A:$A, (ROW()-1)*2 + COLUMN()-1)</f>
        <v>Prof. Dr. Yavuz AYHAN</v>
      </c>
      <c r="C3" s="62" t="str" cm="1">
        <f t="array" ref="C3">INDEX($A:$A, (ROW()-1)*2 + COLUMN()-1)</f>
        <v>Prof. Dr. Gözde GİRGİN</v>
      </c>
    </row>
    <row r="4" spans="1:3" x14ac:dyDescent="0.25">
      <c r="A4" s="154" t="s">
        <v>93</v>
      </c>
      <c r="B4" s="62" t="str" cm="1">
        <f t="array" ref="B4">INDEX($A:$A, (ROW()-1)*2 + COLUMN()-1)</f>
        <v>Prof. Dr. Nazmiye Ebru ORTAÇ ERSOY</v>
      </c>
      <c r="C4" s="62" t="str" cm="1">
        <f t="array" ref="C4">INDEX($A:$A, (ROW()-1)*2 + COLUMN()-1)</f>
        <v>Doç. Dr. Tolga ÇAKMAK</v>
      </c>
    </row>
    <row r="5" spans="1:3" x14ac:dyDescent="0.25">
      <c r="A5" s="154" t="s">
        <v>91</v>
      </c>
      <c r="B5" s="62" t="str" cm="1">
        <f t="array" ref="B5">INDEX($A:$A, (ROW()-1)*2 + COLUMN()-1)</f>
        <v>Doç. Dr. Burcu ERSÖZ ALAN</v>
      </c>
      <c r="C5" s="62" t="str" cm="1">
        <f t="array" ref="C5">INDEX($A:$A, (ROW()-1)*2 + COLUMN()-1)</f>
        <v>Doç. Dr. Ekim GÜMELER</v>
      </c>
    </row>
    <row r="6" spans="1:3" x14ac:dyDescent="0.25">
      <c r="A6" s="154" t="s">
        <v>92</v>
      </c>
      <c r="B6" s="62" t="str" cm="1">
        <f t="array" ref="B6">INDEX($A:$A, (ROW()-1)*2 + COLUMN()-1)</f>
        <v>Dr. Öğr. Üyesi Müge DEMİR</v>
      </c>
      <c r="C6" s="62" t="str" cm="1">
        <f t="array" ref="C6">INDEX($A:$A, (ROW()-1)*2 + COLUMN()-1)</f>
        <v>Prof. Dr. M. Özgür UYANIK</v>
      </c>
    </row>
    <row r="7" spans="1:3" x14ac:dyDescent="0.25">
      <c r="A7" s="154" t="s">
        <v>94</v>
      </c>
      <c r="B7" s="62" t="str" cm="1">
        <f t="array" ref="B7">INDEX($A:$A, (ROW()-1)*2 + COLUMN()-1)</f>
        <v>Prof. Dr. Yavuz AYHAN</v>
      </c>
      <c r="C7" s="62" t="str" cm="1">
        <f t="array" ref="C7">INDEX($A:$A, (ROW()-1)*2 + COLUMN()-1)</f>
        <v>Prof. Dr. Gözde GİRGİN</v>
      </c>
    </row>
    <row r="8" spans="1:3" x14ac:dyDescent="0.25">
      <c r="A8" s="154" t="s">
        <v>95</v>
      </c>
      <c r="B8" s="62" t="str" cm="1">
        <f t="array" ref="B8">INDEX($A:$A, (ROW()-1)*2 + COLUMN()-1)</f>
        <v>Doç. Dr. Kübra AYKAÇ</v>
      </c>
      <c r="C8" s="62" t="str" cm="1">
        <f t="array" ref="C8">INDEX($A:$A, (ROW()-1)*2 + COLUMN()-1)</f>
        <v>Doç. Dr. Tolga ÇAKMAK</v>
      </c>
    </row>
    <row r="9" spans="1:3" x14ac:dyDescent="0.25">
      <c r="A9" s="154" t="s">
        <v>84</v>
      </c>
      <c r="B9" s="62" t="str" cm="1">
        <f t="array" ref="B9">INDEX($A:$A, (ROW()-1)*2 + COLUMN()-1)</f>
        <v>Dr. Öğr. Üyesi Müge DEMİR</v>
      </c>
      <c r="C9" s="62" t="str" cm="1">
        <f t="array" ref="C9">INDEX($A:$A, (ROW()-1)*2 + COLUMN()-1)</f>
        <v>Doç. Dr. Burcu ERSÖZ ALAN</v>
      </c>
    </row>
    <row r="10" spans="1:3" x14ac:dyDescent="0.25">
      <c r="A10" s="154" t="s">
        <v>93</v>
      </c>
      <c r="B10" s="62" t="str" cm="1">
        <f t="array" ref="B10">INDEX($A:$A, (ROW()-1)*2 + COLUMN()-1)</f>
        <v>Prof. Dr. M. Özgür UYANIK</v>
      </c>
      <c r="C10" s="62" t="str" cm="1">
        <f t="array" ref="C10">INDEX($A:$A, (ROW()-1)*2 + COLUMN()-1)</f>
        <v>Prof. Dr. Ayşe KİN İŞLER</v>
      </c>
    </row>
    <row r="11" spans="1:3" x14ac:dyDescent="0.25">
      <c r="A11" s="154" t="s">
        <v>64</v>
      </c>
      <c r="B11" s="62" t="str" cm="1">
        <f t="array" ref="B11">INDEX($A:$A, (ROW()-1)*2 + COLUMN()-1)</f>
        <v>Dr. Öğr. Üyesi Müge DEMİR</v>
      </c>
      <c r="C11" s="62" t="str" cm="1">
        <f t="array" ref="C11">INDEX($A:$A, (ROW()-1)*2 + COLUMN()-1)</f>
        <v>Doç. Dr. Ekim GÜMELER</v>
      </c>
    </row>
    <row r="12" spans="1:3" x14ac:dyDescent="0.25">
      <c r="A12" s="154" t="s">
        <v>63</v>
      </c>
      <c r="B12" s="62" t="str" cm="1">
        <f t="array" ref="B12">INDEX($A:$A, (ROW()-1)*2 + COLUMN()-1)</f>
        <v>Prof. Dr. M. Özgür UYANIK</v>
      </c>
      <c r="C12" s="62" t="str" cm="1">
        <f t="array" ref="C12">INDEX($A:$A, (ROW()-1)*2 + COLUMN()-1)</f>
        <v>Doç. Dr. Kübra AYKAÇ</v>
      </c>
    </row>
    <row r="13" spans="1:3" x14ac:dyDescent="0.25">
      <c r="A13" s="154" t="s">
        <v>91</v>
      </c>
      <c r="B13" s="62" t="str" cm="1">
        <f t="array" ref="B13">INDEX($A:$A, (ROW()-1)*2 + COLUMN()-1)</f>
        <v>Doç. Dr. Ekim GÜMELER</v>
      </c>
      <c r="C13" s="62" t="str" cm="1">
        <f t="array" ref="C13">INDEX($A:$A, (ROW()-1)*2 + COLUMN()-1)</f>
        <v>Doç. Dr. Burcu ERSÖZ ALAN</v>
      </c>
    </row>
    <row r="14" spans="1:3" ht="31.5" x14ac:dyDescent="0.25">
      <c r="A14" s="154" t="s">
        <v>92</v>
      </c>
      <c r="B14" s="62" t="str" cm="1">
        <f t="array" ref="B14">INDEX($A:$A, (ROW()-1)*2 + COLUMN()-1)</f>
        <v>Prof. Dr. Ayşe KİN İŞLER</v>
      </c>
      <c r="C14" s="62" t="str" cm="1">
        <f t="array" ref="C14">INDEX($A:$A, (ROW()-1)*2 + COLUMN()-1)</f>
        <v>Prof. Dr. Nazmiye Ebru ORTAÇ ERSOY</v>
      </c>
    </row>
    <row r="15" spans="1:3" x14ac:dyDescent="0.25">
      <c r="A15" s="154" t="s">
        <v>96</v>
      </c>
      <c r="B15" s="62" t="str" cm="1">
        <f t="array" ref="B15">INDEX($A:$A, (ROW()-1)*2 + COLUMN()-1)</f>
        <v>Doç. Dr. Kübra AYKAÇ</v>
      </c>
      <c r="C15" s="62" t="str" cm="1">
        <f t="array" ref="C15">INDEX($A:$A, (ROW()-1)*2 + COLUMN()-1)</f>
        <v>Doç. Dr. Tolga ÇAKMAK</v>
      </c>
    </row>
    <row r="16" spans="1:3" ht="31.5" x14ac:dyDescent="0.25">
      <c r="A16" s="154" t="s">
        <v>95</v>
      </c>
      <c r="B16" s="62" t="str" cm="1">
        <f t="array" ref="B16">INDEX($A:$A, (ROW()-1)*2 + COLUMN()-1)</f>
        <v>Prof. Dr. Nazmiye Ebru ORTAÇ ERSOY</v>
      </c>
      <c r="C16" s="62" t="str" cm="1">
        <f t="array" ref="C16">INDEX($A:$A, (ROW()-1)*2 + COLUMN()-1)</f>
        <v>Prof. Dr. Ayşe KİN İŞLER</v>
      </c>
    </row>
    <row r="17" spans="1:3" x14ac:dyDescent="0.25">
      <c r="A17" s="154" t="s">
        <v>64</v>
      </c>
      <c r="B17" s="62" t="str" cm="1">
        <f t="array" ref="B17">INDEX($A:$A, (ROW()-1)*2 + COLUMN()-1)</f>
        <v>Prof. Dr. Yavuz AYHAN</v>
      </c>
      <c r="C17" s="62" t="str" cm="1">
        <f t="array" ref="C17">INDEX($A:$A, (ROW()-1)*2 + COLUMN()-1)</f>
        <v>Prof. Dr. Gözde GİRGİN</v>
      </c>
    </row>
    <row r="18" spans="1:3" x14ac:dyDescent="0.25">
      <c r="A18" s="154" t="s">
        <v>84</v>
      </c>
      <c r="B18" s="62" t="str" cm="1">
        <f t="array" ref="B18">INDEX($A:$A, (ROW()-1)*2 + COLUMN()-1)</f>
        <v>Prof. Dr. Yavuz AYHAN</v>
      </c>
      <c r="C18" s="62" t="str" cm="1">
        <f t="array" ref="C18">INDEX($A:$A, (ROW()-1)*2 + COLUMN()-1)</f>
        <v>Prof. Dr. Gözde GİRGİN</v>
      </c>
    </row>
    <row r="19" spans="1:3" x14ac:dyDescent="0.25">
      <c r="A19" s="154" t="s">
        <v>63</v>
      </c>
      <c r="B19" s="62" t="str" cm="1">
        <f t="array" ref="B19">INDEX($A:$A, (ROW()-1)*2 + COLUMN()-1)</f>
        <v>Dr. Öğr. Üyesi Müge DEMİR</v>
      </c>
      <c r="C19" s="62" t="str" cm="1">
        <f t="array" ref="C19">INDEX($A:$A, (ROW()-1)*2 + COLUMN()-1)</f>
        <v>Doç. Dr. Ekim GÜMELER</v>
      </c>
    </row>
    <row r="20" spans="1:3" x14ac:dyDescent="0.25">
      <c r="A20" s="154" t="s">
        <v>88</v>
      </c>
      <c r="B20" s="62" t="str" cm="1">
        <f t="array" ref="B20">INDEX($A:$A, (ROW()-1)*2 + COLUMN()-1)</f>
        <v>Dr. Öğr. Üyesi Müge DEMİR</v>
      </c>
      <c r="C20" s="62" t="str" cm="1">
        <f t="array" ref="C20">INDEX($A:$A, (ROW()-1)*2 + COLUMN()-1)</f>
        <v>Doç. Dr. Ekim GÜMELER</v>
      </c>
    </row>
    <row r="21" spans="1:3" x14ac:dyDescent="0.25">
      <c r="A21" s="154" t="s">
        <v>64</v>
      </c>
      <c r="B21" s="62" t="str" cm="1">
        <f t="array" ref="B21">INDEX($A:$A, (ROW()-1)*2 + COLUMN()-1)</f>
        <v>Doç. Dr. Ekim GÜMELER</v>
      </c>
      <c r="C21" s="62" t="str" cm="1">
        <f t="array" ref="C21">INDEX($A:$A, (ROW()-1)*2 + COLUMN()-1)</f>
        <v>Doç. Dr. Burcu ERSÖZ ALAN</v>
      </c>
    </row>
    <row r="22" spans="1:3" x14ac:dyDescent="0.25">
      <c r="A22" s="154" t="s">
        <v>93</v>
      </c>
      <c r="B22" s="62" t="str" cm="1">
        <f t="array" ref="B22">INDEX($A:$A, (ROW()-1)*2 + COLUMN()-1)</f>
        <v>Prof. Dr. Ayşe Nurten AKARSU</v>
      </c>
      <c r="C22" s="62" t="str" cm="1">
        <f t="array" ref="C22">INDEX($A:$A, (ROW()-1)*2 + COLUMN()-1)</f>
        <v>Prof. Dr. Gözde GİRGİN</v>
      </c>
    </row>
    <row r="23" spans="1:3" x14ac:dyDescent="0.25">
      <c r="A23" s="154" t="s">
        <v>63</v>
      </c>
      <c r="B23" s="62" t="str" cm="1">
        <f t="array" ref="B23">INDEX($A:$A, (ROW()-1)*2 + COLUMN()-1)</f>
        <v>Prof. Dr. Yavuz AYHAN</v>
      </c>
      <c r="C23" s="62" t="str" cm="1">
        <f t="array" ref="C23">INDEX($A:$A, (ROW()-1)*2 + COLUMN()-1)</f>
        <v>Prof. Dr. Ayşe KİN İŞLER</v>
      </c>
    </row>
    <row r="24" spans="1:3" x14ac:dyDescent="0.25">
      <c r="A24" s="62" t="s">
        <v>96</v>
      </c>
      <c r="B24" s="62" t="str" cm="1">
        <f t="array" ref="B24">INDEX($A:$A, (ROW()-1)*2 + COLUMN()-1)</f>
        <v>Prof. Dr. Ayşe Nurten AKARSU</v>
      </c>
      <c r="C24" s="62" t="str" cm="1">
        <f t="array" ref="C24">INDEX($A:$A, (ROW()-1)*2 + COLUMN()-1)</f>
        <v>Doç. Dr. Tolga ÇAKMAK</v>
      </c>
    </row>
    <row r="25" spans="1:3" x14ac:dyDescent="0.25">
      <c r="A25" s="62" t="s">
        <v>93</v>
      </c>
      <c r="B25" s="62" t="str" cm="1">
        <f t="array" ref="B25">INDEX($A:$A, (ROW()-1)*2 + COLUMN()-1)</f>
        <v>Prof. Dr. Ayşe Nurten AKARSU</v>
      </c>
      <c r="C25" s="62" t="str" cm="1">
        <f t="array" ref="C25">INDEX($A:$A, (ROW()-1)*2 + COLUMN()-1)</f>
        <v>Doç. Dr. Tolga ÇAKMAK</v>
      </c>
    </row>
    <row r="26" spans="1:3" x14ac:dyDescent="0.25">
      <c r="A26" s="62" t="s">
        <v>84</v>
      </c>
      <c r="B26" s="62" t="str" cm="1">
        <f t="array" ref="B26">INDEX($A:$A, (ROW()-1)*2 + COLUMN()-1)</f>
        <v>Doç. Dr. Kübra AYKAÇ</v>
      </c>
      <c r="C26" s="62" t="str" cm="1">
        <f t="array" ref="C26">INDEX($A:$A, (ROW()-1)*2 + COLUMN()-1)</f>
        <v>Doç. Dr. Burcu ERSÖZ ALAN</v>
      </c>
    </row>
    <row r="27" spans="1:3" ht="31.5" x14ac:dyDescent="0.25">
      <c r="A27" s="62" t="s">
        <v>88</v>
      </c>
      <c r="B27" s="62" t="str" cm="1">
        <f t="array" ref="B27">INDEX($A:$A, (ROW()-1)*2 + COLUMN()-1)</f>
        <v>Prof. Dr. Ayşe KİN İŞLER</v>
      </c>
      <c r="C27" s="62" t="str" cm="1">
        <f t="array" ref="C27">INDEX($A:$A, (ROW()-1)*2 + COLUMN()-1)</f>
        <v>Prof. Dr. Nazmiye Ebru ORTAÇ ERSOY</v>
      </c>
    </row>
    <row r="28" spans="1:3" x14ac:dyDescent="0.25">
      <c r="A28" s="62" t="s">
        <v>94</v>
      </c>
      <c r="B28" s="62" t="str" cm="1">
        <f t="array" ref="B28">INDEX($A:$A, (ROW()-1)*2 + COLUMN()-1)</f>
        <v>Prof. Dr. Ayşe Nurten AKARSU</v>
      </c>
      <c r="C28" s="62" t="str" cm="1">
        <f t="array" ref="C28">INDEX($A:$A, (ROW()-1)*2 + COLUMN()-1)</f>
        <v>Prof. Dr. M. Özgür UYANIK</v>
      </c>
    </row>
    <row r="29" spans="1:3" x14ac:dyDescent="0.25">
      <c r="A29" s="62" t="s">
        <v>96</v>
      </c>
      <c r="B29" s="62" t="str" cm="1">
        <f t="array" ref="B29">INDEX($A:$A, (ROW()-1)*2 + COLUMN()-1)</f>
        <v>Prof. Dr. Ayşe Nurten AKARSU</v>
      </c>
      <c r="C29" s="62" t="str" cm="1">
        <f t="array" ref="C29">INDEX($A:$A, (ROW()-1)*2 + COLUMN()-1)</f>
        <v>Prof. Dr. Gözde GİRGİN</v>
      </c>
    </row>
    <row r="30" spans="1:3" x14ac:dyDescent="0.25">
      <c r="A30" s="62" t="s">
        <v>95</v>
      </c>
      <c r="B30" s="62" t="str" cm="1">
        <f t="array" ref="B30">INDEX($A:$A, (ROW()-1)*2 + COLUMN()-1)</f>
        <v>Prof. Dr. Ayşe Nurten AKARSU</v>
      </c>
      <c r="C30" s="62" t="str" cm="1">
        <f t="array" ref="C30">INDEX($A:$A, (ROW()-1)*2 + COLUMN()-1)</f>
        <v>Prof. Dr. Yavuz AYHAN</v>
      </c>
    </row>
    <row r="31" spans="1:3" ht="31.5" x14ac:dyDescent="0.25">
      <c r="A31" s="62" t="s">
        <v>94</v>
      </c>
      <c r="B31" s="62" t="str" cm="1">
        <f t="array" ref="B31">INDEX($A:$A, (ROW()-1)*2 + COLUMN()-1)</f>
        <v>Prof. Dr. Nazmiye Ebru ORTAÇ ERSOY</v>
      </c>
      <c r="C31" s="62" t="str" cm="1">
        <f t="array" ref="C31">INDEX($A:$A, (ROW()-1)*2 + COLUMN()-1)</f>
        <v>Prof. Dr. Yavuz AYHAN</v>
      </c>
    </row>
    <row r="32" spans="1:3" x14ac:dyDescent="0.25">
      <c r="A32" s="62" t="s">
        <v>88</v>
      </c>
      <c r="B32" s="62" t="str" cm="1">
        <f t="array" ref="B32">INDEX($A:$A, (ROW()-1)*2 + COLUMN()-1)</f>
        <v>Doç. Dr. Kübra AYKAÇ</v>
      </c>
      <c r="C32" s="62" t="str" cm="1">
        <f t="array" ref="C32">INDEX($A:$A, (ROW()-1)*2 + COLUMN()-1)</f>
        <v>Doç. Dr. Burcu ERSÖZ ALAN</v>
      </c>
    </row>
    <row r="33" spans="1:3" x14ac:dyDescent="0.25">
      <c r="A33" s="62" t="s">
        <v>91</v>
      </c>
      <c r="B33" s="62" t="str" cm="1">
        <f t="array" ref="B33">INDEX($A:$A, (ROW()-1)*2 + COLUMN()-1)</f>
        <v>Doç. Dr. Kübra AYKAÇ</v>
      </c>
      <c r="C33" s="62" t="str" cm="1">
        <f t="array" ref="C33">INDEX($A:$A, (ROW()-1)*2 + COLUMN()-1)</f>
        <v>Doç. Dr. Burcu ERSÖZ ALAN</v>
      </c>
    </row>
    <row r="34" spans="1:3" x14ac:dyDescent="0.25">
      <c r="A34" s="62" t="s">
        <v>92</v>
      </c>
      <c r="B34" s="62" t="str" cm="1">
        <f t="array" ref="B34">INDEX($A:$A, (ROW()-1)*2 + COLUMN()-1)</f>
        <v>Doç. Dr. Tolga ÇAKMAK</v>
      </c>
      <c r="C34" s="62" t="str" cm="1">
        <f t="array" ref="C34">INDEX($A:$A, (ROW()-1)*2 + COLUMN()-1)</f>
        <v>Prof. Dr. Ayşe KİN İŞLER</v>
      </c>
    </row>
    <row r="35" spans="1:3" x14ac:dyDescent="0.25">
      <c r="A35" s="62" t="s">
        <v>91</v>
      </c>
      <c r="B35" s="62" t="str" cm="1">
        <f t="array" ref="B35">INDEX($A:$A, (ROW()-1)*2 + COLUMN()-1)</f>
        <v>Prof. Dr. Ayşe Nurten AKARSU</v>
      </c>
      <c r="C35" s="62" t="str" cm="1">
        <f t="array" ref="C35">INDEX($A:$A, (ROW()-1)*2 + COLUMN()-1)</f>
        <v>Prof. Dr. M. Özgür UYANIK</v>
      </c>
    </row>
    <row r="36" spans="1:3" x14ac:dyDescent="0.25">
      <c r="A36" s="62" t="s">
        <v>92</v>
      </c>
      <c r="B36" s="62" t="str" cm="1">
        <f t="array" ref="B36">INDEX($A:$A, (ROW()-1)*2 + COLUMN()-1)</f>
        <v>Prof. Dr. Ayşe Nurten AKARSU</v>
      </c>
      <c r="C36" s="62" t="str" cm="1">
        <f t="array" ref="C36">INDEX($A:$A, (ROW()-1)*2 + COLUMN()-1)</f>
        <v>Doç. Dr. Tolga ÇAKMAK</v>
      </c>
    </row>
    <row r="37" spans="1:3" x14ac:dyDescent="0.25">
      <c r="A37" s="62" t="s">
        <v>64</v>
      </c>
      <c r="B37" s="62" t="str" cm="1">
        <f t="array" ref="B37">INDEX($A:$A, (ROW()-1)*2 + COLUMN()-1)</f>
        <v>Dr. Öğr. Üyesi Müge DEMİR</v>
      </c>
      <c r="C37" s="62" t="str" cm="1">
        <f t="array" ref="C37">INDEX($A:$A, (ROW()-1)*2 + COLUMN()-1)</f>
        <v>Prof. Dr. M. Özgür UYANIK</v>
      </c>
    </row>
    <row r="38" spans="1:3" x14ac:dyDescent="0.25">
      <c r="A38" s="62" t="s">
        <v>93</v>
      </c>
      <c r="B38" s="62" t="str" cm="1">
        <f t="array" ref="B38">INDEX($A:$A, (ROW()-1)*2 + COLUMN()-1)</f>
        <v>Prof. Dr. M. Özgür UYANIK</v>
      </c>
      <c r="C38" s="62" t="str" cm="1">
        <f t="array" ref="C38">INDEX($A:$A, (ROW()-1)*2 + COLUMN()-1)</f>
        <v>Prof. Dr. Gözde GİRGİN</v>
      </c>
    </row>
    <row r="39" spans="1:3" x14ac:dyDescent="0.25">
      <c r="A39" s="62" t="s">
        <v>64</v>
      </c>
      <c r="B39" s="62" t="str" cm="1">
        <f t="array" ref="B39">INDEX($A:$A, (ROW()-1)*2 + COLUMN()-1)</f>
        <v>Prof. Dr. M. Özgür UYANIK</v>
      </c>
      <c r="C39" s="62" t="str" cm="1">
        <f t="array" ref="C39">INDEX($A:$A, (ROW()-1)*2 + COLUMN()-1)</f>
        <v>Prof. Dr. Ayşe KİN İŞLER</v>
      </c>
    </row>
    <row r="40" spans="1:3" ht="31.5" x14ac:dyDescent="0.25">
      <c r="A40" s="62" t="s">
        <v>93</v>
      </c>
      <c r="B40" s="62" t="str" cm="1">
        <f t="array" ref="B40">INDEX($A:$A, (ROW()-1)*2 + COLUMN()-1)</f>
        <v>Prof. Dr. Nazmiye Ebru ORTAÇ ERSOY</v>
      </c>
      <c r="C40" s="62" t="str" cm="1">
        <f t="array" ref="C40">INDEX($A:$A, (ROW()-1)*2 + COLUMN()-1)</f>
        <v>Doç. Dr. Ekim GÜMELER</v>
      </c>
    </row>
    <row r="41" spans="1:3" ht="31.5" x14ac:dyDescent="0.25">
      <c r="A41" s="62" t="s">
        <v>93</v>
      </c>
      <c r="B41" s="62" t="str" cm="1">
        <f t="array" ref="B41">INDEX($A:$A, (ROW()-1)*2 + COLUMN()-1)</f>
        <v>Doç. Dr. Tolga ÇAKMAK</v>
      </c>
      <c r="C41" s="62" t="str" cm="1">
        <f t="array" ref="C41">INDEX($A:$A, (ROW()-1)*2 + COLUMN()-1)</f>
        <v>Prof. Dr. Nazmiye Ebru ORTAÇ ERSOY</v>
      </c>
    </row>
    <row r="42" spans="1:3" x14ac:dyDescent="0.25">
      <c r="A42" s="62" t="s">
        <v>84</v>
      </c>
      <c r="B42" s="62" t="str" cm="1">
        <f t="array" ref="B42">INDEX($A:$A, (ROW()-1)*2 + COLUMN()-1)</f>
        <v>Dr. Öğr. Üyesi Müge DEMİR</v>
      </c>
      <c r="C42" s="62" t="str" cm="1">
        <f t="array" ref="C42">INDEX($A:$A, (ROW()-1)*2 + COLUMN()-1)</f>
        <v>Prof. Dr. Gözde GİRGİN</v>
      </c>
    </row>
    <row r="43" spans="1:3" x14ac:dyDescent="0.25">
      <c r="A43" s="62" t="s">
        <v>89</v>
      </c>
      <c r="B43" s="62" t="str" cm="1">
        <f t="array" ref="B43">INDEX($A:$A, (ROW()-1)*2 + COLUMN()-1)</f>
        <v>Prof. Dr. Yavuz AYHAN</v>
      </c>
      <c r="C43" s="62" t="str" cm="1">
        <f t="array" ref="C43">INDEX($A:$A, (ROW()-1)*2 + COLUMN()-1)</f>
        <v>Prof. Dr. Ayşe KİN İŞLER</v>
      </c>
    </row>
    <row r="44" spans="1:3" x14ac:dyDescent="0.25">
      <c r="A44" s="62" t="s">
        <v>92</v>
      </c>
      <c r="B44" s="62" t="str" cm="1">
        <f t="array" ref="B44">INDEX($A:$A, (ROW()-1)*2 + COLUMN()-1)</f>
        <v>Doç. Dr. Ekim GÜMELER</v>
      </c>
      <c r="C44" s="62" t="str" cm="1">
        <f t="array" ref="C44">INDEX($A:$A, (ROW()-1)*2 + COLUMN()-1)</f>
        <v>Doç. Dr. Kübra AYKAÇ</v>
      </c>
    </row>
    <row r="45" spans="1:3" x14ac:dyDescent="0.25">
      <c r="A45" s="62" t="s">
        <v>91</v>
      </c>
      <c r="B45" s="62" t="str" cm="1">
        <f t="array" ref="B45">INDEX($A:$A, (ROW()-1)*2 + COLUMN()-1)</f>
        <v>Doç. Dr. Burcu ERSÖZ ALAN</v>
      </c>
      <c r="C45" s="62" t="str" cm="1">
        <f t="array" ref="C45">INDEX($A:$A, (ROW()-1)*2 + COLUMN()-1)</f>
        <v>Prof. Dr. Ayşe Nurten AKARSU</v>
      </c>
    </row>
    <row r="46" spans="1:3" x14ac:dyDescent="0.25">
      <c r="A46" s="62" t="s">
        <v>88</v>
      </c>
      <c r="B46" s="62" cm="1">
        <f t="array" ref="B46">INDEX($A:$A, (ROW()-1)*2 + COLUMN()-1)</f>
        <v>0</v>
      </c>
      <c r="C46" s="62" cm="1">
        <f t="array" ref="C46">INDEX($A:$A, (ROW()-1)*2 + COLUMN()-1)</f>
        <v>0</v>
      </c>
    </row>
    <row r="47" spans="1:3" x14ac:dyDescent="0.25">
      <c r="A47" s="62" t="s">
        <v>89</v>
      </c>
      <c r="B47" s="62" cm="1">
        <f t="array" ref="B47">INDEX($A:$A, (ROW()-1)*2 + COLUMN()-1)</f>
        <v>0</v>
      </c>
      <c r="C47" s="62" cm="1">
        <f t="array" ref="C47">INDEX($A:$A, (ROW()-1)*2 + COLUMN()-1)</f>
        <v>0</v>
      </c>
    </row>
    <row r="48" spans="1:3" x14ac:dyDescent="0.25">
      <c r="A48" s="62" t="s">
        <v>95</v>
      </c>
      <c r="B48" s="62" cm="1">
        <f t="array" ref="B48">INDEX($A:$A, (ROW()-1)*2 + COLUMN()-1)</f>
        <v>0</v>
      </c>
      <c r="C48" s="62" cm="1">
        <f t="array" ref="C48">INDEX($A:$A, (ROW()-1)*2 + COLUMN()-1)</f>
        <v>0</v>
      </c>
    </row>
    <row r="49" spans="1:3" x14ac:dyDescent="0.25">
      <c r="A49" s="62" t="s">
        <v>89</v>
      </c>
      <c r="B49" s="62" cm="1">
        <f t="array" ref="B49">INDEX($A:$A, (ROW()-1)*2 + COLUMN()-1)</f>
        <v>0</v>
      </c>
      <c r="C49" s="62" cm="1">
        <f t="array" ref="C49">INDEX($A:$A, (ROW()-1)*2 + COLUMN()-1)</f>
        <v>0</v>
      </c>
    </row>
    <row r="50" spans="1:3" x14ac:dyDescent="0.25">
      <c r="A50" s="62" t="s">
        <v>95</v>
      </c>
      <c r="B50" s="62" cm="1">
        <f t="array" ref="B50">INDEX($A:$A, (ROW()-1)*2 + COLUMN()-1)</f>
        <v>0</v>
      </c>
      <c r="C50" s="62" cm="1">
        <f t="array" ref="C50">INDEX($A:$A, (ROW()-1)*2 + COLUMN()-1)</f>
        <v>0</v>
      </c>
    </row>
    <row r="51" spans="1:3" x14ac:dyDescent="0.25">
      <c r="A51" s="62" t="s">
        <v>96</v>
      </c>
      <c r="B51" s="62" cm="1">
        <f t="array" ref="B51">INDEX($A:$A, (ROW()-1)*2 + COLUMN()-1)</f>
        <v>0</v>
      </c>
      <c r="C51" s="62" cm="1">
        <f t="array" ref="C51">INDEX($A:$A, (ROW()-1)*2 + COLUMN()-1)</f>
        <v>0</v>
      </c>
    </row>
    <row r="52" spans="1:3" x14ac:dyDescent="0.25">
      <c r="A52" s="62" t="s">
        <v>84</v>
      </c>
      <c r="B52" s="62" cm="1">
        <f t="array" ref="B52">INDEX($A:$A, (ROW()-1)*2 + COLUMN()-1)</f>
        <v>0</v>
      </c>
      <c r="C52" s="62" cm="1">
        <f t="array" ref="C52">INDEX($A:$A, (ROW()-1)*2 + COLUMN()-1)</f>
        <v>0</v>
      </c>
    </row>
    <row r="53" spans="1:3" x14ac:dyDescent="0.25">
      <c r="A53" s="62" t="s">
        <v>88</v>
      </c>
      <c r="B53" s="62" cm="1">
        <f t="array" ref="B53">INDEX($A:$A, (ROW()-1)*2 + COLUMN()-1)</f>
        <v>0</v>
      </c>
      <c r="C53" s="62" cm="1">
        <f t="array" ref="C53">INDEX($A:$A, (ROW()-1)*2 + COLUMN()-1)</f>
        <v>0</v>
      </c>
    </row>
    <row r="54" spans="1:3" x14ac:dyDescent="0.25">
      <c r="A54" s="62" t="s">
        <v>94</v>
      </c>
      <c r="C54" s="62" cm="1">
        <f t="array" ref="C54">INDEX($A:$A, (ROW()-1)*2 + COLUMN()-1)</f>
        <v>0</v>
      </c>
    </row>
    <row r="55" spans="1:3" x14ac:dyDescent="0.25">
      <c r="A55" s="62" t="s">
        <v>89</v>
      </c>
      <c r="C55" s="62" cm="1">
        <f t="array" ref="C55">INDEX($A:$A, (ROW()-1)*2 + COLUMN()-1)</f>
        <v>0</v>
      </c>
    </row>
    <row r="56" spans="1:3" x14ac:dyDescent="0.25">
      <c r="A56" s="62" t="s">
        <v>63</v>
      </c>
      <c r="C56" s="62" cm="1">
        <f t="array" ref="C56">INDEX($A:$A, (ROW()-1)*2 + COLUMN()-1)</f>
        <v>0</v>
      </c>
    </row>
    <row r="57" spans="1:3" x14ac:dyDescent="0.25">
      <c r="A57" s="62" t="s">
        <v>89</v>
      </c>
      <c r="C57" s="62" cm="1">
        <f t="array" ref="C57">INDEX($A:$A, (ROW()-1)*2 + COLUMN()-1)</f>
        <v>0</v>
      </c>
    </row>
    <row r="58" spans="1:3" x14ac:dyDescent="0.25">
      <c r="A58" s="62" t="s">
        <v>92</v>
      </c>
      <c r="C58" s="62" cm="1">
        <f t="array" ref="C58">INDEX($A:$A, (ROW()-1)*2 + COLUMN()-1)</f>
        <v>0</v>
      </c>
    </row>
    <row r="59" spans="1:3" x14ac:dyDescent="0.25">
      <c r="A59" s="62" t="s">
        <v>89</v>
      </c>
      <c r="C59" s="62" cm="1">
        <f t="array" ref="C59">INDEX($A:$A, (ROW()-1)*2 + COLUMN()-1)</f>
        <v>0</v>
      </c>
    </row>
    <row r="60" spans="1:3" x14ac:dyDescent="0.25">
      <c r="A60" s="62" t="s">
        <v>91</v>
      </c>
      <c r="C60" s="62" cm="1">
        <f t="array" ref="C60">INDEX($A:$A, (ROW()-1)*2 + COLUMN()-1)</f>
        <v>0</v>
      </c>
    </row>
    <row r="61" spans="1:3" x14ac:dyDescent="0.25">
      <c r="A61" s="62" t="s">
        <v>94</v>
      </c>
      <c r="C61" s="62" cm="1">
        <f t="array" ref="C61">INDEX($A:$A, (ROW()-1)*2 + COLUMN()-1)</f>
        <v>0</v>
      </c>
    </row>
    <row r="62" spans="1:3" x14ac:dyDescent="0.25">
      <c r="A62" s="62" t="s">
        <v>91</v>
      </c>
      <c r="C62" s="62" cm="1">
        <f t="array" ref="C62">INDEX($A:$A, (ROW()-1)*2 + COLUMN()-1)</f>
        <v>0</v>
      </c>
    </row>
    <row r="63" spans="1:3" x14ac:dyDescent="0.25">
      <c r="A63" s="62" t="s">
        <v>96</v>
      </c>
      <c r="C63" s="62" cm="1">
        <f t="array" ref="C63">INDEX($A:$A, (ROW()-1)*2 + COLUMN()-1)</f>
        <v>0</v>
      </c>
    </row>
    <row r="64" spans="1:3" x14ac:dyDescent="0.25">
      <c r="A64" s="62" t="s">
        <v>84</v>
      </c>
      <c r="C64" s="62" cm="1">
        <f t="array" ref="C64">INDEX($A:$A, (ROW()-1)*2 + COLUMN()-1)</f>
        <v>0</v>
      </c>
    </row>
    <row r="65" spans="1:3" x14ac:dyDescent="0.25">
      <c r="A65" s="62" t="s">
        <v>96</v>
      </c>
      <c r="C65" s="62" cm="1">
        <f t="array" ref="C65">INDEX($A:$A, (ROW()-1)*2 + COLUMN()-1)</f>
        <v>0</v>
      </c>
    </row>
    <row r="66" spans="1:3" x14ac:dyDescent="0.25">
      <c r="A66" s="62" t="s">
        <v>84</v>
      </c>
      <c r="C66" s="62" cm="1">
        <f t="array" ref="C66">INDEX($A:$A, (ROW()-1)*2 + COLUMN()-1)</f>
        <v>0</v>
      </c>
    </row>
    <row r="67" spans="1:3" x14ac:dyDescent="0.25">
      <c r="A67" s="62" t="s">
        <v>95</v>
      </c>
      <c r="C67" s="62" cm="1">
        <f t="array" ref="C67">INDEX($A:$A, (ROW()-1)*2 + COLUMN()-1)</f>
        <v>0</v>
      </c>
    </row>
    <row r="68" spans="1:3" x14ac:dyDescent="0.25">
      <c r="A68" s="62" t="s">
        <v>88</v>
      </c>
      <c r="C68" s="62" cm="1">
        <f t="array" ref="C68">INDEX($A:$A, (ROW()-1)*2 + COLUMN()-1)</f>
        <v>0</v>
      </c>
    </row>
    <row r="69" spans="1:3" x14ac:dyDescent="0.25">
      <c r="A69" s="62" t="s">
        <v>89</v>
      </c>
      <c r="C69" s="62" cm="1">
        <f t="array" ref="C69">INDEX($A:$A, (ROW()-1)*2 + COLUMN()-1)</f>
        <v>0</v>
      </c>
    </row>
    <row r="70" spans="1:3" x14ac:dyDescent="0.25">
      <c r="A70" s="62" t="s">
        <v>63</v>
      </c>
      <c r="C70" s="62" cm="1">
        <f t="array" ref="C70">INDEX($A:$A, (ROW()-1)*2 + COLUMN()-1)</f>
        <v>0</v>
      </c>
    </row>
    <row r="71" spans="1:3" x14ac:dyDescent="0.25">
      <c r="A71" s="62" t="s">
        <v>89</v>
      </c>
      <c r="C71" s="62" cm="1">
        <f t="array" ref="C71">INDEX($A:$A, (ROW()-1)*2 + COLUMN()-1)</f>
        <v>0</v>
      </c>
    </row>
    <row r="72" spans="1:3" x14ac:dyDescent="0.25">
      <c r="A72" s="62" t="s">
        <v>95</v>
      </c>
      <c r="C72" s="62" cm="1">
        <f t="array" ref="C72">INDEX($A:$A, (ROW()-1)*2 + COLUMN()-1)</f>
        <v>0</v>
      </c>
    </row>
    <row r="73" spans="1:3" x14ac:dyDescent="0.25">
      <c r="A73" s="62" t="s">
        <v>64</v>
      </c>
      <c r="C73" s="62" cm="1">
        <f t="array" ref="C73">INDEX($A:$A, (ROW()-1)*2 + COLUMN()-1)</f>
        <v>0</v>
      </c>
    </row>
    <row r="74" spans="1:3" x14ac:dyDescent="0.25">
      <c r="A74" s="62" t="s">
        <v>63</v>
      </c>
      <c r="C74" s="62" cm="1">
        <f t="array" ref="C74">INDEX($A:$A, (ROW()-1)*2 + COLUMN()-1)</f>
        <v>0</v>
      </c>
    </row>
    <row r="75" spans="1:3" x14ac:dyDescent="0.25">
      <c r="A75" s="62" t="s">
        <v>63</v>
      </c>
    </row>
    <row r="76" spans="1:3" x14ac:dyDescent="0.25">
      <c r="A76" s="62" t="s">
        <v>92</v>
      </c>
    </row>
    <row r="77" spans="1:3" x14ac:dyDescent="0.25">
      <c r="A77" s="62" t="s">
        <v>63</v>
      </c>
    </row>
    <row r="78" spans="1:3" x14ac:dyDescent="0.25">
      <c r="A78" s="62" t="s">
        <v>88</v>
      </c>
    </row>
    <row r="79" spans="1:3" x14ac:dyDescent="0.25">
      <c r="A79" s="62" t="s">
        <v>94</v>
      </c>
    </row>
    <row r="80" spans="1:3" x14ac:dyDescent="0.25">
      <c r="A80" s="62" t="s">
        <v>93</v>
      </c>
    </row>
    <row r="81" spans="1:1" x14ac:dyDescent="0.25">
      <c r="A81" s="62" t="s">
        <v>95</v>
      </c>
    </row>
    <row r="82" spans="1:1" x14ac:dyDescent="0.25">
      <c r="A82" s="62" t="s">
        <v>94</v>
      </c>
    </row>
    <row r="83" spans="1:1" x14ac:dyDescent="0.25">
      <c r="A83" s="62" t="s">
        <v>64</v>
      </c>
    </row>
    <row r="84" spans="1:1" x14ac:dyDescent="0.25">
      <c r="A84" s="62" t="s">
        <v>92</v>
      </c>
    </row>
    <row r="85" spans="1:1" x14ac:dyDescent="0.25">
      <c r="A85" s="62" t="s">
        <v>91</v>
      </c>
    </row>
    <row r="86" spans="1:1" x14ac:dyDescent="0.25">
      <c r="A86" s="62" t="s">
        <v>88</v>
      </c>
    </row>
    <row r="87" spans="1:1" x14ac:dyDescent="0.25">
      <c r="A87" s="62" t="s">
        <v>93</v>
      </c>
    </row>
    <row r="88" spans="1:1" x14ac:dyDescent="0.25">
      <c r="A88" s="62" t="s">
        <v>96</v>
      </c>
    </row>
    <row r="89" spans="1:1" x14ac:dyDescent="0.25">
      <c r="A89" s="62" t="s">
        <v>84</v>
      </c>
    </row>
    <row r="90" spans="1:1" x14ac:dyDescent="0.25">
      <c r="A90" s="62" t="s">
        <v>89</v>
      </c>
    </row>
  </sheetData>
  <phoneticPr fontId="6" type="noConversion"/>
  <printOptions horizontalCentered="1"/>
  <pageMargins left="0.19685039370078741" right="0.19685039370078741" top="0.19685039370078741" bottom="0.39370078740157483" header="0.31496062992125984" footer="0.19685039370078741"/>
  <pageSetup paperSize="8" fitToHeight="1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564B9-14FE-48DE-ABDB-42851CA42C32}">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16384" width="9.140625" style="1"/>
  </cols>
  <sheetData>
    <row r="1" spans="1:4" ht="31.5" x14ac:dyDescent="0.25">
      <c r="A1" s="61" t="s">
        <v>1</v>
      </c>
      <c r="B1" s="57" t="s">
        <v>3692</v>
      </c>
      <c r="C1" s="58" t="s">
        <v>3693</v>
      </c>
      <c r="D1" s="59" t="s">
        <v>3694</v>
      </c>
    </row>
    <row r="2" spans="1:4" ht="31.5" x14ac:dyDescent="0.25">
      <c r="A2" s="61" t="s">
        <v>2</v>
      </c>
      <c r="B2" s="57" t="s">
        <v>3695</v>
      </c>
      <c r="C2" s="58" t="s">
        <v>1437</v>
      </c>
      <c r="D2" s="59" t="s">
        <v>3696</v>
      </c>
    </row>
    <row r="3" spans="1:4" ht="47.25" x14ac:dyDescent="0.25">
      <c r="A3" s="61" t="s">
        <v>3</v>
      </c>
      <c r="B3" s="57" t="s">
        <v>3697</v>
      </c>
      <c r="C3" s="58" t="s">
        <v>530</v>
      </c>
      <c r="D3" s="59" t="s">
        <v>3698</v>
      </c>
    </row>
    <row r="4" spans="1:4" ht="63" x14ac:dyDescent="0.25">
      <c r="A4" s="61" t="s">
        <v>4</v>
      </c>
      <c r="B4" s="57" t="s">
        <v>3699</v>
      </c>
      <c r="C4" s="58" t="s">
        <v>530</v>
      </c>
      <c r="D4" s="59" t="s">
        <v>3700</v>
      </c>
    </row>
    <row r="5" spans="1:4" ht="47.25" x14ac:dyDescent="0.25">
      <c r="A5" s="61" t="s">
        <v>5</v>
      </c>
      <c r="B5" s="57" t="s">
        <v>3701</v>
      </c>
      <c r="C5" s="58" t="s">
        <v>2933</v>
      </c>
      <c r="D5" s="59" t="s">
        <v>3702</v>
      </c>
    </row>
    <row r="6" spans="1:4" ht="31.5" x14ac:dyDescent="0.25">
      <c r="A6" s="61" t="s">
        <v>6</v>
      </c>
      <c r="B6" s="57" t="s">
        <v>3703</v>
      </c>
      <c r="C6" s="58" t="s">
        <v>1012</v>
      </c>
      <c r="D6" s="59" t="s">
        <v>3704</v>
      </c>
    </row>
    <row r="7" spans="1:4" ht="31.5" x14ac:dyDescent="0.25">
      <c r="A7" s="61" t="s">
        <v>7</v>
      </c>
      <c r="B7" s="57" t="s">
        <v>3705</v>
      </c>
      <c r="C7" s="58" t="s">
        <v>1180</v>
      </c>
      <c r="D7" s="59" t="s">
        <v>3706</v>
      </c>
    </row>
    <row r="8" spans="1:4" ht="47.25" x14ac:dyDescent="0.25">
      <c r="A8" s="61" t="s">
        <v>8</v>
      </c>
      <c r="B8" s="57" t="s">
        <v>3707</v>
      </c>
      <c r="C8" s="58" t="s">
        <v>1180</v>
      </c>
      <c r="D8" s="59" t="s">
        <v>3708</v>
      </c>
    </row>
    <row r="9" spans="1:4" ht="31.5" x14ac:dyDescent="0.25">
      <c r="A9" s="61" t="s">
        <v>9</v>
      </c>
      <c r="B9" s="57" t="s">
        <v>3709</v>
      </c>
      <c r="C9" s="58" t="s">
        <v>1166</v>
      </c>
      <c r="D9" s="59" t="s">
        <v>3710</v>
      </c>
    </row>
    <row r="10" spans="1:4" ht="47.25" x14ac:dyDescent="0.25">
      <c r="A10" s="61" t="s">
        <v>10</v>
      </c>
      <c r="B10" s="57" t="s">
        <v>3711</v>
      </c>
      <c r="C10" s="58" t="s">
        <v>3712</v>
      </c>
      <c r="D10" s="59" t="s">
        <v>3713</v>
      </c>
    </row>
    <row r="11" spans="1:4" ht="63" x14ac:dyDescent="0.25">
      <c r="A11" s="61" t="s">
        <v>11</v>
      </c>
      <c r="B11" s="57" t="s">
        <v>3714</v>
      </c>
      <c r="C11" s="58" t="s">
        <v>3715</v>
      </c>
      <c r="D11" s="59" t="s">
        <v>3716</v>
      </c>
    </row>
    <row r="12" spans="1:4" ht="31.5" x14ac:dyDescent="0.25">
      <c r="A12" s="61" t="s">
        <v>12</v>
      </c>
      <c r="B12" s="57" t="s">
        <v>3717</v>
      </c>
      <c r="C12" s="58" t="s">
        <v>580</v>
      </c>
      <c r="D12" s="59" t="s">
        <v>3718</v>
      </c>
    </row>
    <row r="13" spans="1:4" ht="31.5" x14ac:dyDescent="0.25">
      <c r="A13" s="61" t="s">
        <v>13</v>
      </c>
      <c r="B13" s="57" t="s">
        <v>3719</v>
      </c>
      <c r="C13" s="58" t="s">
        <v>498</v>
      </c>
      <c r="D13" s="59" t="s">
        <v>3720</v>
      </c>
    </row>
    <row r="14" spans="1:4" ht="31.5" x14ac:dyDescent="0.25">
      <c r="A14" s="61" t="s">
        <v>14</v>
      </c>
      <c r="B14" s="57" t="s">
        <v>3721</v>
      </c>
      <c r="C14" s="58" t="s">
        <v>3722</v>
      </c>
      <c r="D14" s="59" t="s">
        <v>3723</v>
      </c>
    </row>
    <row r="15" spans="1:4" ht="31.5" x14ac:dyDescent="0.25">
      <c r="A15" s="61" t="s">
        <v>15</v>
      </c>
      <c r="B15" s="57" t="s">
        <v>3724</v>
      </c>
      <c r="C15" s="58" t="s">
        <v>3722</v>
      </c>
      <c r="D15" s="59" t="s">
        <v>3725</v>
      </c>
    </row>
    <row r="16" spans="1:4" ht="31.5" x14ac:dyDescent="0.25">
      <c r="A16" s="61" t="s">
        <v>16</v>
      </c>
      <c r="B16" s="57" t="s">
        <v>3726</v>
      </c>
      <c r="C16" s="58" t="s">
        <v>1284</v>
      </c>
      <c r="D16" s="59" t="s">
        <v>3727</v>
      </c>
    </row>
    <row r="17" spans="1:4" ht="47.25" x14ac:dyDescent="0.25">
      <c r="A17" s="61" t="s">
        <v>17</v>
      </c>
      <c r="B17" s="57" t="s">
        <v>3728</v>
      </c>
      <c r="C17" s="58" t="s">
        <v>1503</v>
      </c>
      <c r="D17" s="59" t="s">
        <v>3729</v>
      </c>
    </row>
    <row r="18" spans="1:4" ht="31.5" x14ac:dyDescent="0.25">
      <c r="A18" s="61" t="s">
        <v>18</v>
      </c>
      <c r="B18" s="57" t="s">
        <v>3730</v>
      </c>
      <c r="C18" s="58" t="s">
        <v>390</v>
      </c>
      <c r="D18" s="59" t="s">
        <v>3731</v>
      </c>
    </row>
    <row r="19" spans="1:4" ht="47.25" x14ac:dyDescent="0.25">
      <c r="A19" s="61" t="s">
        <v>19</v>
      </c>
      <c r="B19" s="57" t="s">
        <v>3732</v>
      </c>
      <c r="C19" s="58" t="s">
        <v>3733</v>
      </c>
      <c r="D19" s="59" t="s">
        <v>3734</v>
      </c>
    </row>
    <row r="20" spans="1:4" ht="47.25" x14ac:dyDescent="0.25">
      <c r="A20" s="61" t="s">
        <v>20</v>
      </c>
      <c r="B20" s="57" t="s">
        <v>3735</v>
      </c>
      <c r="C20" s="58" t="s">
        <v>1401</v>
      </c>
      <c r="D20" s="59" t="s">
        <v>3736</v>
      </c>
    </row>
    <row r="21" spans="1:4" ht="47.25" x14ac:dyDescent="0.25">
      <c r="A21" s="61" t="s">
        <v>27</v>
      </c>
      <c r="B21" s="57" t="s">
        <v>3737</v>
      </c>
      <c r="C21" s="58" t="s">
        <v>933</v>
      </c>
      <c r="D21" s="59" t="s">
        <v>3738</v>
      </c>
    </row>
    <row r="22" spans="1:4" ht="47.25" x14ac:dyDescent="0.25">
      <c r="A22" s="61" t="s">
        <v>28</v>
      </c>
      <c r="B22" s="57" t="s">
        <v>3739</v>
      </c>
      <c r="C22" s="58" t="s">
        <v>3740</v>
      </c>
      <c r="D22" s="59" t="s">
        <v>3741</v>
      </c>
    </row>
    <row r="23" spans="1:4" ht="31.5" x14ac:dyDescent="0.25">
      <c r="A23" s="61" t="s">
        <v>29</v>
      </c>
      <c r="B23" s="57" t="s">
        <v>3742</v>
      </c>
      <c r="C23" s="58" t="s">
        <v>3740</v>
      </c>
      <c r="D23" s="59" t="s">
        <v>3743</v>
      </c>
    </row>
    <row r="24" spans="1:4" ht="31.5" x14ac:dyDescent="0.25">
      <c r="A24" s="61" t="s">
        <v>30</v>
      </c>
      <c r="B24" s="57" t="s">
        <v>3744</v>
      </c>
      <c r="C24" s="58" t="s">
        <v>3740</v>
      </c>
      <c r="D24" s="59" t="s">
        <v>3745</v>
      </c>
    </row>
    <row r="25" spans="1:4" ht="31.5" x14ac:dyDescent="0.25">
      <c r="A25" s="61" t="s">
        <v>31</v>
      </c>
      <c r="B25" s="57" t="s">
        <v>3746</v>
      </c>
      <c r="C25" s="58" t="s">
        <v>3740</v>
      </c>
      <c r="D25" s="59" t="s">
        <v>3747</v>
      </c>
    </row>
    <row r="26" spans="1:4" ht="31.5" x14ac:dyDescent="0.25">
      <c r="A26" s="61" t="s">
        <v>32</v>
      </c>
      <c r="B26" s="57" t="s">
        <v>3748</v>
      </c>
      <c r="C26" s="58" t="s">
        <v>2161</v>
      </c>
      <c r="D26" s="59" t="s">
        <v>3749</v>
      </c>
    </row>
    <row r="27" spans="1:4" ht="47.25" x14ac:dyDescent="0.25">
      <c r="A27" s="61" t="s">
        <v>33</v>
      </c>
      <c r="B27" s="57" t="s">
        <v>3750</v>
      </c>
      <c r="C27" s="58" t="s">
        <v>732</v>
      </c>
      <c r="D27" s="59" t="s">
        <v>3751</v>
      </c>
    </row>
    <row r="28" spans="1:4" ht="47.25" x14ac:dyDescent="0.25">
      <c r="A28" s="61" t="s">
        <v>34</v>
      </c>
      <c r="B28" s="57" t="s">
        <v>3752</v>
      </c>
      <c r="C28" s="58" t="s">
        <v>732</v>
      </c>
      <c r="D28" s="59" t="s">
        <v>3753</v>
      </c>
    </row>
    <row r="29" spans="1:4" ht="47.25" x14ac:dyDescent="0.25">
      <c r="A29" s="61" t="s">
        <v>35</v>
      </c>
      <c r="B29" s="57" t="s">
        <v>3754</v>
      </c>
      <c r="C29" s="58" t="s">
        <v>873</v>
      </c>
      <c r="D29" s="59" t="s">
        <v>3755</v>
      </c>
    </row>
    <row r="30" spans="1:4" ht="31.5" x14ac:dyDescent="0.25">
      <c r="A30" s="61" t="s">
        <v>36</v>
      </c>
      <c r="B30" s="57" t="s">
        <v>3756</v>
      </c>
      <c r="C30" s="58" t="s">
        <v>873</v>
      </c>
      <c r="D30" s="59" t="s">
        <v>3757</v>
      </c>
    </row>
    <row r="31" spans="1:4" ht="63" x14ac:dyDescent="0.25">
      <c r="A31" s="61" t="s">
        <v>37</v>
      </c>
      <c r="B31" s="57" t="s">
        <v>3758</v>
      </c>
      <c r="C31" s="58" t="s">
        <v>1253</v>
      </c>
      <c r="D31" s="59" t="s">
        <v>3759</v>
      </c>
    </row>
    <row r="32" spans="1:4" ht="47.25" x14ac:dyDescent="0.25">
      <c r="A32" s="61" t="s">
        <v>38</v>
      </c>
      <c r="B32" s="57" t="s">
        <v>3760</v>
      </c>
      <c r="C32" s="58" t="s">
        <v>435</v>
      </c>
      <c r="D32" s="59" t="s">
        <v>3761</v>
      </c>
    </row>
    <row r="33" spans="1:4" ht="63" x14ac:dyDescent="0.25">
      <c r="A33" s="61" t="s">
        <v>39</v>
      </c>
      <c r="B33" s="57" t="s">
        <v>3762</v>
      </c>
      <c r="C33" s="58" t="s">
        <v>3763</v>
      </c>
      <c r="D33" s="59" t="s">
        <v>3764</v>
      </c>
    </row>
    <row r="34" spans="1:4" ht="47.25" x14ac:dyDescent="0.25">
      <c r="A34" s="61" t="s">
        <v>40</v>
      </c>
      <c r="B34" s="57" t="s">
        <v>3765</v>
      </c>
      <c r="C34" s="58" t="s">
        <v>360</v>
      </c>
      <c r="D34" s="59" t="s">
        <v>3766</v>
      </c>
    </row>
    <row r="35" spans="1:4" ht="47.25" x14ac:dyDescent="0.25">
      <c r="A35" s="61" t="s">
        <v>41</v>
      </c>
      <c r="B35" s="57" t="s">
        <v>3767</v>
      </c>
      <c r="C35" s="58" t="s">
        <v>360</v>
      </c>
      <c r="D35" s="59" t="s">
        <v>3768</v>
      </c>
    </row>
    <row r="36" spans="1:4" ht="47.25" x14ac:dyDescent="0.25">
      <c r="A36" s="61" t="s">
        <v>42</v>
      </c>
      <c r="B36" s="57" t="s">
        <v>3769</v>
      </c>
      <c r="C36" s="58" t="s">
        <v>3770</v>
      </c>
      <c r="D36" s="59" t="s">
        <v>3771</v>
      </c>
    </row>
    <row r="37" spans="1:4" ht="47.25" x14ac:dyDescent="0.25">
      <c r="A37" s="61" t="s">
        <v>43</v>
      </c>
      <c r="B37" s="57" t="s">
        <v>3772</v>
      </c>
      <c r="C37" s="58" t="s">
        <v>422</v>
      </c>
      <c r="D37" s="59" t="s">
        <v>3773</v>
      </c>
    </row>
    <row r="38" spans="1:4" ht="47.25" x14ac:dyDescent="0.25">
      <c r="A38" s="61" t="s">
        <v>44</v>
      </c>
      <c r="B38" s="57" t="s">
        <v>3774</v>
      </c>
      <c r="C38" s="58" t="s">
        <v>422</v>
      </c>
      <c r="D38" s="59" t="s">
        <v>3775</v>
      </c>
    </row>
    <row r="39" spans="1:4" ht="63" x14ac:dyDescent="0.25">
      <c r="A39" s="61" t="s">
        <v>45</v>
      </c>
      <c r="B39" s="57" t="s">
        <v>3776</v>
      </c>
      <c r="C39" s="58" t="s">
        <v>3106</v>
      </c>
      <c r="D39" s="59" t="s">
        <v>3777</v>
      </c>
    </row>
    <row r="40" spans="1:4" ht="78.75" x14ac:dyDescent="0.25">
      <c r="A40" s="61" t="s">
        <v>46</v>
      </c>
      <c r="B40" s="57" t="s">
        <v>3778</v>
      </c>
      <c r="C40" s="58" t="s">
        <v>3106</v>
      </c>
      <c r="D40" s="59" t="s">
        <v>3779</v>
      </c>
    </row>
    <row r="41" spans="1:4" ht="31.5" x14ac:dyDescent="0.25">
      <c r="A41" s="61" t="s">
        <v>47</v>
      </c>
      <c r="B41" s="57" t="s">
        <v>3780</v>
      </c>
      <c r="C41" s="58" t="s">
        <v>2563</v>
      </c>
      <c r="D41" s="59" t="s">
        <v>3781</v>
      </c>
    </row>
    <row r="42" spans="1:4" ht="47.25" x14ac:dyDescent="0.25">
      <c r="A42" s="61" t="s">
        <v>48</v>
      </c>
      <c r="B42" s="57" t="s">
        <v>3782</v>
      </c>
      <c r="C42" s="58" t="s">
        <v>807</v>
      </c>
      <c r="D42" s="59" t="s">
        <v>3783</v>
      </c>
    </row>
    <row r="43" spans="1:4" ht="63" x14ac:dyDescent="0.25">
      <c r="A43" s="61" t="s">
        <v>49</v>
      </c>
      <c r="B43" s="57" t="s">
        <v>3784</v>
      </c>
      <c r="C43" s="58" t="s">
        <v>3785</v>
      </c>
      <c r="D43" s="59" t="s">
        <v>3786</v>
      </c>
    </row>
    <row r="44" spans="1:4" ht="63" x14ac:dyDescent="0.25">
      <c r="A44" s="61" t="s">
        <v>50</v>
      </c>
      <c r="B44" s="57" t="s">
        <v>3787</v>
      </c>
      <c r="C44" s="58" t="s">
        <v>2006</v>
      </c>
      <c r="D44" s="59" t="s">
        <v>3788</v>
      </c>
    </row>
    <row r="45" spans="1:4" ht="31.5" x14ac:dyDescent="0.25">
      <c r="A45" s="61" t="s">
        <v>51</v>
      </c>
      <c r="B45" s="57" t="s">
        <v>3789</v>
      </c>
      <c r="C45" s="58" t="s">
        <v>746</v>
      </c>
      <c r="D45" s="59" t="s">
        <v>3790</v>
      </c>
    </row>
    <row r="46" spans="1:4" ht="31.5" x14ac:dyDescent="0.25">
      <c r="A46" s="61" t="s">
        <v>52</v>
      </c>
      <c r="B46" s="57" t="s">
        <v>3791</v>
      </c>
      <c r="C46" s="58" t="s">
        <v>377</v>
      </c>
      <c r="D46" s="59" t="s">
        <v>3792</v>
      </c>
    </row>
    <row r="47" spans="1:4" ht="31.5" x14ac:dyDescent="0.25">
      <c r="A47" s="61" t="s">
        <v>53</v>
      </c>
      <c r="B47" s="57" t="s">
        <v>3793</v>
      </c>
      <c r="C47" s="58" t="s">
        <v>377</v>
      </c>
      <c r="D47" s="59" t="s">
        <v>3794</v>
      </c>
    </row>
    <row r="48" spans="1:4" ht="31.5" x14ac:dyDescent="0.25">
      <c r="A48" s="61" t="s">
        <v>54</v>
      </c>
      <c r="B48" s="57" t="s">
        <v>3795</v>
      </c>
      <c r="C48" s="58" t="s">
        <v>429</v>
      </c>
      <c r="D48" s="59" t="s">
        <v>3796</v>
      </c>
    </row>
    <row r="49" spans="1:4" ht="31.5" x14ac:dyDescent="0.25">
      <c r="A49" s="61" t="s">
        <v>55</v>
      </c>
      <c r="B49" s="57" t="s">
        <v>3797</v>
      </c>
      <c r="C49" s="58" t="s">
        <v>1314</v>
      </c>
      <c r="D49" s="59" t="s">
        <v>3798</v>
      </c>
    </row>
    <row r="50" spans="1:4" ht="31.5" x14ac:dyDescent="0.25">
      <c r="A50" s="61" t="s">
        <v>56</v>
      </c>
      <c r="B50" s="57" t="s">
        <v>3799</v>
      </c>
      <c r="C50" s="58" t="s">
        <v>1016</v>
      </c>
      <c r="D50" s="59" t="s">
        <v>3800</v>
      </c>
    </row>
    <row r="51" spans="1:4" ht="31.5" x14ac:dyDescent="0.25">
      <c r="A51" s="61" t="s">
        <v>74</v>
      </c>
      <c r="B51" s="57" t="s">
        <v>3801</v>
      </c>
      <c r="C51" s="58" t="s">
        <v>3693</v>
      </c>
      <c r="D51" s="59" t="s">
        <v>3802</v>
      </c>
    </row>
    <row r="52" spans="1:4" ht="47.25" x14ac:dyDescent="0.25">
      <c r="A52" s="61" t="s">
        <v>75</v>
      </c>
      <c r="B52" s="57" t="s">
        <v>3803</v>
      </c>
      <c r="C52" s="58" t="s">
        <v>794</v>
      </c>
      <c r="D52" s="59" t="s">
        <v>3804</v>
      </c>
    </row>
    <row r="53" spans="1:4" ht="31.5" x14ac:dyDescent="0.25">
      <c r="A53" s="61" t="s">
        <v>157</v>
      </c>
      <c r="B53" s="57" t="s">
        <v>3805</v>
      </c>
      <c r="C53" s="58" t="s">
        <v>3806</v>
      </c>
      <c r="D53" s="59" t="s">
        <v>3807</v>
      </c>
    </row>
    <row r="54" spans="1:4" ht="63" x14ac:dyDescent="0.25">
      <c r="A54" s="61" t="s">
        <v>159</v>
      </c>
      <c r="B54" s="57" t="s">
        <v>3808</v>
      </c>
      <c r="C54" s="58" t="s">
        <v>3809</v>
      </c>
      <c r="D54" s="59" t="s">
        <v>3810</v>
      </c>
    </row>
    <row r="55" spans="1:4" ht="47.25" x14ac:dyDescent="0.25">
      <c r="A55" s="61" t="s">
        <v>161</v>
      </c>
      <c r="B55" s="57" t="s">
        <v>3811</v>
      </c>
      <c r="C55" s="58" t="s">
        <v>554</v>
      </c>
      <c r="D55" s="59" t="s">
        <v>3812</v>
      </c>
    </row>
    <row r="56" spans="1:4" ht="47.25" x14ac:dyDescent="0.25">
      <c r="A56" s="61" t="s">
        <v>162</v>
      </c>
      <c r="B56" s="57" t="s">
        <v>3813</v>
      </c>
      <c r="C56" s="58" t="s">
        <v>3814</v>
      </c>
      <c r="D56" s="59" t="s">
        <v>3815</v>
      </c>
    </row>
    <row r="57" spans="1:4" ht="31.5" x14ac:dyDescent="0.25">
      <c r="A57" s="61" t="s">
        <v>163</v>
      </c>
      <c r="B57" s="57" t="s">
        <v>3816</v>
      </c>
      <c r="C57" s="60" t="s">
        <v>2729</v>
      </c>
      <c r="D57" s="59" t="s">
        <v>3817</v>
      </c>
    </row>
    <row r="58" spans="1:4" ht="31.5" x14ac:dyDescent="0.25">
      <c r="A58" s="61" t="s">
        <v>164</v>
      </c>
      <c r="B58" s="57" t="s">
        <v>3818</v>
      </c>
      <c r="C58" s="58" t="s">
        <v>3819</v>
      </c>
      <c r="D58" s="59" t="s">
        <v>3820</v>
      </c>
    </row>
    <row r="59" spans="1:4" ht="47.25" x14ac:dyDescent="0.25">
      <c r="A59" s="61" t="s">
        <v>165</v>
      </c>
      <c r="B59" s="57" t="s">
        <v>3821</v>
      </c>
      <c r="C59" s="58" t="s">
        <v>3822</v>
      </c>
      <c r="D59" s="59" t="s">
        <v>3823</v>
      </c>
    </row>
    <row r="60" spans="1:4" ht="31.5" x14ac:dyDescent="0.25">
      <c r="A60" s="61" t="s">
        <v>166</v>
      </c>
      <c r="B60" s="57" t="s">
        <v>3824</v>
      </c>
      <c r="C60" s="58" t="s">
        <v>786</v>
      </c>
      <c r="D60" s="59" t="s">
        <v>3825</v>
      </c>
    </row>
    <row r="61" spans="1:4" ht="47.25" x14ac:dyDescent="0.25">
      <c r="A61" s="61" t="s">
        <v>167</v>
      </c>
      <c r="B61" s="57" t="s">
        <v>3826</v>
      </c>
      <c r="C61" s="58" t="s">
        <v>3827</v>
      </c>
      <c r="D61" s="59" t="s">
        <v>3828</v>
      </c>
    </row>
    <row r="62" spans="1:4" ht="63" x14ac:dyDescent="0.25">
      <c r="A62" s="61" t="s">
        <v>168</v>
      </c>
      <c r="B62" s="57" t="s">
        <v>3829</v>
      </c>
      <c r="C62" s="58" t="s">
        <v>2552</v>
      </c>
      <c r="D62" s="59" t="s">
        <v>3830</v>
      </c>
    </row>
    <row r="63" spans="1:4" ht="31.5" x14ac:dyDescent="0.25">
      <c r="A63" s="61" t="s">
        <v>169</v>
      </c>
      <c r="B63" s="57" t="s">
        <v>3831</v>
      </c>
      <c r="C63" s="58" t="s">
        <v>1654</v>
      </c>
      <c r="D63" s="59" t="s">
        <v>3832</v>
      </c>
    </row>
    <row r="64" spans="1:4" ht="47.25" x14ac:dyDescent="0.25">
      <c r="A64" s="61" t="s">
        <v>170</v>
      </c>
      <c r="B64" s="57" t="s">
        <v>3833</v>
      </c>
      <c r="C64" s="58" t="s">
        <v>3834</v>
      </c>
      <c r="D64" s="59" t="s">
        <v>3835</v>
      </c>
    </row>
    <row r="65" spans="1:4" ht="31.5" x14ac:dyDescent="0.25">
      <c r="A65" s="61" t="s">
        <v>171</v>
      </c>
      <c r="B65" s="57" t="s">
        <v>3836</v>
      </c>
      <c r="C65" s="58" t="s">
        <v>3179</v>
      </c>
      <c r="D65" s="59" t="s">
        <v>3837</v>
      </c>
    </row>
    <row r="66" spans="1:4" ht="31.5" x14ac:dyDescent="0.25">
      <c r="A66" s="61" t="s">
        <v>172</v>
      </c>
      <c r="B66" s="57" t="s">
        <v>3838</v>
      </c>
      <c r="C66" s="58" t="s">
        <v>1198</v>
      </c>
      <c r="D66" s="59" t="s">
        <v>3839</v>
      </c>
    </row>
    <row r="67" spans="1:4" ht="63" x14ac:dyDescent="0.25">
      <c r="A67" s="61" t="s">
        <v>173</v>
      </c>
      <c r="B67" s="57" t="s">
        <v>3840</v>
      </c>
      <c r="C67" s="60" t="s">
        <v>1198</v>
      </c>
      <c r="D67" s="59" t="s">
        <v>3841</v>
      </c>
    </row>
    <row r="68" spans="1:4" ht="47.25" x14ac:dyDescent="0.25">
      <c r="A68" s="61" t="s">
        <v>174</v>
      </c>
      <c r="B68" s="57" t="s">
        <v>3842</v>
      </c>
      <c r="C68" s="58" t="s">
        <v>569</v>
      </c>
      <c r="D68" s="59" t="s">
        <v>3843</v>
      </c>
    </row>
    <row r="69" spans="1:4" ht="31.5" x14ac:dyDescent="0.25">
      <c r="A69" s="61" t="s">
        <v>175</v>
      </c>
      <c r="B69" s="57" t="s">
        <v>3844</v>
      </c>
      <c r="C69" s="58" t="s">
        <v>3845</v>
      </c>
      <c r="D69" s="59" t="s">
        <v>3846</v>
      </c>
    </row>
    <row r="70" spans="1:4" ht="31.5" x14ac:dyDescent="0.25">
      <c r="A70" s="61" t="s">
        <v>176</v>
      </c>
      <c r="B70" s="57" t="s">
        <v>3847</v>
      </c>
      <c r="C70" s="58" t="s">
        <v>580</v>
      </c>
      <c r="D70" s="59" t="s">
        <v>3848</v>
      </c>
    </row>
    <row r="71" spans="1:4" ht="31.5" x14ac:dyDescent="0.25">
      <c r="A71" s="61" t="s">
        <v>177</v>
      </c>
      <c r="B71" s="57" t="s">
        <v>3849</v>
      </c>
      <c r="C71" s="58" t="s">
        <v>1448</v>
      </c>
      <c r="D71" s="59" t="s">
        <v>3850</v>
      </c>
    </row>
    <row r="72" spans="1:4" ht="31.5" x14ac:dyDescent="0.25">
      <c r="A72" s="61" t="s">
        <v>178</v>
      </c>
      <c r="B72" s="6" t="s">
        <v>414</v>
      </c>
      <c r="C72" s="8" t="s">
        <v>415</v>
      </c>
      <c r="D72" s="7" t="s">
        <v>417</v>
      </c>
    </row>
    <row r="73" spans="1:4" ht="63" x14ac:dyDescent="0.25">
      <c r="A73" s="61" t="s">
        <v>179</v>
      </c>
      <c r="B73" s="6" t="s">
        <v>418</v>
      </c>
      <c r="C73" s="8" t="s">
        <v>419</v>
      </c>
      <c r="D73" s="7" t="s">
        <v>420</v>
      </c>
    </row>
    <row r="74" spans="1:4" ht="63" x14ac:dyDescent="0.25">
      <c r="A74" s="61" t="s">
        <v>180</v>
      </c>
      <c r="B74" s="6" t="s">
        <v>421</v>
      </c>
      <c r="C74" s="8" t="s">
        <v>422</v>
      </c>
      <c r="D74" s="7" t="s">
        <v>423</v>
      </c>
    </row>
    <row r="75" spans="1:4" ht="31.5" x14ac:dyDescent="0.25">
      <c r="A75" s="61" t="s">
        <v>181</v>
      </c>
      <c r="B75" s="6" t="s">
        <v>424</v>
      </c>
      <c r="C75" s="8" t="s">
        <v>425</v>
      </c>
      <c r="D75" s="7" t="s">
        <v>427</v>
      </c>
    </row>
    <row r="76" spans="1:4" ht="47.25" x14ac:dyDescent="0.25">
      <c r="A76" s="61" t="s">
        <v>182</v>
      </c>
      <c r="B76" s="6" t="s">
        <v>428</v>
      </c>
      <c r="C76" s="8" t="s">
        <v>429</v>
      </c>
      <c r="D76" s="7" t="s">
        <v>430</v>
      </c>
    </row>
    <row r="77" spans="1:4" ht="31.5" x14ac:dyDescent="0.25">
      <c r="A77" s="61" t="s">
        <v>183</v>
      </c>
      <c r="B77" s="6" t="s">
        <v>431</v>
      </c>
      <c r="C77" s="8" t="s">
        <v>432</v>
      </c>
      <c r="D77" s="7" t="s">
        <v>433</v>
      </c>
    </row>
    <row r="78" spans="1:4" ht="31.5" x14ac:dyDescent="0.25">
      <c r="A78" s="61" t="s">
        <v>184</v>
      </c>
      <c r="B78" s="6" t="s">
        <v>434</v>
      </c>
      <c r="C78" s="8" t="s">
        <v>435</v>
      </c>
      <c r="D78" s="7" t="s">
        <v>436</v>
      </c>
    </row>
    <row r="79" spans="1:4" ht="63" x14ac:dyDescent="0.25">
      <c r="A79" s="61" t="s">
        <v>185</v>
      </c>
      <c r="B79" s="6" t="s">
        <v>437</v>
      </c>
      <c r="C79" s="8" t="s">
        <v>438</v>
      </c>
      <c r="D79" s="7" t="s">
        <v>439</v>
      </c>
    </row>
    <row r="80" spans="1:4" ht="31.5" x14ac:dyDescent="0.25">
      <c r="A80" s="5" t="s">
        <v>9</v>
      </c>
      <c r="B80" s="6" t="s">
        <v>440</v>
      </c>
      <c r="C80" s="8" t="s">
        <v>441</v>
      </c>
      <c r="D80" s="7" t="s">
        <v>442</v>
      </c>
    </row>
    <row r="81" spans="1:4" ht="47.25" x14ac:dyDescent="0.25">
      <c r="A81" s="5" t="s">
        <v>10</v>
      </c>
      <c r="B81" s="6" t="s">
        <v>443</v>
      </c>
      <c r="C81" s="8" t="s">
        <v>444</v>
      </c>
      <c r="D81" s="7" t="s">
        <v>445</v>
      </c>
    </row>
    <row r="82" spans="1:4" ht="47.25" x14ac:dyDescent="0.25">
      <c r="A82" s="5" t="s">
        <v>11</v>
      </c>
      <c r="B82" s="6" t="s">
        <v>446</v>
      </c>
      <c r="C82" s="8" t="s">
        <v>447</v>
      </c>
      <c r="D82" s="7" t="s">
        <v>448</v>
      </c>
    </row>
    <row r="83" spans="1:4" ht="47.25" x14ac:dyDescent="0.25">
      <c r="A83" s="5" t="s">
        <v>12</v>
      </c>
      <c r="B83" s="6" t="s">
        <v>449</v>
      </c>
      <c r="C83" s="8" t="s">
        <v>450</v>
      </c>
      <c r="D83" s="7" t="s">
        <v>451</v>
      </c>
    </row>
    <row r="84" spans="1:4" ht="47.25" x14ac:dyDescent="0.25">
      <c r="A84" s="5" t="s">
        <v>13</v>
      </c>
      <c r="B84" s="6" t="s">
        <v>452</v>
      </c>
      <c r="C84" s="8" t="s">
        <v>453</v>
      </c>
      <c r="D84" s="7" t="s">
        <v>454</v>
      </c>
    </row>
    <row r="85" spans="1:4" ht="31.5" x14ac:dyDescent="0.25">
      <c r="A85" s="5" t="s">
        <v>14</v>
      </c>
      <c r="B85" s="6" t="s">
        <v>455</v>
      </c>
      <c r="C85" s="8" t="s">
        <v>456</v>
      </c>
      <c r="D85" s="7" t="s">
        <v>457</v>
      </c>
    </row>
    <row r="86" spans="1:4" ht="47.25" x14ac:dyDescent="0.25">
      <c r="A86" s="5" t="s">
        <v>15</v>
      </c>
      <c r="B86" s="6" t="s">
        <v>458</v>
      </c>
      <c r="C86" s="8" t="s">
        <v>459</v>
      </c>
      <c r="D86" s="7" t="s">
        <v>460</v>
      </c>
    </row>
    <row r="87" spans="1:4" ht="31.5" x14ac:dyDescent="0.25">
      <c r="A87" s="5" t="s">
        <v>16</v>
      </c>
      <c r="B87" s="6" t="s">
        <v>461</v>
      </c>
      <c r="C87" s="8" t="s">
        <v>462</v>
      </c>
      <c r="D87" s="7" t="s">
        <v>463</v>
      </c>
    </row>
    <row r="88" spans="1:4" ht="47.25" x14ac:dyDescent="0.25">
      <c r="A88" s="5" t="s">
        <v>17</v>
      </c>
      <c r="B88" s="6" t="s">
        <v>464</v>
      </c>
      <c r="C88" s="8" t="s">
        <v>465</v>
      </c>
      <c r="D88" s="7" t="s">
        <v>466</v>
      </c>
    </row>
    <row r="89" spans="1:4" ht="47.25" x14ac:dyDescent="0.25">
      <c r="A89" s="5" t="s">
        <v>18</v>
      </c>
      <c r="B89" s="6" t="s">
        <v>467</v>
      </c>
      <c r="C89" s="8" t="s">
        <v>468</v>
      </c>
      <c r="D89" s="7" t="s">
        <v>469</v>
      </c>
    </row>
    <row r="90" spans="1:4" ht="47.25" x14ac:dyDescent="0.25">
      <c r="A90" s="5" t="s">
        <v>19</v>
      </c>
      <c r="B90" s="6" t="s">
        <v>470</v>
      </c>
      <c r="C90" s="8" t="s">
        <v>471</v>
      </c>
      <c r="D90" s="7" t="s">
        <v>472</v>
      </c>
    </row>
    <row r="91" spans="1:4" ht="47.25" x14ac:dyDescent="0.25">
      <c r="A91" s="5" t="s">
        <v>20</v>
      </c>
      <c r="B91" s="6" t="s">
        <v>473</v>
      </c>
      <c r="C91" s="8" t="s">
        <v>474</v>
      </c>
      <c r="D91" s="7" t="s">
        <v>475</v>
      </c>
    </row>
    <row r="92" spans="1:4" ht="47.25" x14ac:dyDescent="0.25">
      <c r="A92" s="5" t="s">
        <v>27</v>
      </c>
      <c r="B92" s="6" t="s">
        <v>476</v>
      </c>
      <c r="C92" s="8" t="s">
        <v>477</v>
      </c>
      <c r="D92" s="7" t="s">
        <v>478</v>
      </c>
    </row>
    <row r="93" spans="1:4" ht="78.75" x14ac:dyDescent="0.25">
      <c r="A93" s="5" t="s">
        <v>28</v>
      </c>
      <c r="B93" s="6" t="s">
        <v>479</v>
      </c>
      <c r="C93" s="8" t="s">
        <v>480</v>
      </c>
      <c r="D93" s="7" t="s">
        <v>481</v>
      </c>
    </row>
    <row r="94" spans="1:4" ht="78.75" x14ac:dyDescent="0.25">
      <c r="A94" s="5" t="s">
        <v>29</v>
      </c>
      <c r="B94" s="6" t="s">
        <v>482</v>
      </c>
      <c r="C94" s="8" t="s">
        <v>483</v>
      </c>
      <c r="D94" s="7" t="s">
        <v>484</v>
      </c>
    </row>
    <row r="95" spans="1:4" ht="31.5" x14ac:dyDescent="0.25">
      <c r="A95" s="5" t="s">
        <v>30</v>
      </c>
      <c r="B95" s="6" t="s">
        <v>485</v>
      </c>
      <c r="C95" s="8" t="s">
        <v>486</v>
      </c>
      <c r="D95" s="7" t="s">
        <v>487</v>
      </c>
    </row>
    <row r="96" spans="1:4" ht="31.5" x14ac:dyDescent="0.25">
      <c r="A96" s="5" t="s">
        <v>31</v>
      </c>
      <c r="B96" s="6" t="s">
        <v>488</v>
      </c>
      <c r="C96" s="8" t="s">
        <v>489</v>
      </c>
      <c r="D96" s="7" t="s">
        <v>490</v>
      </c>
    </row>
    <row r="97" spans="1:4" ht="63" x14ac:dyDescent="0.25">
      <c r="A97" s="5" t="s">
        <v>32</v>
      </c>
      <c r="B97" s="6" t="s">
        <v>491</v>
      </c>
      <c r="C97" s="8" t="s">
        <v>492</v>
      </c>
      <c r="D97" s="7" t="s">
        <v>493</v>
      </c>
    </row>
    <row r="98" spans="1:4" ht="31.5" x14ac:dyDescent="0.25">
      <c r="A98" s="5" t="s">
        <v>33</v>
      </c>
      <c r="B98" s="6" t="s">
        <v>494</v>
      </c>
      <c r="C98" s="8" t="s">
        <v>495</v>
      </c>
      <c r="D98" s="7" t="s">
        <v>496</v>
      </c>
    </row>
    <row r="99" spans="1:4" ht="47.25" x14ac:dyDescent="0.25">
      <c r="A99" s="5" t="s">
        <v>34</v>
      </c>
      <c r="B99" s="6" t="s">
        <v>497</v>
      </c>
      <c r="C99" s="8" t="s">
        <v>498</v>
      </c>
      <c r="D99" s="7" t="s">
        <v>499</v>
      </c>
    </row>
    <row r="100" spans="1:4" ht="47.25" x14ac:dyDescent="0.25">
      <c r="A100" s="5" t="s">
        <v>35</v>
      </c>
      <c r="B100" s="6" t="s">
        <v>500</v>
      </c>
      <c r="C100" s="8" t="s">
        <v>360</v>
      </c>
      <c r="D100" s="7" t="s">
        <v>501</v>
      </c>
    </row>
    <row r="101" spans="1:4" ht="63" x14ac:dyDescent="0.25">
      <c r="A101" s="5" t="s">
        <v>36</v>
      </c>
      <c r="B101" s="6" t="s">
        <v>502</v>
      </c>
      <c r="C101" s="8" t="s">
        <v>366</v>
      </c>
      <c r="D101" s="7" t="s">
        <v>503</v>
      </c>
    </row>
    <row r="102" spans="1:4" ht="31.5" x14ac:dyDescent="0.25">
      <c r="A102" s="5" t="s">
        <v>37</v>
      </c>
      <c r="B102" s="6" t="s">
        <v>504</v>
      </c>
      <c r="C102" s="8" t="s">
        <v>459</v>
      </c>
      <c r="D102" s="7" t="s">
        <v>505</v>
      </c>
    </row>
    <row r="103" spans="1:4" ht="47.25" x14ac:dyDescent="0.25">
      <c r="A103" s="5" t="s">
        <v>38</v>
      </c>
      <c r="B103" s="6" t="s">
        <v>506</v>
      </c>
      <c r="C103" s="8" t="s">
        <v>507</v>
      </c>
      <c r="D103" s="7" t="s">
        <v>508</v>
      </c>
    </row>
    <row r="104" spans="1:4" ht="63" x14ac:dyDescent="0.25">
      <c r="A104" s="5" t="s">
        <v>39</v>
      </c>
      <c r="B104" s="6" t="s">
        <v>509</v>
      </c>
      <c r="C104" s="8" t="s">
        <v>510</v>
      </c>
      <c r="D104" s="7" t="s">
        <v>511</v>
      </c>
    </row>
    <row r="105" spans="1:4" ht="47.25" x14ac:dyDescent="0.25">
      <c r="A105" s="5" t="s">
        <v>40</v>
      </c>
      <c r="B105" s="6" t="s">
        <v>512</v>
      </c>
      <c r="C105" s="8" t="s">
        <v>513</v>
      </c>
      <c r="D105" s="7" t="s">
        <v>514</v>
      </c>
    </row>
    <row r="106" spans="1:4" ht="47.25" x14ac:dyDescent="0.25">
      <c r="A106" s="5" t="s">
        <v>41</v>
      </c>
      <c r="B106" s="6" t="s">
        <v>515</v>
      </c>
      <c r="C106" s="8" t="s">
        <v>513</v>
      </c>
      <c r="D106" s="7" t="s">
        <v>516</v>
      </c>
    </row>
    <row r="107" spans="1:4" ht="47.25" x14ac:dyDescent="0.25">
      <c r="A107" s="5" t="s">
        <v>42</v>
      </c>
      <c r="B107" s="6" t="s">
        <v>517</v>
      </c>
      <c r="C107" s="8" t="s">
        <v>518</v>
      </c>
      <c r="D107" s="7" t="s">
        <v>519</v>
      </c>
    </row>
    <row r="108" spans="1:4" ht="47.25" x14ac:dyDescent="0.25">
      <c r="A108" s="5" t="s">
        <v>43</v>
      </c>
      <c r="B108" s="6" t="s">
        <v>520</v>
      </c>
      <c r="C108" s="8" t="s">
        <v>518</v>
      </c>
      <c r="D108" s="7" t="s">
        <v>521</v>
      </c>
    </row>
    <row r="109" spans="1:4" ht="47.25" x14ac:dyDescent="0.25">
      <c r="A109" s="5" t="s">
        <v>44</v>
      </c>
      <c r="B109" s="6" t="s">
        <v>522</v>
      </c>
      <c r="C109" s="8" t="s">
        <v>498</v>
      </c>
      <c r="D109" s="7" t="s">
        <v>523</v>
      </c>
    </row>
    <row r="110" spans="1:4" ht="31.5" x14ac:dyDescent="0.25">
      <c r="A110" s="5" t="s">
        <v>45</v>
      </c>
      <c r="B110" s="6" t="s">
        <v>524</v>
      </c>
      <c r="C110" s="8" t="s">
        <v>525</v>
      </c>
      <c r="D110" s="7" t="s">
        <v>526</v>
      </c>
    </row>
    <row r="111" spans="1:4" ht="31.5" x14ac:dyDescent="0.25">
      <c r="A111" s="5" t="s">
        <v>46</v>
      </c>
      <c r="B111" s="6" t="s">
        <v>527</v>
      </c>
      <c r="C111" s="8" t="s">
        <v>525</v>
      </c>
      <c r="D111" s="7" t="s">
        <v>528</v>
      </c>
    </row>
    <row r="112" spans="1:4" ht="63" x14ac:dyDescent="0.25">
      <c r="A112" s="5" t="s">
        <v>47</v>
      </c>
      <c r="B112" s="6" t="s">
        <v>529</v>
      </c>
      <c r="C112" s="8" t="s">
        <v>530</v>
      </c>
      <c r="D112" s="7" t="s">
        <v>531</v>
      </c>
    </row>
    <row r="113" spans="1:4" ht="47.25" x14ac:dyDescent="0.25">
      <c r="A113" s="5" t="s">
        <v>48</v>
      </c>
      <c r="B113" s="6" t="s">
        <v>532</v>
      </c>
      <c r="C113" s="8" t="s">
        <v>415</v>
      </c>
      <c r="D113" s="7" t="s">
        <v>533</v>
      </c>
    </row>
    <row r="114" spans="1:4" ht="47.25" x14ac:dyDescent="0.25">
      <c r="A114" s="5" t="s">
        <v>49</v>
      </c>
      <c r="B114" s="6" t="s">
        <v>534</v>
      </c>
      <c r="C114" s="8" t="s">
        <v>535</v>
      </c>
      <c r="D114" s="7" t="s">
        <v>536</v>
      </c>
    </row>
    <row r="115" spans="1:4" ht="47.25" x14ac:dyDescent="0.25">
      <c r="A115" s="5" t="s">
        <v>50</v>
      </c>
      <c r="B115" s="6" t="s">
        <v>537</v>
      </c>
      <c r="C115" s="8" t="s">
        <v>538</v>
      </c>
      <c r="D115" s="7" t="s">
        <v>539</v>
      </c>
    </row>
    <row r="116" spans="1:4" ht="63" x14ac:dyDescent="0.25">
      <c r="A116" s="5" t="s">
        <v>51</v>
      </c>
      <c r="B116" s="6" t="s">
        <v>540</v>
      </c>
      <c r="C116" s="8" t="s">
        <v>541</v>
      </c>
      <c r="D116" s="7" t="s">
        <v>542</v>
      </c>
    </row>
    <row r="117" spans="1:4" ht="31.5" x14ac:dyDescent="0.25">
      <c r="A117" s="5" t="s">
        <v>52</v>
      </c>
      <c r="B117" s="6" t="s">
        <v>543</v>
      </c>
      <c r="C117" s="8" t="s">
        <v>389</v>
      </c>
      <c r="D117" s="7" t="s">
        <v>544</v>
      </c>
    </row>
    <row r="118" spans="1:4" ht="31.5" x14ac:dyDescent="0.25">
      <c r="A118" s="5" t="s">
        <v>53</v>
      </c>
      <c r="B118" s="6" t="s">
        <v>545</v>
      </c>
      <c r="C118" s="8" t="s">
        <v>546</v>
      </c>
      <c r="D118" s="7" t="s">
        <v>547</v>
      </c>
    </row>
    <row r="119" spans="1:4" ht="63" x14ac:dyDescent="0.25">
      <c r="A119" s="5" t="s">
        <v>54</v>
      </c>
      <c r="B119" s="6" t="s">
        <v>548</v>
      </c>
      <c r="C119" s="8" t="s">
        <v>549</v>
      </c>
      <c r="D119" s="7" t="s">
        <v>550</v>
      </c>
    </row>
    <row r="120" spans="1:4" ht="47.25" x14ac:dyDescent="0.25">
      <c r="A120" s="5" t="s">
        <v>55</v>
      </c>
      <c r="B120" s="6" t="s">
        <v>551</v>
      </c>
      <c r="C120" s="8" t="s">
        <v>88</v>
      </c>
      <c r="D120" s="7" t="s">
        <v>552</v>
      </c>
    </row>
    <row r="121" spans="1:4" ht="47.25" x14ac:dyDescent="0.25">
      <c r="A121" s="5" t="s">
        <v>56</v>
      </c>
      <c r="B121" s="6" t="s">
        <v>553</v>
      </c>
      <c r="C121" s="8" t="s">
        <v>554</v>
      </c>
      <c r="D121" s="7" t="s">
        <v>555</v>
      </c>
    </row>
    <row r="122" spans="1:4" ht="31.5" x14ac:dyDescent="0.25">
      <c r="A122" s="5" t="s">
        <v>74</v>
      </c>
      <c r="B122" s="6" t="s">
        <v>556</v>
      </c>
      <c r="C122" s="8" t="s">
        <v>557</v>
      </c>
      <c r="D122" s="7" t="s">
        <v>558</v>
      </c>
    </row>
    <row r="123" spans="1:4" ht="63" x14ac:dyDescent="0.25">
      <c r="A123" s="5" t="s">
        <v>75</v>
      </c>
      <c r="B123" s="6" t="s">
        <v>559</v>
      </c>
      <c r="C123" s="8" t="s">
        <v>560</v>
      </c>
      <c r="D123" s="7" t="s">
        <v>561</v>
      </c>
    </row>
    <row r="124" spans="1:4" ht="78.75" x14ac:dyDescent="0.25">
      <c r="A124" s="5" t="s">
        <v>157</v>
      </c>
      <c r="B124" s="6" t="s">
        <v>562</v>
      </c>
      <c r="C124" s="8" t="s">
        <v>563</v>
      </c>
      <c r="D124" s="7" t="s">
        <v>564</v>
      </c>
    </row>
    <row r="125" spans="1:4" ht="31.5" x14ac:dyDescent="0.25">
      <c r="A125" s="5" t="s">
        <v>159</v>
      </c>
      <c r="B125" s="6" t="s">
        <v>565</v>
      </c>
      <c r="C125" s="8" t="s">
        <v>566</v>
      </c>
      <c r="D125" s="7" t="s">
        <v>567</v>
      </c>
    </row>
    <row r="126" spans="1:4" ht="31.5" x14ac:dyDescent="0.25">
      <c r="A126" s="5" t="s">
        <v>161</v>
      </c>
      <c r="B126" s="6" t="s">
        <v>568</v>
      </c>
      <c r="C126" s="8" t="s">
        <v>569</v>
      </c>
      <c r="D126" s="7" t="s">
        <v>570</v>
      </c>
    </row>
    <row r="127" spans="1:4" ht="31.5" x14ac:dyDescent="0.25">
      <c r="A127" s="5" t="s">
        <v>162</v>
      </c>
      <c r="B127" s="6" t="s">
        <v>571</v>
      </c>
      <c r="C127" s="8" t="s">
        <v>389</v>
      </c>
      <c r="D127" s="7" t="s">
        <v>572</v>
      </c>
    </row>
    <row r="128" spans="1:4" ht="31.5" x14ac:dyDescent="0.25">
      <c r="A128" s="5" t="s">
        <v>163</v>
      </c>
      <c r="B128" s="6" t="s">
        <v>573</v>
      </c>
      <c r="C128" s="8" t="s">
        <v>574</v>
      </c>
      <c r="D128" s="7" t="s">
        <v>575</v>
      </c>
    </row>
    <row r="129" spans="1:4" ht="31.5" x14ac:dyDescent="0.25">
      <c r="A129" s="5" t="s">
        <v>164</v>
      </c>
      <c r="B129" s="6" t="s">
        <v>576</v>
      </c>
      <c r="C129" s="8" t="s">
        <v>577</v>
      </c>
      <c r="D129" s="7" t="s">
        <v>578</v>
      </c>
    </row>
    <row r="130" spans="1:4" ht="31.5" x14ac:dyDescent="0.25">
      <c r="A130" s="5" t="s">
        <v>165</v>
      </c>
      <c r="B130" s="6" t="s">
        <v>579</v>
      </c>
      <c r="C130" s="8" t="s">
        <v>580</v>
      </c>
      <c r="D130" s="7" t="s">
        <v>581</v>
      </c>
    </row>
    <row r="131" spans="1:4" ht="47.25" x14ac:dyDescent="0.25">
      <c r="A131" s="5" t="s">
        <v>166</v>
      </c>
      <c r="B131" s="6" t="s">
        <v>582</v>
      </c>
      <c r="C131" s="8" t="s">
        <v>366</v>
      </c>
      <c r="D131" s="7" t="s">
        <v>583</v>
      </c>
    </row>
    <row r="132" spans="1:4" ht="47.25" x14ac:dyDescent="0.25">
      <c r="A132" s="5" t="s">
        <v>167</v>
      </c>
      <c r="B132" s="6" t="s">
        <v>584</v>
      </c>
      <c r="C132" s="8" t="s">
        <v>585</v>
      </c>
      <c r="D132" s="7" t="s">
        <v>586</v>
      </c>
    </row>
    <row r="133" spans="1:4" ht="47.25" x14ac:dyDescent="0.25">
      <c r="A133" s="5" t="s">
        <v>168</v>
      </c>
      <c r="B133" s="6" t="s">
        <v>587</v>
      </c>
      <c r="C133" s="8" t="s">
        <v>585</v>
      </c>
      <c r="D133" s="7" t="s">
        <v>588</v>
      </c>
    </row>
    <row r="134" spans="1:4" ht="78.75" x14ac:dyDescent="0.25">
      <c r="A134" s="5" t="s">
        <v>169</v>
      </c>
      <c r="B134" s="6" t="s">
        <v>589</v>
      </c>
      <c r="C134" s="8" t="s">
        <v>590</v>
      </c>
      <c r="D134" s="7" t="s">
        <v>591</v>
      </c>
    </row>
    <row r="135" spans="1:4" ht="47.25" x14ac:dyDescent="0.25">
      <c r="A135" s="5" t="s">
        <v>170</v>
      </c>
      <c r="B135" s="6" t="s">
        <v>592</v>
      </c>
      <c r="C135" s="8" t="s">
        <v>593</v>
      </c>
      <c r="D135" s="7" t="s">
        <v>594</v>
      </c>
    </row>
    <row r="136" spans="1:4" ht="47.25" x14ac:dyDescent="0.25">
      <c r="A136" s="5" t="s">
        <v>171</v>
      </c>
      <c r="B136" s="6" t="s">
        <v>595</v>
      </c>
      <c r="C136" s="8" t="s">
        <v>596</v>
      </c>
      <c r="D136" s="7" t="s">
        <v>597</v>
      </c>
    </row>
    <row r="137" spans="1:4" ht="47.25" x14ac:dyDescent="0.25">
      <c r="A137" s="5" t="s">
        <v>172</v>
      </c>
      <c r="B137" s="6" t="s">
        <v>598</v>
      </c>
      <c r="C137" s="8" t="s">
        <v>599</v>
      </c>
      <c r="D137" s="7" t="s">
        <v>600</v>
      </c>
    </row>
    <row r="138" spans="1:4" ht="47.25" x14ac:dyDescent="0.25">
      <c r="A138" s="5" t="s">
        <v>173</v>
      </c>
      <c r="B138" s="6" t="s">
        <v>601</v>
      </c>
      <c r="C138" s="8" t="s">
        <v>599</v>
      </c>
      <c r="D138" s="7" t="s">
        <v>602</v>
      </c>
    </row>
    <row r="139" spans="1:4" ht="31.5" x14ac:dyDescent="0.25">
      <c r="A139" s="5" t="s">
        <v>174</v>
      </c>
      <c r="B139" s="6" t="s">
        <v>603</v>
      </c>
      <c r="C139" s="8" t="s">
        <v>604</v>
      </c>
      <c r="D139" s="7" t="s">
        <v>605</v>
      </c>
    </row>
    <row r="140" spans="1:4" ht="47.25" x14ac:dyDescent="0.25">
      <c r="A140" s="5" t="s">
        <v>175</v>
      </c>
      <c r="B140" s="6" t="s">
        <v>606</v>
      </c>
      <c r="C140" s="8" t="s">
        <v>604</v>
      </c>
      <c r="D140" s="7" t="s">
        <v>607</v>
      </c>
    </row>
    <row r="141" spans="1:4" ht="31.5" x14ac:dyDescent="0.25">
      <c r="A141" s="5" t="s">
        <v>176</v>
      </c>
      <c r="B141" s="6" t="s">
        <v>608</v>
      </c>
      <c r="C141" s="8" t="s">
        <v>604</v>
      </c>
      <c r="D141" s="7" t="s">
        <v>609</v>
      </c>
    </row>
    <row r="142" spans="1:4" ht="110.25" x14ac:dyDescent="0.25">
      <c r="A142" s="5" t="s">
        <v>177</v>
      </c>
      <c r="B142" s="6" t="s">
        <v>610</v>
      </c>
      <c r="C142" s="8" t="s">
        <v>611</v>
      </c>
      <c r="D142" s="7" t="s">
        <v>612</v>
      </c>
    </row>
    <row r="143" spans="1:4" ht="31.5" x14ac:dyDescent="0.25">
      <c r="A143" s="5" t="s">
        <v>178</v>
      </c>
      <c r="B143" s="6" t="s">
        <v>613</v>
      </c>
      <c r="C143" s="8" t="s">
        <v>614</v>
      </c>
      <c r="D143" s="7" t="s">
        <v>615</v>
      </c>
    </row>
    <row r="144" spans="1:4" ht="47.25" x14ac:dyDescent="0.25">
      <c r="A144" s="5" t="s">
        <v>179</v>
      </c>
      <c r="B144" s="6" t="s">
        <v>616</v>
      </c>
      <c r="C144" s="8" t="s">
        <v>507</v>
      </c>
      <c r="D144" s="7" t="s">
        <v>617</v>
      </c>
    </row>
    <row r="145" spans="1:4" ht="31.5" x14ac:dyDescent="0.25">
      <c r="A145" s="5" t="s">
        <v>180</v>
      </c>
      <c r="B145" s="6" t="s">
        <v>618</v>
      </c>
      <c r="C145" s="8" t="s">
        <v>507</v>
      </c>
      <c r="D145" s="7" t="s">
        <v>619</v>
      </c>
    </row>
    <row r="146" spans="1:4" ht="47.25" x14ac:dyDescent="0.25">
      <c r="A146" s="5" t="s">
        <v>181</v>
      </c>
      <c r="B146" s="6" t="s">
        <v>620</v>
      </c>
      <c r="C146" s="8" t="s">
        <v>474</v>
      </c>
      <c r="D146" s="7" t="s">
        <v>621</v>
      </c>
    </row>
    <row r="147" spans="1:4" ht="63" x14ac:dyDescent="0.25">
      <c r="A147" s="5" t="s">
        <v>182</v>
      </c>
      <c r="B147" s="6" t="s">
        <v>622</v>
      </c>
      <c r="C147" s="8" t="s">
        <v>623</v>
      </c>
      <c r="D147" s="7" t="s">
        <v>624</v>
      </c>
    </row>
    <row r="148" spans="1:4" ht="63" x14ac:dyDescent="0.25">
      <c r="A148" s="5" t="s">
        <v>183</v>
      </c>
      <c r="B148" s="6" t="s">
        <v>625</v>
      </c>
      <c r="C148" s="8" t="s">
        <v>406</v>
      </c>
      <c r="D148" s="7" t="s">
        <v>626</v>
      </c>
    </row>
    <row r="149" spans="1:4" ht="31.5" x14ac:dyDescent="0.25">
      <c r="A149" s="5" t="s">
        <v>184</v>
      </c>
      <c r="B149" s="6" t="s">
        <v>627</v>
      </c>
      <c r="C149" s="8" t="s">
        <v>628</v>
      </c>
      <c r="D149" s="7" t="s">
        <v>629</v>
      </c>
    </row>
    <row r="150" spans="1:4" ht="47.25" x14ac:dyDescent="0.25">
      <c r="A150" s="5" t="s">
        <v>185</v>
      </c>
      <c r="B150" s="6" t="s">
        <v>630</v>
      </c>
      <c r="C150" s="8" t="s">
        <v>631</v>
      </c>
      <c r="D150" s="7" t="s">
        <v>632</v>
      </c>
    </row>
    <row r="151" spans="1:4" ht="47.25" x14ac:dyDescent="0.25">
      <c r="A151" s="5" t="s">
        <v>186</v>
      </c>
      <c r="B151" s="6" t="s">
        <v>633</v>
      </c>
      <c r="C151" s="8" t="s">
        <v>634</v>
      </c>
      <c r="D151" s="7" t="s">
        <v>635</v>
      </c>
    </row>
    <row r="152" spans="1:4" ht="47.25" x14ac:dyDescent="0.25">
      <c r="A152" s="5" t="s">
        <v>187</v>
      </c>
      <c r="B152" s="6" t="s">
        <v>636</v>
      </c>
      <c r="C152" s="8" t="s">
        <v>637</v>
      </c>
      <c r="D152" s="7" t="s">
        <v>638</v>
      </c>
    </row>
    <row r="153" spans="1:4" ht="47.25" x14ac:dyDescent="0.25">
      <c r="A153" s="5" t="s">
        <v>188</v>
      </c>
      <c r="B153" s="6" t="s">
        <v>639</v>
      </c>
      <c r="C153" s="8" t="s">
        <v>640</v>
      </c>
      <c r="D153" s="7" t="s">
        <v>641</v>
      </c>
    </row>
    <row r="154" spans="1:4" ht="47.25" x14ac:dyDescent="0.25">
      <c r="A154" s="5" t="s">
        <v>189</v>
      </c>
      <c r="B154" s="6" t="s">
        <v>642</v>
      </c>
      <c r="C154" s="8" t="s">
        <v>643</v>
      </c>
      <c r="D154" s="7" t="s">
        <v>644</v>
      </c>
    </row>
    <row r="155" spans="1:4" ht="47.25" x14ac:dyDescent="0.25">
      <c r="A155" s="5" t="s">
        <v>190</v>
      </c>
      <c r="B155" s="6" t="s">
        <v>645</v>
      </c>
      <c r="C155" s="8" t="s">
        <v>646</v>
      </c>
      <c r="D155" s="7" t="s">
        <v>647</v>
      </c>
    </row>
    <row r="156" spans="1:4" ht="63" x14ac:dyDescent="0.25">
      <c r="A156" s="5" t="s">
        <v>191</v>
      </c>
      <c r="B156" s="6" t="s">
        <v>648</v>
      </c>
      <c r="C156" s="8" t="s">
        <v>649</v>
      </c>
      <c r="D156" s="7" t="s">
        <v>650</v>
      </c>
    </row>
    <row r="157" spans="1:4" ht="63" x14ac:dyDescent="0.25">
      <c r="A157" s="5" t="s">
        <v>192</v>
      </c>
      <c r="B157" s="6" t="s">
        <v>651</v>
      </c>
      <c r="C157" s="8" t="s">
        <v>646</v>
      </c>
      <c r="D157" s="7" t="s">
        <v>652</v>
      </c>
    </row>
    <row r="158" spans="1:4" ht="78.75" x14ac:dyDescent="0.25">
      <c r="A158" s="5" t="s">
        <v>193</v>
      </c>
      <c r="B158" s="6" t="s">
        <v>653</v>
      </c>
      <c r="C158" s="8" t="s">
        <v>654</v>
      </c>
      <c r="D158" s="7" t="s">
        <v>655</v>
      </c>
    </row>
    <row r="159" spans="1:4" ht="47.25" x14ac:dyDescent="0.25">
      <c r="A159" s="5" t="s">
        <v>194</v>
      </c>
      <c r="B159" s="6" t="s">
        <v>656</v>
      </c>
      <c r="C159" s="8" t="s">
        <v>657</v>
      </c>
      <c r="D159" s="7" t="s">
        <v>658</v>
      </c>
    </row>
    <row r="160" spans="1:4" ht="31.5" x14ac:dyDescent="0.25">
      <c r="A160" s="5" t="s">
        <v>195</v>
      </c>
      <c r="B160" s="6" t="s">
        <v>659</v>
      </c>
      <c r="C160" s="8" t="s">
        <v>660</v>
      </c>
      <c r="D160" s="7" t="s">
        <v>661</v>
      </c>
    </row>
    <row r="161" spans="1:4" ht="31.5" x14ac:dyDescent="0.25">
      <c r="A161" s="5" t="s">
        <v>196</v>
      </c>
      <c r="B161" s="6" t="s">
        <v>662</v>
      </c>
      <c r="C161" s="8" t="s">
        <v>663</v>
      </c>
      <c r="D161" s="7" t="s">
        <v>664</v>
      </c>
    </row>
    <row r="162" spans="1:4" x14ac:dyDescent="0.25">
      <c r="A162" s="5" t="s">
        <v>197</v>
      </c>
      <c r="B162" s="6" t="s">
        <v>665</v>
      </c>
      <c r="C162" s="8" t="s">
        <v>666</v>
      </c>
      <c r="D162" s="7" t="s">
        <v>667</v>
      </c>
    </row>
    <row r="163" spans="1:4" ht="31.5" x14ac:dyDescent="0.25">
      <c r="A163" s="5" t="s">
        <v>198</v>
      </c>
      <c r="B163" s="6" t="s">
        <v>668</v>
      </c>
      <c r="C163" s="8" t="s">
        <v>669</v>
      </c>
      <c r="D163" s="7" t="s">
        <v>670</v>
      </c>
    </row>
    <row r="164" spans="1:4" ht="47.25" x14ac:dyDescent="0.25">
      <c r="A164" s="5" t="s">
        <v>199</v>
      </c>
      <c r="B164" s="6" t="s">
        <v>671</v>
      </c>
      <c r="C164" s="8" t="s">
        <v>672</v>
      </c>
      <c r="D164" s="7" t="s">
        <v>673</v>
      </c>
    </row>
    <row r="165" spans="1:4" ht="47.25" x14ac:dyDescent="0.25">
      <c r="A165" s="5" t="s">
        <v>200</v>
      </c>
      <c r="B165" s="6" t="s">
        <v>674</v>
      </c>
      <c r="C165" s="53" t="s">
        <v>675</v>
      </c>
      <c r="D165" s="7" t="s">
        <v>676</v>
      </c>
    </row>
    <row r="166" spans="1:4" ht="47.25" x14ac:dyDescent="0.25">
      <c r="A166" s="5" t="s">
        <v>201</v>
      </c>
      <c r="B166" s="6" t="s">
        <v>677</v>
      </c>
      <c r="C166" s="8" t="s">
        <v>678</v>
      </c>
      <c r="D166" s="7" t="s">
        <v>679</v>
      </c>
    </row>
    <row r="167" spans="1:4" ht="47.25" x14ac:dyDescent="0.25">
      <c r="A167" s="5" t="s">
        <v>202</v>
      </c>
      <c r="B167" s="6" t="s">
        <v>680</v>
      </c>
      <c r="C167" s="8" t="s">
        <v>681</v>
      </c>
      <c r="D167" s="7" t="s">
        <v>682</v>
      </c>
    </row>
    <row r="168" spans="1:4" ht="47.25" x14ac:dyDescent="0.25">
      <c r="A168" s="5" t="s">
        <v>203</v>
      </c>
      <c r="B168" s="6" t="s">
        <v>683</v>
      </c>
      <c r="C168" s="8" t="s">
        <v>530</v>
      </c>
      <c r="D168" s="7" t="s">
        <v>684</v>
      </c>
    </row>
    <row r="169" spans="1:4" ht="47.25" x14ac:dyDescent="0.25">
      <c r="A169" s="5" t="s">
        <v>204</v>
      </c>
      <c r="B169" s="6" t="s">
        <v>685</v>
      </c>
      <c r="C169" s="8" t="s">
        <v>435</v>
      </c>
      <c r="D169" s="7" t="s">
        <v>686</v>
      </c>
    </row>
    <row r="170" spans="1:4" ht="31.5" x14ac:dyDescent="0.25">
      <c r="A170" s="5" t="s">
        <v>205</v>
      </c>
      <c r="B170" s="6" t="s">
        <v>687</v>
      </c>
      <c r="C170" s="8" t="s">
        <v>498</v>
      </c>
      <c r="D170" s="7" t="s">
        <v>688</v>
      </c>
    </row>
    <row r="171" spans="1:4" ht="47.25" x14ac:dyDescent="0.25">
      <c r="A171" s="5" t="s">
        <v>206</v>
      </c>
      <c r="B171" s="6" t="s">
        <v>689</v>
      </c>
      <c r="C171" s="8" t="s">
        <v>657</v>
      </c>
      <c r="D171" s="7" t="s">
        <v>690</v>
      </c>
    </row>
    <row r="172" spans="1:4" ht="47.25" x14ac:dyDescent="0.25">
      <c r="A172" s="5" t="s">
        <v>207</v>
      </c>
      <c r="B172" s="6" t="s">
        <v>691</v>
      </c>
      <c r="C172" s="8" t="s">
        <v>692</v>
      </c>
      <c r="D172" s="7" t="s">
        <v>693</v>
      </c>
    </row>
    <row r="173" spans="1:4" ht="47.25" x14ac:dyDescent="0.25">
      <c r="A173" s="5" t="s">
        <v>208</v>
      </c>
      <c r="B173" s="6" t="s">
        <v>694</v>
      </c>
      <c r="C173" s="8" t="s">
        <v>474</v>
      </c>
      <c r="D173" s="7" t="s">
        <v>695</v>
      </c>
    </row>
    <row r="174" spans="1:4" ht="47.25" x14ac:dyDescent="0.25">
      <c r="A174" s="5" t="s">
        <v>209</v>
      </c>
      <c r="B174" s="6" t="s">
        <v>696</v>
      </c>
      <c r="C174" s="8" t="s">
        <v>697</v>
      </c>
      <c r="D174" s="7" t="s">
        <v>698</v>
      </c>
    </row>
    <row r="175" spans="1:4" ht="31.5" x14ac:dyDescent="0.25">
      <c r="A175" s="5" t="s">
        <v>210</v>
      </c>
      <c r="B175" s="6" t="s">
        <v>699</v>
      </c>
      <c r="C175" s="8" t="s">
        <v>700</v>
      </c>
      <c r="D175" s="7" t="s">
        <v>701</v>
      </c>
    </row>
    <row r="176" spans="1:4" ht="31.5" x14ac:dyDescent="0.25">
      <c r="A176" s="5" t="s">
        <v>211</v>
      </c>
      <c r="B176" s="6" t="s">
        <v>702</v>
      </c>
      <c r="C176" s="8" t="s">
        <v>703</v>
      </c>
      <c r="D176" s="7" t="s">
        <v>704</v>
      </c>
    </row>
    <row r="177" spans="1:4" ht="47.25" x14ac:dyDescent="0.25">
      <c r="A177" s="5" t="s">
        <v>212</v>
      </c>
      <c r="B177" s="6" t="s">
        <v>705</v>
      </c>
      <c r="C177" s="8" t="s">
        <v>706</v>
      </c>
      <c r="D177" s="7" t="s">
        <v>707</v>
      </c>
    </row>
    <row r="178" spans="1:4" ht="63" x14ac:dyDescent="0.25">
      <c r="A178" s="5" t="s">
        <v>213</v>
      </c>
      <c r="B178" s="6" t="s">
        <v>708</v>
      </c>
      <c r="C178" s="8" t="s">
        <v>703</v>
      </c>
      <c r="D178" s="7" t="s">
        <v>709</v>
      </c>
    </row>
    <row r="179" spans="1:4" ht="31.5" x14ac:dyDescent="0.25">
      <c r="A179" s="5" t="s">
        <v>214</v>
      </c>
      <c r="B179" s="6" t="s">
        <v>710</v>
      </c>
      <c r="C179" s="8" t="s">
        <v>711</v>
      </c>
      <c r="D179" s="7" t="s">
        <v>712</v>
      </c>
    </row>
    <row r="180" spans="1:4" ht="31.5" x14ac:dyDescent="0.25">
      <c r="A180" s="5" t="s">
        <v>215</v>
      </c>
      <c r="B180" s="6" t="s">
        <v>713</v>
      </c>
      <c r="C180" s="8" t="s">
        <v>714</v>
      </c>
      <c r="D180" s="7" t="s">
        <v>716</v>
      </c>
    </row>
    <row r="181" spans="1:4" ht="63" x14ac:dyDescent="0.25">
      <c r="A181" s="5" t="s">
        <v>216</v>
      </c>
      <c r="B181" s="6" t="s">
        <v>717</v>
      </c>
      <c r="C181" s="8" t="s">
        <v>718</v>
      </c>
      <c r="D181" s="7" t="s">
        <v>719</v>
      </c>
    </row>
    <row r="182" spans="1:4" ht="47.25" x14ac:dyDescent="0.25">
      <c r="A182" s="5" t="s">
        <v>217</v>
      </c>
      <c r="B182" s="6" t="s">
        <v>720</v>
      </c>
      <c r="C182" s="8" t="s">
        <v>721</v>
      </c>
      <c r="D182" s="7" t="s">
        <v>722</v>
      </c>
    </row>
    <row r="183" spans="1:4" ht="31.5" x14ac:dyDescent="0.25">
      <c r="A183" s="5" t="s">
        <v>218</v>
      </c>
      <c r="B183" s="6" t="s">
        <v>723</v>
      </c>
      <c r="C183" s="8" t="s">
        <v>721</v>
      </c>
      <c r="D183" s="7" t="s">
        <v>724</v>
      </c>
    </row>
    <row r="184" spans="1:4" ht="47.25" x14ac:dyDescent="0.25">
      <c r="A184" s="5" t="s">
        <v>219</v>
      </c>
      <c r="B184" s="6" t="s">
        <v>725</v>
      </c>
      <c r="C184" s="8" t="s">
        <v>726</v>
      </c>
      <c r="D184" s="7" t="s">
        <v>727</v>
      </c>
    </row>
    <row r="185" spans="1:4" ht="47.25" x14ac:dyDescent="0.25">
      <c r="A185" s="5" t="s">
        <v>220</v>
      </c>
      <c r="B185" s="6" t="s">
        <v>728</v>
      </c>
      <c r="C185" s="8" t="s">
        <v>729</v>
      </c>
      <c r="D185" s="7" t="s">
        <v>730</v>
      </c>
    </row>
    <row r="186" spans="1:4" ht="31.5" x14ac:dyDescent="0.25">
      <c r="A186" s="5" t="s">
        <v>221</v>
      </c>
      <c r="B186" s="6" t="s">
        <v>731</v>
      </c>
      <c r="C186" s="8" t="s">
        <v>732</v>
      </c>
      <c r="D186" s="7" t="s">
        <v>733</v>
      </c>
    </row>
    <row r="187" spans="1:4" ht="31.5" x14ac:dyDescent="0.25">
      <c r="A187" s="5" t="s">
        <v>222</v>
      </c>
      <c r="B187" s="6" t="s">
        <v>734</v>
      </c>
      <c r="C187" s="8" t="s">
        <v>732</v>
      </c>
      <c r="D187" s="7" t="s">
        <v>735</v>
      </c>
    </row>
    <row r="188" spans="1:4" ht="63" x14ac:dyDescent="0.25">
      <c r="A188" s="5" t="s">
        <v>223</v>
      </c>
      <c r="B188" s="6" t="s">
        <v>736</v>
      </c>
      <c r="C188" s="8" t="s">
        <v>737</v>
      </c>
      <c r="D188" s="7" t="s">
        <v>738</v>
      </c>
    </row>
    <row r="189" spans="1:4" ht="31.5" x14ac:dyDescent="0.25">
      <c r="A189" s="5" t="s">
        <v>224</v>
      </c>
      <c r="B189" s="6" t="s">
        <v>739</v>
      </c>
      <c r="C189" s="8" t="s">
        <v>740</v>
      </c>
      <c r="D189" s="7" t="s">
        <v>741</v>
      </c>
    </row>
    <row r="190" spans="1:4" ht="47.25" x14ac:dyDescent="0.25">
      <c r="A190" s="5" t="s">
        <v>225</v>
      </c>
      <c r="B190" s="6" t="s">
        <v>742</v>
      </c>
      <c r="C190" s="8" t="s">
        <v>743</v>
      </c>
      <c r="D190" s="7" t="s">
        <v>744</v>
      </c>
    </row>
    <row r="191" spans="1:4" ht="31.5" x14ac:dyDescent="0.25">
      <c r="A191" s="5" t="s">
        <v>226</v>
      </c>
      <c r="B191" s="6" t="s">
        <v>745</v>
      </c>
      <c r="C191" s="8" t="s">
        <v>746</v>
      </c>
      <c r="D191" s="7" t="s">
        <v>747</v>
      </c>
    </row>
    <row r="192" spans="1:4" ht="63" x14ac:dyDescent="0.25">
      <c r="A192" s="5" t="s">
        <v>227</v>
      </c>
      <c r="B192" s="6" t="s">
        <v>748</v>
      </c>
      <c r="C192" s="8" t="s">
        <v>354</v>
      </c>
      <c r="D192" s="7" t="s">
        <v>749</v>
      </c>
    </row>
    <row r="193" spans="1:4" ht="78.75" x14ac:dyDescent="0.25">
      <c r="A193" s="5" t="s">
        <v>228</v>
      </c>
      <c r="B193" s="6" t="s">
        <v>750</v>
      </c>
      <c r="C193" s="8" t="s">
        <v>751</v>
      </c>
      <c r="D193" s="7" t="s">
        <v>752</v>
      </c>
    </row>
    <row r="194" spans="1:4" ht="31.5" x14ac:dyDescent="0.25">
      <c r="A194" s="5" t="s">
        <v>229</v>
      </c>
      <c r="B194" s="6" t="s">
        <v>753</v>
      </c>
      <c r="C194" s="8" t="s">
        <v>754</v>
      </c>
      <c r="D194" s="7" t="s">
        <v>755</v>
      </c>
    </row>
    <row r="195" spans="1:4" ht="47.25" x14ac:dyDescent="0.25">
      <c r="A195" s="5" t="s">
        <v>230</v>
      </c>
      <c r="B195" s="6" t="s">
        <v>756</v>
      </c>
      <c r="C195" s="8" t="s">
        <v>382</v>
      </c>
      <c r="D195" s="7" t="s">
        <v>757</v>
      </c>
    </row>
    <row r="196" spans="1:4" ht="47.25" x14ac:dyDescent="0.25">
      <c r="A196" s="5" t="s">
        <v>231</v>
      </c>
      <c r="B196" s="6" t="s">
        <v>758</v>
      </c>
      <c r="C196" s="8" t="s">
        <v>382</v>
      </c>
      <c r="D196" s="7" t="s">
        <v>759</v>
      </c>
    </row>
    <row r="197" spans="1:4" ht="47.25" x14ac:dyDescent="0.25">
      <c r="A197" s="5" t="s">
        <v>232</v>
      </c>
      <c r="B197" s="6" t="s">
        <v>760</v>
      </c>
      <c r="C197" s="8" t="s">
        <v>761</v>
      </c>
      <c r="D197" s="7" t="s">
        <v>762</v>
      </c>
    </row>
    <row r="198" spans="1:4" ht="31.5" x14ac:dyDescent="0.25">
      <c r="A198" s="5" t="s">
        <v>233</v>
      </c>
      <c r="B198" s="6" t="s">
        <v>763</v>
      </c>
      <c r="C198" s="8" t="s">
        <v>360</v>
      </c>
      <c r="D198" s="7" t="s">
        <v>764</v>
      </c>
    </row>
    <row r="199" spans="1:4" ht="31.5" x14ac:dyDescent="0.25">
      <c r="A199" s="5" t="s">
        <v>234</v>
      </c>
      <c r="B199" s="6" t="s">
        <v>765</v>
      </c>
      <c r="C199" s="8" t="s">
        <v>766</v>
      </c>
      <c r="D199" s="7" t="s">
        <v>767</v>
      </c>
    </row>
    <row r="200" spans="1:4" ht="31.5" x14ac:dyDescent="0.25">
      <c r="A200" s="5" t="s">
        <v>235</v>
      </c>
      <c r="B200" s="6" t="s">
        <v>768</v>
      </c>
      <c r="C200" s="8" t="s">
        <v>498</v>
      </c>
      <c r="D200" s="7" t="s">
        <v>769</v>
      </c>
    </row>
    <row r="201" spans="1:4" ht="31.5" x14ac:dyDescent="0.25">
      <c r="A201" s="5" t="s">
        <v>236</v>
      </c>
      <c r="B201" s="6" t="s">
        <v>770</v>
      </c>
      <c r="C201" s="8" t="s">
        <v>771</v>
      </c>
      <c r="D201" s="7" t="s">
        <v>772</v>
      </c>
    </row>
    <row r="202" spans="1:4" ht="47.25" x14ac:dyDescent="0.25">
      <c r="A202" s="5" t="s">
        <v>237</v>
      </c>
      <c r="B202" s="6" t="s">
        <v>773</v>
      </c>
      <c r="C202" s="8" t="s">
        <v>721</v>
      </c>
      <c r="D202" s="7" t="s">
        <v>774</v>
      </c>
    </row>
    <row r="203" spans="1:4" ht="47.25" x14ac:dyDescent="0.25">
      <c r="A203" s="5" t="s">
        <v>238</v>
      </c>
      <c r="B203" s="6" t="s">
        <v>775</v>
      </c>
      <c r="C203" s="8" t="s">
        <v>425</v>
      </c>
      <c r="D203" s="7" t="s">
        <v>776</v>
      </c>
    </row>
    <row r="204" spans="1:4" ht="63" x14ac:dyDescent="0.25">
      <c r="A204" s="5" t="s">
        <v>239</v>
      </c>
      <c r="B204" s="6" t="s">
        <v>777</v>
      </c>
      <c r="C204" s="8" t="s">
        <v>778</v>
      </c>
      <c r="D204" s="7" t="s">
        <v>779</v>
      </c>
    </row>
    <row r="205" spans="1:4" ht="63" x14ac:dyDescent="0.25">
      <c r="A205" s="5" t="s">
        <v>240</v>
      </c>
      <c r="B205" s="6" t="s">
        <v>780</v>
      </c>
      <c r="C205" s="8" t="s">
        <v>781</v>
      </c>
      <c r="D205" s="7" t="s">
        <v>782</v>
      </c>
    </row>
    <row r="206" spans="1:4" ht="31.5" x14ac:dyDescent="0.25">
      <c r="A206" s="5" t="s">
        <v>241</v>
      </c>
      <c r="B206" s="6" t="s">
        <v>783</v>
      </c>
      <c r="C206" s="8" t="s">
        <v>456</v>
      </c>
      <c r="D206" s="7" t="s">
        <v>784</v>
      </c>
    </row>
    <row r="207" spans="1:4" ht="31.5" x14ac:dyDescent="0.25">
      <c r="A207" s="5" t="s">
        <v>242</v>
      </c>
      <c r="B207" s="6" t="s">
        <v>785</v>
      </c>
      <c r="C207" s="8" t="s">
        <v>786</v>
      </c>
      <c r="D207" s="7" t="s">
        <v>787</v>
      </c>
    </row>
    <row r="208" spans="1:4" ht="47.25" x14ac:dyDescent="0.25">
      <c r="A208" s="5" t="s">
        <v>243</v>
      </c>
      <c r="B208" s="6" t="s">
        <v>788</v>
      </c>
      <c r="C208" s="8" t="s">
        <v>498</v>
      </c>
      <c r="D208" s="7" t="s">
        <v>789</v>
      </c>
    </row>
    <row r="209" spans="1:4" ht="31.5" x14ac:dyDescent="0.25">
      <c r="A209" s="5" t="s">
        <v>244</v>
      </c>
      <c r="B209" s="6" t="s">
        <v>790</v>
      </c>
      <c r="C209" s="8" t="s">
        <v>791</v>
      </c>
      <c r="D209" s="7" t="s">
        <v>792</v>
      </c>
    </row>
    <row r="210" spans="1:4" ht="31.5" x14ac:dyDescent="0.25">
      <c r="A210" s="5" t="s">
        <v>245</v>
      </c>
      <c r="B210" s="6" t="s">
        <v>793</v>
      </c>
      <c r="C210" s="8" t="s">
        <v>794</v>
      </c>
      <c r="D210" s="7" t="s">
        <v>795</v>
      </c>
    </row>
    <row r="211" spans="1:4" ht="63" x14ac:dyDescent="0.25">
      <c r="A211" s="5" t="s">
        <v>246</v>
      </c>
      <c r="B211" s="6" t="s">
        <v>796</v>
      </c>
      <c r="C211" s="8" t="s">
        <v>797</v>
      </c>
      <c r="D211" s="7" t="s">
        <v>798</v>
      </c>
    </row>
    <row r="212" spans="1:4" ht="31.5" x14ac:dyDescent="0.25">
      <c r="A212" s="5" t="s">
        <v>247</v>
      </c>
      <c r="B212" s="6" t="s">
        <v>799</v>
      </c>
      <c r="C212" s="8" t="s">
        <v>459</v>
      </c>
      <c r="D212" s="7" t="s">
        <v>800</v>
      </c>
    </row>
    <row r="213" spans="1:4" ht="47.25" x14ac:dyDescent="0.25">
      <c r="A213" s="5" t="s">
        <v>248</v>
      </c>
      <c r="B213" s="6" t="s">
        <v>801</v>
      </c>
      <c r="C213" s="8" t="s">
        <v>802</v>
      </c>
      <c r="D213" s="7" t="s">
        <v>803</v>
      </c>
    </row>
    <row r="214" spans="1:4" ht="47.25" x14ac:dyDescent="0.25">
      <c r="A214" s="5" t="s">
        <v>249</v>
      </c>
      <c r="B214" s="6" t="s">
        <v>804</v>
      </c>
      <c r="C214" s="8" t="s">
        <v>554</v>
      </c>
      <c r="D214" s="7" t="s">
        <v>805</v>
      </c>
    </row>
    <row r="215" spans="1:4" ht="47.25" x14ac:dyDescent="0.25">
      <c r="A215" s="5" t="s">
        <v>250</v>
      </c>
      <c r="B215" s="6" t="s">
        <v>806</v>
      </c>
      <c r="C215" s="8" t="s">
        <v>807</v>
      </c>
      <c r="D215" s="7" t="s">
        <v>808</v>
      </c>
    </row>
    <row r="216" spans="1:4" ht="47.25" x14ac:dyDescent="0.25">
      <c r="A216" s="5" t="s">
        <v>251</v>
      </c>
      <c r="B216" s="6" t="s">
        <v>809</v>
      </c>
      <c r="C216" s="8" t="s">
        <v>810</v>
      </c>
      <c r="D216" s="7" t="s">
        <v>811</v>
      </c>
    </row>
    <row r="217" spans="1:4" ht="47.25" x14ac:dyDescent="0.25">
      <c r="A217" s="5" t="s">
        <v>252</v>
      </c>
      <c r="B217" s="6" t="s">
        <v>812</v>
      </c>
      <c r="C217" s="8" t="s">
        <v>623</v>
      </c>
      <c r="D217" s="7" t="s">
        <v>813</v>
      </c>
    </row>
    <row r="218" spans="1:4" ht="47.25" x14ac:dyDescent="0.25">
      <c r="A218" s="5" t="s">
        <v>253</v>
      </c>
      <c r="B218" s="6" t="s">
        <v>814</v>
      </c>
      <c r="C218" s="8" t="s">
        <v>530</v>
      </c>
      <c r="D218" s="7" t="s">
        <v>815</v>
      </c>
    </row>
    <row r="219" spans="1:4" ht="47.25" x14ac:dyDescent="0.25">
      <c r="A219" s="5" t="s">
        <v>254</v>
      </c>
      <c r="B219" s="6" t="s">
        <v>816</v>
      </c>
      <c r="C219" s="8" t="s">
        <v>817</v>
      </c>
      <c r="D219" s="7" t="s">
        <v>818</v>
      </c>
    </row>
    <row r="220" spans="1:4" ht="63" x14ac:dyDescent="0.25">
      <c r="A220" s="5" t="s">
        <v>255</v>
      </c>
      <c r="B220" s="6" t="s">
        <v>819</v>
      </c>
      <c r="C220" s="8" t="s">
        <v>820</v>
      </c>
      <c r="D220" s="7" t="s">
        <v>821</v>
      </c>
    </row>
    <row r="221" spans="1:4" ht="47.25" x14ac:dyDescent="0.25">
      <c r="A221" s="5" t="s">
        <v>256</v>
      </c>
      <c r="B221" s="6" t="s">
        <v>822</v>
      </c>
      <c r="C221" s="8" t="s">
        <v>823</v>
      </c>
      <c r="D221" s="7" t="s">
        <v>824</v>
      </c>
    </row>
    <row r="222" spans="1:4" ht="47.25" x14ac:dyDescent="0.25">
      <c r="A222" s="5" t="s">
        <v>257</v>
      </c>
      <c r="B222" s="6" t="s">
        <v>825</v>
      </c>
      <c r="C222" s="8" t="s">
        <v>826</v>
      </c>
      <c r="D222" s="7" t="s">
        <v>827</v>
      </c>
    </row>
    <row r="223" spans="1:4" ht="31.5" x14ac:dyDescent="0.25">
      <c r="A223" s="5" t="s">
        <v>258</v>
      </c>
      <c r="B223" s="6" t="s">
        <v>828</v>
      </c>
      <c r="C223" s="8" t="s">
        <v>829</v>
      </c>
      <c r="D223" s="7" t="s">
        <v>830</v>
      </c>
    </row>
    <row r="224" spans="1:4" ht="31.5" x14ac:dyDescent="0.25">
      <c r="A224" s="5" t="s">
        <v>259</v>
      </c>
      <c r="B224" s="6" t="s">
        <v>831</v>
      </c>
      <c r="C224" s="8" t="s">
        <v>786</v>
      </c>
      <c r="D224" s="7" t="s">
        <v>832</v>
      </c>
    </row>
    <row r="225" spans="1:4" ht="47.25" x14ac:dyDescent="0.25">
      <c r="A225" s="5" t="s">
        <v>260</v>
      </c>
      <c r="B225" s="6" t="s">
        <v>833</v>
      </c>
      <c r="C225" s="8" t="s">
        <v>96</v>
      </c>
      <c r="D225" s="7" t="s">
        <v>834</v>
      </c>
    </row>
    <row r="226" spans="1:4" ht="47.25" x14ac:dyDescent="0.25">
      <c r="A226" s="5" t="s">
        <v>261</v>
      </c>
      <c r="B226" s="6" t="s">
        <v>835</v>
      </c>
      <c r="C226" s="8" t="s">
        <v>836</v>
      </c>
      <c r="D226" s="7" t="s">
        <v>838</v>
      </c>
    </row>
    <row r="227" spans="1:4" ht="31.5" x14ac:dyDescent="0.25">
      <c r="A227" s="5" t="s">
        <v>262</v>
      </c>
      <c r="B227" s="6" t="s">
        <v>839</v>
      </c>
      <c r="C227" s="8" t="s">
        <v>840</v>
      </c>
      <c r="D227" s="7" t="s">
        <v>841</v>
      </c>
    </row>
    <row r="228" spans="1:4" ht="31.5" x14ac:dyDescent="0.25">
      <c r="A228" s="5" t="s">
        <v>263</v>
      </c>
      <c r="B228" s="6" t="s">
        <v>842</v>
      </c>
      <c r="C228" s="8" t="s">
        <v>660</v>
      </c>
      <c r="D228" s="7" t="s">
        <v>843</v>
      </c>
    </row>
    <row r="229" spans="1:4" ht="31.5" x14ac:dyDescent="0.25">
      <c r="A229" s="5" t="s">
        <v>264</v>
      </c>
      <c r="B229" s="6" t="s">
        <v>844</v>
      </c>
      <c r="C229" s="8" t="s">
        <v>845</v>
      </c>
      <c r="D229" s="7" t="s">
        <v>846</v>
      </c>
    </row>
    <row r="230" spans="1:4" ht="31.5" x14ac:dyDescent="0.25">
      <c r="A230" s="5" t="s">
        <v>265</v>
      </c>
      <c r="B230" s="6" t="s">
        <v>847</v>
      </c>
      <c r="C230" s="8" t="s">
        <v>848</v>
      </c>
      <c r="D230" s="7" t="s">
        <v>849</v>
      </c>
    </row>
    <row r="231" spans="1:4" ht="31.5" x14ac:dyDescent="0.25">
      <c r="A231" s="5" t="s">
        <v>266</v>
      </c>
      <c r="B231" s="6" t="s">
        <v>850</v>
      </c>
      <c r="C231" s="8" t="s">
        <v>851</v>
      </c>
      <c r="D231" s="7" t="s">
        <v>852</v>
      </c>
    </row>
    <row r="232" spans="1:4" ht="63" x14ac:dyDescent="0.25">
      <c r="A232" s="5" t="s">
        <v>267</v>
      </c>
      <c r="B232" s="6" t="s">
        <v>853</v>
      </c>
      <c r="C232" s="8" t="s">
        <v>854</v>
      </c>
      <c r="D232" s="7" t="s">
        <v>855</v>
      </c>
    </row>
    <row r="233" spans="1:4" ht="31.5" x14ac:dyDescent="0.25">
      <c r="A233" s="5" t="s">
        <v>268</v>
      </c>
      <c r="B233" s="6" t="s">
        <v>856</v>
      </c>
      <c r="C233" s="8" t="s">
        <v>672</v>
      </c>
      <c r="D233" s="7" t="s">
        <v>857</v>
      </c>
    </row>
    <row r="234" spans="1:4" ht="47.25" x14ac:dyDescent="0.25">
      <c r="A234" s="5" t="s">
        <v>269</v>
      </c>
      <c r="B234" s="6" t="s">
        <v>858</v>
      </c>
      <c r="C234" s="8" t="s">
        <v>672</v>
      </c>
      <c r="D234" s="7" t="s">
        <v>859</v>
      </c>
    </row>
    <row r="235" spans="1:4" ht="47.25" x14ac:dyDescent="0.25">
      <c r="A235" s="5" t="s">
        <v>270</v>
      </c>
      <c r="B235" s="6" t="s">
        <v>860</v>
      </c>
      <c r="C235" s="8" t="s">
        <v>861</v>
      </c>
      <c r="D235" s="7" t="s">
        <v>862</v>
      </c>
    </row>
    <row r="236" spans="1:4" ht="47.25" x14ac:dyDescent="0.25">
      <c r="A236" s="5" t="s">
        <v>271</v>
      </c>
      <c r="B236" s="6" t="s">
        <v>863</v>
      </c>
      <c r="C236" s="8" t="s">
        <v>854</v>
      </c>
      <c r="D236" s="7" t="s">
        <v>864</v>
      </c>
    </row>
    <row r="237" spans="1:4" ht="47.25" x14ac:dyDescent="0.25">
      <c r="A237" s="5" t="s">
        <v>272</v>
      </c>
      <c r="B237" s="6" t="s">
        <v>865</v>
      </c>
      <c r="C237" s="8" t="s">
        <v>866</v>
      </c>
      <c r="D237" s="7" t="s">
        <v>867</v>
      </c>
    </row>
    <row r="238" spans="1:4" ht="47.25" x14ac:dyDescent="0.25">
      <c r="A238" s="5" t="s">
        <v>273</v>
      </c>
      <c r="B238" s="6" t="s">
        <v>868</v>
      </c>
      <c r="C238" s="8" t="s">
        <v>861</v>
      </c>
      <c r="D238" s="7" t="s">
        <v>869</v>
      </c>
    </row>
    <row r="239" spans="1:4" ht="47.25" x14ac:dyDescent="0.25">
      <c r="A239" s="5" t="s">
        <v>274</v>
      </c>
      <c r="B239" s="6" t="s">
        <v>870</v>
      </c>
      <c r="C239" s="8" t="s">
        <v>861</v>
      </c>
      <c r="D239" s="7" t="s">
        <v>871</v>
      </c>
    </row>
    <row r="240" spans="1:4" ht="47.25" x14ac:dyDescent="0.25">
      <c r="A240" s="5" t="s">
        <v>275</v>
      </c>
      <c r="B240" s="6" t="s">
        <v>872</v>
      </c>
      <c r="C240" s="8" t="s">
        <v>873</v>
      </c>
      <c r="D240" s="7" t="s">
        <v>874</v>
      </c>
    </row>
    <row r="241" spans="1:4" ht="31.5" x14ac:dyDescent="0.25">
      <c r="A241" s="5" t="s">
        <v>276</v>
      </c>
      <c r="B241" s="6" t="s">
        <v>875</v>
      </c>
      <c r="C241" s="8" t="s">
        <v>817</v>
      </c>
      <c r="D241" s="7" t="s">
        <v>876</v>
      </c>
    </row>
    <row r="242" spans="1:4" ht="31.5" x14ac:dyDescent="0.25">
      <c r="A242" s="5" t="s">
        <v>277</v>
      </c>
      <c r="B242" s="6" t="s">
        <v>877</v>
      </c>
      <c r="C242" s="8" t="s">
        <v>878</v>
      </c>
      <c r="D242" s="7" t="s">
        <v>879</v>
      </c>
    </row>
    <row r="243" spans="1:4" ht="47.25" x14ac:dyDescent="0.25">
      <c r="A243" s="5" t="s">
        <v>278</v>
      </c>
      <c r="B243" s="6" t="s">
        <v>880</v>
      </c>
      <c r="C243" s="8" t="s">
        <v>96</v>
      </c>
      <c r="D243" s="7" t="s">
        <v>881</v>
      </c>
    </row>
    <row r="244" spans="1:4" ht="31.5" x14ac:dyDescent="0.25">
      <c r="A244" s="5" t="s">
        <v>279</v>
      </c>
      <c r="B244" s="6" t="s">
        <v>882</v>
      </c>
      <c r="C244" s="8" t="s">
        <v>883</v>
      </c>
      <c r="D244" s="7" t="s">
        <v>884</v>
      </c>
    </row>
    <row r="245" spans="1:4" ht="47.25" x14ac:dyDescent="0.25">
      <c r="A245" s="5" t="s">
        <v>280</v>
      </c>
      <c r="B245" s="6" t="s">
        <v>885</v>
      </c>
      <c r="C245" s="8" t="s">
        <v>817</v>
      </c>
      <c r="D245" s="7" t="s">
        <v>886</v>
      </c>
    </row>
    <row r="246" spans="1:4" ht="47.25" x14ac:dyDescent="0.25">
      <c r="A246" s="5" t="s">
        <v>281</v>
      </c>
      <c r="B246" s="6" t="s">
        <v>887</v>
      </c>
      <c r="C246" s="8" t="s">
        <v>888</v>
      </c>
      <c r="D246" s="7" t="s">
        <v>889</v>
      </c>
    </row>
    <row r="247" spans="1:4" ht="31.5" x14ac:dyDescent="0.25">
      <c r="A247" s="5" t="s">
        <v>282</v>
      </c>
      <c r="B247" s="6" t="s">
        <v>890</v>
      </c>
      <c r="C247" s="8" t="s">
        <v>891</v>
      </c>
      <c r="D247" s="7" t="s">
        <v>892</v>
      </c>
    </row>
    <row r="248" spans="1:4" ht="47.25" x14ac:dyDescent="0.25">
      <c r="A248" s="5" t="s">
        <v>283</v>
      </c>
      <c r="B248" s="6" t="s">
        <v>893</v>
      </c>
      <c r="C248" s="8" t="s">
        <v>96</v>
      </c>
      <c r="D248" s="7" t="s">
        <v>894</v>
      </c>
    </row>
    <row r="249" spans="1:4" ht="31.5" x14ac:dyDescent="0.25">
      <c r="A249" s="5" t="s">
        <v>284</v>
      </c>
      <c r="B249" s="6" t="s">
        <v>895</v>
      </c>
      <c r="C249" s="8" t="s">
        <v>896</v>
      </c>
      <c r="D249" s="7" t="s">
        <v>897</v>
      </c>
    </row>
    <row r="250" spans="1:4" ht="47.25" x14ac:dyDescent="0.25">
      <c r="A250" s="5" t="s">
        <v>285</v>
      </c>
      <c r="B250" s="6" t="s">
        <v>898</v>
      </c>
      <c r="C250" s="8" t="s">
        <v>899</v>
      </c>
      <c r="D250" s="7" t="s">
        <v>900</v>
      </c>
    </row>
    <row r="251" spans="1:4" ht="31.5" x14ac:dyDescent="0.25">
      <c r="A251" s="5" t="s">
        <v>286</v>
      </c>
      <c r="B251" s="6" t="s">
        <v>901</v>
      </c>
      <c r="C251" s="8" t="s">
        <v>518</v>
      </c>
      <c r="D251" s="7" t="s">
        <v>902</v>
      </c>
    </row>
    <row r="252" spans="1:4" ht="31.5" x14ac:dyDescent="0.25">
      <c r="A252" s="5" t="s">
        <v>287</v>
      </c>
      <c r="B252" s="6" t="s">
        <v>903</v>
      </c>
      <c r="C252" s="8" t="s">
        <v>518</v>
      </c>
      <c r="D252" s="7" t="s">
        <v>904</v>
      </c>
    </row>
    <row r="253" spans="1:4" ht="31.5" x14ac:dyDescent="0.25">
      <c r="A253" s="5" t="s">
        <v>288</v>
      </c>
      <c r="B253" s="6" t="s">
        <v>905</v>
      </c>
      <c r="C253" s="8" t="s">
        <v>906</v>
      </c>
      <c r="D253" s="7" t="s">
        <v>907</v>
      </c>
    </row>
    <row r="254" spans="1:4" ht="63" x14ac:dyDescent="0.25">
      <c r="A254" s="5" t="s">
        <v>289</v>
      </c>
      <c r="B254" s="6" t="s">
        <v>908</v>
      </c>
      <c r="C254" s="8" t="s">
        <v>390</v>
      </c>
      <c r="D254" s="7" t="s">
        <v>909</v>
      </c>
    </row>
    <row r="255" spans="1:4" ht="31.5" x14ac:dyDescent="0.25">
      <c r="A255" s="5" t="s">
        <v>290</v>
      </c>
      <c r="B255" s="6" t="s">
        <v>910</v>
      </c>
      <c r="C255" s="8" t="s">
        <v>911</v>
      </c>
      <c r="D255" s="7" t="s">
        <v>912</v>
      </c>
    </row>
    <row r="256" spans="1:4" ht="31.5" x14ac:dyDescent="0.25">
      <c r="A256" s="5" t="s">
        <v>291</v>
      </c>
      <c r="B256" s="6" t="s">
        <v>913</v>
      </c>
      <c r="C256" s="8" t="s">
        <v>914</v>
      </c>
      <c r="D256" s="7" t="s">
        <v>915</v>
      </c>
    </row>
    <row r="257" spans="1:4" ht="47.25" x14ac:dyDescent="0.25">
      <c r="A257" s="5" t="s">
        <v>292</v>
      </c>
      <c r="B257" s="6" t="s">
        <v>916</v>
      </c>
      <c r="C257" s="8" t="s">
        <v>917</v>
      </c>
      <c r="D257" s="7" t="s">
        <v>918</v>
      </c>
    </row>
    <row r="258" spans="1:4" ht="31.5" x14ac:dyDescent="0.25">
      <c r="A258" s="5" t="s">
        <v>293</v>
      </c>
      <c r="B258" s="6" t="s">
        <v>919</v>
      </c>
      <c r="C258" s="8" t="s">
        <v>96</v>
      </c>
      <c r="D258" s="7" t="s">
        <v>920</v>
      </c>
    </row>
    <row r="259" spans="1:4" ht="31.5" x14ac:dyDescent="0.25">
      <c r="A259" s="5" t="s">
        <v>294</v>
      </c>
      <c r="B259" s="6" t="s">
        <v>921</v>
      </c>
      <c r="C259" s="8" t="s">
        <v>569</v>
      </c>
      <c r="D259" s="7" t="s">
        <v>922</v>
      </c>
    </row>
    <row r="260" spans="1:4" ht="31.5" x14ac:dyDescent="0.25">
      <c r="A260" s="5" t="s">
        <v>295</v>
      </c>
      <c r="B260" s="6" t="s">
        <v>923</v>
      </c>
      <c r="C260" s="8" t="s">
        <v>924</v>
      </c>
      <c r="D260" s="7" t="s">
        <v>925</v>
      </c>
    </row>
    <row r="261" spans="1:4" ht="47.25" x14ac:dyDescent="0.25">
      <c r="A261" s="5" t="s">
        <v>296</v>
      </c>
      <c r="B261" s="6" t="s">
        <v>926</v>
      </c>
      <c r="C261" s="8" t="s">
        <v>927</v>
      </c>
      <c r="D261" s="7" t="s">
        <v>928</v>
      </c>
    </row>
    <row r="262" spans="1:4" ht="47.25" x14ac:dyDescent="0.25">
      <c r="A262" s="5" t="s">
        <v>297</v>
      </c>
      <c r="B262" s="6" t="s">
        <v>929</v>
      </c>
      <c r="C262" s="8" t="s">
        <v>930</v>
      </c>
      <c r="D262" s="7" t="s">
        <v>931</v>
      </c>
    </row>
    <row r="263" spans="1:4" ht="47.25" x14ac:dyDescent="0.25">
      <c r="A263" s="5" t="s">
        <v>298</v>
      </c>
      <c r="B263" s="6" t="s">
        <v>932</v>
      </c>
      <c r="C263" s="8" t="s">
        <v>933</v>
      </c>
      <c r="D263" s="7" t="s">
        <v>934</v>
      </c>
    </row>
    <row r="264" spans="1:4" ht="78.75" x14ac:dyDescent="0.25">
      <c r="A264" s="5" t="s">
        <v>299</v>
      </c>
      <c r="B264" s="6" t="s">
        <v>935</v>
      </c>
      <c r="C264" s="8" t="s">
        <v>936</v>
      </c>
      <c r="D264" s="7" t="s">
        <v>937</v>
      </c>
    </row>
    <row r="265" spans="1:4" ht="31.5" x14ac:dyDescent="0.25">
      <c r="A265" s="5" t="s">
        <v>300</v>
      </c>
      <c r="B265" s="6" t="s">
        <v>938</v>
      </c>
      <c r="C265" s="8" t="s">
        <v>580</v>
      </c>
      <c r="D265" s="7" t="s">
        <v>939</v>
      </c>
    </row>
    <row r="266" spans="1:4" ht="47.25" x14ac:dyDescent="0.25">
      <c r="A266" s="5" t="s">
        <v>301</v>
      </c>
      <c r="B266" s="6" t="s">
        <v>940</v>
      </c>
      <c r="C266" s="8" t="s">
        <v>941</v>
      </c>
      <c r="D266" s="7" t="s">
        <v>942</v>
      </c>
    </row>
    <row r="267" spans="1:4" ht="63" x14ac:dyDescent="0.25">
      <c r="A267" s="5" t="s">
        <v>302</v>
      </c>
      <c r="B267" s="6" t="s">
        <v>943</v>
      </c>
      <c r="C267" s="8" t="s">
        <v>944</v>
      </c>
      <c r="D267" s="7" t="s">
        <v>945</v>
      </c>
    </row>
    <row r="268" spans="1:4" ht="47.25" x14ac:dyDescent="0.25">
      <c r="A268" s="5" t="s">
        <v>303</v>
      </c>
      <c r="B268" s="6" t="s">
        <v>946</v>
      </c>
      <c r="C268" s="8" t="s">
        <v>947</v>
      </c>
      <c r="D268" s="7" t="s">
        <v>948</v>
      </c>
    </row>
    <row r="269" spans="1:4" ht="47.25" x14ac:dyDescent="0.25">
      <c r="A269" s="5" t="s">
        <v>304</v>
      </c>
      <c r="B269" s="6" t="s">
        <v>949</v>
      </c>
      <c r="C269" s="8" t="s">
        <v>950</v>
      </c>
      <c r="D269" s="7" t="s">
        <v>951</v>
      </c>
    </row>
    <row r="270" spans="1:4" ht="47.25" x14ac:dyDescent="0.25">
      <c r="A270" s="5" t="s">
        <v>305</v>
      </c>
      <c r="B270" s="6" t="s">
        <v>952</v>
      </c>
      <c r="C270" s="8" t="s">
        <v>786</v>
      </c>
      <c r="D270" s="7" t="s">
        <v>953</v>
      </c>
    </row>
    <row r="271" spans="1:4" ht="47.25" x14ac:dyDescent="0.25">
      <c r="A271" s="5" t="s">
        <v>306</v>
      </c>
      <c r="B271" s="6" t="s">
        <v>954</v>
      </c>
      <c r="C271" s="8" t="s">
        <v>955</v>
      </c>
      <c r="D271" s="7" t="s">
        <v>956</v>
      </c>
    </row>
    <row r="272" spans="1:4" ht="31.5" x14ac:dyDescent="0.25">
      <c r="A272" s="5" t="s">
        <v>957</v>
      </c>
      <c r="B272" s="6" t="s">
        <v>958</v>
      </c>
      <c r="C272" s="8" t="s">
        <v>703</v>
      </c>
      <c r="D272" s="7" t="s">
        <v>959</v>
      </c>
    </row>
    <row r="273" spans="1:4" ht="47.25" x14ac:dyDescent="0.25">
      <c r="A273" s="5" t="s">
        <v>960</v>
      </c>
      <c r="B273" s="6" t="s">
        <v>961</v>
      </c>
      <c r="C273" s="8" t="s">
        <v>569</v>
      </c>
      <c r="D273" s="7" t="s">
        <v>962</v>
      </c>
    </row>
    <row r="274" spans="1:4" ht="78.75" x14ac:dyDescent="0.25">
      <c r="A274" s="5" t="s">
        <v>963</v>
      </c>
      <c r="B274" s="6" t="s">
        <v>964</v>
      </c>
      <c r="C274" s="8" t="s">
        <v>498</v>
      </c>
      <c r="D274" s="7" t="s">
        <v>965</v>
      </c>
    </row>
    <row r="275" spans="1:4" ht="47.25" x14ac:dyDescent="0.25">
      <c r="A275" s="5" t="s">
        <v>966</v>
      </c>
      <c r="B275" s="6" t="s">
        <v>967</v>
      </c>
      <c r="C275" s="8" t="s">
        <v>968</v>
      </c>
      <c r="D275" s="7" t="s">
        <v>969</v>
      </c>
    </row>
    <row r="276" spans="1:4" ht="47.25" x14ac:dyDescent="0.25">
      <c r="A276" s="5" t="s">
        <v>970</v>
      </c>
      <c r="B276" s="6" t="s">
        <v>971</v>
      </c>
      <c r="C276" s="8" t="s">
        <v>854</v>
      </c>
      <c r="D276" s="7" t="s">
        <v>972</v>
      </c>
    </row>
    <row r="277" spans="1:4" ht="47.25" x14ac:dyDescent="0.25">
      <c r="A277" s="5" t="s">
        <v>973</v>
      </c>
      <c r="B277" s="6" t="s">
        <v>974</v>
      </c>
      <c r="C277" s="8" t="s">
        <v>975</v>
      </c>
      <c r="D277" s="7" t="s">
        <v>976</v>
      </c>
    </row>
    <row r="278" spans="1:4" ht="31.5" x14ac:dyDescent="0.25">
      <c r="A278" s="5" t="s">
        <v>977</v>
      </c>
      <c r="B278" s="6" t="s">
        <v>978</v>
      </c>
      <c r="C278" s="8" t="s">
        <v>498</v>
      </c>
      <c r="D278" s="7" t="s">
        <v>979</v>
      </c>
    </row>
    <row r="279" spans="1:4" ht="63" x14ac:dyDescent="0.25">
      <c r="A279" s="5" t="s">
        <v>980</v>
      </c>
      <c r="B279" s="6" t="s">
        <v>981</v>
      </c>
      <c r="C279" s="8" t="s">
        <v>982</v>
      </c>
      <c r="D279" s="7" t="s">
        <v>983</v>
      </c>
    </row>
    <row r="280" spans="1:4" ht="47.25" x14ac:dyDescent="0.25">
      <c r="A280" s="5" t="s">
        <v>984</v>
      </c>
      <c r="B280" s="6" t="s">
        <v>985</v>
      </c>
      <c r="C280" s="8" t="s">
        <v>751</v>
      </c>
      <c r="D280" s="7" t="s">
        <v>986</v>
      </c>
    </row>
    <row r="281" spans="1:4" ht="47.25" x14ac:dyDescent="0.25">
      <c r="A281" s="5" t="s">
        <v>987</v>
      </c>
      <c r="B281" s="6" t="s">
        <v>988</v>
      </c>
      <c r="C281" s="8" t="s">
        <v>989</v>
      </c>
      <c r="D281" s="7" t="s">
        <v>990</v>
      </c>
    </row>
    <row r="282" spans="1:4" ht="47.25" x14ac:dyDescent="0.25">
      <c r="A282" s="5" t="s">
        <v>991</v>
      </c>
      <c r="B282" s="6" t="s">
        <v>992</v>
      </c>
      <c r="C282" s="8" t="s">
        <v>993</v>
      </c>
      <c r="D282" s="7" t="s">
        <v>994</v>
      </c>
    </row>
    <row r="283" spans="1:4" ht="47.25" x14ac:dyDescent="0.25">
      <c r="A283" s="5" t="s">
        <v>995</v>
      </c>
      <c r="B283" s="6" t="s">
        <v>996</v>
      </c>
      <c r="C283" s="8" t="s">
        <v>498</v>
      </c>
      <c r="D283" s="7" t="s">
        <v>997</v>
      </c>
    </row>
    <row r="284" spans="1:4" ht="31.5" x14ac:dyDescent="0.25">
      <c r="A284" s="5" t="s">
        <v>998</v>
      </c>
      <c r="B284" s="6" t="s">
        <v>999</v>
      </c>
      <c r="C284" s="8" t="s">
        <v>513</v>
      </c>
      <c r="D284" s="7" t="s">
        <v>1000</v>
      </c>
    </row>
    <row r="285" spans="1:4" ht="31.5" x14ac:dyDescent="0.25">
      <c r="A285" s="5" t="s">
        <v>1001</v>
      </c>
      <c r="B285" s="6" t="s">
        <v>1002</v>
      </c>
      <c r="C285" s="8" t="s">
        <v>513</v>
      </c>
      <c r="D285" s="7" t="s">
        <v>1003</v>
      </c>
    </row>
    <row r="286" spans="1:4" ht="31.5" x14ac:dyDescent="0.25">
      <c r="A286" s="5" t="s">
        <v>1004</v>
      </c>
      <c r="B286" s="6" t="s">
        <v>1005</v>
      </c>
      <c r="C286" s="8" t="s">
        <v>513</v>
      </c>
      <c r="D286" s="7" t="s">
        <v>1006</v>
      </c>
    </row>
    <row r="287" spans="1:4" ht="31.5" x14ac:dyDescent="0.25">
      <c r="A287" s="5" t="s">
        <v>1007</v>
      </c>
      <c r="B287" s="6" t="s">
        <v>1008</v>
      </c>
      <c r="C287" s="8" t="s">
        <v>513</v>
      </c>
      <c r="D287" s="7" t="s">
        <v>1009</v>
      </c>
    </row>
    <row r="288" spans="1:4" ht="31.5" x14ac:dyDescent="0.25">
      <c r="A288" s="5" t="s">
        <v>1010</v>
      </c>
      <c r="B288" s="6" t="s">
        <v>1011</v>
      </c>
      <c r="C288" s="8" t="s">
        <v>1012</v>
      </c>
      <c r="D288" s="7" t="s">
        <v>1013</v>
      </c>
    </row>
    <row r="289" spans="1:4" ht="31.5" x14ac:dyDescent="0.25">
      <c r="A289" s="5" t="s">
        <v>1014</v>
      </c>
      <c r="B289" s="6" t="s">
        <v>1015</v>
      </c>
      <c r="C289" s="8" t="s">
        <v>1016</v>
      </c>
      <c r="D289" s="7" t="s">
        <v>1017</v>
      </c>
    </row>
    <row r="290" spans="1:4" ht="47.25" x14ac:dyDescent="0.25">
      <c r="A290" s="5" t="s">
        <v>1018</v>
      </c>
      <c r="B290" s="6" t="s">
        <v>1019</v>
      </c>
      <c r="C290" s="8" t="s">
        <v>1016</v>
      </c>
      <c r="D290" s="7" t="s">
        <v>1020</v>
      </c>
    </row>
    <row r="291" spans="1:4" ht="31.5" x14ac:dyDescent="0.25">
      <c r="A291" s="5" t="s">
        <v>1021</v>
      </c>
      <c r="B291" s="6" t="s">
        <v>1022</v>
      </c>
      <c r="C291" s="8" t="s">
        <v>1023</v>
      </c>
      <c r="D291" s="7" t="s">
        <v>1024</v>
      </c>
    </row>
    <row r="292" spans="1:4" ht="31.5" x14ac:dyDescent="0.25">
      <c r="A292" s="5" t="s">
        <v>1025</v>
      </c>
      <c r="B292" s="6" t="s">
        <v>1026</v>
      </c>
      <c r="C292" s="8" t="s">
        <v>1027</v>
      </c>
      <c r="D292" s="7" t="s">
        <v>1028</v>
      </c>
    </row>
    <row r="293" spans="1:4" ht="31.5" x14ac:dyDescent="0.25">
      <c r="A293" s="5" t="s">
        <v>1029</v>
      </c>
      <c r="B293" s="6" t="s">
        <v>1030</v>
      </c>
      <c r="C293" s="8" t="s">
        <v>1031</v>
      </c>
      <c r="D293" s="7" t="s">
        <v>1032</v>
      </c>
    </row>
    <row r="294" spans="1:4" ht="63" x14ac:dyDescent="0.25">
      <c r="A294" s="5" t="s">
        <v>1033</v>
      </c>
      <c r="B294" s="6" t="s">
        <v>1034</v>
      </c>
      <c r="C294" s="8" t="s">
        <v>737</v>
      </c>
      <c r="D294" s="7" t="s">
        <v>1035</v>
      </c>
    </row>
    <row r="295" spans="1:4" ht="31.5" x14ac:dyDescent="0.25">
      <c r="A295" s="5" t="s">
        <v>1036</v>
      </c>
      <c r="B295" s="6" t="s">
        <v>1037</v>
      </c>
      <c r="C295" s="8" t="s">
        <v>1038</v>
      </c>
      <c r="D295" s="7" t="s">
        <v>1039</v>
      </c>
    </row>
    <row r="296" spans="1:4" ht="63" x14ac:dyDescent="0.25">
      <c r="A296" s="5" t="s">
        <v>1040</v>
      </c>
      <c r="B296" s="6" t="s">
        <v>1041</v>
      </c>
      <c r="C296" s="8" t="s">
        <v>435</v>
      </c>
      <c r="D296" s="7" t="s">
        <v>1042</v>
      </c>
    </row>
    <row r="297" spans="1:4" ht="47.25" x14ac:dyDescent="0.25">
      <c r="A297" s="5" t="s">
        <v>1043</v>
      </c>
      <c r="B297" s="6" t="s">
        <v>1044</v>
      </c>
      <c r="C297" s="8" t="s">
        <v>1045</v>
      </c>
      <c r="D297" s="7" t="s">
        <v>1046</v>
      </c>
    </row>
    <row r="298" spans="1:4" ht="63" x14ac:dyDescent="0.25">
      <c r="A298" s="5" t="s">
        <v>1047</v>
      </c>
      <c r="B298" s="6" t="s">
        <v>1048</v>
      </c>
      <c r="C298" s="8" t="s">
        <v>840</v>
      </c>
      <c r="D298" s="7" t="s">
        <v>1049</v>
      </c>
    </row>
    <row r="299" spans="1:4" ht="31.5" x14ac:dyDescent="0.25">
      <c r="A299" s="5" t="s">
        <v>1050</v>
      </c>
      <c r="B299" s="6" t="s">
        <v>1051</v>
      </c>
      <c r="C299" s="8" t="s">
        <v>1052</v>
      </c>
      <c r="D299" s="7" t="s">
        <v>1053</v>
      </c>
    </row>
    <row r="300" spans="1:4" ht="63" x14ac:dyDescent="0.25">
      <c r="A300" s="5" t="s">
        <v>1054</v>
      </c>
      <c r="B300" s="6" t="s">
        <v>1055</v>
      </c>
      <c r="C300" s="8" t="s">
        <v>1052</v>
      </c>
      <c r="D300" s="7" t="s">
        <v>1056</v>
      </c>
    </row>
    <row r="301" spans="1:4" ht="63" x14ac:dyDescent="0.25">
      <c r="A301" s="5" t="s">
        <v>1057</v>
      </c>
      <c r="B301" s="6" t="s">
        <v>1058</v>
      </c>
      <c r="C301" s="8" t="s">
        <v>1059</v>
      </c>
      <c r="D301" s="7" t="s">
        <v>1060</v>
      </c>
    </row>
    <row r="302" spans="1:4" ht="31.5" x14ac:dyDescent="0.25">
      <c r="A302" s="5" t="s">
        <v>1061</v>
      </c>
      <c r="B302" s="6" t="s">
        <v>1062</v>
      </c>
      <c r="C302" s="8" t="s">
        <v>477</v>
      </c>
      <c r="D302" s="7" t="s">
        <v>1063</v>
      </c>
    </row>
    <row r="303" spans="1:4" ht="31.5" x14ac:dyDescent="0.25">
      <c r="A303" s="5" t="s">
        <v>1064</v>
      </c>
      <c r="B303" s="6" t="s">
        <v>1065</v>
      </c>
      <c r="C303" s="8" t="s">
        <v>1066</v>
      </c>
      <c r="D303" s="7" t="s">
        <v>1067</v>
      </c>
    </row>
    <row r="304" spans="1:4" ht="31.5" x14ac:dyDescent="0.25">
      <c r="A304" s="5" t="s">
        <v>1068</v>
      </c>
      <c r="B304" s="6" t="s">
        <v>1069</v>
      </c>
      <c r="C304" s="8" t="s">
        <v>498</v>
      </c>
      <c r="D304" s="7" t="s">
        <v>1070</v>
      </c>
    </row>
    <row r="305" spans="1:4" ht="47.25" x14ac:dyDescent="0.25">
      <c r="A305" s="5" t="s">
        <v>1071</v>
      </c>
      <c r="B305" s="6" t="s">
        <v>1072</v>
      </c>
      <c r="C305" s="8" t="s">
        <v>498</v>
      </c>
      <c r="D305" s="7" t="s">
        <v>1073</v>
      </c>
    </row>
    <row r="306" spans="1:4" ht="31.5" x14ac:dyDescent="0.25">
      <c r="A306" s="5" t="s">
        <v>1074</v>
      </c>
      <c r="B306" s="6" t="s">
        <v>1075</v>
      </c>
      <c r="C306" s="8" t="s">
        <v>1076</v>
      </c>
      <c r="D306" s="7" t="s">
        <v>1077</v>
      </c>
    </row>
    <row r="307" spans="1:4" ht="31.5" x14ac:dyDescent="0.25">
      <c r="A307" s="5" t="s">
        <v>1078</v>
      </c>
      <c r="B307" s="6" t="s">
        <v>1079</v>
      </c>
      <c r="C307" s="8" t="s">
        <v>746</v>
      </c>
      <c r="D307" s="7" t="s">
        <v>1080</v>
      </c>
    </row>
    <row r="308" spans="1:4" ht="31.5" x14ac:dyDescent="0.25">
      <c r="A308" s="5" t="s">
        <v>1081</v>
      </c>
      <c r="B308" s="6" t="s">
        <v>1082</v>
      </c>
      <c r="C308" s="8" t="s">
        <v>1083</v>
      </c>
      <c r="D308" s="7" t="s">
        <v>1084</v>
      </c>
    </row>
    <row r="309" spans="1:4" ht="31.5" x14ac:dyDescent="0.25">
      <c r="A309" s="5" t="s">
        <v>1085</v>
      </c>
      <c r="B309" s="6" t="s">
        <v>1086</v>
      </c>
      <c r="C309" s="8" t="s">
        <v>1087</v>
      </c>
      <c r="D309" s="7" t="s">
        <v>1088</v>
      </c>
    </row>
    <row r="310" spans="1:4" ht="47.25" x14ac:dyDescent="0.25">
      <c r="A310" s="5" t="s">
        <v>1089</v>
      </c>
      <c r="B310" s="6" t="s">
        <v>1090</v>
      </c>
      <c r="C310" s="8" t="s">
        <v>941</v>
      </c>
      <c r="D310" s="7" t="s">
        <v>1091</v>
      </c>
    </row>
    <row r="311" spans="1:4" ht="63" x14ac:dyDescent="0.25">
      <c r="A311" s="5" t="s">
        <v>1092</v>
      </c>
      <c r="B311" s="6" t="s">
        <v>1093</v>
      </c>
      <c r="C311" s="8" t="s">
        <v>364</v>
      </c>
      <c r="D311" s="7" t="s">
        <v>1094</v>
      </c>
    </row>
    <row r="312" spans="1:4" ht="63" x14ac:dyDescent="0.25">
      <c r="A312" s="5" t="s">
        <v>1095</v>
      </c>
      <c r="B312" s="6" t="s">
        <v>1096</v>
      </c>
      <c r="C312" s="8" t="s">
        <v>373</v>
      </c>
      <c r="D312" s="7" t="s">
        <v>1097</v>
      </c>
    </row>
    <row r="313" spans="1:4" ht="47.25" x14ac:dyDescent="0.25">
      <c r="A313" s="5" t="s">
        <v>1098</v>
      </c>
      <c r="B313" s="6" t="s">
        <v>1099</v>
      </c>
      <c r="C313" s="8" t="s">
        <v>477</v>
      </c>
      <c r="D313" s="7" t="s">
        <v>1100</v>
      </c>
    </row>
    <row r="314" spans="1:4" ht="47.25" x14ac:dyDescent="0.25">
      <c r="A314" s="5" t="s">
        <v>1101</v>
      </c>
      <c r="B314" s="6" t="s">
        <v>1102</v>
      </c>
      <c r="C314" s="8" t="s">
        <v>1103</v>
      </c>
      <c r="D314" s="7" t="s">
        <v>1104</v>
      </c>
    </row>
    <row r="315" spans="1:4" ht="47.25" x14ac:dyDescent="0.25">
      <c r="A315" s="5" t="s">
        <v>1105</v>
      </c>
      <c r="B315" s="6" t="s">
        <v>1106</v>
      </c>
      <c r="C315" s="8" t="s">
        <v>1107</v>
      </c>
      <c r="D315" s="7" t="s">
        <v>1108</v>
      </c>
    </row>
    <row r="316" spans="1:4" ht="31.5" x14ac:dyDescent="0.25">
      <c r="A316" s="5" t="s">
        <v>1109</v>
      </c>
      <c r="B316" s="6" t="s">
        <v>1110</v>
      </c>
      <c r="C316" s="8" t="s">
        <v>941</v>
      </c>
      <c r="D316" s="7" t="s">
        <v>1111</v>
      </c>
    </row>
    <row r="317" spans="1:4" ht="47.25" x14ac:dyDescent="0.25">
      <c r="A317" s="5" t="s">
        <v>1112</v>
      </c>
      <c r="B317" s="6" t="s">
        <v>1113</v>
      </c>
      <c r="C317" s="8" t="s">
        <v>1114</v>
      </c>
      <c r="D317" s="7" t="s">
        <v>1115</v>
      </c>
    </row>
    <row r="318" spans="1:4" ht="31.5" x14ac:dyDescent="0.25">
      <c r="A318" s="5" t="s">
        <v>1116</v>
      </c>
      <c r="B318" s="6" t="s">
        <v>1117</v>
      </c>
      <c r="C318" s="8" t="s">
        <v>530</v>
      </c>
      <c r="D318" s="7" t="s">
        <v>1118</v>
      </c>
    </row>
    <row r="319" spans="1:4" ht="47.25" x14ac:dyDescent="0.25">
      <c r="A319" s="5" t="s">
        <v>1119</v>
      </c>
      <c r="B319" s="6" t="s">
        <v>1120</v>
      </c>
      <c r="C319" s="8" t="s">
        <v>599</v>
      </c>
      <c r="D319" s="7" t="s">
        <v>1121</v>
      </c>
    </row>
    <row r="320" spans="1:4" ht="31.5" x14ac:dyDescent="0.25">
      <c r="A320" s="5" t="s">
        <v>1122</v>
      </c>
      <c r="B320" s="6" t="s">
        <v>1123</v>
      </c>
      <c r="C320" s="8" t="s">
        <v>732</v>
      </c>
      <c r="D320" s="7" t="s">
        <v>1124</v>
      </c>
    </row>
    <row r="321" spans="1:4" ht="31.5" x14ac:dyDescent="0.25">
      <c r="A321" s="5" t="s">
        <v>1125</v>
      </c>
      <c r="B321" s="6" t="s">
        <v>1126</v>
      </c>
      <c r="C321" s="8" t="s">
        <v>498</v>
      </c>
      <c r="D321" s="7" t="s">
        <v>1127</v>
      </c>
    </row>
    <row r="322" spans="1:4" ht="94.5" x14ac:dyDescent="0.25">
      <c r="A322" s="5" t="s">
        <v>1128</v>
      </c>
      <c r="B322" s="6" t="s">
        <v>1129</v>
      </c>
      <c r="C322" s="8" t="s">
        <v>666</v>
      </c>
      <c r="D322" s="7" t="s">
        <v>1130</v>
      </c>
    </row>
    <row r="323" spans="1:4" ht="31.5" x14ac:dyDescent="0.25">
      <c r="A323" s="5" t="s">
        <v>1131</v>
      </c>
      <c r="B323" s="6" t="s">
        <v>1132</v>
      </c>
      <c r="C323" s="8" t="s">
        <v>1133</v>
      </c>
      <c r="D323" s="7" t="s">
        <v>1134</v>
      </c>
    </row>
    <row r="324" spans="1:4" ht="47.25" x14ac:dyDescent="0.25">
      <c r="A324" s="5" t="s">
        <v>1135</v>
      </c>
      <c r="B324" s="6" t="s">
        <v>1136</v>
      </c>
      <c r="C324" s="8" t="s">
        <v>477</v>
      </c>
      <c r="D324" s="7" t="s">
        <v>1137</v>
      </c>
    </row>
    <row r="325" spans="1:4" ht="47.25" x14ac:dyDescent="0.25">
      <c r="A325" s="5" t="s">
        <v>1138</v>
      </c>
      <c r="B325" s="6" t="s">
        <v>1139</v>
      </c>
      <c r="C325" s="8" t="s">
        <v>1140</v>
      </c>
      <c r="D325" s="7" t="s">
        <v>1141</v>
      </c>
    </row>
    <row r="326" spans="1:4" ht="31.5" x14ac:dyDescent="0.25">
      <c r="A326" s="5" t="s">
        <v>1142</v>
      </c>
      <c r="B326" s="6" t="s">
        <v>1143</v>
      </c>
      <c r="C326" s="8" t="s">
        <v>580</v>
      </c>
      <c r="D326" s="7" t="s">
        <v>1144</v>
      </c>
    </row>
    <row r="327" spans="1:4" ht="63" x14ac:dyDescent="0.25">
      <c r="A327" s="5" t="s">
        <v>1145</v>
      </c>
      <c r="B327" s="6" t="s">
        <v>1146</v>
      </c>
      <c r="C327" s="8" t="s">
        <v>911</v>
      </c>
      <c r="D327" s="7" t="s">
        <v>1147</v>
      </c>
    </row>
    <row r="328" spans="1:4" ht="31.5" x14ac:dyDescent="0.25">
      <c r="A328" s="5" t="s">
        <v>1148</v>
      </c>
      <c r="B328" s="6" t="s">
        <v>1149</v>
      </c>
      <c r="C328" s="8" t="s">
        <v>1150</v>
      </c>
      <c r="D328" s="7" t="s">
        <v>1151</v>
      </c>
    </row>
    <row r="329" spans="1:4" ht="47.25" x14ac:dyDescent="0.25">
      <c r="A329" s="5" t="s">
        <v>1152</v>
      </c>
      <c r="B329" s="6" t="s">
        <v>1153</v>
      </c>
      <c r="C329" s="8" t="s">
        <v>1012</v>
      </c>
      <c r="D329" s="7" t="s">
        <v>1154</v>
      </c>
    </row>
    <row r="330" spans="1:4" ht="31.5" x14ac:dyDescent="0.25">
      <c r="A330" s="5" t="s">
        <v>1155</v>
      </c>
      <c r="B330" s="6" t="s">
        <v>1156</v>
      </c>
      <c r="C330" s="8" t="s">
        <v>1157</v>
      </c>
      <c r="D330" s="7" t="s">
        <v>1158</v>
      </c>
    </row>
    <row r="331" spans="1:4" ht="31.5" x14ac:dyDescent="0.25">
      <c r="A331" s="5" t="s">
        <v>1159</v>
      </c>
      <c r="B331" s="6" t="s">
        <v>1160</v>
      </c>
      <c r="C331" s="8" t="s">
        <v>1161</v>
      </c>
      <c r="D331" s="7" t="s">
        <v>1163</v>
      </c>
    </row>
    <row r="332" spans="1:4" ht="47.25" x14ac:dyDescent="0.25">
      <c r="A332" s="5" t="s">
        <v>1164</v>
      </c>
      <c r="B332" s="6" t="s">
        <v>1165</v>
      </c>
      <c r="C332" s="8" t="s">
        <v>1166</v>
      </c>
      <c r="D332" s="7" t="s">
        <v>1167</v>
      </c>
    </row>
    <row r="333" spans="1:4" ht="47.25" x14ac:dyDescent="0.25">
      <c r="A333" s="5" t="s">
        <v>1168</v>
      </c>
      <c r="B333" s="6" t="s">
        <v>1169</v>
      </c>
      <c r="C333" s="8" t="s">
        <v>1170</v>
      </c>
      <c r="D333" s="7" t="s">
        <v>1171</v>
      </c>
    </row>
    <row r="334" spans="1:4" ht="47.25" x14ac:dyDescent="0.25">
      <c r="A334" s="5" t="s">
        <v>1172</v>
      </c>
      <c r="B334" s="6" t="s">
        <v>1173</v>
      </c>
      <c r="C334" s="8" t="s">
        <v>530</v>
      </c>
      <c r="D334" s="7" t="s">
        <v>1174</v>
      </c>
    </row>
    <row r="335" spans="1:4" ht="47.25" x14ac:dyDescent="0.25">
      <c r="A335" s="5" t="s">
        <v>1175</v>
      </c>
      <c r="B335" s="6" t="s">
        <v>1176</v>
      </c>
      <c r="C335" s="8" t="s">
        <v>941</v>
      </c>
      <c r="D335" s="7" t="s">
        <v>1177</v>
      </c>
    </row>
    <row r="336" spans="1:4" ht="47.25" x14ac:dyDescent="0.25">
      <c r="A336" s="5" t="s">
        <v>1178</v>
      </c>
      <c r="B336" s="6" t="s">
        <v>1179</v>
      </c>
      <c r="C336" s="8" t="s">
        <v>1180</v>
      </c>
      <c r="D336" s="7" t="s">
        <v>1181</v>
      </c>
    </row>
    <row r="337" spans="1:5" ht="31.5" x14ac:dyDescent="0.25">
      <c r="A337" s="5" t="s">
        <v>1182</v>
      </c>
      <c r="B337" s="6" t="s">
        <v>1183</v>
      </c>
      <c r="C337" s="8" t="s">
        <v>631</v>
      </c>
      <c r="D337" s="7" t="s">
        <v>1184</v>
      </c>
    </row>
    <row r="338" spans="1:5" ht="47.25" x14ac:dyDescent="0.25">
      <c r="A338" s="5" t="s">
        <v>1185</v>
      </c>
      <c r="B338" s="6" t="s">
        <v>1186</v>
      </c>
      <c r="C338" s="8" t="s">
        <v>1187</v>
      </c>
      <c r="D338" s="7" t="s">
        <v>1188</v>
      </c>
    </row>
    <row r="339" spans="1:5" ht="47.25" x14ac:dyDescent="0.25">
      <c r="A339" s="5" t="s">
        <v>1189</v>
      </c>
      <c r="B339" s="6" t="s">
        <v>1190</v>
      </c>
      <c r="C339" s="8" t="s">
        <v>63</v>
      </c>
      <c r="D339" s="7" t="s">
        <v>1191</v>
      </c>
    </row>
    <row r="340" spans="1:5" ht="31.5" x14ac:dyDescent="0.25">
      <c r="A340" s="5" t="s">
        <v>1192</v>
      </c>
      <c r="B340" s="6" t="s">
        <v>1193</v>
      </c>
      <c r="C340" s="8" t="s">
        <v>1194</v>
      </c>
      <c r="D340" s="7" t="s">
        <v>1195</v>
      </c>
    </row>
    <row r="341" spans="1:5" ht="31.5" x14ac:dyDescent="0.25">
      <c r="A341" s="5" t="s">
        <v>1196</v>
      </c>
      <c r="B341" s="6" t="s">
        <v>1197</v>
      </c>
      <c r="C341" s="8" t="s">
        <v>1198</v>
      </c>
      <c r="D341" s="7" t="s">
        <v>1199</v>
      </c>
    </row>
    <row r="342" spans="1:5" ht="31.5" x14ac:dyDescent="0.25">
      <c r="A342" s="5" t="s">
        <v>1200</v>
      </c>
      <c r="B342" s="6" t="s">
        <v>1201</v>
      </c>
      <c r="C342" s="8" t="s">
        <v>1202</v>
      </c>
      <c r="D342" s="7" t="s">
        <v>1203</v>
      </c>
    </row>
    <row r="343" spans="1:5" ht="47.25" x14ac:dyDescent="0.25">
      <c r="A343" s="5" t="s">
        <v>1204</v>
      </c>
      <c r="B343" s="6" t="s">
        <v>1205</v>
      </c>
      <c r="C343" s="8" t="s">
        <v>1206</v>
      </c>
      <c r="D343" s="7" t="s">
        <v>1207</v>
      </c>
    </row>
    <row r="344" spans="1:5" ht="31.5" x14ac:dyDescent="0.25">
      <c r="A344" s="5" t="s">
        <v>1208</v>
      </c>
      <c r="B344" s="6" t="s">
        <v>1209</v>
      </c>
      <c r="C344" s="8" t="s">
        <v>525</v>
      </c>
      <c r="D344" s="7" t="s">
        <v>1210</v>
      </c>
    </row>
    <row r="345" spans="1:5" ht="31.5" x14ac:dyDescent="0.25">
      <c r="A345" s="5" t="s">
        <v>1211</v>
      </c>
      <c r="B345" s="6" t="s">
        <v>1212</v>
      </c>
      <c r="C345" s="8" t="s">
        <v>525</v>
      </c>
      <c r="D345" s="7" t="s">
        <v>1213</v>
      </c>
    </row>
    <row r="346" spans="1:5" ht="63" x14ac:dyDescent="0.25">
      <c r="A346" s="5" t="s">
        <v>1214</v>
      </c>
      <c r="B346" s="6" t="s">
        <v>1215</v>
      </c>
      <c r="C346" s="8" t="s">
        <v>1216</v>
      </c>
      <c r="D346" s="7" t="s">
        <v>1217</v>
      </c>
    </row>
    <row r="347" spans="1:5" ht="47.25" x14ac:dyDescent="0.25">
      <c r="A347" s="5" t="s">
        <v>1218</v>
      </c>
      <c r="B347" s="6" t="s">
        <v>1219</v>
      </c>
      <c r="C347" s="8" t="s">
        <v>1220</v>
      </c>
      <c r="D347" s="7" t="s">
        <v>1221</v>
      </c>
      <c r="E347" s="55"/>
    </row>
    <row r="348" spans="1:5" ht="47.25" x14ac:dyDescent="0.25">
      <c r="A348" s="5" t="s">
        <v>1222</v>
      </c>
      <c r="B348" s="6" t="s">
        <v>1223</v>
      </c>
      <c r="C348" s="8" t="s">
        <v>1224</v>
      </c>
      <c r="D348" s="7" t="s">
        <v>1225</v>
      </c>
      <c r="E348" s="55"/>
    </row>
    <row r="349" spans="1:5" ht="47.25" x14ac:dyDescent="0.25">
      <c r="A349" s="5" t="s">
        <v>1226</v>
      </c>
      <c r="B349" s="6" t="s">
        <v>1227</v>
      </c>
      <c r="C349" s="8" t="s">
        <v>429</v>
      </c>
      <c r="D349" s="7" t="s">
        <v>1228</v>
      </c>
      <c r="E349" s="55"/>
    </row>
    <row r="350" spans="1:5" ht="47.25" x14ac:dyDescent="0.25">
      <c r="A350" s="5" t="s">
        <v>1229</v>
      </c>
      <c r="B350" s="6" t="s">
        <v>1230</v>
      </c>
      <c r="C350" s="8" t="s">
        <v>1231</v>
      </c>
      <c r="D350" s="7" t="s">
        <v>1232</v>
      </c>
      <c r="E350" s="55"/>
    </row>
    <row r="351" spans="1:5" ht="63" x14ac:dyDescent="0.25">
      <c r="A351" s="5" t="s">
        <v>1233</v>
      </c>
      <c r="B351" s="6" t="s">
        <v>1234</v>
      </c>
      <c r="C351" s="8" t="s">
        <v>1231</v>
      </c>
      <c r="D351" s="7" t="s">
        <v>1235</v>
      </c>
      <c r="E351" s="55"/>
    </row>
    <row r="352" spans="1:5" ht="63" x14ac:dyDescent="0.25">
      <c r="A352" s="5" t="s">
        <v>1236</v>
      </c>
      <c r="B352" s="6" t="s">
        <v>1237</v>
      </c>
      <c r="C352" s="8" t="s">
        <v>1238</v>
      </c>
      <c r="D352" s="7" t="s">
        <v>1239</v>
      </c>
      <c r="E352" s="55"/>
    </row>
    <row r="353" spans="1:5" ht="47.25" x14ac:dyDescent="0.25">
      <c r="A353" s="5" t="s">
        <v>1240</v>
      </c>
      <c r="B353" s="6" t="s">
        <v>1241</v>
      </c>
      <c r="C353" s="8" t="s">
        <v>1242</v>
      </c>
      <c r="D353" s="7" t="s">
        <v>1243</v>
      </c>
      <c r="E353" s="55"/>
    </row>
    <row r="354" spans="1:5" ht="63" x14ac:dyDescent="0.25">
      <c r="A354" s="5" t="s">
        <v>1244</v>
      </c>
      <c r="B354" s="6" t="s">
        <v>1245</v>
      </c>
      <c r="C354" s="8" t="s">
        <v>1246</v>
      </c>
      <c r="D354" s="7" t="s">
        <v>1247</v>
      </c>
      <c r="E354" s="55"/>
    </row>
    <row r="355" spans="1:5" ht="78.75" x14ac:dyDescent="0.25">
      <c r="A355" s="5" t="s">
        <v>1248</v>
      </c>
      <c r="B355" s="6" t="s">
        <v>1249</v>
      </c>
      <c r="C355" s="8" t="s">
        <v>415</v>
      </c>
      <c r="D355" s="7" t="s">
        <v>1250</v>
      </c>
      <c r="E355" s="55"/>
    </row>
    <row r="356" spans="1:5" ht="31.5" x14ac:dyDescent="0.25">
      <c r="A356" s="5" t="s">
        <v>1251</v>
      </c>
      <c r="B356" s="6" t="s">
        <v>1252</v>
      </c>
      <c r="C356" s="8" t="s">
        <v>1253</v>
      </c>
      <c r="D356" s="7" t="s">
        <v>1254</v>
      </c>
      <c r="E356" s="55"/>
    </row>
    <row r="357" spans="1:5" ht="78.75" x14ac:dyDescent="0.25">
      <c r="A357" s="5" t="s">
        <v>1255</v>
      </c>
      <c r="B357" s="6" t="s">
        <v>1256</v>
      </c>
      <c r="C357" s="8" t="s">
        <v>933</v>
      </c>
      <c r="D357" s="7" t="s">
        <v>1257</v>
      </c>
      <c r="E357" s="55"/>
    </row>
    <row r="358" spans="1:5" ht="47.25" x14ac:dyDescent="0.25">
      <c r="A358" s="5" t="s">
        <v>1258</v>
      </c>
      <c r="B358" s="6" t="s">
        <v>1259</v>
      </c>
      <c r="C358" s="8" t="s">
        <v>1260</v>
      </c>
      <c r="D358" s="7" t="s">
        <v>1261</v>
      </c>
      <c r="E358" s="55"/>
    </row>
    <row r="359" spans="1:5" ht="31.5" x14ac:dyDescent="0.25">
      <c r="A359" s="5" t="s">
        <v>1262</v>
      </c>
      <c r="B359" s="6" t="s">
        <v>1263</v>
      </c>
      <c r="C359" s="8" t="s">
        <v>563</v>
      </c>
      <c r="D359" s="7" t="s">
        <v>1264</v>
      </c>
      <c r="E359" s="55"/>
    </row>
    <row r="360" spans="1:5" ht="78.75" x14ac:dyDescent="0.25">
      <c r="A360" s="5" t="s">
        <v>1265</v>
      </c>
      <c r="B360" s="6" t="s">
        <v>1266</v>
      </c>
      <c r="C360" s="8" t="s">
        <v>406</v>
      </c>
      <c r="D360" s="7" t="s">
        <v>1267</v>
      </c>
      <c r="E360" s="55"/>
    </row>
    <row r="361" spans="1:5" ht="31.5" x14ac:dyDescent="0.25">
      <c r="A361" s="5" t="s">
        <v>1268</v>
      </c>
      <c r="B361" s="6" t="s">
        <v>1269</v>
      </c>
      <c r="C361" s="8" t="s">
        <v>1270</v>
      </c>
      <c r="D361" s="7" t="s">
        <v>1271</v>
      </c>
      <c r="E361" s="55"/>
    </row>
    <row r="362" spans="1:5" ht="47.25" x14ac:dyDescent="0.25">
      <c r="A362" s="5" t="s">
        <v>1272</v>
      </c>
      <c r="B362" s="6" t="s">
        <v>1273</v>
      </c>
      <c r="C362" s="8" t="s">
        <v>1270</v>
      </c>
      <c r="D362" s="7" t="s">
        <v>1274</v>
      </c>
      <c r="E362" s="55"/>
    </row>
    <row r="363" spans="1:5" ht="31.5" x14ac:dyDescent="0.25">
      <c r="A363" s="5" t="s">
        <v>1275</v>
      </c>
      <c r="B363" s="6" t="s">
        <v>1276</v>
      </c>
      <c r="C363" s="8" t="s">
        <v>861</v>
      </c>
      <c r="D363" s="7" t="s">
        <v>1277</v>
      </c>
      <c r="E363" s="55"/>
    </row>
    <row r="364" spans="1:5" ht="63" x14ac:dyDescent="0.25">
      <c r="A364" s="5" t="s">
        <v>1278</v>
      </c>
      <c r="B364" s="6" t="s">
        <v>1279</v>
      </c>
      <c r="C364" s="53" t="s">
        <v>1280</v>
      </c>
      <c r="D364" s="7" t="s">
        <v>1281</v>
      </c>
      <c r="E364" s="55"/>
    </row>
    <row r="365" spans="1:5" ht="78.75" x14ac:dyDescent="0.25">
      <c r="A365" s="5" t="s">
        <v>1282</v>
      </c>
      <c r="B365" s="6" t="s">
        <v>1283</v>
      </c>
      <c r="C365" s="8" t="s">
        <v>1284</v>
      </c>
      <c r="D365" s="7" t="s">
        <v>1285</v>
      </c>
      <c r="E365" s="55"/>
    </row>
    <row r="366" spans="1:5" ht="63" x14ac:dyDescent="0.25">
      <c r="A366" s="5" t="s">
        <v>1286</v>
      </c>
      <c r="B366" s="6" t="s">
        <v>1287</v>
      </c>
      <c r="C366" s="8" t="s">
        <v>1170</v>
      </c>
      <c r="D366" s="7" t="s">
        <v>1288</v>
      </c>
      <c r="E366" s="55"/>
    </row>
    <row r="367" spans="1:5" ht="31.5" x14ac:dyDescent="0.25">
      <c r="A367" s="5" t="s">
        <v>1289</v>
      </c>
      <c r="B367" s="6" t="s">
        <v>1290</v>
      </c>
      <c r="C367" s="8" t="s">
        <v>1291</v>
      </c>
      <c r="D367" s="7" t="s">
        <v>1292</v>
      </c>
      <c r="E367" s="55"/>
    </row>
    <row r="368" spans="1:5" ht="31.5" x14ac:dyDescent="0.25">
      <c r="A368" s="5" t="s">
        <v>1293</v>
      </c>
      <c r="B368" s="6" t="s">
        <v>1294</v>
      </c>
      <c r="C368" s="8" t="s">
        <v>380</v>
      </c>
      <c r="D368" s="7" t="s">
        <v>1295</v>
      </c>
      <c r="E368" s="55"/>
    </row>
    <row r="369" spans="1:5" ht="31.5" x14ac:dyDescent="0.25">
      <c r="A369" s="5" t="s">
        <v>1296</v>
      </c>
      <c r="B369" s="6" t="s">
        <v>1297</v>
      </c>
      <c r="C369" s="8" t="s">
        <v>1298</v>
      </c>
      <c r="D369" s="7" t="s">
        <v>1299</v>
      </c>
      <c r="E369" s="55"/>
    </row>
    <row r="370" spans="1:5" ht="47.25" x14ac:dyDescent="0.25">
      <c r="A370" s="5" t="s">
        <v>1300</v>
      </c>
      <c r="B370" s="6" t="s">
        <v>1301</v>
      </c>
      <c r="C370" s="8" t="s">
        <v>1302</v>
      </c>
      <c r="D370" s="7" t="s">
        <v>1303</v>
      </c>
      <c r="E370" s="55"/>
    </row>
    <row r="371" spans="1:5" ht="47.25" x14ac:dyDescent="0.25">
      <c r="A371" s="5" t="s">
        <v>1304</v>
      </c>
      <c r="B371" s="6" t="s">
        <v>1305</v>
      </c>
      <c r="C371" s="8" t="s">
        <v>1306</v>
      </c>
      <c r="D371" s="7" t="s">
        <v>1307</v>
      </c>
      <c r="E371" s="55"/>
    </row>
    <row r="372" spans="1:5" ht="31.5" x14ac:dyDescent="0.25">
      <c r="A372" s="5" t="s">
        <v>1308</v>
      </c>
      <c r="B372" s="6" t="s">
        <v>1309</v>
      </c>
      <c r="C372" s="8" t="s">
        <v>1310</v>
      </c>
      <c r="D372" s="7" t="s">
        <v>1311</v>
      </c>
      <c r="E372" s="55"/>
    </row>
    <row r="373" spans="1:5" ht="31.5" x14ac:dyDescent="0.25">
      <c r="A373" s="5" t="s">
        <v>1312</v>
      </c>
      <c r="B373" s="6" t="s">
        <v>1313</v>
      </c>
      <c r="C373" s="8" t="s">
        <v>1314</v>
      </c>
      <c r="D373" s="7" t="s">
        <v>1315</v>
      </c>
      <c r="E373" s="55"/>
    </row>
    <row r="374" spans="1:5" x14ac:dyDescent="0.25">
      <c r="A374" s="5" t="s">
        <v>1316</v>
      </c>
      <c r="B374" s="6" t="s">
        <v>1317</v>
      </c>
      <c r="C374" s="8" t="s">
        <v>525</v>
      </c>
      <c r="D374" s="7" t="s">
        <v>1318</v>
      </c>
      <c r="E374" s="55"/>
    </row>
    <row r="375" spans="1:5" ht="31.5" x14ac:dyDescent="0.25">
      <c r="A375" s="5" t="s">
        <v>1319</v>
      </c>
      <c r="B375" s="6" t="s">
        <v>1320</v>
      </c>
      <c r="C375" s="8" t="s">
        <v>563</v>
      </c>
      <c r="D375" s="7" t="s">
        <v>1321</v>
      </c>
      <c r="E375" s="55"/>
    </row>
    <row r="376" spans="1:5" ht="31.5" x14ac:dyDescent="0.25">
      <c r="A376" s="5" t="s">
        <v>1322</v>
      </c>
      <c r="B376" s="6" t="s">
        <v>1323</v>
      </c>
      <c r="C376" s="8" t="s">
        <v>1242</v>
      </c>
      <c r="D376" s="7" t="s">
        <v>1324</v>
      </c>
      <c r="E376" s="55"/>
    </row>
    <row r="377" spans="1:5" ht="31.5" x14ac:dyDescent="0.25">
      <c r="A377" s="5" t="s">
        <v>1325</v>
      </c>
      <c r="B377" s="6" t="s">
        <v>1326</v>
      </c>
      <c r="C377" s="8" t="s">
        <v>628</v>
      </c>
      <c r="D377" s="7" t="s">
        <v>1327</v>
      </c>
      <c r="E377" s="55"/>
    </row>
    <row r="378" spans="1:5" ht="63" x14ac:dyDescent="0.25">
      <c r="A378" s="5" t="s">
        <v>1328</v>
      </c>
      <c r="B378" s="6" t="s">
        <v>1329</v>
      </c>
      <c r="C378" s="8" t="s">
        <v>1330</v>
      </c>
      <c r="D378" s="7" t="s">
        <v>1331</v>
      </c>
      <c r="E378" s="55"/>
    </row>
    <row r="379" spans="1:5" ht="47.25" x14ac:dyDescent="0.25">
      <c r="A379" s="5" t="s">
        <v>1332</v>
      </c>
      <c r="B379" s="6" t="s">
        <v>1333</v>
      </c>
      <c r="C379" s="8" t="s">
        <v>1334</v>
      </c>
      <c r="D379" s="7" t="s">
        <v>1335</v>
      </c>
      <c r="E379" s="55"/>
    </row>
    <row r="380" spans="1:5" ht="47.25" x14ac:dyDescent="0.25">
      <c r="A380" s="5" t="s">
        <v>1336</v>
      </c>
      <c r="B380" s="6" t="s">
        <v>1337</v>
      </c>
      <c r="C380" s="8" t="s">
        <v>366</v>
      </c>
      <c r="D380" s="7" t="s">
        <v>1338</v>
      </c>
      <c r="E380" s="55"/>
    </row>
    <row r="381" spans="1:5" ht="31.5" x14ac:dyDescent="0.25">
      <c r="A381" s="5" t="s">
        <v>1339</v>
      </c>
      <c r="B381" s="6" t="s">
        <v>1340</v>
      </c>
      <c r="C381" s="8" t="s">
        <v>1341</v>
      </c>
      <c r="D381" s="7" t="s">
        <v>1342</v>
      </c>
      <c r="E381" s="55"/>
    </row>
    <row r="382" spans="1:5" ht="31.5" x14ac:dyDescent="0.25">
      <c r="A382" s="5" t="s">
        <v>1343</v>
      </c>
      <c r="B382" s="6" t="s">
        <v>1344</v>
      </c>
      <c r="C382" s="8" t="s">
        <v>596</v>
      </c>
      <c r="D382" s="7" t="s">
        <v>1345</v>
      </c>
      <c r="E382" s="55"/>
    </row>
    <row r="383" spans="1:5" ht="31.5" x14ac:dyDescent="0.25">
      <c r="A383" s="5" t="s">
        <v>1346</v>
      </c>
      <c r="B383" s="6" t="s">
        <v>1347</v>
      </c>
      <c r="C383" s="8" t="s">
        <v>1348</v>
      </c>
      <c r="D383" s="7" t="s">
        <v>1349</v>
      </c>
      <c r="E383" s="55"/>
    </row>
    <row r="384" spans="1:5" ht="47.25" x14ac:dyDescent="0.25">
      <c r="A384" s="5" t="s">
        <v>1350</v>
      </c>
      <c r="B384" s="6" t="s">
        <v>1351</v>
      </c>
      <c r="C384" s="8" t="s">
        <v>1231</v>
      </c>
      <c r="D384" s="7" t="s">
        <v>1352</v>
      </c>
      <c r="E384" s="55"/>
    </row>
    <row r="385" spans="1:5" ht="47.25" x14ac:dyDescent="0.25">
      <c r="A385" s="5" t="s">
        <v>1353</v>
      </c>
      <c r="B385" s="6" t="s">
        <v>1354</v>
      </c>
      <c r="C385" s="8" t="s">
        <v>1231</v>
      </c>
      <c r="D385" s="7" t="s">
        <v>1355</v>
      </c>
      <c r="E385" s="55"/>
    </row>
    <row r="386" spans="1:5" ht="31.5" x14ac:dyDescent="0.25">
      <c r="A386" s="5" t="s">
        <v>1356</v>
      </c>
      <c r="B386" s="6" t="s">
        <v>1357</v>
      </c>
      <c r="C386" s="8" t="s">
        <v>1220</v>
      </c>
      <c r="D386" s="7" t="s">
        <v>1358</v>
      </c>
      <c r="E386" s="55"/>
    </row>
    <row r="387" spans="1:5" ht="47.25" x14ac:dyDescent="0.25">
      <c r="A387" s="5" t="s">
        <v>1359</v>
      </c>
      <c r="B387" s="6" t="s">
        <v>1360</v>
      </c>
      <c r="C387" s="8" t="s">
        <v>1314</v>
      </c>
      <c r="D387" s="7" t="s">
        <v>1361</v>
      </c>
      <c r="E387" s="55"/>
    </row>
    <row r="388" spans="1:5" ht="31.5" x14ac:dyDescent="0.25">
      <c r="A388" s="5" t="s">
        <v>1362</v>
      </c>
      <c r="B388" s="6" t="s">
        <v>1363</v>
      </c>
      <c r="C388" s="8" t="s">
        <v>1348</v>
      </c>
      <c r="D388" s="7" t="s">
        <v>1364</v>
      </c>
      <c r="E388" s="55"/>
    </row>
    <row r="389" spans="1:5" ht="47.25" x14ac:dyDescent="0.25">
      <c r="A389" s="5" t="s">
        <v>1365</v>
      </c>
      <c r="B389" s="6" t="s">
        <v>1366</v>
      </c>
      <c r="C389" s="8" t="s">
        <v>492</v>
      </c>
      <c r="D389" s="7" t="s">
        <v>1367</v>
      </c>
      <c r="E389" s="55"/>
    </row>
    <row r="390" spans="1:5" ht="31.5" x14ac:dyDescent="0.25">
      <c r="A390" s="5" t="s">
        <v>1368</v>
      </c>
      <c r="B390" s="6" t="s">
        <v>1369</v>
      </c>
      <c r="C390" s="8" t="s">
        <v>1370</v>
      </c>
      <c r="D390" s="7" t="s">
        <v>1371</v>
      </c>
    </row>
    <row r="391" spans="1:5" ht="63" x14ac:dyDescent="0.25">
      <c r="A391" s="5" t="s">
        <v>1372</v>
      </c>
      <c r="B391" s="6" t="s">
        <v>1373</v>
      </c>
      <c r="C391" s="8" t="s">
        <v>1374</v>
      </c>
      <c r="D391" s="7" t="s">
        <v>1375</v>
      </c>
    </row>
    <row r="392" spans="1:5" ht="47.25" x14ac:dyDescent="0.25">
      <c r="A392" s="5" t="s">
        <v>1376</v>
      </c>
      <c r="B392" s="6" t="s">
        <v>1377</v>
      </c>
      <c r="C392" s="8" t="s">
        <v>1284</v>
      </c>
      <c r="D392" s="7" t="s">
        <v>1378</v>
      </c>
    </row>
    <row r="393" spans="1:5" ht="47.25" x14ac:dyDescent="0.25">
      <c r="A393" s="5" t="s">
        <v>1379</v>
      </c>
      <c r="B393" s="6" t="s">
        <v>1380</v>
      </c>
      <c r="C393" s="8" t="s">
        <v>930</v>
      </c>
      <c r="D393" s="7" t="s">
        <v>1381</v>
      </c>
    </row>
    <row r="394" spans="1:5" ht="31.5" x14ac:dyDescent="0.25">
      <c r="A394" s="5" t="s">
        <v>1382</v>
      </c>
      <c r="B394" s="6" t="s">
        <v>1383</v>
      </c>
      <c r="C394" s="8" t="s">
        <v>933</v>
      </c>
      <c r="D394" s="7" t="s">
        <v>1384</v>
      </c>
    </row>
    <row r="395" spans="1:5" ht="47.25" x14ac:dyDescent="0.25">
      <c r="A395" s="5" t="s">
        <v>1385</v>
      </c>
      <c r="B395" s="6" t="s">
        <v>1386</v>
      </c>
      <c r="C395" s="8" t="s">
        <v>435</v>
      </c>
      <c r="D395" s="7" t="s">
        <v>1387</v>
      </c>
    </row>
    <row r="396" spans="1:5" ht="31.5" x14ac:dyDescent="0.25">
      <c r="A396" s="5" t="s">
        <v>1388</v>
      </c>
      <c r="B396" s="6" t="s">
        <v>1389</v>
      </c>
      <c r="C396" s="8" t="s">
        <v>1016</v>
      </c>
      <c r="D396" s="7" t="s">
        <v>1390</v>
      </c>
    </row>
    <row r="397" spans="1:5" ht="63" x14ac:dyDescent="0.25">
      <c r="A397" s="5" t="s">
        <v>1391</v>
      </c>
      <c r="B397" s="6" t="s">
        <v>1392</v>
      </c>
      <c r="C397" s="8" t="s">
        <v>1393</v>
      </c>
      <c r="D397" s="7" t="s">
        <v>1394</v>
      </c>
    </row>
    <row r="398" spans="1:5" ht="63" x14ac:dyDescent="0.25">
      <c r="A398" s="5" t="s">
        <v>1395</v>
      </c>
      <c r="B398" s="6" t="s">
        <v>1396</v>
      </c>
      <c r="C398" s="8" t="s">
        <v>1397</v>
      </c>
      <c r="D398" s="7" t="s">
        <v>1398</v>
      </c>
    </row>
    <row r="399" spans="1:5" ht="47.25" x14ac:dyDescent="0.25">
      <c r="A399" s="5" t="s">
        <v>1399</v>
      </c>
      <c r="B399" s="6" t="s">
        <v>1400</v>
      </c>
      <c r="C399" s="8" t="s">
        <v>1401</v>
      </c>
      <c r="D399" s="7" t="s">
        <v>1402</v>
      </c>
    </row>
    <row r="400" spans="1:5" ht="31.5" x14ac:dyDescent="0.25">
      <c r="A400" s="5" t="s">
        <v>1403</v>
      </c>
      <c r="B400" s="6" t="s">
        <v>1404</v>
      </c>
      <c r="C400" s="8" t="s">
        <v>96</v>
      </c>
      <c r="D400" s="7" t="s">
        <v>1405</v>
      </c>
    </row>
    <row r="401" spans="1:4" ht="47.25" x14ac:dyDescent="0.25">
      <c r="A401" s="5" t="s">
        <v>1406</v>
      </c>
      <c r="B401" s="6" t="s">
        <v>1407</v>
      </c>
      <c r="C401" s="8" t="s">
        <v>1408</v>
      </c>
      <c r="D401" s="7" t="s">
        <v>1409</v>
      </c>
    </row>
    <row r="402" spans="1:4" ht="47.25" x14ac:dyDescent="0.25">
      <c r="A402" s="5" t="s">
        <v>1410</v>
      </c>
      <c r="B402" s="6" t="s">
        <v>1411</v>
      </c>
      <c r="C402" s="8" t="s">
        <v>681</v>
      </c>
      <c r="D402" s="7" t="s">
        <v>1412</v>
      </c>
    </row>
    <row r="403" spans="1:4" ht="63" x14ac:dyDescent="0.25">
      <c r="A403" s="5" t="s">
        <v>1413</v>
      </c>
      <c r="B403" s="6" t="s">
        <v>1414</v>
      </c>
      <c r="C403" s="8" t="s">
        <v>700</v>
      </c>
      <c r="D403" s="7" t="s">
        <v>1415</v>
      </c>
    </row>
    <row r="404" spans="1:4" ht="47.25" x14ac:dyDescent="0.25">
      <c r="A404" s="5" t="s">
        <v>1416</v>
      </c>
      <c r="B404" s="6" t="s">
        <v>1417</v>
      </c>
      <c r="C404" s="8" t="s">
        <v>1418</v>
      </c>
      <c r="D404" s="7" t="s">
        <v>1419</v>
      </c>
    </row>
    <row r="405" spans="1:4" ht="31.5" x14ac:dyDescent="0.25">
      <c r="A405" s="5" t="s">
        <v>1420</v>
      </c>
      <c r="B405" s="6" t="s">
        <v>1421</v>
      </c>
      <c r="C405" s="8" t="s">
        <v>560</v>
      </c>
      <c r="D405" s="7" t="s">
        <v>1422</v>
      </c>
    </row>
    <row r="406" spans="1:4" ht="47.25" x14ac:dyDescent="0.25">
      <c r="A406" s="5" t="s">
        <v>1423</v>
      </c>
      <c r="B406" s="6" t="s">
        <v>1424</v>
      </c>
      <c r="C406" s="8" t="s">
        <v>1425</v>
      </c>
      <c r="D406" s="7" t="s">
        <v>1426</v>
      </c>
    </row>
    <row r="407" spans="1:4" ht="47.25" x14ac:dyDescent="0.25">
      <c r="A407" s="5" t="s">
        <v>1427</v>
      </c>
      <c r="B407" s="6" t="s">
        <v>1428</v>
      </c>
      <c r="C407" s="8" t="s">
        <v>1429</v>
      </c>
      <c r="D407" s="7" t="s">
        <v>1430</v>
      </c>
    </row>
    <row r="408" spans="1:4" ht="31.5" x14ac:dyDescent="0.25">
      <c r="A408" s="5" t="s">
        <v>1431</v>
      </c>
      <c r="B408" s="6" t="s">
        <v>1432</v>
      </c>
      <c r="C408" s="8" t="s">
        <v>1433</v>
      </c>
      <c r="D408" s="7" t="s">
        <v>1434</v>
      </c>
    </row>
    <row r="409" spans="1:4" ht="63" x14ac:dyDescent="0.25">
      <c r="A409" s="5" t="s">
        <v>1435</v>
      </c>
      <c r="B409" s="6" t="s">
        <v>1436</v>
      </c>
      <c r="C409" s="8" t="s">
        <v>1437</v>
      </c>
      <c r="D409" s="7" t="s">
        <v>1438</v>
      </c>
    </row>
    <row r="410" spans="1:4" ht="47.25" x14ac:dyDescent="0.25">
      <c r="A410" s="5" t="s">
        <v>1439</v>
      </c>
      <c r="B410" s="6" t="s">
        <v>1440</v>
      </c>
      <c r="C410" s="8" t="s">
        <v>810</v>
      </c>
      <c r="D410" s="7" t="s">
        <v>1441</v>
      </c>
    </row>
    <row r="411" spans="1:4" ht="47.25" x14ac:dyDescent="0.25">
      <c r="A411" s="5" t="s">
        <v>1442</v>
      </c>
      <c r="B411" s="6" t="s">
        <v>1443</v>
      </c>
      <c r="C411" s="8" t="s">
        <v>1444</v>
      </c>
      <c r="D411" s="7" t="s">
        <v>1445</v>
      </c>
    </row>
    <row r="412" spans="1:4" ht="47.25" x14ac:dyDescent="0.25">
      <c r="A412" s="5" t="s">
        <v>1446</v>
      </c>
      <c r="B412" s="6" t="s">
        <v>1447</v>
      </c>
      <c r="C412" s="8" t="s">
        <v>1448</v>
      </c>
      <c r="D412" s="7" t="s">
        <v>1449</v>
      </c>
    </row>
    <row r="413" spans="1:4" ht="31.5" x14ac:dyDescent="0.25">
      <c r="A413" s="5" t="s">
        <v>1450</v>
      </c>
      <c r="B413" s="6" t="s">
        <v>1451</v>
      </c>
      <c r="C413" s="8" t="s">
        <v>657</v>
      </c>
      <c r="D413" s="7" t="s">
        <v>1452</v>
      </c>
    </row>
    <row r="414" spans="1:4" ht="47.25" x14ac:dyDescent="0.25">
      <c r="A414" s="5" t="s">
        <v>1453</v>
      </c>
      <c r="B414" s="6" t="s">
        <v>1454</v>
      </c>
      <c r="C414" s="8" t="s">
        <v>1231</v>
      </c>
      <c r="D414" s="7" t="s">
        <v>1455</v>
      </c>
    </row>
    <row r="415" spans="1:4" ht="31.5" x14ac:dyDescent="0.25">
      <c r="A415" s="5" t="s">
        <v>1456</v>
      </c>
      <c r="B415" s="6" t="s">
        <v>1457</v>
      </c>
      <c r="C415" s="8" t="s">
        <v>732</v>
      </c>
      <c r="D415" s="7" t="s">
        <v>1458</v>
      </c>
    </row>
    <row r="416" spans="1:4" ht="31.5" x14ac:dyDescent="0.25">
      <c r="A416" s="5" t="s">
        <v>1459</v>
      </c>
      <c r="B416" s="6" t="s">
        <v>1460</v>
      </c>
      <c r="C416" s="8" t="s">
        <v>1341</v>
      </c>
      <c r="D416" s="7" t="s">
        <v>1461</v>
      </c>
    </row>
    <row r="417" spans="1:4" ht="47.25" x14ac:dyDescent="0.25">
      <c r="A417" s="5" t="s">
        <v>1462</v>
      </c>
      <c r="B417" s="6" t="s">
        <v>1463</v>
      </c>
      <c r="C417" s="8" t="s">
        <v>1180</v>
      </c>
      <c r="D417" s="7" t="s">
        <v>1464</v>
      </c>
    </row>
    <row r="418" spans="1:4" ht="63" x14ac:dyDescent="0.25">
      <c r="A418" s="5" t="s">
        <v>1465</v>
      </c>
      <c r="B418" s="6" t="s">
        <v>1466</v>
      </c>
      <c r="C418" s="8" t="s">
        <v>1397</v>
      </c>
      <c r="D418" s="7" t="s">
        <v>1467</v>
      </c>
    </row>
    <row r="419" spans="1:4" ht="47.25" x14ac:dyDescent="0.25">
      <c r="A419" s="5" t="s">
        <v>1468</v>
      </c>
      <c r="B419" s="6" t="s">
        <v>1469</v>
      </c>
      <c r="C419" s="8" t="s">
        <v>1470</v>
      </c>
      <c r="D419" s="7" t="s">
        <v>1471</v>
      </c>
    </row>
    <row r="420" spans="1:4" ht="63" x14ac:dyDescent="0.25">
      <c r="A420" s="5" t="s">
        <v>1472</v>
      </c>
      <c r="B420" s="6" t="s">
        <v>1473</v>
      </c>
      <c r="C420" s="8" t="s">
        <v>911</v>
      </c>
      <c r="D420" s="7" t="s">
        <v>1474</v>
      </c>
    </row>
    <row r="421" spans="1:4" ht="47.25" x14ac:dyDescent="0.25">
      <c r="A421" s="5" t="s">
        <v>1475</v>
      </c>
      <c r="B421" s="6" t="s">
        <v>1476</v>
      </c>
      <c r="C421" s="8" t="s">
        <v>975</v>
      </c>
      <c r="D421" s="7" t="s">
        <v>1477</v>
      </c>
    </row>
    <row r="422" spans="1:4" ht="47.25" x14ac:dyDescent="0.25">
      <c r="A422" s="5" t="s">
        <v>1478</v>
      </c>
      <c r="B422" s="6" t="s">
        <v>1479</v>
      </c>
      <c r="C422" s="8" t="s">
        <v>746</v>
      </c>
      <c r="D422" s="7" t="s">
        <v>1480</v>
      </c>
    </row>
    <row r="423" spans="1:4" ht="31.5" x14ac:dyDescent="0.25">
      <c r="A423" s="5" t="s">
        <v>1481</v>
      </c>
      <c r="B423" s="6" t="s">
        <v>1482</v>
      </c>
      <c r="C423" s="8" t="s">
        <v>518</v>
      </c>
      <c r="D423" s="7" t="s">
        <v>1483</v>
      </c>
    </row>
    <row r="424" spans="1:4" ht="63" x14ac:dyDescent="0.25">
      <c r="A424" s="5" t="s">
        <v>1484</v>
      </c>
      <c r="B424" s="6" t="s">
        <v>1485</v>
      </c>
      <c r="C424" s="8" t="s">
        <v>1486</v>
      </c>
      <c r="D424" s="7" t="s">
        <v>1487</v>
      </c>
    </row>
    <row r="425" spans="1:4" ht="31.5" x14ac:dyDescent="0.25">
      <c r="A425" s="5" t="s">
        <v>1488</v>
      </c>
      <c r="B425" s="6" t="s">
        <v>1489</v>
      </c>
      <c r="C425" s="8" t="s">
        <v>518</v>
      </c>
      <c r="D425" s="7" t="s">
        <v>1490</v>
      </c>
    </row>
    <row r="426" spans="1:4" ht="63" x14ac:dyDescent="0.25">
      <c r="A426" s="5" t="s">
        <v>1491</v>
      </c>
      <c r="B426" s="6" t="s">
        <v>1492</v>
      </c>
      <c r="C426" s="8" t="s">
        <v>1493</v>
      </c>
      <c r="D426" s="7" t="s">
        <v>1494</v>
      </c>
    </row>
    <row r="427" spans="1:4" ht="47.25" x14ac:dyDescent="0.25">
      <c r="A427" s="5" t="s">
        <v>1495</v>
      </c>
      <c r="B427" s="6" t="s">
        <v>1496</v>
      </c>
      <c r="C427" s="8" t="s">
        <v>1052</v>
      </c>
      <c r="D427" s="7" t="s">
        <v>1497</v>
      </c>
    </row>
    <row r="428" spans="1:4" ht="47.25" x14ac:dyDescent="0.25">
      <c r="A428" s="5" t="s">
        <v>1498</v>
      </c>
      <c r="B428" s="6" t="s">
        <v>1499</v>
      </c>
      <c r="C428" s="8" t="s">
        <v>495</v>
      </c>
      <c r="D428" s="7" t="s">
        <v>1500</v>
      </c>
    </row>
    <row r="429" spans="1:4" ht="47.25" x14ac:dyDescent="0.25">
      <c r="A429" s="5" t="s">
        <v>1501</v>
      </c>
      <c r="B429" s="6" t="s">
        <v>1502</v>
      </c>
      <c r="C429" s="8" t="s">
        <v>1503</v>
      </c>
      <c r="D429" s="7" t="s">
        <v>1504</v>
      </c>
    </row>
    <row r="430" spans="1:4" ht="47.25" x14ac:dyDescent="0.25">
      <c r="A430" s="5" t="s">
        <v>1505</v>
      </c>
      <c r="B430" s="6" t="s">
        <v>1506</v>
      </c>
      <c r="C430" s="8" t="s">
        <v>1503</v>
      </c>
      <c r="D430" s="7" t="s">
        <v>1507</v>
      </c>
    </row>
    <row r="431" spans="1:4" ht="47.25" x14ac:dyDescent="0.25">
      <c r="A431" s="5" t="s">
        <v>1508</v>
      </c>
      <c r="B431" s="6" t="s">
        <v>1509</v>
      </c>
      <c r="C431" s="8" t="s">
        <v>510</v>
      </c>
      <c r="D431" s="7" t="s">
        <v>1510</v>
      </c>
    </row>
    <row r="432" spans="1:4" ht="47.25" x14ac:dyDescent="0.25">
      <c r="A432" s="5" t="s">
        <v>1511</v>
      </c>
      <c r="B432" s="6" t="s">
        <v>1512</v>
      </c>
      <c r="C432" s="8" t="s">
        <v>1513</v>
      </c>
      <c r="D432" s="7" t="s">
        <v>1515</v>
      </c>
    </row>
    <row r="433" spans="1:4" ht="47.25" x14ac:dyDescent="0.25">
      <c r="A433" s="5" t="s">
        <v>1516</v>
      </c>
      <c r="B433" s="6" t="s">
        <v>1517</v>
      </c>
      <c r="C433" s="8" t="s">
        <v>740</v>
      </c>
      <c r="D433" s="7" t="s">
        <v>1518</v>
      </c>
    </row>
    <row r="434" spans="1:4" ht="31.5" x14ac:dyDescent="0.25">
      <c r="A434" s="5" t="s">
        <v>1519</v>
      </c>
      <c r="B434" s="6" t="s">
        <v>1520</v>
      </c>
      <c r="C434" s="8" t="s">
        <v>982</v>
      </c>
      <c r="D434" s="7" t="s">
        <v>1521</v>
      </c>
    </row>
    <row r="435" spans="1:4" ht="63" x14ac:dyDescent="0.25">
      <c r="A435" s="5" t="s">
        <v>1522</v>
      </c>
      <c r="B435" s="6" t="s">
        <v>1523</v>
      </c>
      <c r="C435" s="8" t="s">
        <v>580</v>
      </c>
      <c r="D435" s="7" t="s">
        <v>1524</v>
      </c>
    </row>
    <row r="436" spans="1:4" ht="63" x14ac:dyDescent="0.25">
      <c r="A436" s="5" t="s">
        <v>1525</v>
      </c>
      <c r="B436" s="6" t="s">
        <v>1526</v>
      </c>
      <c r="C436" s="8" t="s">
        <v>810</v>
      </c>
      <c r="D436" s="7" t="s">
        <v>1527</v>
      </c>
    </row>
    <row r="437" spans="1:4" ht="63" x14ac:dyDescent="0.25">
      <c r="A437" s="5" t="s">
        <v>1528</v>
      </c>
      <c r="B437" s="6" t="s">
        <v>1529</v>
      </c>
      <c r="C437" s="8" t="s">
        <v>1530</v>
      </c>
      <c r="D437" s="7" t="s">
        <v>1531</v>
      </c>
    </row>
    <row r="438" spans="1:4" ht="47.25" x14ac:dyDescent="0.25">
      <c r="A438" s="5" t="s">
        <v>1532</v>
      </c>
      <c r="B438" s="6" t="s">
        <v>1533</v>
      </c>
      <c r="C438" s="8" t="s">
        <v>1534</v>
      </c>
      <c r="D438" s="7" t="s">
        <v>1535</v>
      </c>
    </row>
    <row r="439" spans="1:4" ht="31.5" x14ac:dyDescent="0.25">
      <c r="A439" s="5" t="s">
        <v>1536</v>
      </c>
      <c r="B439" s="6" t="s">
        <v>1537</v>
      </c>
      <c r="C439" s="8" t="s">
        <v>1538</v>
      </c>
      <c r="D439" s="7" t="s">
        <v>1539</v>
      </c>
    </row>
    <row r="440" spans="1:4" ht="47.25" x14ac:dyDescent="0.25">
      <c r="A440" s="5" t="s">
        <v>1540</v>
      </c>
      <c r="B440" s="6" t="s">
        <v>1541</v>
      </c>
      <c r="C440" s="8" t="s">
        <v>1538</v>
      </c>
      <c r="D440" s="7" t="s">
        <v>1542</v>
      </c>
    </row>
    <row r="441" spans="1:4" ht="47.25" x14ac:dyDescent="0.25">
      <c r="A441" s="5" t="s">
        <v>1543</v>
      </c>
      <c r="B441" s="6" t="s">
        <v>1544</v>
      </c>
      <c r="C441" s="8" t="s">
        <v>810</v>
      </c>
      <c r="D441" s="7" t="s">
        <v>1545</v>
      </c>
    </row>
    <row r="442" spans="1:4" ht="31.5" x14ac:dyDescent="0.25">
      <c r="A442" s="5" t="s">
        <v>1546</v>
      </c>
      <c r="B442" s="6" t="s">
        <v>1547</v>
      </c>
      <c r="C442" s="8" t="s">
        <v>1548</v>
      </c>
      <c r="D442" s="7" t="s">
        <v>1549</v>
      </c>
    </row>
    <row r="443" spans="1:4" ht="94.5" x14ac:dyDescent="0.25">
      <c r="A443" s="5" t="s">
        <v>1550</v>
      </c>
      <c r="B443" s="6" t="s">
        <v>1551</v>
      </c>
      <c r="C443" s="8" t="s">
        <v>1552</v>
      </c>
      <c r="D443" s="7" t="s">
        <v>1553</v>
      </c>
    </row>
    <row r="444" spans="1:4" ht="31.5" x14ac:dyDescent="0.25">
      <c r="A444" s="5" t="s">
        <v>1554</v>
      </c>
      <c r="B444" s="6" t="s">
        <v>1555</v>
      </c>
      <c r="C444" s="8" t="s">
        <v>1556</v>
      </c>
      <c r="D444" s="7" t="s">
        <v>1557</v>
      </c>
    </row>
    <row r="445" spans="1:4" ht="31.5" x14ac:dyDescent="0.25">
      <c r="A445" s="5" t="s">
        <v>1558</v>
      </c>
      <c r="B445" s="6" t="s">
        <v>1559</v>
      </c>
      <c r="C445" s="8" t="s">
        <v>1560</v>
      </c>
      <c r="D445" s="7" t="s">
        <v>1561</v>
      </c>
    </row>
    <row r="446" spans="1:4" x14ac:dyDescent="0.25">
      <c r="A446" s="5" t="s">
        <v>1562</v>
      </c>
      <c r="B446" s="6" t="s">
        <v>1563</v>
      </c>
      <c r="C446" s="8" t="s">
        <v>1564</v>
      </c>
      <c r="D446" s="7" t="s">
        <v>1565</v>
      </c>
    </row>
    <row r="447" spans="1:4" ht="47.25" x14ac:dyDescent="0.25">
      <c r="A447" s="5" t="s">
        <v>1566</v>
      </c>
      <c r="B447" s="6" t="s">
        <v>1567</v>
      </c>
      <c r="C447" s="8" t="s">
        <v>63</v>
      </c>
      <c r="D447" s="7" t="s">
        <v>1568</v>
      </c>
    </row>
    <row r="448" spans="1:4" ht="31.5" x14ac:dyDescent="0.25">
      <c r="A448" s="5" t="s">
        <v>1569</v>
      </c>
      <c r="B448" s="6" t="s">
        <v>1570</v>
      </c>
      <c r="C448" s="8" t="s">
        <v>1314</v>
      </c>
      <c r="D448" s="7" t="s">
        <v>1571</v>
      </c>
    </row>
    <row r="449" spans="1:4" ht="47.25" x14ac:dyDescent="0.25">
      <c r="A449" s="5" t="s">
        <v>1572</v>
      </c>
      <c r="B449" s="6" t="s">
        <v>1573</v>
      </c>
      <c r="C449" s="8" t="s">
        <v>1220</v>
      </c>
      <c r="D449" s="7" t="s">
        <v>1574</v>
      </c>
    </row>
    <row r="450" spans="1:4" ht="47.25" x14ac:dyDescent="0.25">
      <c r="A450" s="5" t="s">
        <v>1575</v>
      </c>
      <c r="B450" s="6" t="s">
        <v>1576</v>
      </c>
      <c r="C450" s="8" t="s">
        <v>1538</v>
      </c>
      <c r="D450" s="7" t="s">
        <v>1577</v>
      </c>
    </row>
    <row r="451" spans="1:4" ht="47.25" x14ac:dyDescent="0.25">
      <c r="A451" s="5" t="s">
        <v>1578</v>
      </c>
      <c r="B451" s="6" t="s">
        <v>1579</v>
      </c>
      <c r="C451" s="8" t="s">
        <v>96</v>
      </c>
      <c r="D451" s="7" t="s">
        <v>1580</v>
      </c>
    </row>
    <row r="452" spans="1:4" ht="47.25" x14ac:dyDescent="0.25">
      <c r="A452" s="5" t="s">
        <v>1581</v>
      </c>
      <c r="B452" s="6" t="s">
        <v>1582</v>
      </c>
      <c r="C452" s="8" t="s">
        <v>354</v>
      </c>
      <c r="D452" s="7" t="s">
        <v>1583</v>
      </c>
    </row>
    <row r="453" spans="1:4" ht="47.25" x14ac:dyDescent="0.25">
      <c r="A453" s="5" t="s">
        <v>1584</v>
      </c>
      <c r="B453" s="6" t="s">
        <v>1585</v>
      </c>
      <c r="C453" s="8" t="s">
        <v>797</v>
      </c>
      <c r="D453" s="56" t="s">
        <v>1586</v>
      </c>
    </row>
    <row r="454" spans="1:4" ht="47.25" x14ac:dyDescent="0.25">
      <c r="A454" s="5" t="s">
        <v>1587</v>
      </c>
      <c r="B454" s="6" t="s">
        <v>1588</v>
      </c>
      <c r="C454" s="8" t="s">
        <v>465</v>
      </c>
      <c r="D454" s="7" t="s">
        <v>1589</v>
      </c>
    </row>
    <row r="455" spans="1:4" ht="63" x14ac:dyDescent="0.25">
      <c r="A455" s="5" t="s">
        <v>1590</v>
      </c>
      <c r="B455" s="6" t="s">
        <v>1591</v>
      </c>
      <c r="C455" s="8" t="s">
        <v>1592</v>
      </c>
      <c r="D455" s="7" t="s">
        <v>1593</v>
      </c>
    </row>
    <row r="456" spans="1:4" ht="47.25" x14ac:dyDescent="0.25">
      <c r="A456" s="5" t="s">
        <v>1594</v>
      </c>
      <c r="B456" s="6" t="s">
        <v>1595</v>
      </c>
      <c r="C456" s="8" t="s">
        <v>1534</v>
      </c>
      <c r="D456" s="7" t="s">
        <v>1596</v>
      </c>
    </row>
    <row r="457" spans="1:4" ht="47.25" x14ac:dyDescent="0.25">
      <c r="A457" s="5" t="s">
        <v>1597</v>
      </c>
      <c r="B457" s="6" t="s">
        <v>1598</v>
      </c>
      <c r="C457" s="8" t="s">
        <v>989</v>
      </c>
      <c r="D457" s="7" t="s">
        <v>1599</v>
      </c>
    </row>
    <row r="458" spans="1:4" ht="31.5" x14ac:dyDescent="0.25">
      <c r="A458" s="5" t="s">
        <v>1600</v>
      </c>
      <c r="B458" s="6" t="s">
        <v>1601</v>
      </c>
      <c r="C458" s="8" t="s">
        <v>1602</v>
      </c>
      <c r="D458" s="7" t="s">
        <v>1603</v>
      </c>
    </row>
    <row r="459" spans="1:4" ht="63" x14ac:dyDescent="0.25">
      <c r="A459" s="5" t="s">
        <v>1604</v>
      </c>
      <c r="B459" s="6" t="s">
        <v>1605</v>
      </c>
      <c r="C459" s="8" t="s">
        <v>1606</v>
      </c>
      <c r="D459" s="7" t="s">
        <v>1607</v>
      </c>
    </row>
    <row r="460" spans="1:4" ht="47.25" x14ac:dyDescent="0.25">
      <c r="A460" s="5" t="s">
        <v>1608</v>
      </c>
      <c r="B460" s="6" t="s">
        <v>1609</v>
      </c>
      <c r="C460" s="8" t="s">
        <v>1592</v>
      </c>
      <c r="D460" s="7" t="s">
        <v>1610</v>
      </c>
    </row>
    <row r="461" spans="1:4" ht="47.25" x14ac:dyDescent="0.25">
      <c r="A461" s="5" t="s">
        <v>1611</v>
      </c>
      <c r="B461" s="6" t="s">
        <v>1612</v>
      </c>
      <c r="C461" s="8" t="s">
        <v>585</v>
      </c>
      <c r="D461" s="7" t="s">
        <v>1613</v>
      </c>
    </row>
    <row r="462" spans="1:4" ht="47.25" x14ac:dyDescent="0.25">
      <c r="A462" s="5" t="s">
        <v>1614</v>
      </c>
      <c r="B462" s="6" t="s">
        <v>1615</v>
      </c>
      <c r="C462" s="8" t="s">
        <v>498</v>
      </c>
      <c r="D462" s="7" t="s">
        <v>1616</v>
      </c>
    </row>
    <row r="463" spans="1:4" ht="31.5" x14ac:dyDescent="0.25">
      <c r="A463" s="5" t="s">
        <v>1617</v>
      </c>
      <c r="B463" s="6" t="s">
        <v>1618</v>
      </c>
      <c r="C463" s="8" t="s">
        <v>1592</v>
      </c>
      <c r="D463" s="7" t="s">
        <v>1619</v>
      </c>
    </row>
    <row r="464" spans="1:4" ht="47.25" x14ac:dyDescent="0.25">
      <c r="A464" s="5" t="s">
        <v>1620</v>
      </c>
      <c r="B464" s="6" t="s">
        <v>1621</v>
      </c>
      <c r="C464" s="8" t="s">
        <v>746</v>
      </c>
      <c r="D464" s="7" t="s">
        <v>1622</v>
      </c>
    </row>
    <row r="465" spans="1:4" ht="31.5" x14ac:dyDescent="0.25">
      <c r="A465" s="5" t="s">
        <v>1623</v>
      </c>
      <c r="B465" s="6" t="s">
        <v>1624</v>
      </c>
      <c r="C465" s="8" t="s">
        <v>360</v>
      </c>
      <c r="D465" s="7" t="s">
        <v>1625</v>
      </c>
    </row>
    <row r="466" spans="1:4" ht="31.5" x14ac:dyDescent="0.25">
      <c r="A466" s="5" t="s">
        <v>1626</v>
      </c>
      <c r="B466" s="6" t="s">
        <v>1627</v>
      </c>
      <c r="C466" s="8" t="s">
        <v>360</v>
      </c>
      <c r="D466" s="7" t="s">
        <v>1628</v>
      </c>
    </row>
    <row r="467" spans="1:4" ht="31.5" x14ac:dyDescent="0.25">
      <c r="A467" s="5" t="s">
        <v>1629</v>
      </c>
      <c r="B467" s="6" t="s">
        <v>1630</v>
      </c>
      <c r="C467" s="8" t="s">
        <v>96</v>
      </c>
      <c r="D467" s="7" t="s">
        <v>1631</v>
      </c>
    </row>
    <row r="468" spans="1:4" ht="31.5" x14ac:dyDescent="0.25">
      <c r="A468" s="5" t="s">
        <v>1632</v>
      </c>
      <c r="B468" s="6" t="s">
        <v>1633</v>
      </c>
      <c r="C468" s="8" t="s">
        <v>1310</v>
      </c>
      <c r="D468" s="7" t="s">
        <v>1634</v>
      </c>
    </row>
    <row r="469" spans="1:4" ht="47.25" x14ac:dyDescent="0.25">
      <c r="A469" s="5" t="s">
        <v>1635</v>
      </c>
      <c r="B469" s="6" t="s">
        <v>1636</v>
      </c>
      <c r="C469" s="8" t="s">
        <v>1637</v>
      </c>
      <c r="D469" s="7" t="s">
        <v>1638</v>
      </c>
    </row>
    <row r="470" spans="1:4" ht="47.25" x14ac:dyDescent="0.25">
      <c r="A470" s="5" t="s">
        <v>1639</v>
      </c>
      <c r="B470" s="6" t="s">
        <v>1640</v>
      </c>
      <c r="C470" s="8" t="s">
        <v>1637</v>
      </c>
      <c r="D470" s="7" t="s">
        <v>1641</v>
      </c>
    </row>
    <row r="471" spans="1:4" ht="63" x14ac:dyDescent="0.25">
      <c r="A471" s="5" t="s">
        <v>1642</v>
      </c>
      <c r="B471" s="6" t="s">
        <v>1643</v>
      </c>
      <c r="C471" s="8" t="s">
        <v>415</v>
      </c>
      <c r="D471" s="7" t="s">
        <v>1644</v>
      </c>
    </row>
    <row r="472" spans="1:4" ht="63" x14ac:dyDescent="0.25">
      <c r="A472" s="5" t="s">
        <v>1645</v>
      </c>
      <c r="B472" s="6" t="s">
        <v>1646</v>
      </c>
      <c r="C472" s="8" t="s">
        <v>714</v>
      </c>
      <c r="D472" s="7" t="s">
        <v>1647</v>
      </c>
    </row>
    <row r="473" spans="1:4" ht="31.5" x14ac:dyDescent="0.25">
      <c r="A473" s="5" t="s">
        <v>1648</v>
      </c>
      <c r="B473" s="6" t="s">
        <v>1649</v>
      </c>
      <c r="C473" s="8" t="s">
        <v>1650</v>
      </c>
      <c r="D473" s="7" t="s">
        <v>1651</v>
      </c>
    </row>
    <row r="474" spans="1:4" ht="31.5" x14ac:dyDescent="0.25">
      <c r="A474" s="5" t="s">
        <v>1652</v>
      </c>
      <c r="B474" s="6" t="s">
        <v>1653</v>
      </c>
      <c r="C474" s="8" t="s">
        <v>1654</v>
      </c>
      <c r="D474" s="7" t="s">
        <v>1655</v>
      </c>
    </row>
    <row r="475" spans="1:4" ht="31.5" x14ac:dyDescent="0.25">
      <c r="A475" s="5" t="s">
        <v>1656</v>
      </c>
      <c r="B475" s="6" t="s">
        <v>1657</v>
      </c>
      <c r="C475" s="8" t="s">
        <v>1534</v>
      </c>
      <c r="D475" s="7" t="s">
        <v>1658</v>
      </c>
    </row>
    <row r="476" spans="1:4" ht="31.5" x14ac:dyDescent="0.25">
      <c r="A476" s="5" t="s">
        <v>1659</v>
      </c>
      <c r="B476" s="6" t="s">
        <v>1660</v>
      </c>
      <c r="C476" s="8" t="s">
        <v>422</v>
      </c>
      <c r="D476" s="7" t="s">
        <v>1661</v>
      </c>
    </row>
    <row r="477" spans="1:4" ht="63" x14ac:dyDescent="0.25">
      <c r="A477" s="5" t="s">
        <v>1662</v>
      </c>
      <c r="B477" s="6" t="s">
        <v>1663</v>
      </c>
      <c r="C477" s="8" t="s">
        <v>888</v>
      </c>
      <c r="D477" s="7" t="s">
        <v>1664</v>
      </c>
    </row>
    <row r="478" spans="1:4" ht="31.5" x14ac:dyDescent="0.25">
      <c r="A478" s="5" t="s">
        <v>1665</v>
      </c>
      <c r="B478" s="6" t="s">
        <v>1666</v>
      </c>
      <c r="C478" s="8" t="s">
        <v>1602</v>
      </c>
      <c r="D478" s="7" t="s">
        <v>1667</v>
      </c>
    </row>
    <row r="479" spans="1:4" ht="31.5" x14ac:dyDescent="0.25">
      <c r="A479" s="5" t="s">
        <v>1668</v>
      </c>
      <c r="B479" s="6" t="s">
        <v>1669</v>
      </c>
      <c r="C479" s="8" t="s">
        <v>1670</v>
      </c>
      <c r="D479" s="7" t="s">
        <v>1671</v>
      </c>
    </row>
    <row r="480" spans="1:4" ht="47.25" x14ac:dyDescent="0.25">
      <c r="A480" s="5" t="s">
        <v>1672</v>
      </c>
      <c r="B480" s="6" t="s">
        <v>1673</v>
      </c>
      <c r="C480" s="8" t="s">
        <v>1198</v>
      </c>
      <c r="D480" s="7" t="s">
        <v>1674</v>
      </c>
    </row>
    <row r="481" spans="1:4" ht="47.25" x14ac:dyDescent="0.25">
      <c r="A481" s="5" t="s">
        <v>1675</v>
      </c>
      <c r="B481" s="6" t="s">
        <v>1676</v>
      </c>
      <c r="C481" s="8" t="s">
        <v>1677</v>
      </c>
      <c r="D481" s="7" t="s">
        <v>1678</v>
      </c>
    </row>
    <row r="482" spans="1:4" ht="47.25" x14ac:dyDescent="0.25">
      <c r="A482" s="5" t="s">
        <v>1679</v>
      </c>
      <c r="B482" s="6" t="s">
        <v>1680</v>
      </c>
      <c r="C482" s="8" t="s">
        <v>1681</v>
      </c>
      <c r="D482" s="7" t="s">
        <v>1682</v>
      </c>
    </row>
    <row r="483" spans="1:4" ht="31.5" x14ac:dyDescent="0.25">
      <c r="A483" s="5" t="s">
        <v>1683</v>
      </c>
      <c r="B483" s="6" t="s">
        <v>1684</v>
      </c>
      <c r="C483" s="8" t="s">
        <v>927</v>
      </c>
      <c r="D483" s="7" t="s">
        <v>1685</v>
      </c>
    </row>
    <row r="484" spans="1:4" ht="63" x14ac:dyDescent="0.25">
      <c r="A484" s="5" t="s">
        <v>1686</v>
      </c>
      <c r="B484" s="6" t="s">
        <v>1687</v>
      </c>
      <c r="C484" s="8" t="s">
        <v>1688</v>
      </c>
      <c r="D484" s="7" t="s">
        <v>1689</v>
      </c>
    </row>
    <row r="485" spans="1:4" ht="31.5" x14ac:dyDescent="0.25">
      <c r="A485" s="5" t="s">
        <v>1690</v>
      </c>
      <c r="B485" s="6" t="s">
        <v>1691</v>
      </c>
      <c r="C485" s="8" t="s">
        <v>927</v>
      </c>
      <c r="D485" s="7" t="s">
        <v>1692</v>
      </c>
    </row>
    <row r="486" spans="1:4" ht="63" x14ac:dyDescent="0.25">
      <c r="A486" s="5" t="s">
        <v>1693</v>
      </c>
      <c r="B486" s="6" t="s">
        <v>1694</v>
      </c>
      <c r="C486" s="8" t="s">
        <v>911</v>
      </c>
      <c r="D486" s="7" t="s">
        <v>1695</v>
      </c>
    </row>
    <row r="487" spans="1:4" ht="47.25" x14ac:dyDescent="0.25">
      <c r="A487" s="5" t="s">
        <v>1696</v>
      </c>
      <c r="B487" s="6" t="s">
        <v>1697</v>
      </c>
      <c r="C487" s="8" t="s">
        <v>1260</v>
      </c>
      <c r="D487" s="7" t="s">
        <v>1698</v>
      </c>
    </row>
    <row r="488" spans="1:4" ht="63" x14ac:dyDescent="0.25">
      <c r="A488" s="5" t="s">
        <v>1699</v>
      </c>
      <c r="B488" s="6" t="s">
        <v>1700</v>
      </c>
      <c r="C488" s="8" t="s">
        <v>840</v>
      </c>
      <c r="D488" s="7" t="s">
        <v>1701</v>
      </c>
    </row>
    <row r="489" spans="1:4" ht="31.5" x14ac:dyDescent="0.25">
      <c r="A489" s="5" t="s">
        <v>1702</v>
      </c>
      <c r="B489" s="6" t="s">
        <v>1703</v>
      </c>
      <c r="C489" s="8" t="s">
        <v>1052</v>
      </c>
      <c r="D489" s="7" t="s">
        <v>1704</v>
      </c>
    </row>
    <row r="490" spans="1:4" ht="47.25" x14ac:dyDescent="0.25">
      <c r="A490" s="5" t="s">
        <v>1705</v>
      </c>
      <c r="B490" s="6" t="s">
        <v>1706</v>
      </c>
      <c r="C490" s="8" t="s">
        <v>1052</v>
      </c>
      <c r="D490" s="7" t="s">
        <v>1707</v>
      </c>
    </row>
    <row r="491" spans="1:4" ht="47.25" x14ac:dyDescent="0.25">
      <c r="A491" s="5" t="s">
        <v>1708</v>
      </c>
      <c r="B491" s="6" t="s">
        <v>1709</v>
      </c>
      <c r="C491" s="8" t="s">
        <v>530</v>
      </c>
      <c r="D491" s="7" t="s">
        <v>1710</v>
      </c>
    </row>
    <row r="492" spans="1:4" ht="47.25" x14ac:dyDescent="0.25">
      <c r="A492" s="5" t="s">
        <v>1711</v>
      </c>
      <c r="B492" s="6" t="s">
        <v>1712</v>
      </c>
      <c r="C492" s="8" t="s">
        <v>1713</v>
      </c>
      <c r="D492" s="7" t="s">
        <v>1714</v>
      </c>
    </row>
    <row r="493" spans="1:4" ht="31.5" x14ac:dyDescent="0.25">
      <c r="A493" s="5" t="s">
        <v>1715</v>
      </c>
      <c r="B493" s="6" t="s">
        <v>1716</v>
      </c>
      <c r="C493" s="8" t="s">
        <v>360</v>
      </c>
      <c r="D493" s="7" t="s">
        <v>1717</v>
      </c>
    </row>
    <row r="494" spans="1:4" ht="31.5" x14ac:dyDescent="0.25">
      <c r="A494" s="5" t="s">
        <v>1718</v>
      </c>
      <c r="B494" s="6" t="s">
        <v>1719</v>
      </c>
      <c r="C494" s="8" t="s">
        <v>425</v>
      </c>
      <c r="D494" s="7" t="s">
        <v>1720</v>
      </c>
    </row>
    <row r="495" spans="1:4" ht="47.25" x14ac:dyDescent="0.25">
      <c r="A495" s="5" t="s">
        <v>1721</v>
      </c>
      <c r="B495" s="6" t="s">
        <v>1722</v>
      </c>
      <c r="C495" s="8" t="s">
        <v>1723</v>
      </c>
      <c r="D495" s="7" t="s">
        <v>1724</v>
      </c>
    </row>
    <row r="496" spans="1:4" ht="47.25" x14ac:dyDescent="0.25">
      <c r="A496" s="5" t="s">
        <v>1725</v>
      </c>
      <c r="B496" s="6" t="s">
        <v>1726</v>
      </c>
      <c r="C496" s="8" t="s">
        <v>1727</v>
      </c>
      <c r="D496" s="7" t="s">
        <v>1728</v>
      </c>
    </row>
    <row r="497" spans="1:4" ht="47.25" x14ac:dyDescent="0.25">
      <c r="A497" s="5" t="s">
        <v>1729</v>
      </c>
      <c r="B497" s="6" t="s">
        <v>1730</v>
      </c>
      <c r="C497" s="8" t="s">
        <v>1731</v>
      </c>
      <c r="D497" s="7" t="s">
        <v>1732</v>
      </c>
    </row>
    <row r="498" spans="1:4" ht="47.25" x14ac:dyDescent="0.25">
      <c r="A498" s="5" t="s">
        <v>1733</v>
      </c>
      <c r="B498" s="6" t="s">
        <v>1734</v>
      </c>
      <c r="C498" s="8" t="s">
        <v>1735</v>
      </c>
      <c r="D498" s="7" t="s">
        <v>1736</v>
      </c>
    </row>
    <row r="499" spans="1:4" ht="31.5" x14ac:dyDescent="0.25">
      <c r="A499" s="5" t="s">
        <v>1737</v>
      </c>
      <c r="B499" s="6" t="s">
        <v>1738</v>
      </c>
      <c r="C499" s="8" t="s">
        <v>510</v>
      </c>
      <c r="D499" s="7" t="s">
        <v>1739</v>
      </c>
    </row>
    <row r="500" spans="1:4" ht="63" x14ac:dyDescent="0.25">
      <c r="A500" s="5" t="s">
        <v>1740</v>
      </c>
      <c r="B500" s="6" t="s">
        <v>1741</v>
      </c>
      <c r="C500" s="8" t="s">
        <v>1742</v>
      </c>
      <c r="D500" s="7" t="s">
        <v>1743</v>
      </c>
    </row>
    <row r="501" spans="1:4" ht="31.5" x14ac:dyDescent="0.25">
      <c r="A501" s="5" t="s">
        <v>1744</v>
      </c>
      <c r="B501" s="6" t="s">
        <v>1745</v>
      </c>
      <c r="C501" s="8" t="s">
        <v>596</v>
      </c>
      <c r="D501" s="7" t="s">
        <v>1746</v>
      </c>
    </row>
    <row r="502" spans="1:4" ht="63" x14ac:dyDescent="0.25">
      <c r="A502" s="5" t="s">
        <v>1747</v>
      </c>
      <c r="B502" s="6" t="s">
        <v>1748</v>
      </c>
      <c r="C502" s="8" t="s">
        <v>590</v>
      </c>
      <c r="D502" s="7" t="s">
        <v>1749</v>
      </c>
    </row>
    <row r="503" spans="1:4" ht="31.5" x14ac:dyDescent="0.25">
      <c r="A503" s="5" t="s">
        <v>1750</v>
      </c>
      <c r="B503" s="6" t="s">
        <v>1751</v>
      </c>
      <c r="C503" s="8" t="s">
        <v>1752</v>
      </c>
      <c r="D503" s="7" t="s">
        <v>1753</v>
      </c>
    </row>
    <row r="504" spans="1:4" ht="47.25" x14ac:dyDescent="0.25">
      <c r="A504" s="5" t="s">
        <v>1754</v>
      </c>
      <c r="B504" s="6" t="s">
        <v>1755</v>
      </c>
      <c r="C504" s="8" t="s">
        <v>1756</v>
      </c>
      <c r="D504" s="7" t="s">
        <v>1757</v>
      </c>
    </row>
    <row r="505" spans="1:4" ht="31.5" x14ac:dyDescent="0.25">
      <c r="A505" s="5" t="s">
        <v>1758</v>
      </c>
      <c r="B505" s="6" t="s">
        <v>1759</v>
      </c>
      <c r="C505" s="8" t="s">
        <v>1760</v>
      </c>
      <c r="D505" s="7" t="s">
        <v>1761</v>
      </c>
    </row>
    <row r="506" spans="1:4" ht="63" x14ac:dyDescent="0.25">
      <c r="A506" s="5" t="s">
        <v>1762</v>
      </c>
      <c r="B506" s="6" t="s">
        <v>1763</v>
      </c>
      <c r="C506" s="8" t="s">
        <v>906</v>
      </c>
      <c r="D506" s="7" t="s">
        <v>1764</v>
      </c>
    </row>
    <row r="507" spans="1:4" ht="31.5" x14ac:dyDescent="0.25">
      <c r="A507" s="5" t="s">
        <v>1765</v>
      </c>
      <c r="B507" s="6" t="s">
        <v>1766</v>
      </c>
      <c r="C507" s="8" t="s">
        <v>810</v>
      </c>
      <c r="D507" s="7" t="s">
        <v>1767</v>
      </c>
    </row>
    <row r="508" spans="1:4" ht="47.25" x14ac:dyDescent="0.25">
      <c r="A508" s="5" t="s">
        <v>1768</v>
      </c>
      <c r="B508" s="6" t="s">
        <v>1769</v>
      </c>
      <c r="C508" s="8" t="s">
        <v>810</v>
      </c>
      <c r="D508" s="7" t="s">
        <v>1770</v>
      </c>
    </row>
    <row r="509" spans="1:4" ht="63" x14ac:dyDescent="0.25">
      <c r="A509" s="5" t="s">
        <v>1771</v>
      </c>
      <c r="B509" s="6" t="s">
        <v>1772</v>
      </c>
      <c r="C509" s="8" t="s">
        <v>1773</v>
      </c>
      <c r="D509" s="7" t="s">
        <v>1774</v>
      </c>
    </row>
    <row r="510" spans="1:4" ht="47.25" x14ac:dyDescent="0.25">
      <c r="A510" s="5" t="s">
        <v>1775</v>
      </c>
      <c r="B510" s="6" t="s">
        <v>1776</v>
      </c>
      <c r="C510" s="8" t="s">
        <v>382</v>
      </c>
      <c r="D510" s="7" t="s">
        <v>1777</v>
      </c>
    </row>
    <row r="511" spans="1:4" ht="78.75" x14ac:dyDescent="0.25">
      <c r="A511" s="5" t="s">
        <v>1778</v>
      </c>
      <c r="B511" s="6" t="s">
        <v>1779</v>
      </c>
      <c r="C511" s="8" t="s">
        <v>1066</v>
      </c>
      <c r="D511" s="7" t="s">
        <v>1780</v>
      </c>
    </row>
    <row r="512" spans="1:4" ht="63" x14ac:dyDescent="0.25">
      <c r="A512" s="5" t="s">
        <v>1781</v>
      </c>
      <c r="B512" s="6" t="s">
        <v>1782</v>
      </c>
      <c r="C512" s="8" t="s">
        <v>1783</v>
      </c>
      <c r="D512" s="7" t="s">
        <v>1784</v>
      </c>
    </row>
    <row r="513" spans="1:4" ht="63" x14ac:dyDescent="0.25">
      <c r="A513" s="5" t="s">
        <v>1785</v>
      </c>
      <c r="B513" s="6" t="s">
        <v>1786</v>
      </c>
      <c r="C513" s="8" t="s">
        <v>1076</v>
      </c>
      <c r="D513" s="7" t="s">
        <v>1787</v>
      </c>
    </row>
    <row r="514" spans="1:4" ht="31.5" x14ac:dyDescent="0.25">
      <c r="A514" s="5" t="s">
        <v>1788</v>
      </c>
      <c r="B514" s="6" t="s">
        <v>1789</v>
      </c>
      <c r="C514" s="8" t="s">
        <v>1170</v>
      </c>
      <c r="D514" s="7" t="s">
        <v>1790</v>
      </c>
    </row>
    <row r="515" spans="1:4" ht="31.5" x14ac:dyDescent="0.25">
      <c r="A515" s="5" t="s">
        <v>1791</v>
      </c>
      <c r="B515" s="6" t="s">
        <v>1792</v>
      </c>
      <c r="C515" s="8" t="s">
        <v>84</v>
      </c>
      <c r="D515" s="7" t="s">
        <v>1793</v>
      </c>
    </row>
    <row r="516" spans="1:4" ht="31.5" x14ac:dyDescent="0.25">
      <c r="A516" s="5" t="s">
        <v>1794</v>
      </c>
      <c r="B516" s="6" t="s">
        <v>1795</v>
      </c>
      <c r="C516" s="8" t="s">
        <v>1654</v>
      </c>
      <c r="D516" s="7" t="s">
        <v>1796</v>
      </c>
    </row>
    <row r="517" spans="1:4" ht="31.5" x14ac:dyDescent="0.25">
      <c r="A517" s="5" t="s">
        <v>1797</v>
      </c>
      <c r="B517" s="6" t="s">
        <v>1798</v>
      </c>
      <c r="C517" s="8" t="s">
        <v>1401</v>
      </c>
      <c r="D517" s="7" t="s">
        <v>1799</v>
      </c>
    </row>
    <row r="518" spans="1:4" ht="47.25" x14ac:dyDescent="0.25">
      <c r="A518" s="5" t="s">
        <v>1800</v>
      </c>
      <c r="B518" s="6" t="s">
        <v>1801</v>
      </c>
      <c r="C518" s="8" t="s">
        <v>899</v>
      </c>
      <c r="D518" s="7" t="s">
        <v>1802</v>
      </c>
    </row>
    <row r="519" spans="1:4" ht="31.5" x14ac:dyDescent="0.25">
      <c r="A519" s="5" t="s">
        <v>1803</v>
      </c>
      <c r="B519" s="6" t="s">
        <v>1804</v>
      </c>
      <c r="C519" s="8" t="s">
        <v>1805</v>
      </c>
      <c r="D519" s="7" t="s">
        <v>1806</v>
      </c>
    </row>
    <row r="520" spans="1:4" ht="47.25" x14ac:dyDescent="0.25">
      <c r="A520" s="5" t="s">
        <v>1807</v>
      </c>
      <c r="B520" s="6" t="s">
        <v>1808</v>
      </c>
      <c r="C520" s="8" t="s">
        <v>1027</v>
      </c>
      <c r="D520" s="7" t="s">
        <v>1809</v>
      </c>
    </row>
    <row r="521" spans="1:4" ht="31.5" x14ac:dyDescent="0.25">
      <c r="A521" s="5" t="s">
        <v>1810</v>
      </c>
      <c r="B521" s="6" t="s">
        <v>1811</v>
      </c>
      <c r="C521" s="8" t="s">
        <v>1812</v>
      </c>
      <c r="D521" s="7" t="s">
        <v>1813</v>
      </c>
    </row>
    <row r="522" spans="1:4" ht="47.25" x14ac:dyDescent="0.25">
      <c r="A522" s="5" t="s">
        <v>1814</v>
      </c>
      <c r="B522" s="6" t="s">
        <v>1815</v>
      </c>
      <c r="C522" s="8" t="s">
        <v>498</v>
      </c>
      <c r="D522" s="7" t="s">
        <v>1816</v>
      </c>
    </row>
    <row r="523" spans="1:4" ht="31.5" x14ac:dyDescent="0.25">
      <c r="A523" s="5" t="s">
        <v>1817</v>
      </c>
      <c r="B523" s="6" t="s">
        <v>1818</v>
      </c>
      <c r="C523" s="8" t="s">
        <v>1819</v>
      </c>
      <c r="D523" s="7" t="s">
        <v>1820</v>
      </c>
    </row>
    <row r="524" spans="1:4" ht="31.5" x14ac:dyDescent="0.25">
      <c r="A524" s="5" t="s">
        <v>1821</v>
      </c>
      <c r="B524" s="6" t="s">
        <v>1822</v>
      </c>
      <c r="C524" s="8" t="s">
        <v>580</v>
      </c>
      <c r="D524" s="7" t="s">
        <v>1823</v>
      </c>
    </row>
    <row r="525" spans="1:4" ht="31.5" x14ac:dyDescent="0.25">
      <c r="A525" s="5" t="s">
        <v>1824</v>
      </c>
      <c r="B525" s="6" t="s">
        <v>1825</v>
      </c>
      <c r="C525" s="8" t="s">
        <v>1826</v>
      </c>
      <c r="D525" s="7" t="s">
        <v>1827</v>
      </c>
    </row>
    <row r="526" spans="1:4" ht="47.25" x14ac:dyDescent="0.25">
      <c r="A526" s="5" t="s">
        <v>1828</v>
      </c>
      <c r="B526" s="6" t="s">
        <v>1829</v>
      </c>
      <c r="C526" s="8" t="s">
        <v>1830</v>
      </c>
      <c r="D526" s="7" t="s">
        <v>1831</v>
      </c>
    </row>
    <row r="527" spans="1:4" ht="47.25" x14ac:dyDescent="0.25">
      <c r="A527" s="5" t="s">
        <v>1832</v>
      </c>
      <c r="B527" s="6" t="s">
        <v>1833</v>
      </c>
      <c r="C527" s="8" t="s">
        <v>1834</v>
      </c>
      <c r="D527" s="7" t="s">
        <v>1835</v>
      </c>
    </row>
    <row r="528" spans="1:4" ht="47.25" x14ac:dyDescent="0.25">
      <c r="A528" s="5" t="s">
        <v>1836</v>
      </c>
      <c r="B528" s="6" t="s">
        <v>1837</v>
      </c>
      <c r="C528" s="8" t="s">
        <v>1023</v>
      </c>
      <c r="D528" s="7" t="s">
        <v>1838</v>
      </c>
    </row>
    <row r="529" spans="1:4" ht="47.25" x14ac:dyDescent="0.25">
      <c r="A529" s="5" t="s">
        <v>1839</v>
      </c>
      <c r="B529" s="6" t="s">
        <v>1840</v>
      </c>
      <c r="C529" s="8" t="s">
        <v>1023</v>
      </c>
      <c r="D529" s="7" t="s">
        <v>1841</v>
      </c>
    </row>
    <row r="530" spans="1:4" ht="47.25" x14ac:dyDescent="0.25">
      <c r="A530" s="5" t="s">
        <v>1842</v>
      </c>
      <c r="B530" s="6" t="s">
        <v>1843</v>
      </c>
      <c r="C530" s="8" t="s">
        <v>1023</v>
      </c>
      <c r="D530" s="7" t="s">
        <v>1844</v>
      </c>
    </row>
    <row r="531" spans="1:4" ht="63" x14ac:dyDescent="0.25">
      <c r="A531" s="5" t="s">
        <v>1845</v>
      </c>
      <c r="B531" s="6" t="s">
        <v>1846</v>
      </c>
      <c r="C531" s="8" t="s">
        <v>1847</v>
      </c>
      <c r="D531" s="7" t="s">
        <v>1848</v>
      </c>
    </row>
    <row r="532" spans="1:4" ht="47.25" x14ac:dyDescent="0.25">
      <c r="A532" s="5" t="s">
        <v>1849</v>
      </c>
      <c r="B532" s="6" t="s">
        <v>1850</v>
      </c>
      <c r="C532" s="8" t="s">
        <v>930</v>
      </c>
      <c r="D532" s="7" t="s">
        <v>1851</v>
      </c>
    </row>
    <row r="533" spans="1:4" ht="47.25" x14ac:dyDescent="0.25">
      <c r="A533" s="5" t="s">
        <v>1852</v>
      </c>
      <c r="B533" s="6" t="s">
        <v>1853</v>
      </c>
      <c r="C533" s="8" t="s">
        <v>911</v>
      </c>
      <c r="D533" s="7" t="s">
        <v>1854</v>
      </c>
    </row>
    <row r="534" spans="1:4" ht="31.5" x14ac:dyDescent="0.25">
      <c r="A534" s="5" t="s">
        <v>1855</v>
      </c>
      <c r="B534" s="6" t="s">
        <v>1856</v>
      </c>
      <c r="C534" s="8" t="s">
        <v>1857</v>
      </c>
      <c r="D534" s="7" t="s">
        <v>1858</v>
      </c>
    </row>
    <row r="535" spans="1:4" ht="31.5" x14ac:dyDescent="0.25">
      <c r="A535" s="5" t="s">
        <v>1859</v>
      </c>
      <c r="B535" s="6" t="s">
        <v>1860</v>
      </c>
      <c r="C535" s="8" t="s">
        <v>1534</v>
      </c>
      <c r="D535" s="7" t="s">
        <v>1861</v>
      </c>
    </row>
    <row r="536" spans="1:4" ht="31.5" x14ac:dyDescent="0.25">
      <c r="A536" s="5" t="s">
        <v>1862</v>
      </c>
      <c r="B536" s="6" t="s">
        <v>1863</v>
      </c>
      <c r="C536" s="8" t="s">
        <v>580</v>
      </c>
      <c r="D536" s="7" t="s">
        <v>1864</v>
      </c>
    </row>
    <row r="537" spans="1:4" ht="47.25" x14ac:dyDescent="0.25">
      <c r="A537" s="5" t="s">
        <v>1865</v>
      </c>
      <c r="B537" s="6" t="s">
        <v>1866</v>
      </c>
      <c r="C537" s="8" t="s">
        <v>1867</v>
      </c>
      <c r="D537" s="7" t="s">
        <v>1868</v>
      </c>
    </row>
    <row r="538" spans="1:4" ht="47.25" x14ac:dyDescent="0.25">
      <c r="A538" s="5" t="s">
        <v>1869</v>
      </c>
      <c r="B538" s="6" t="s">
        <v>1870</v>
      </c>
      <c r="C538" s="8" t="s">
        <v>1871</v>
      </c>
      <c r="D538" s="7" t="s">
        <v>1872</v>
      </c>
    </row>
    <row r="539" spans="1:4" ht="47.25" x14ac:dyDescent="0.25">
      <c r="A539" s="5" t="s">
        <v>1873</v>
      </c>
      <c r="B539" s="6" t="s">
        <v>1874</v>
      </c>
      <c r="C539" s="8" t="s">
        <v>933</v>
      </c>
      <c r="D539" s="7" t="s">
        <v>1875</v>
      </c>
    </row>
    <row r="540" spans="1:4" ht="63" x14ac:dyDescent="0.25">
      <c r="A540" s="5" t="s">
        <v>1876</v>
      </c>
      <c r="B540" s="6" t="s">
        <v>1877</v>
      </c>
      <c r="C540" s="8" t="s">
        <v>1878</v>
      </c>
      <c r="D540" s="7" t="s">
        <v>1879</v>
      </c>
    </row>
    <row r="541" spans="1:4" ht="47.25" x14ac:dyDescent="0.25">
      <c r="A541" s="5" t="s">
        <v>1880</v>
      </c>
      <c r="B541" s="6" t="s">
        <v>1881</v>
      </c>
      <c r="C541" s="8" t="s">
        <v>1882</v>
      </c>
      <c r="D541" s="7" t="s">
        <v>1883</v>
      </c>
    </row>
    <row r="542" spans="1:4" ht="31.5" x14ac:dyDescent="0.25">
      <c r="A542" s="5" t="s">
        <v>1884</v>
      </c>
      <c r="B542" s="6" t="s">
        <v>1885</v>
      </c>
      <c r="C542" s="8" t="s">
        <v>1886</v>
      </c>
      <c r="D542" s="7" t="s">
        <v>1887</v>
      </c>
    </row>
    <row r="543" spans="1:4" ht="63" x14ac:dyDescent="0.25">
      <c r="A543" s="5" t="s">
        <v>1888</v>
      </c>
      <c r="B543" s="6" t="s">
        <v>1889</v>
      </c>
      <c r="C543" s="8" t="s">
        <v>1330</v>
      </c>
      <c r="D543" s="7" t="s">
        <v>1890</v>
      </c>
    </row>
    <row r="544" spans="1:4" ht="31.5" x14ac:dyDescent="0.25">
      <c r="A544" s="5" t="s">
        <v>1891</v>
      </c>
      <c r="B544" s="6" t="s">
        <v>1892</v>
      </c>
      <c r="C544" s="8" t="s">
        <v>554</v>
      </c>
      <c r="D544" s="7" t="s">
        <v>1893</v>
      </c>
    </row>
    <row r="545" spans="1:4" ht="47.25" x14ac:dyDescent="0.25">
      <c r="A545" s="5" t="s">
        <v>1894</v>
      </c>
      <c r="B545" s="6" t="s">
        <v>1895</v>
      </c>
      <c r="C545" s="8" t="s">
        <v>936</v>
      </c>
      <c r="D545" s="7" t="s">
        <v>1896</v>
      </c>
    </row>
    <row r="546" spans="1:4" ht="47.25" x14ac:dyDescent="0.25">
      <c r="A546" s="5" t="s">
        <v>1897</v>
      </c>
      <c r="B546" s="6" t="s">
        <v>1898</v>
      </c>
      <c r="C546" s="8" t="s">
        <v>786</v>
      </c>
      <c r="D546" s="7" t="s">
        <v>1899</v>
      </c>
    </row>
    <row r="547" spans="1:4" ht="47.25" x14ac:dyDescent="0.25">
      <c r="A547" s="5" t="s">
        <v>1900</v>
      </c>
      <c r="B547" s="6" t="s">
        <v>1901</v>
      </c>
      <c r="C547" s="8" t="s">
        <v>666</v>
      </c>
      <c r="D547" s="7" t="s">
        <v>1902</v>
      </c>
    </row>
    <row r="548" spans="1:4" ht="47.25" x14ac:dyDescent="0.25">
      <c r="A548" s="5" t="s">
        <v>1903</v>
      </c>
      <c r="B548" s="6" t="s">
        <v>1904</v>
      </c>
      <c r="C548" s="8" t="s">
        <v>982</v>
      </c>
      <c r="D548" s="7" t="s">
        <v>1905</v>
      </c>
    </row>
    <row r="549" spans="1:4" ht="47.25" x14ac:dyDescent="0.25">
      <c r="A549" s="5" t="s">
        <v>1906</v>
      </c>
      <c r="B549" s="6" t="s">
        <v>1907</v>
      </c>
      <c r="C549" s="8" t="s">
        <v>1908</v>
      </c>
      <c r="D549" s="7" t="s">
        <v>1909</v>
      </c>
    </row>
    <row r="550" spans="1:4" ht="63" x14ac:dyDescent="0.25">
      <c r="A550" s="5" t="s">
        <v>1910</v>
      </c>
      <c r="B550" s="6" t="s">
        <v>1911</v>
      </c>
      <c r="C550" s="8" t="s">
        <v>1503</v>
      </c>
      <c r="D550" s="7" t="s">
        <v>1912</v>
      </c>
    </row>
    <row r="551" spans="1:4" ht="78.75" x14ac:dyDescent="0.25">
      <c r="A551" s="5" t="s">
        <v>1913</v>
      </c>
      <c r="B551" s="6" t="s">
        <v>1914</v>
      </c>
      <c r="C551" s="8" t="s">
        <v>911</v>
      </c>
      <c r="D551" s="7" t="s">
        <v>1915</v>
      </c>
    </row>
    <row r="552" spans="1:4" ht="63" x14ac:dyDescent="0.25">
      <c r="A552" s="5" t="s">
        <v>1916</v>
      </c>
      <c r="B552" s="6" t="s">
        <v>1917</v>
      </c>
      <c r="C552" s="8" t="s">
        <v>1908</v>
      </c>
      <c r="D552" s="7" t="s">
        <v>1918</v>
      </c>
    </row>
    <row r="553" spans="1:4" ht="47.25" x14ac:dyDescent="0.25">
      <c r="A553" s="5" t="s">
        <v>1919</v>
      </c>
      <c r="B553" s="6" t="s">
        <v>1920</v>
      </c>
      <c r="C553" s="8" t="s">
        <v>1220</v>
      </c>
      <c r="D553" s="7" t="s">
        <v>1574</v>
      </c>
    </row>
    <row r="554" spans="1:4" ht="47.25" x14ac:dyDescent="0.25">
      <c r="A554" s="5" t="s">
        <v>1921</v>
      </c>
      <c r="B554" s="6" t="s">
        <v>1922</v>
      </c>
      <c r="C554" s="8" t="s">
        <v>1923</v>
      </c>
      <c r="D554" s="7" t="s">
        <v>1924</v>
      </c>
    </row>
    <row r="555" spans="1:4" ht="63" x14ac:dyDescent="0.25">
      <c r="A555" s="5" t="s">
        <v>1925</v>
      </c>
      <c r="B555" s="6" t="s">
        <v>1926</v>
      </c>
      <c r="C555" s="8" t="s">
        <v>1927</v>
      </c>
      <c r="D555" s="7" t="s">
        <v>1928</v>
      </c>
    </row>
    <row r="556" spans="1:4" ht="63" x14ac:dyDescent="0.25">
      <c r="A556" s="5" t="s">
        <v>1929</v>
      </c>
      <c r="B556" s="6" t="s">
        <v>1930</v>
      </c>
      <c r="C556" s="8" t="s">
        <v>1878</v>
      </c>
      <c r="D556" s="7" t="s">
        <v>1931</v>
      </c>
    </row>
    <row r="557" spans="1:4" ht="63" x14ac:dyDescent="0.25">
      <c r="A557" s="5" t="s">
        <v>1932</v>
      </c>
      <c r="B557" s="6" t="s">
        <v>1933</v>
      </c>
      <c r="C557" s="8" t="s">
        <v>422</v>
      </c>
      <c r="D557" s="7" t="s">
        <v>1934</v>
      </c>
    </row>
    <row r="558" spans="1:4" ht="78.75" x14ac:dyDescent="0.25">
      <c r="A558" s="5" t="s">
        <v>1935</v>
      </c>
      <c r="B558" s="6" t="s">
        <v>1936</v>
      </c>
      <c r="C558" s="8" t="s">
        <v>1937</v>
      </c>
      <c r="D558" s="7" t="s">
        <v>1938</v>
      </c>
    </row>
    <row r="559" spans="1:4" ht="31.5" x14ac:dyDescent="0.25">
      <c r="A559" s="5" t="s">
        <v>1939</v>
      </c>
      <c r="B559" s="6" t="s">
        <v>1940</v>
      </c>
      <c r="C559" s="8" t="s">
        <v>1941</v>
      </c>
      <c r="D559" s="7" t="s">
        <v>1942</v>
      </c>
    </row>
    <row r="560" spans="1:4" ht="47.25" x14ac:dyDescent="0.25">
      <c r="A560" s="5" t="s">
        <v>1943</v>
      </c>
      <c r="B560" s="6" t="s">
        <v>1944</v>
      </c>
      <c r="C560" s="8" t="s">
        <v>1923</v>
      </c>
      <c r="D560" s="7" t="s">
        <v>1945</v>
      </c>
    </row>
    <row r="561" spans="1:4" ht="31.5" x14ac:dyDescent="0.25">
      <c r="A561" s="5" t="s">
        <v>1946</v>
      </c>
      <c r="B561" s="6" t="s">
        <v>1947</v>
      </c>
      <c r="C561" s="8" t="s">
        <v>1140</v>
      </c>
      <c r="D561" s="7" t="s">
        <v>1948</v>
      </c>
    </row>
    <row r="562" spans="1:4" ht="47.25" x14ac:dyDescent="0.25">
      <c r="A562" s="5" t="s">
        <v>1949</v>
      </c>
      <c r="B562" s="6" t="s">
        <v>1950</v>
      </c>
      <c r="C562" s="8" t="s">
        <v>1951</v>
      </c>
      <c r="D562" s="7" t="s">
        <v>1952</v>
      </c>
    </row>
    <row r="563" spans="1:4" ht="31.5" x14ac:dyDescent="0.25">
      <c r="A563" s="5" t="s">
        <v>1953</v>
      </c>
      <c r="B563" s="6" t="s">
        <v>1954</v>
      </c>
      <c r="C563" s="8" t="s">
        <v>1955</v>
      </c>
      <c r="D563" s="7" t="s">
        <v>1956</v>
      </c>
    </row>
    <row r="564" spans="1:4" ht="31.5" x14ac:dyDescent="0.25">
      <c r="A564" s="5" t="s">
        <v>1957</v>
      </c>
      <c r="B564" s="6" t="s">
        <v>1958</v>
      </c>
      <c r="C564" s="8" t="s">
        <v>422</v>
      </c>
      <c r="D564" s="7" t="s">
        <v>1959</v>
      </c>
    </row>
    <row r="565" spans="1:4" ht="31.5" x14ac:dyDescent="0.25">
      <c r="A565" s="5" t="s">
        <v>1960</v>
      </c>
      <c r="B565" s="6" t="s">
        <v>1961</v>
      </c>
      <c r="C565" s="8" t="s">
        <v>906</v>
      </c>
      <c r="D565" s="7" t="s">
        <v>1962</v>
      </c>
    </row>
    <row r="566" spans="1:4" ht="31.5" x14ac:dyDescent="0.25">
      <c r="A566" s="5" t="s">
        <v>1963</v>
      </c>
      <c r="B566" s="6" t="s">
        <v>1964</v>
      </c>
      <c r="C566" s="8" t="s">
        <v>1965</v>
      </c>
      <c r="D566" s="7" t="s">
        <v>1966</v>
      </c>
    </row>
    <row r="567" spans="1:4" ht="47.25" x14ac:dyDescent="0.25">
      <c r="A567" s="5" t="s">
        <v>1967</v>
      </c>
      <c r="B567" s="6" t="s">
        <v>1968</v>
      </c>
      <c r="C567" s="8" t="s">
        <v>1401</v>
      </c>
      <c r="D567" s="7" t="s">
        <v>1969</v>
      </c>
    </row>
    <row r="568" spans="1:4" ht="31.5" x14ac:dyDescent="0.25">
      <c r="A568" s="5" t="s">
        <v>1970</v>
      </c>
      <c r="B568" s="6" t="s">
        <v>1971</v>
      </c>
      <c r="C568" s="8" t="s">
        <v>1140</v>
      </c>
      <c r="D568" s="7" t="s">
        <v>1972</v>
      </c>
    </row>
    <row r="569" spans="1:4" ht="31.5" x14ac:dyDescent="0.25">
      <c r="A569" s="5" t="s">
        <v>1973</v>
      </c>
      <c r="B569" s="6" t="s">
        <v>1974</v>
      </c>
      <c r="C569" s="8" t="s">
        <v>1975</v>
      </c>
      <c r="D569" s="7" t="s">
        <v>1976</v>
      </c>
    </row>
    <row r="570" spans="1:4" ht="47.25" x14ac:dyDescent="0.25">
      <c r="A570" s="5" t="s">
        <v>1977</v>
      </c>
      <c r="B570" s="6" t="s">
        <v>1978</v>
      </c>
      <c r="C570" s="8" t="s">
        <v>1727</v>
      </c>
      <c r="D570" s="7" t="s">
        <v>1979</v>
      </c>
    </row>
    <row r="571" spans="1:4" ht="47.25" x14ac:dyDescent="0.25">
      <c r="A571" s="5" t="s">
        <v>1980</v>
      </c>
      <c r="B571" s="6" t="s">
        <v>1981</v>
      </c>
      <c r="C571" s="8" t="s">
        <v>1012</v>
      </c>
      <c r="D571" s="7" t="s">
        <v>1982</v>
      </c>
    </row>
    <row r="572" spans="1:4" ht="31.5" x14ac:dyDescent="0.25">
      <c r="A572" s="5" t="s">
        <v>1983</v>
      </c>
      <c r="B572" s="6" t="s">
        <v>1984</v>
      </c>
      <c r="C572" s="8" t="s">
        <v>1965</v>
      </c>
      <c r="D572" s="7" t="s">
        <v>1985</v>
      </c>
    </row>
    <row r="573" spans="1:4" ht="63" x14ac:dyDescent="0.25">
      <c r="A573" s="5" t="s">
        <v>1986</v>
      </c>
      <c r="B573" s="6" t="s">
        <v>1987</v>
      </c>
      <c r="C573" s="8" t="s">
        <v>1867</v>
      </c>
      <c r="D573" s="7" t="s">
        <v>1988</v>
      </c>
    </row>
    <row r="574" spans="1:4" ht="47.25" x14ac:dyDescent="0.25">
      <c r="A574" s="5" t="s">
        <v>1989</v>
      </c>
      <c r="B574" s="6" t="s">
        <v>1990</v>
      </c>
      <c r="C574" s="8" t="s">
        <v>580</v>
      </c>
      <c r="D574" s="7" t="s">
        <v>1991</v>
      </c>
    </row>
    <row r="575" spans="1:4" ht="47.25" x14ac:dyDescent="0.25">
      <c r="A575" s="5" t="s">
        <v>1992</v>
      </c>
      <c r="B575" s="6" t="s">
        <v>1993</v>
      </c>
      <c r="C575" s="8" t="s">
        <v>599</v>
      </c>
      <c r="D575" s="7" t="s">
        <v>1994</v>
      </c>
    </row>
    <row r="576" spans="1:4" ht="63" x14ac:dyDescent="0.25">
      <c r="A576" s="5" t="s">
        <v>1995</v>
      </c>
      <c r="B576" s="6" t="s">
        <v>1996</v>
      </c>
      <c r="C576" s="8" t="s">
        <v>930</v>
      </c>
      <c r="D576" s="7" t="s">
        <v>1997</v>
      </c>
    </row>
    <row r="577" spans="1:4" ht="94.5" x14ac:dyDescent="0.25">
      <c r="A577" s="5" t="s">
        <v>1998</v>
      </c>
      <c r="B577" s="6" t="s">
        <v>1999</v>
      </c>
      <c r="C577" s="8" t="s">
        <v>1330</v>
      </c>
      <c r="D577" s="7" t="s">
        <v>2000</v>
      </c>
    </row>
    <row r="578" spans="1:4" ht="110.25" x14ac:dyDescent="0.25">
      <c r="A578" s="5" t="s">
        <v>2001</v>
      </c>
      <c r="B578" s="6" t="s">
        <v>2002</v>
      </c>
      <c r="C578" s="8" t="s">
        <v>1602</v>
      </c>
      <c r="D578" s="7" t="s">
        <v>2003</v>
      </c>
    </row>
    <row r="579" spans="1:4" ht="47.25" x14ac:dyDescent="0.25">
      <c r="A579" s="5" t="s">
        <v>2004</v>
      </c>
      <c r="B579" s="6" t="s">
        <v>2005</v>
      </c>
      <c r="C579" s="8" t="s">
        <v>2006</v>
      </c>
      <c r="D579" s="7" t="s">
        <v>2007</v>
      </c>
    </row>
    <row r="580" spans="1:4" ht="63" x14ac:dyDescent="0.25">
      <c r="A580" s="5" t="s">
        <v>2008</v>
      </c>
      <c r="B580" s="6" t="s">
        <v>2009</v>
      </c>
      <c r="C580" s="8" t="s">
        <v>2010</v>
      </c>
      <c r="D580" s="7" t="s">
        <v>2011</v>
      </c>
    </row>
    <row r="581" spans="1:4" ht="31.5" x14ac:dyDescent="0.25">
      <c r="A581" s="5" t="s">
        <v>2012</v>
      </c>
      <c r="B581" s="6" t="s">
        <v>2013</v>
      </c>
      <c r="C581" s="8" t="s">
        <v>1012</v>
      </c>
      <c r="D581" s="7" t="s">
        <v>2014</v>
      </c>
    </row>
    <row r="582" spans="1:4" ht="47.25" x14ac:dyDescent="0.25">
      <c r="A582" s="5" t="s">
        <v>2015</v>
      </c>
      <c r="B582" s="6" t="s">
        <v>2016</v>
      </c>
      <c r="C582" s="8" t="s">
        <v>2017</v>
      </c>
      <c r="D582" s="7" t="s">
        <v>2018</v>
      </c>
    </row>
    <row r="583" spans="1:4" ht="47.25" x14ac:dyDescent="0.25">
      <c r="A583" s="5" t="s">
        <v>2019</v>
      </c>
      <c r="B583" s="6" t="s">
        <v>2020</v>
      </c>
      <c r="C583" s="8" t="s">
        <v>429</v>
      </c>
      <c r="D583" s="7" t="s">
        <v>2021</v>
      </c>
    </row>
    <row r="584" spans="1:4" ht="47.25" x14ac:dyDescent="0.25">
      <c r="A584" s="5" t="s">
        <v>2022</v>
      </c>
      <c r="B584" s="6" t="s">
        <v>2023</v>
      </c>
      <c r="C584" s="8" t="s">
        <v>1819</v>
      </c>
      <c r="D584" s="7" t="s">
        <v>2024</v>
      </c>
    </row>
    <row r="585" spans="1:4" ht="47.25" x14ac:dyDescent="0.25">
      <c r="A585" s="5" t="s">
        <v>2025</v>
      </c>
      <c r="B585" s="6" t="s">
        <v>2026</v>
      </c>
      <c r="C585" s="8" t="s">
        <v>2027</v>
      </c>
      <c r="D585" s="7" t="s">
        <v>2028</v>
      </c>
    </row>
    <row r="586" spans="1:4" ht="63" x14ac:dyDescent="0.25">
      <c r="A586" s="5" t="s">
        <v>2029</v>
      </c>
      <c r="B586" s="6" t="s">
        <v>2030</v>
      </c>
      <c r="C586" s="8" t="s">
        <v>2031</v>
      </c>
      <c r="D586" s="7" t="s">
        <v>2032</v>
      </c>
    </row>
    <row r="587" spans="1:4" ht="31.5" x14ac:dyDescent="0.25">
      <c r="A587" s="5" t="s">
        <v>2033</v>
      </c>
      <c r="B587" s="6" t="s">
        <v>2034</v>
      </c>
      <c r="C587" s="8" t="s">
        <v>2035</v>
      </c>
      <c r="D587" s="7" t="s">
        <v>2036</v>
      </c>
    </row>
    <row r="588" spans="1:4" ht="63" x14ac:dyDescent="0.25">
      <c r="A588" s="5" t="s">
        <v>2037</v>
      </c>
      <c r="B588" s="6" t="s">
        <v>2038</v>
      </c>
      <c r="C588" s="8" t="s">
        <v>836</v>
      </c>
      <c r="D588" s="7" t="s">
        <v>2039</v>
      </c>
    </row>
    <row r="589" spans="1:4" ht="47.25" x14ac:dyDescent="0.25">
      <c r="A589" s="5" t="s">
        <v>2040</v>
      </c>
      <c r="B589" s="6" t="s">
        <v>2041</v>
      </c>
      <c r="C589" s="8" t="s">
        <v>2042</v>
      </c>
      <c r="D589" s="7" t="s">
        <v>2043</v>
      </c>
    </row>
    <row r="590" spans="1:4" ht="31.5" x14ac:dyDescent="0.25">
      <c r="A590" s="5" t="s">
        <v>2044</v>
      </c>
      <c r="B590" s="6" t="s">
        <v>2045</v>
      </c>
      <c r="C590" s="8" t="s">
        <v>637</v>
      </c>
      <c r="D590" s="7" t="s">
        <v>2046</v>
      </c>
    </row>
    <row r="591" spans="1:4" ht="47.25" x14ac:dyDescent="0.25">
      <c r="A591" s="5" t="s">
        <v>2047</v>
      </c>
      <c r="B591" s="6" t="s">
        <v>2048</v>
      </c>
      <c r="C591" s="8" t="s">
        <v>2049</v>
      </c>
      <c r="D591" s="7" t="s">
        <v>2050</v>
      </c>
    </row>
    <row r="592" spans="1:4" ht="47.25" x14ac:dyDescent="0.25">
      <c r="A592" s="5" t="s">
        <v>2051</v>
      </c>
      <c r="B592" s="6" t="s">
        <v>2052</v>
      </c>
      <c r="C592" s="8" t="s">
        <v>810</v>
      </c>
      <c r="D592" s="7" t="s">
        <v>2053</v>
      </c>
    </row>
    <row r="593" spans="1:4" ht="47.25" x14ac:dyDescent="0.25">
      <c r="A593" s="5" t="s">
        <v>2054</v>
      </c>
      <c r="B593" s="6" t="s">
        <v>2055</v>
      </c>
      <c r="C593" s="8" t="s">
        <v>1534</v>
      </c>
      <c r="D593" s="7" t="s">
        <v>2056</v>
      </c>
    </row>
    <row r="594" spans="1:4" ht="47.25" x14ac:dyDescent="0.25">
      <c r="A594" s="5" t="s">
        <v>2057</v>
      </c>
      <c r="B594" s="6" t="s">
        <v>2058</v>
      </c>
      <c r="C594" s="8" t="s">
        <v>459</v>
      </c>
      <c r="D594" s="7" t="s">
        <v>2059</v>
      </c>
    </row>
    <row r="595" spans="1:4" ht="31.5" x14ac:dyDescent="0.25">
      <c r="A595" s="5" t="s">
        <v>2060</v>
      </c>
      <c r="B595" s="6" t="s">
        <v>2061</v>
      </c>
      <c r="C595" s="8" t="s">
        <v>2062</v>
      </c>
      <c r="D595" s="7" t="s">
        <v>2063</v>
      </c>
    </row>
    <row r="596" spans="1:4" ht="63" x14ac:dyDescent="0.25">
      <c r="A596" s="5" t="s">
        <v>2064</v>
      </c>
      <c r="B596" s="6" t="s">
        <v>2065</v>
      </c>
      <c r="C596" s="8" t="s">
        <v>477</v>
      </c>
      <c r="D596" s="7" t="s">
        <v>2066</v>
      </c>
    </row>
    <row r="597" spans="1:4" ht="31.5" x14ac:dyDescent="0.25">
      <c r="A597" s="5" t="s">
        <v>2067</v>
      </c>
      <c r="B597" s="6" t="s">
        <v>2068</v>
      </c>
      <c r="C597" s="8" t="s">
        <v>2069</v>
      </c>
      <c r="D597" s="7" t="s">
        <v>2070</v>
      </c>
    </row>
    <row r="598" spans="1:4" ht="63" x14ac:dyDescent="0.25">
      <c r="A598" s="5" t="s">
        <v>2071</v>
      </c>
      <c r="B598" s="6" t="s">
        <v>2072</v>
      </c>
      <c r="C598" s="8" t="s">
        <v>2069</v>
      </c>
      <c r="D598" s="7" t="s">
        <v>2073</v>
      </c>
    </row>
    <row r="599" spans="1:4" ht="31.5" x14ac:dyDescent="0.25">
      <c r="A599" s="5" t="s">
        <v>2074</v>
      </c>
      <c r="B599" s="6" t="s">
        <v>2075</v>
      </c>
      <c r="C599" s="8" t="s">
        <v>1310</v>
      </c>
      <c r="D599" s="7" t="s">
        <v>2076</v>
      </c>
    </row>
    <row r="600" spans="1:4" ht="31.5" x14ac:dyDescent="0.25">
      <c r="A600" s="5" t="s">
        <v>2077</v>
      </c>
      <c r="B600" s="6" t="s">
        <v>2078</v>
      </c>
      <c r="C600" s="8" t="s">
        <v>1310</v>
      </c>
      <c r="D600" s="7" t="s">
        <v>2079</v>
      </c>
    </row>
    <row r="601" spans="1:4" ht="47.25" x14ac:dyDescent="0.25">
      <c r="A601" s="5" t="s">
        <v>2080</v>
      </c>
      <c r="B601" s="6" t="s">
        <v>2081</v>
      </c>
      <c r="C601" s="8" t="s">
        <v>2082</v>
      </c>
      <c r="D601" s="7" t="s">
        <v>2083</v>
      </c>
    </row>
    <row r="602" spans="1:4" ht="31.5" x14ac:dyDescent="0.25">
      <c r="A602" s="5" t="s">
        <v>2084</v>
      </c>
      <c r="B602" s="6" t="s">
        <v>2085</v>
      </c>
      <c r="C602" s="8" t="s">
        <v>1937</v>
      </c>
      <c r="D602" s="7" t="s">
        <v>2086</v>
      </c>
    </row>
    <row r="603" spans="1:4" ht="31.5" x14ac:dyDescent="0.25">
      <c r="A603" s="5" t="s">
        <v>2087</v>
      </c>
      <c r="B603" s="6" t="s">
        <v>2088</v>
      </c>
      <c r="C603" s="8" t="s">
        <v>1602</v>
      </c>
      <c r="D603" s="7" t="s">
        <v>2089</v>
      </c>
    </row>
    <row r="604" spans="1:4" ht="31.5" x14ac:dyDescent="0.25">
      <c r="A604" s="5" t="s">
        <v>2090</v>
      </c>
      <c r="B604" s="6" t="s">
        <v>2091</v>
      </c>
      <c r="C604" s="8" t="s">
        <v>2092</v>
      </c>
      <c r="D604" s="7" t="s">
        <v>2093</v>
      </c>
    </row>
    <row r="605" spans="1:4" ht="31.5" x14ac:dyDescent="0.25">
      <c r="A605" s="5" t="s">
        <v>2094</v>
      </c>
      <c r="B605" s="6" t="s">
        <v>2095</v>
      </c>
      <c r="C605" s="8" t="s">
        <v>637</v>
      </c>
      <c r="D605" s="7" t="s">
        <v>2096</v>
      </c>
    </row>
    <row r="606" spans="1:4" ht="31.5" x14ac:dyDescent="0.25">
      <c r="A606" s="5" t="s">
        <v>2097</v>
      </c>
      <c r="B606" s="6" t="s">
        <v>2098</v>
      </c>
      <c r="C606" s="8" t="s">
        <v>637</v>
      </c>
      <c r="D606" s="7" t="s">
        <v>2099</v>
      </c>
    </row>
    <row r="607" spans="1:4" ht="47.25" x14ac:dyDescent="0.25">
      <c r="A607" s="5" t="s">
        <v>2100</v>
      </c>
      <c r="B607" s="6" t="s">
        <v>2101</v>
      </c>
      <c r="C607" s="8" t="s">
        <v>2102</v>
      </c>
      <c r="D607" s="7" t="s">
        <v>2103</v>
      </c>
    </row>
    <row r="608" spans="1:4" ht="31.5" x14ac:dyDescent="0.25">
      <c r="A608" s="5" t="s">
        <v>2104</v>
      </c>
      <c r="B608" s="6" t="s">
        <v>2105</v>
      </c>
      <c r="C608" s="8" t="s">
        <v>1161</v>
      </c>
      <c r="D608" s="7" t="s">
        <v>2106</v>
      </c>
    </row>
    <row r="609" spans="1:4" ht="47.25" x14ac:dyDescent="0.25">
      <c r="A609" s="5" t="s">
        <v>2107</v>
      </c>
      <c r="B609" s="6" t="s">
        <v>2108</v>
      </c>
      <c r="C609" s="8" t="s">
        <v>1819</v>
      </c>
      <c r="D609" s="7" t="s">
        <v>2109</v>
      </c>
    </row>
    <row r="610" spans="1:4" ht="31.5" x14ac:dyDescent="0.25">
      <c r="A610" s="5" t="s">
        <v>2110</v>
      </c>
      <c r="B610" s="6" t="s">
        <v>2111</v>
      </c>
      <c r="C610" s="8" t="s">
        <v>546</v>
      </c>
      <c r="D610" s="7" t="s">
        <v>2112</v>
      </c>
    </row>
    <row r="611" spans="1:4" ht="47.25" x14ac:dyDescent="0.25">
      <c r="A611" s="5" t="s">
        <v>2113</v>
      </c>
      <c r="B611" s="6" t="s">
        <v>2114</v>
      </c>
      <c r="C611" s="8" t="s">
        <v>660</v>
      </c>
      <c r="D611" s="7" t="s">
        <v>2115</v>
      </c>
    </row>
    <row r="612" spans="1:4" ht="47.25" x14ac:dyDescent="0.25">
      <c r="A612" s="5" t="s">
        <v>2116</v>
      </c>
      <c r="B612" s="6" t="s">
        <v>2117</v>
      </c>
      <c r="C612" s="8" t="s">
        <v>2118</v>
      </c>
      <c r="D612" s="7" t="s">
        <v>2119</v>
      </c>
    </row>
    <row r="613" spans="1:4" ht="47.25" x14ac:dyDescent="0.25">
      <c r="A613" s="5" t="s">
        <v>2120</v>
      </c>
      <c r="B613" s="6" t="s">
        <v>2121</v>
      </c>
      <c r="C613" s="8" t="s">
        <v>1284</v>
      </c>
      <c r="D613" s="7" t="s">
        <v>2122</v>
      </c>
    </row>
    <row r="614" spans="1:4" ht="31.5" x14ac:dyDescent="0.25">
      <c r="A614" s="5" t="s">
        <v>2123</v>
      </c>
      <c r="B614" s="6" t="s">
        <v>2124</v>
      </c>
      <c r="C614" s="8" t="s">
        <v>2125</v>
      </c>
      <c r="D614" s="7" t="s">
        <v>2126</v>
      </c>
    </row>
    <row r="615" spans="1:4" ht="31.5" x14ac:dyDescent="0.25">
      <c r="A615" s="5" t="s">
        <v>2127</v>
      </c>
      <c r="B615" s="6" t="s">
        <v>2128</v>
      </c>
      <c r="C615" s="8" t="s">
        <v>2129</v>
      </c>
      <c r="D615" s="7" t="s">
        <v>2130</v>
      </c>
    </row>
    <row r="616" spans="1:4" ht="47.25" x14ac:dyDescent="0.25">
      <c r="A616" s="5" t="s">
        <v>2131</v>
      </c>
      <c r="B616" s="6" t="s">
        <v>2132</v>
      </c>
      <c r="C616" s="8" t="s">
        <v>1937</v>
      </c>
      <c r="D616" s="7" t="s">
        <v>2133</v>
      </c>
    </row>
    <row r="617" spans="1:4" ht="47.25" x14ac:dyDescent="0.25">
      <c r="A617" s="5" t="s">
        <v>2134</v>
      </c>
      <c r="B617" s="6" t="s">
        <v>2135</v>
      </c>
      <c r="C617" s="8" t="s">
        <v>2136</v>
      </c>
      <c r="D617" s="7" t="s">
        <v>2137</v>
      </c>
    </row>
    <row r="618" spans="1:4" ht="47.25" x14ac:dyDescent="0.25">
      <c r="A618" s="5" t="s">
        <v>2138</v>
      </c>
      <c r="B618" s="6" t="s">
        <v>2139</v>
      </c>
      <c r="C618" s="8" t="s">
        <v>2140</v>
      </c>
      <c r="D618" s="7" t="s">
        <v>2141</v>
      </c>
    </row>
    <row r="619" spans="1:4" ht="78.75" x14ac:dyDescent="0.25">
      <c r="A619" s="5" t="s">
        <v>2142</v>
      </c>
      <c r="B619" s="6" t="s">
        <v>2143</v>
      </c>
      <c r="C619" s="8" t="s">
        <v>2144</v>
      </c>
      <c r="D619" s="7" t="s">
        <v>2145</v>
      </c>
    </row>
    <row r="620" spans="1:4" ht="47.25" x14ac:dyDescent="0.25">
      <c r="A620" s="5" t="s">
        <v>2146</v>
      </c>
      <c r="B620" s="6" t="s">
        <v>2147</v>
      </c>
      <c r="C620" s="8" t="s">
        <v>1052</v>
      </c>
      <c r="D620" s="7" t="s">
        <v>2148</v>
      </c>
    </row>
    <row r="621" spans="1:4" ht="47.25" x14ac:dyDescent="0.25">
      <c r="A621" s="5" t="s">
        <v>2149</v>
      </c>
      <c r="B621" s="6" t="s">
        <v>2150</v>
      </c>
      <c r="C621" s="8" t="s">
        <v>1401</v>
      </c>
      <c r="D621" s="7" t="s">
        <v>2151</v>
      </c>
    </row>
    <row r="622" spans="1:4" ht="31.5" x14ac:dyDescent="0.25">
      <c r="A622" s="5" t="s">
        <v>2152</v>
      </c>
      <c r="B622" s="6" t="s">
        <v>2153</v>
      </c>
      <c r="C622" s="8" t="s">
        <v>401</v>
      </c>
      <c r="D622" s="7" t="s">
        <v>2154</v>
      </c>
    </row>
    <row r="623" spans="1:4" ht="63" x14ac:dyDescent="0.25">
      <c r="A623" s="5" t="s">
        <v>2155</v>
      </c>
      <c r="B623" s="6" t="s">
        <v>2156</v>
      </c>
      <c r="C623" s="53" t="s">
        <v>2157</v>
      </c>
      <c r="D623" s="7" t="s">
        <v>2158</v>
      </c>
    </row>
    <row r="624" spans="1:4" ht="47.25" x14ac:dyDescent="0.25">
      <c r="A624" s="5" t="s">
        <v>2159</v>
      </c>
      <c r="B624" s="6" t="s">
        <v>2160</v>
      </c>
      <c r="C624" s="8" t="s">
        <v>2161</v>
      </c>
      <c r="D624" s="7" t="s">
        <v>2162</v>
      </c>
    </row>
    <row r="625" spans="1:4" ht="47.25" x14ac:dyDescent="0.25">
      <c r="A625" s="5" t="s">
        <v>2163</v>
      </c>
      <c r="B625" s="6" t="s">
        <v>2164</v>
      </c>
      <c r="C625" s="8" t="s">
        <v>2165</v>
      </c>
      <c r="D625" s="7" t="s">
        <v>2166</v>
      </c>
    </row>
    <row r="626" spans="1:4" ht="47.25" x14ac:dyDescent="0.25">
      <c r="A626" s="5" t="s">
        <v>2167</v>
      </c>
      <c r="B626" s="6" t="s">
        <v>2168</v>
      </c>
      <c r="C626" s="8" t="s">
        <v>2169</v>
      </c>
      <c r="D626" s="7" t="s">
        <v>2170</v>
      </c>
    </row>
    <row r="627" spans="1:4" ht="31.5" x14ac:dyDescent="0.25">
      <c r="A627" s="5" t="s">
        <v>2171</v>
      </c>
      <c r="B627" s="6" t="s">
        <v>2172</v>
      </c>
      <c r="C627" s="8" t="s">
        <v>906</v>
      </c>
      <c r="D627" s="7" t="s">
        <v>2173</v>
      </c>
    </row>
    <row r="628" spans="1:4" ht="31.5" x14ac:dyDescent="0.25">
      <c r="A628" s="5" t="s">
        <v>2174</v>
      </c>
      <c r="B628" s="6" t="s">
        <v>2175</v>
      </c>
      <c r="C628" s="8" t="s">
        <v>810</v>
      </c>
      <c r="D628" s="7" t="s">
        <v>2176</v>
      </c>
    </row>
    <row r="629" spans="1:4" ht="47.25" x14ac:dyDescent="0.25">
      <c r="A629" s="5" t="s">
        <v>2177</v>
      </c>
      <c r="B629" s="6" t="s">
        <v>2178</v>
      </c>
      <c r="C629" s="8" t="s">
        <v>829</v>
      </c>
      <c r="D629" s="7" t="s">
        <v>2179</v>
      </c>
    </row>
    <row r="630" spans="1:4" ht="47.25" x14ac:dyDescent="0.25">
      <c r="A630" s="5" t="s">
        <v>2180</v>
      </c>
      <c r="B630" s="6" t="s">
        <v>2181</v>
      </c>
      <c r="C630" s="8" t="s">
        <v>2182</v>
      </c>
      <c r="D630" s="7" t="s">
        <v>2183</v>
      </c>
    </row>
    <row r="631" spans="1:4" ht="63" x14ac:dyDescent="0.25">
      <c r="A631" s="5" t="s">
        <v>2184</v>
      </c>
      <c r="B631" s="6" t="s">
        <v>2185</v>
      </c>
      <c r="C631" s="8" t="s">
        <v>1742</v>
      </c>
      <c r="D631" s="7" t="s">
        <v>2186</v>
      </c>
    </row>
    <row r="632" spans="1:4" ht="47.25" x14ac:dyDescent="0.25">
      <c r="A632" s="5" t="s">
        <v>2187</v>
      </c>
      <c r="B632" s="6" t="s">
        <v>2188</v>
      </c>
      <c r="C632" s="8" t="s">
        <v>1038</v>
      </c>
      <c r="D632" s="7" t="s">
        <v>2189</v>
      </c>
    </row>
    <row r="633" spans="1:4" ht="63" x14ac:dyDescent="0.25">
      <c r="A633" s="5" t="s">
        <v>2190</v>
      </c>
      <c r="B633" s="6" t="s">
        <v>2191</v>
      </c>
      <c r="C633" s="8" t="s">
        <v>1592</v>
      </c>
      <c r="D633" s="7" t="s">
        <v>2192</v>
      </c>
    </row>
    <row r="634" spans="1:4" ht="31.5" x14ac:dyDescent="0.25">
      <c r="A634" s="5" t="s">
        <v>2193</v>
      </c>
      <c r="B634" s="6" t="s">
        <v>2194</v>
      </c>
      <c r="C634" s="8" t="s">
        <v>2069</v>
      </c>
      <c r="D634" s="7" t="s">
        <v>2195</v>
      </c>
    </row>
    <row r="635" spans="1:4" ht="31.5" x14ac:dyDescent="0.25">
      <c r="A635" s="5" t="s">
        <v>2196</v>
      </c>
      <c r="B635" s="6" t="s">
        <v>2197</v>
      </c>
      <c r="C635" s="8" t="s">
        <v>577</v>
      </c>
      <c r="D635" s="7" t="s">
        <v>2198</v>
      </c>
    </row>
    <row r="636" spans="1:4" ht="31.5" x14ac:dyDescent="0.25">
      <c r="A636" s="5" t="s">
        <v>2199</v>
      </c>
      <c r="B636" s="6" t="s">
        <v>2200</v>
      </c>
      <c r="C636" s="8" t="s">
        <v>577</v>
      </c>
      <c r="D636" s="7" t="s">
        <v>2201</v>
      </c>
    </row>
    <row r="637" spans="1:4" ht="63" x14ac:dyDescent="0.25">
      <c r="A637" s="5" t="s">
        <v>2202</v>
      </c>
      <c r="B637" s="6" t="s">
        <v>2203</v>
      </c>
      <c r="C637" s="8" t="s">
        <v>2204</v>
      </c>
      <c r="D637" s="7" t="s">
        <v>2205</v>
      </c>
    </row>
    <row r="638" spans="1:4" ht="31.5" x14ac:dyDescent="0.25">
      <c r="A638" s="5" t="s">
        <v>2206</v>
      </c>
      <c r="B638" s="6" t="s">
        <v>2207</v>
      </c>
      <c r="C638" s="8" t="s">
        <v>1161</v>
      </c>
      <c r="D638" s="7" t="s">
        <v>2208</v>
      </c>
    </row>
    <row r="639" spans="1:4" ht="63" x14ac:dyDescent="0.25">
      <c r="A639" s="5" t="s">
        <v>2209</v>
      </c>
      <c r="B639" s="6" t="s">
        <v>2210</v>
      </c>
      <c r="C639" s="8" t="s">
        <v>2211</v>
      </c>
      <c r="D639" s="7" t="s">
        <v>2212</v>
      </c>
    </row>
    <row r="640" spans="1:4" ht="47.25" x14ac:dyDescent="0.25">
      <c r="A640" s="5" t="s">
        <v>2213</v>
      </c>
      <c r="B640" s="6" t="s">
        <v>2214</v>
      </c>
      <c r="C640" s="8" t="s">
        <v>1031</v>
      </c>
      <c r="D640" s="7" t="s">
        <v>2215</v>
      </c>
    </row>
    <row r="641" spans="1:4" ht="47.25" x14ac:dyDescent="0.25">
      <c r="A641" s="5" t="s">
        <v>2216</v>
      </c>
      <c r="B641" s="6" t="s">
        <v>2217</v>
      </c>
      <c r="C641" s="8" t="s">
        <v>2218</v>
      </c>
      <c r="D641" s="7" t="s">
        <v>2219</v>
      </c>
    </row>
    <row r="642" spans="1:4" ht="47.25" x14ac:dyDescent="0.25">
      <c r="A642" s="5" t="s">
        <v>2220</v>
      </c>
      <c r="B642" s="6" t="s">
        <v>2221</v>
      </c>
      <c r="C642" s="8" t="s">
        <v>933</v>
      </c>
      <c r="D642" s="7" t="s">
        <v>2222</v>
      </c>
    </row>
    <row r="643" spans="1:4" ht="47.25" x14ac:dyDescent="0.25">
      <c r="A643" s="5" t="s">
        <v>2223</v>
      </c>
      <c r="B643" s="6" t="s">
        <v>2224</v>
      </c>
      <c r="C643" s="8" t="s">
        <v>628</v>
      </c>
      <c r="D643" s="7" t="s">
        <v>2225</v>
      </c>
    </row>
    <row r="644" spans="1:4" ht="63" x14ac:dyDescent="0.25">
      <c r="A644" s="5" t="s">
        <v>2226</v>
      </c>
      <c r="B644" s="6" t="s">
        <v>2227</v>
      </c>
      <c r="C644" s="8" t="s">
        <v>2228</v>
      </c>
      <c r="D644" s="7" t="s">
        <v>2229</v>
      </c>
    </row>
    <row r="645" spans="1:4" ht="94.5" x14ac:dyDescent="0.25">
      <c r="A645" s="5" t="s">
        <v>2230</v>
      </c>
      <c r="B645" s="6" t="s">
        <v>2231</v>
      </c>
      <c r="C645" s="8" t="s">
        <v>2232</v>
      </c>
      <c r="D645" s="7" t="s">
        <v>2233</v>
      </c>
    </row>
    <row r="646" spans="1:4" ht="47.25" x14ac:dyDescent="0.25">
      <c r="A646" s="5" t="s">
        <v>2234</v>
      </c>
      <c r="B646" s="6" t="s">
        <v>2235</v>
      </c>
      <c r="C646" s="8" t="s">
        <v>2236</v>
      </c>
      <c r="D646" s="7" t="s">
        <v>2237</v>
      </c>
    </row>
    <row r="647" spans="1:4" ht="63" x14ac:dyDescent="0.25">
      <c r="A647" s="5" t="s">
        <v>2238</v>
      </c>
      <c r="B647" s="6" t="s">
        <v>2239</v>
      </c>
      <c r="C647" s="8" t="s">
        <v>2236</v>
      </c>
      <c r="D647" s="7" t="s">
        <v>2240</v>
      </c>
    </row>
    <row r="648" spans="1:4" x14ac:dyDescent="0.25">
      <c r="A648" s="5" t="s">
        <v>2241</v>
      </c>
      <c r="B648" s="6" t="s">
        <v>2242</v>
      </c>
      <c r="C648" s="8" t="s">
        <v>1886</v>
      </c>
      <c r="D648" s="7" t="s">
        <v>2243</v>
      </c>
    </row>
    <row r="649" spans="1:4" ht="47.25" x14ac:dyDescent="0.25">
      <c r="A649" s="5" t="s">
        <v>2244</v>
      </c>
      <c r="B649" s="6" t="s">
        <v>2245</v>
      </c>
      <c r="C649" s="8" t="s">
        <v>2069</v>
      </c>
      <c r="D649" s="7" t="s">
        <v>2246</v>
      </c>
    </row>
    <row r="650" spans="1:4" ht="47.25" x14ac:dyDescent="0.25">
      <c r="A650" s="5" t="s">
        <v>2247</v>
      </c>
      <c r="B650" s="6" t="s">
        <v>2248</v>
      </c>
      <c r="C650" s="8" t="s">
        <v>432</v>
      </c>
      <c r="D650" s="7" t="s">
        <v>2249</v>
      </c>
    </row>
    <row r="651" spans="1:4" ht="47.25" x14ac:dyDescent="0.25">
      <c r="A651" s="5" t="s">
        <v>2250</v>
      </c>
      <c r="B651" s="6" t="s">
        <v>2251</v>
      </c>
      <c r="C651" s="8" t="s">
        <v>1253</v>
      </c>
      <c r="D651" s="7" t="s">
        <v>2252</v>
      </c>
    </row>
    <row r="652" spans="1:4" ht="63" x14ac:dyDescent="0.25">
      <c r="A652" s="5" t="s">
        <v>2253</v>
      </c>
      <c r="B652" s="6" t="s">
        <v>2254</v>
      </c>
      <c r="C652" s="8" t="s">
        <v>628</v>
      </c>
      <c r="D652" s="7" t="s">
        <v>2255</v>
      </c>
    </row>
    <row r="653" spans="1:4" ht="63" x14ac:dyDescent="0.25">
      <c r="A653" s="5" t="s">
        <v>2256</v>
      </c>
      <c r="B653" s="6" t="s">
        <v>2257</v>
      </c>
      <c r="C653" s="8" t="s">
        <v>628</v>
      </c>
      <c r="D653" s="7" t="s">
        <v>2258</v>
      </c>
    </row>
    <row r="654" spans="1:4" ht="47.25" x14ac:dyDescent="0.25">
      <c r="A654" s="5" t="s">
        <v>2259</v>
      </c>
      <c r="B654" s="6" t="s">
        <v>2260</v>
      </c>
      <c r="C654" s="8" t="s">
        <v>911</v>
      </c>
      <c r="D654" s="7" t="s">
        <v>2261</v>
      </c>
    </row>
    <row r="655" spans="1:4" ht="47.25" x14ac:dyDescent="0.25">
      <c r="A655" s="5" t="s">
        <v>2262</v>
      </c>
      <c r="B655" s="6" t="s">
        <v>2263</v>
      </c>
      <c r="C655" s="8" t="s">
        <v>911</v>
      </c>
      <c r="D655" s="7" t="s">
        <v>2264</v>
      </c>
    </row>
    <row r="656" spans="1:4" ht="31.5" x14ac:dyDescent="0.25">
      <c r="A656" s="5" t="s">
        <v>2265</v>
      </c>
      <c r="B656" s="6" t="s">
        <v>2266</v>
      </c>
      <c r="C656" s="8" t="s">
        <v>2267</v>
      </c>
      <c r="D656" s="7" t="s">
        <v>2268</v>
      </c>
    </row>
    <row r="657" spans="1:4" ht="47.25" x14ac:dyDescent="0.25">
      <c r="A657" s="5" t="s">
        <v>2269</v>
      </c>
      <c r="B657" s="6" t="s">
        <v>2270</v>
      </c>
      <c r="C657" s="8" t="s">
        <v>933</v>
      </c>
      <c r="D657" s="7" t="s">
        <v>2271</v>
      </c>
    </row>
    <row r="658" spans="1:4" ht="63" x14ac:dyDescent="0.25">
      <c r="A658" s="5" t="s">
        <v>2272</v>
      </c>
      <c r="B658" s="6" t="s">
        <v>2273</v>
      </c>
      <c r="C658" s="8" t="s">
        <v>2274</v>
      </c>
      <c r="D658" s="7" t="s">
        <v>2275</v>
      </c>
    </row>
    <row r="659" spans="1:4" ht="47.25" x14ac:dyDescent="0.25">
      <c r="A659" s="5" t="s">
        <v>2276</v>
      </c>
      <c r="B659" s="6" t="s">
        <v>2277</v>
      </c>
      <c r="C659" s="8" t="s">
        <v>1310</v>
      </c>
      <c r="D659" s="7" t="s">
        <v>2278</v>
      </c>
    </row>
    <row r="660" spans="1:4" ht="31.5" x14ac:dyDescent="0.25">
      <c r="A660" s="5" t="s">
        <v>2279</v>
      </c>
      <c r="B660" s="6" t="s">
        <v>2280</v>
      </c>
      <c r="C660" s="8" t="s">
        <v>2281</v>
      </c>
      <c r="D660" s="7" t="s">
        <v>2282</v>
      </c>
    </row>
    <row r="661" spans="1:4" ht="47.25" x14ac:dyDescent="0.25">
      <c r="A661" s="5" t="s">
        <v>2283</v>
      </c>
      <c r="B661" s="6" t="s">
        <v>2284</v>
      </c>
      <c r="C661" s="8" t="s">
        <v>1552</v>
      </c>
      <c r="D661" s="7" t="s">
        <v>2285</v>
      </c>
    </row>
    <row r="662" spans="1:4" ht="31.5" x14ac:dyDescent="0.25">
      <c r="A662" s="5" t="s">
        <v>2286</v>
      </c>
      <c r="B662" s="6" t="s">
        <v>2287</v>
      </c>
      <c r="C662" s="8" t="s">
        <v>917</v>
      </c>
      <c r="D662" s="7" t="s">
        <v>2288</v>
      </c>
    </row>
    <row r="663" spans="1:4" ht="31.5" x14ac:dyDescent="0.25">
      <c r="A663" s="5" t="s">
        <v>2289</v>
      </c>
      <c r="B663" s="6" t="s">
        <v>2290</v>
      </c>
      <c r="C663" s="8" t="s">
        <v>1602</v>
      </c>
      <c r="D663" s="7" t="s">
        <v>2291</v>
      </c>
    </row>
    <row r="664" spans="1:4" ht="47.25" x14ac:dyDescent="0.25">
      <c r="A664" s="5" t="s">
        <v>2292</v>
      </c>
      <c r="B664" s="6" t="s">
        <v>2293</v>
      </c>
      <c r="C664" s="8" t="s">
        <v>498</v>
      </c>
      <c r="D664" s="7" t="s">
        <v>2294</v>
      </c>
    </row>
    <row r="665" spans="1:4" ht="47.25" x14ac:dyDescent="0.25">
      <c r="A665" s="5" t="s">
        <v>2295</v>
      </c>
      <c r="B665" s="6" t="s">
        <v>2296</v>
      </c>
      <c r="C665" s="8" t="s">
        <v>492</v>
      </c>
      <c r="D665" s="7" t="s">
        <v>2297</v>
      </c>
    </row>
    <row r="666" spans="1:4" ht="47.25" x14ac:dyDescent="0.25">
      <c r="A666" s="5" t="s">
        <v>2298</v>
      </c>
      <c r="B666" s="6" t="s">
        <v>2299</v>
      </c>
      <c r="C666" s="8" t="s">
        <v>2300</v>
      </c>
      <c r="D666" s="7" t="s">
        <v>2301</v>
      </c>
    </row>
    <row r="667" spans="1:4" ht="47.25" x14ac:dyDescent="0.25">
      <c r="A667" s="5" t="s">
        <v>2302</v>
      </c>
      <c r="B667" s="6" t="s">
        <v>2303</v>
      </c>
      <c r="C667" s="8" t="s">
        <v>2304</v>
      </c>
      <c r="D667" s="7" t="s">
        <v>2305</v>
      </c>
    </row>
    <row r="668" spans="1:4" ht="63" x14ac:dyDescent="0.25">
      <c r="A668" s="5" t="s">
        <v>2306</v>
      </c>
      <c r="B668" s="6" t="s">
        <v>2307</v>
      </c>
      <c r="C668" s="8" t="s">
        <v>1016</v>
      </c>
      <c r="D668" s="7" t="s">
        <v>2308</v>
      </c>
    </row>
    <row r="669" spans="1:4" ht="47.25" x14ac:dyDescent="0.25">
      <c r="A669" s="5" t="s">
        <v>2309</v>
      </c>
      <c r="B669" s="6" t="s">
        <v>2310</v>
      </c>
      <c r="C669" s="8" t="s">
        <v>1016</v>
      </c>
      <c r="D669" s="7" t="s">
        <v>2311</v>
      </c>
    </row>
    <row r="670" spans="1:4" ht="31.5" x14ac:dyDescent="0.25">
      <c r="A670" s="5" t="s">
        <v>2312</v>
      </c>
      <c r="B670" s="6" t="s">
        <v>2313</v>
      </c>
      <c r="C670" s="8" t="s">
        <v>2314</v>
      </c>
      <c r="D670" s="7" t="s">
        <v>2315</v>
      </c>
    </row>
    <row r="671" spans="1:4" ht="31.5" x14ac:dyDescent="0.25">
      <c r="A671" s="5" t="s">
        <v>2316</v>
      </c>
      <c r="B671" s="6" t="s">
        <v>2317</v>
      </c>
      <c r="C671" s="8" t="s">
        <v>2318</v>
      </c>
      <c r="D671" s="7" t="s">
        <v>2319</v>
      </c>
    </row>
    <row r="672" spans="1:4" ht="63" x14ac:dyDescent="0.25">
      <c r="A672" s="5" t="s">
        <v>2320</v>
      </c>
      <c r="B672" s="6" t="s">
        <v>2321</v>
      </c>
      <c r="C672" s="8" t="s">
        <v>1348</v>
      </c>
      <c r="D672" s="7" t="s">
        <v>2322</v>
      </c>
    </row>
    <row r="673" spans="1:4" ht="47.25" x14ac:dyDescent="0.25">
      <c r="A673" s="5" t="s">
        <v>2323</v>
      </c>
      <c r="B673" s="6" t="s">
        <v>2324</v>
      </c>
      <c r="C673" s="8" t="s">
        <v>2281</v>
      </c>
      <c r="D673" s="7" t="s">
        <v>2325</v>
      </c>
    </row>
    <row r="674" spans="1:4" ht="63" x14ac:dyDescent="0.25">
      <c r="A674" s="5" t="s">
        <v>2326</v>
      </c>
      <c r="B674" s="6" t="s">
        <v>2327</v>
      </c>
      <c r="C674" s="8" t="s">
        <v>2328</v>
      </c>
      <c r="D674" s="7" t="s">
        <v>2329</v>
      </c>
    </row>
    <row r="675" spans="1:4" ht="63" x14ac:dyDescent="0.25">
      <c r="A675" s="5" t="s">
        <v>2330</v>
      </c>
      <c r="B675" s="6" t="s">
        <v>2331</v>
      </c>
      <c r="C675" s="8" t="s">
        <v>2328</v>
      </c>
      <c r="D675" s="7" t="s">
        <v>2332</v>
      </c>
    </row>
    <row r="676" spans="1:4" ht="47.25" x14ac:dyDescent="0.25">
      <c r="A676" s="5" t="s">
        <v>2333</v>
      </c>
      <c r="B676" s="6" t="s">
        <v>2334</v>
      </c>
      <c r="C676" s="8" t="s">
        <v>1012</v>
      </c>
      <c r="D676" s="7" t="s">
        <v>2335</v>
      </c>
    </row>
    <row r="677" spans="1:4" ht="31.5" x14ac:dyDescent="0.25">
      <c r="A677" s="5" t="s">
        <v>2336</v>
      </c>
      <c r="B677" s="6" t="s">
        <v>2337</v>
      </c>
      <c r="C677" s="8" t="s">
        <v>982</v>
      </c>
      <c r="D677" s="7" t="s">
        <v>2338</v>
      </c>
    </row>
    <row r="678" spans="1:4" ht="31.5" x14ac:dyDescent="0.25">
      <c r="A678" s="5" t="s">
        <v>2339</v>
      </c>
      <c r="B678" s="6" t="s">
        <v>2340</v>
      </c>
      <c r="C678" s="8" t="s">
        <v>1016</v>
      </c>
      <c r="D678" s="7" t="s">
        <v>2341</v>
      </c>
    </row>
    <row r="679" spans="1:4" ht="47.25" x14ac:dyDescent="0.25">
      <c r="A679" s="5" t="s">
        <v>2342</v>
      </c>
      <c r="B679" s="6" t="s">
        <v>2343</v>
      </c>
      <c r="C679" s="8" t="s">
        <v>2344</v>
      </c>
      <c r="D679" s="7" t="s">
        <v>2345</v>
      </c>
    </row>
    <row r="680" spans="1:4" ht="31.5" x14ac:dyDescent="0.25">
      <c r="A680" s="5" t="s">
        <v>2346</v>
      </c>
      <c r="B680" s="6" t="s">
        <v>2347</v>
      </c>
      <c r="C680" s="8" t="s">
        <v>560</v>
      </c>
      <c r="D680" s="7" t="s">
        <v>2348</v>
      </c>
    </row>
    <row r="681" spans="1:4" ht="47.25" x14ac:dyDescent="0.25">
      <c r="A681" s="5" t="s">
        <v>2349</v>
      </c>
      <c r="B681" s="6" t="s">
        <v>2350</v>
      </c>
      <c r="C681" s="8" t="s">
        <v>1965</v>
      </c>
      <c r="D681" s="7" t="s">
        <v>2351</v>
      </c>
    </row>
    <row r="682" spans="1:4" ht="31.5" x14ac:dyDescent="0.25">
      <c r="A682" s="5" t="s">
        <v>2352</v>
      </c>
      <c r="B682" s="6" t="s">
        <v>2353</v>
      </c>
      <c r="C682" s="8" t="s">
        <v>2140</v>
      </c>
      <c r="D682" s="7" t="s">
        <v>2354</v>
      </c>
    </row>
    <row r="683" spans="1:4" ht="31.5" x14ac:dyDescent="0.25">
      <c r="A683" s="5" t="s">
        <v>2355</v>
      </c>
      <c r="B683" s="6" t="s">
        <v>2356</v>
      </c>
      <c r="C683" s="8" t="s">
        <v>429</v>
      </c>
      <c r="D683" s="7" t="s">
        <v>2357</v>
      </c>
    </row>
    <row r="684" spans="1:4" ht="31.5" x14ac:dyDescent="0.25">
      <c r="A684" s="5" t="s">
        <v>2358</v>
      </c>
      <c r="B684" s="6" t="s">
        <v>2359</v>
      </c>
      <c r="C684" s="8" t="s">
        <v>554</v>
      </c>
      <c r="D684" s="7" t="s">
        <v>2360</v>
      </c>
    </row>
    <row r="685" spans="1:4" ht="31.5" x14ac:dyDescent="0.25">
      <c r="A685" s="5" t="s">
        <v>2361</v>
      </c>
      <c r="B685" s="6" t="s">
        <v>2362</v>
      </c>
      <c r="C685" s="8" t="s">
        <v>2161</v>
      </c>
      <c r="D685" s="7" t="s">
        <v>2363</v>
      </c>
    </row>
    <row r="686" spans="1:4" ht="31.5" x14ac:dyDescent="0.25">
      <c r="A686" s="5" t="s">
        <v>2364</v>
      </c>
      <c r="B686" s="6" t="s">
        <v>2365</v>
      </c>
      <c r="C686" s="8" t="s">
        <v>1038</v>
      </c>
      <c r="D686" s="7" t="s">
        <v>2366</v>
      </c>
    </row>
    <row r="687" spans="1:4" ht="47.25" x14ac:dyDescent="0.25">
      <c r="A687" s="5" t="s">
        <v>2367</v>
      </c>
      <c r="B687" s="6" t="s">
        <v>2368</v>
      </c>
      <c r="C687" s="8" t="s">
        <v>380</v>
      </c>
      <c r="D687" s="7" t="s">
        <v>2369</v>
      </c>
    </row>
    <row r="688" spans="1:4" ht="47.25" x14ac:dyDescent="0.25">
      <c r="A688" s="5" t="s">
        <v>2370</v>
      </c>
      <c r="B688" s="6" t="s">
        <v>2371</v>
      </c>
      <c r="C688" s="8" t="s">
        <v>580</v>
      </c>
      <c r="D688" s="7" t="s">
        <v>2372</v>
      </c>
    </row>
    <row r="689" spans="1:4" ht="47.25" x14ac:dyDescent="0.25">
      <c r="A689" s="5" t="s">
        <v>2373</v>
      </c>
      <c r="B689" s="6" t="s">
        <v>2374</v>
      </c>
      <c r="C689" s="8" t="s">
        <v>2375</v>
      </c>
      <c r="D689" s="7" t="s">
        <v>2376</v>
      </c>
    </row>
    <row r="690" spans="1:4" ht="63" x14ac:dyDescent="0.25">
      <c r="A690" s="5" t="s">
        <v>2377</v>
      </c>
      <c r="B690" s="6" t="s">
        <v>2378</v>
      </c>
      <c r="C690" s="8" t="s">
        <v>2379</v>
      </c>
      <c r="D690" s="7" t="s">
        <v>2380</v>
      </c>
    </row>
    <row r="691" spans="1:4" ht="47.25" x14ac:dyDescent="0.25">
      <c r="A691" s="5" t="s">
        <v>2381</v>
      </c>
      <c r="B691" s="6" t="s">
        <v>2382</v>
      </c>
      <c r="C691" s="8" t="s">
        <v>599</v>
      </c>
      <c r="D691" s="7" t="s">
        <v>2383</v>
      </c>
    </row>
    <row r="692" spans="1:4" ht="47.25" x14ac:dyDescent="0.25">
      <c r="A692" s="5" t="s">
        <v>2384</v>
      </c>
      <c r="B692" s="6" t="s">
        <v>2385</v>
      </c>
      <c r="C692" s="8" t="s">
        <v>580</v>
      </c>
      <c r="D692" s="7" t="s">
        <v>2386</v>
      </c>
    </row>
    <row r="693" spans="1:4" ht="63" x14ac:dyDescent="0.25">
      <c r="A693" s="5" t="s">
        <v>2387</v>
      </c>
      <c r="B693" s="6" t="s">
        <v>2388</v>
      </c>
      <c r="C693" s="8" t="s">
        <v>2092</v>
      </c>
      <c r="D693" s="7" t="s">
        <v>2389</v>
      </c>
    </row>
    <row r="694" spans="1:4" ht="47.25" x14ac:dyDescent="0.25">
      <c r="A694" s="5" t="s">
        <v>2390</v>
      </c>
      <c r="B694" s="6" t="s">
        <v>2391</v>
      </c>
      <c r="C694" s="8" t="s">
        <v>2392</v>
      </c>
      <c r="D694" s="7" t="s">
        <v>2393</v>
      </c>
    </row>
    <row r="695" spans="1:4" ht="47.25" x14ac:dyDescent="0.25">
      <c r="A695" s="5" t="s">
        <v>2394</v>
      </c>
      <c r="B695" s="6" t="s">
        <v>2395</v>
      </c>
      <c r="C695" s="8" t="s">
        <v>498</v>
      </c>
      <c r="D695" s="7" t="s">
        <v>2396</v>
      </c>
    </row>
    <row r="696" spans="1:4" ht="63" x14ac:dyDescent="0.25">
      <c r="A696" s="5" t="s">
        <v>2397</v>
      </c>
      <c r="B696" s="6" t="s">
        <v>2398</v>
      </c>
      <c r="C696" s="8" t="s">
        <v>660</v>
      </c>
      <c r="D696" s="7" t="s">
        <v>2399</v>
      </c>
    </row>
    <row r="697" spans="1:4" ht="63" x14ac:dyDescent="0.25">
      <c r="A697" s="5" t="s">
        <v>2400</v>
      </c>
      <c r="B697" s="6" t="s">
        <v>2401</v>
      </c>
      <c r="C697" s="8" t="s">
        <v>518</v>
      </c>
      <c r="D697" s="7" t="s">
        <v>2402</v>
      </c>
    </row>
    <row r="698" spans="1:4" ht="47.25" x14ac:dyDescent="0.25">
      <c r="A698" s="5" t="s">
        <v>2403</v>
      </c>
      <c r="B698" s="6" t="s">
        <v>2404</v>
      </c>
      <c r="C698" s="8" t="s">
        <v>518</v>
      </c>
      <c r="D698" s="7" t="s">
        <v>2405</v>
      </c>
    </row>
    <row r="699" spans="1:4" ht="47.25" x14ac:dyDescent="0.25">
      <c r="A699" s="5" t="s">
        <v>2406</v>
      </c>
      <c r="B699" s="6" t="s">
        <v>2407</v>
      </c>
      <c r="C699" s="8" t="s">
        <v>2408</v>
      </c>
      <c r="D699" s="7" t="s">
        <v>2409</v>
      </c>
    </row>
    <row r="700" spans="1:4" ht="31.5" x14ac:dyDescent="0.25">
      <c r="A700" s="5" t="s">
        <v>2410</v>
      </c>
      <c r="B700" s="6" t="s">
        <v>2411</v>
      </c>
      <c r="C700" s="8" t="s">
        <v>2140</v>
      </c>
      <c r="D700" s="7" t="s">
        <v>2412</v>
      </c>
    </row>
    <row r="701" spans="1:4" ht="47.25" x14ac:dyDescent="0.25">
      <c r="A701" s="5" t="s">
        <v>2413</v>
      </c>
      <c r="B701" s="6" t="s">
        <v>2414</v>
      </c>
      <c r="C701" s="8" t="s">
        <v>703</v>
      </c>
      <c r="D701" s="7" t="s">
        <v>2415</v>
      </c>
    </row>
    <row r="702" spans="1:4" ht="63" x14ac:dyDescent="0.25">
      <c r="A702" s="5" t="s">
        <v>2416</v>
      </c>
      <c r="B702" s="6" t="s">
        <v>2417</v>
      </c>
      <c r="C702" s="8" t="s">
        <v>96</v>
      </c>
      <c r="D702" s="7" t="s">
        <v>2418</v>
      </c>
    </row>
    <row r="703" spans="1:4" ht="31.5" x14ac:dyDescent="0.25">
      <c r="A703" s="5" t="s">
        <v>2419</v>
      </c>
      <c r="B703" s="6" t="s">
        <v>2420</v>
      </c>
      <c r="C703" s="8" t="s">
        <v>2421</v>
      </c>
      <c r="D703" s="7" t="s">
        <v>2422</v>
      </c>
    </row>
    <row r="704" spans="1:4" ht="31.5" x14ac:dyDescent="0.25">
      <c r="A704" s="5" t="s">
        <v>2423</v>
      </c>
      <c r="B704" s="6" t="s">
        <v>2424</v>
      </c>
      <c r="C704" s="8" t="s">
        <v>2425</v>
      </c>
      <c r="D704" s="7" t="s">
        <v>2426</v>
      </c>
    </row>
    <row r="705" spans="1:4" ht="63" x14ac:dyDescent="0.25">
      <c r="A705" s="5" t="s">
        <v>2427</v>
      </c>
      <c r="B705" s="6" t="s">
        <v>2428</v>
      </c>
      <c r="C705" s="8" t="s">
        <v>599</v>
      </c>
      <c r="D705" s="7" t="s">
        <v>2429</v>
      </c>
    </row>
    <row r="706" spans="1:4" ht="31.5" x14ac:dyDescent="0.25">
      <c r="A706" s="5" t="s">
        <v>2430</v>
      </c>
      <c r="B706" s="6" t="s">
        <v>2431</v>
      </c>
      <c r="C706" s="8" t="s">
        <v>2118</v>
      </c>
      <c r="D706" s="7" t="s">
        <v>2432</v>
      </c>
    </row>
    <row r="707" spans="1:4" ht="63" x14ac:dyDescent="0.25">
      <c r="A707" s="5" t="s">
        <v>2433</v>
      </c>
      <c r="B707" s="6" t="s">
        <v>2434</v>
      </c>
      <c r="C707" s="8" t="s">
        <v>2435</v>
      </c>
      <c r="D707" s="7" t="s">
        <v>2436</v>
      </c>
    </row>
    <row r="708" spans="1:4" ht="47.25" x14ac:dyDescent="0.25">
      <c r="A708" s="5" t="s">
        <v>2437</v>
      </c>
      <c r="B708" s="6" t="s">
        <v>2438</v>
      </c>
      <c r="C708" s="8" t="s">
        <v>415</v>
      </c>
      <c r="D708" s="7" t="s">
        <v>2439</v>
      </c>
    </row>
    <row r="709" spans="1:4" ht="31.5" x14ac:dyDescent="0.25">
      <c r="A709" s="5" t="s">
        <v>2440</v>
      </c>
      <c r="B709" s="6" t="s">
        <v>2441</v>
      </c>
      <c r="C709" s="8" t="s">
        <v>2442</v>
      </c>
      <c r="D709" s="7" t="s">
        <v>2443</v>
      </c>
    </row>
    <row r="710" spans="1:4" ht="63" x14ac:dyDescent="0.25">
      <c r="A710" s="5" t="s">
        <v>2444</v>
      </c>
      <c r="B710" s="6" t="s">
        <v>2445</v>
      </c>
      <c r="C710" s="8" t="s">
        <v>1408</v>
      </c>
      <c r="D710" s="7" t="s">
        <v>2446</v>
      </c>
    </row>
    <row r="711" spans="1:4" ht="47.25" x14ac:dyDescent="0.25">
      <c r="A711" s="5" t="s">
        <v>2447</v>
      </c>
      <c r="B711" s="6" t="s">
        <v>2448</v>
      </c>
      <c r="C711" s="8" t="s">
        <v>2449</v>
      </c>
      <c r="D711" s="7" t="s">
        <v>2450</v>
      </c>
    </row>
    <row r="712" spans="1:4" ht="31.5" x14ac:dyDescent="0.25">
      <c r="A712" s="5" t="s">
        <v>2451</v>
      </c>
      <c r="B712" s="6" t="s">
        <v>2452</v>
      </c>
      <c r="C712" s="8" t="s">
        <v>2453</v>
      </c>
      <c r="D712" s="7" t="s">
        <v>2454</v>
      </c>
    </row>
    <row r="713" spans="1:4" ht="47.25" x14ac:dyDescent="0.25">
      <c r="A713" s="5" t="s">
        <v>2455</v>
      </c>
      <c r="B713" s="6" t="s">
        <v>2456</v>
      </c>
      <c r="C713" s="8" t="s">
        <v>2457</v>
      </c>
      <c r="D713" s="7" t="s">
        <v>2458</v>
      </c>
    </row>
    <row r="714" spans="1:4" ht="31.5" x14ac:dyDescent="0.25">
      <c r="A714" s="5" t="s">
        <v>2459</v>
      </c>
      <c r="B714" s="6" t="s">
        <v>2460</v>
      </c>
      <c r="C714" s="8" t="s">
        <v>848</v>
      </c>
      <c r="D714" s="7" t="s">
        <v>2461</v>
      </c>
    </row>
    <row r="715" spans="1:4" ht="78.75" x14ac:dyDescent="0.25">
      <c r="A715" s="5" t="s">
        <v>2462</v>
      </c>
      <c r="B715" s="6" t="s">
        <v>2463</v>
      </c>
      <c r="C715" s="8" t="s">
        <v>2464</v>
      </c>
      <c r="D715" s="7" t="s">
        <v>2465</v>
      </c>
    </row>
    <row r="716" spans="1:4" ht="47.25" x14ac:dyDescent="0.25">
      <c r="A716" s="5" t="s">
        <v>2466</v>
      </c>
      <c r="B716" s="6" t="s">
        <v>2467</v>
      </c>
      <c r="C716" s="8" t="s">
        <v>425</v>
      </c>
      <c r="D716" s="7" t="s">
        <v>2468</v>
      </c>
    </row>
    <row r="717" spans="1:4" ht="31.5" x14ac:dyDescent="0.25">
      <c r="A717" s="5" t="s">
        <v>2469</v>
      </c>
      <c r="B717" s="6" t="s">
        <v>2470</v>
      </c>
      <c r="C717" s="8" t="s">
        <v>1401</v>
      </c>
      <c r="D717" s="7" t="s">
        <v>2471</v>
      </c>
    </row>
    <row r="718" spans="1:4" ht="31.5" x14ac:dyDescent="0.25">
      <c r="A718" s="5" t="s">
        <v>2472</v>
      </c>
      <c r="B718" s="6" t="s">
        <v>2473</v>
      </c>
      <c r="C718" s="8" t="s">
        <v>2092</v>
      </c>
      <c r="D718" s="7" t="s">
        <v>2474</v>
      </c>
    </row>
    <row r="719" spans="1:4" ht="47.25" x14ac:dyDescent="0.25">
      <c r="A719" s="5" t="s">
        <v>2475</v>
      </c>
      <c r="B719" s="6" t="s">
        <v>2476</v>
      </c>
      <c r="C719" s="8" t="s">
        <v>2477</v>
      </c>
      <c r="D719" s="7" t="s">
        <v>2478</v>
      </c>
    </row>
    <row r="720" spans="1:4" ht="63" x14ac:dyDescent="0.25">
      <c r="A720" s="5" t="s">
        <v>2479</v>
      </c>
      <c r="B720" s="6" t="s">
        <v>2480</v>
      </c>
      <c r="C720" s="8" t="s">
        <v>1886</v>
      </c>
      <c r="D720" s="7" t="s">
        <v>2481</v>
      </c>
    </row>
    <row r="721" spans="1:4" ht="47.25" x14ac:dyDescent="0.25">
      <c r="A721" s="5" t="s">
        <v>2482</v>
      </c>
      <c r="B721" s="6" t="s">
        <v>2483</v>
      </c>
      <c r="C721" s="8" t="s">
        <v>930</v>
      </c>
      <c r="D721" s="7" t="s">
        <v>2484</v>
      </c>
    </row>
    <row r="722" spans="1:4" ht="47.25" x14ac:dyDescent="0.25">
      <c r="A722" s="5" t="s">
        <v>2485</v>
      </c>
      <c r="B722" s="6" t="s">
        <v>2486</v>
      </c>
      <c r="C722" s="8" t="s">
        <v>1012</v>
      </c>
      <c r="D722" s="7" t="s">
        <v>2487</v>
      </c>
    </row>
    <row r="723" spans="1:4" ht="47.25" x14ac:dyDescent="0.25">
      <c r="A723" s="5" t="s">
        <v>2488</v>
      </c>
      <c r="B723" s="6" t="s">
        <v>2489</v>
      </c>
      <c r="C723" s="8" t="s">
        <v>697</v>
      </c>
      <c r="D723" s="7" t="s">
        <v>2490</v>
      </c>
    </row>
    <row r="724" spans="1:4" ht="47.25" x14ac:dyDescent="0.25">
      <c r="A724" s="5" t="s">
        <v>2491</v>
      </c>
      <c r="B724" s="6" t="s">
        <v>2492</v>
      </c>
      <c r="C724" s="8" t="s">
        <v>1408</v>
      </c>
      <c r="D724" s="7" t="s">
        <v>2493</v>
      </c>
    </row>
    <row r="725" spans="1:4" ht="47.25" x14ac:dyDescent="0.25">
      <c r="A725" s="5" t="s">
        <v>2494</v>
      </c>
      <c r="B725" s="6" t="s">
        <v>2495</v>
      </c>
      <c r="C725" s="8" t="s">
        <v>2496</v>
      </c>
      <c r="D725" s="7" t="s">
        <v>2497</v>
      </c>
    </row>
    <row r="726" spans="1:4" ht="63" x14ac:dyDescent="0.25">
      <c r="A726" s="5" t="s">
        <v>2498</v>
      </c>
      <c r="B726" s="6" t="s">
        <v>2499</v>
      </c>
      <c r="C726" s="8" t="s">
        <v>435</v>
      </c>
      <c r="D726" s="7" t="s">
        <v>2500</v>
      </c>
    </row>
    <row r="727" spans="1:4" ht="31.5" x14ac:dyDescent="0.25">
      <c r="A727" s="5" t="s">
        <v>2501</v>
      </c>
      <c r="B727" s="6" t="s">
        <v>2502</v>
      </c>
      <c r="C727" s="8" t="s">
        <v>2503</v>
      </c>
      <c r="D727" s="7" t="s">
        <v>2504</v>
      </c>
    </row>
    <row r="728" spans="1:4" ht="31.5" x14ac:dyDescent="0.25">
      <c r="A728" s="5" t="s">
        <v>2505</v>
      </c>
      <c r="B728" s="6" t="s">
        <v>2506</v>
      </c>
      <c r="C728" s="8" t="s">
        <v>2503</v>
      </c>
      <c r="D728" s="7" t="s">
        <v>2507</v>
      </c>
    </row>
    <row r="729" spans="1:4" ht="31.5" x14ac:dyDescent="0.25">
      <c r="A729" s="5" t="s">
        <v>2508</v>
      </c>
      <c r="B729" s="6" t="s">
        <v>2509</v>
      </c>
      <c r="C729" s="8" t="s">
        <v>422</v>
      </c>
      <c r="D729" s="7" t="s">
        <v>2510</v>
      </c>
    </row>
    <row r="730" spans="1:4" ht="47.25" x14ac:dyDescent="0.25">
      <c r="A730" s="5" t="s">
        <v>2511</v>
      </c>
      <c r="B730" s="6" t="s">
        <v>2512</v>
      </c>
      <c r="C730" s="8" t="s">
        <v>2513</v>
      </c>
      <c r="D730" s="7" t="s">
        <v>2514</v>
      </c>
    </row>
    <row r="731" spans="1:4" ht="31.5" x14ac:dyDescent="0.25">
      <c r="A731" s="5" t="s">
        <v>2515</v>
      </c>
      <c r="B731" s="6" t="s">
        <v>2516</v>
      </c>
      <c r="C731" s="8" t="s">
        <v>604</v>
      </c>
      <c r="D731" s="7" t="s">
        <v>2517</v>
      </c>
    </row>
    <row r="732" spans="1:4" ht="31.5" x14ac:dyDescent="0.25">
      <c r="A732" s="5" t="s">
        <v>2518</v>
      </c>
      <c r="B732" s="6" t="s">
        <v>2519</v>
      </c>
      <c r="C732" s="8" t="s">
        <v>604</v>
      </c>
      <c r="D732" s="7" t="s">
        <v>2520</v>
      </c>
    </row>
    <row r="733" spans="1:4" ht="47.25" x14ac:dyDescent="0.25">
      <c r="A733" s="5" t="s">
        <v>2521</v>
      </c>
      <c r="B733" s="6" t="s">
        <v>2522</v>
      </c>
      <c r="C733" s="8" t="s">
        <v>2523</v>
      </c>
      <c r="D733" s="7" t="s">
        <v>2524</v>
      </c>
    </row>
    <row r="734" spans="1:4" ht="31.5" x14ac:dyDescent="0.25">
      <c r="A734" s="5" t="s">
        <v>2525</v>
      </c>
      <c r="B734" s="6" t="s">
        <v>2526</v>
      </c>
      <c r="C734" s="8" t="s">
        <v>646</v>
      </c>
      <c r="D734" s="7" t="s">
        <v>2527</v>
      </c>
    </row>
    <row r="735" spans="1:4" ht="31.5" x14ac:dyDescent="0.25">
      <c r="A735" s="5" t="s">
        <v>2528</v>
      </c>
      <c r="B735" s="6" t="s">
        <v>2529</v>
      </c>
      <c r="C735" s="8" t="s">
        <v>2530</v>
      </c>
      <c r="D735" s="7" t="s">
        <v>2531</v>
      </c>
    </row>
    <row r="736" spans="1:4" ht="31.5" x14ac:dyDescent="0.25">
      <c r="A736" s="5" t="s">
        <v>2532</v>
      </c>
      <c r="B736" s="6" t="s">
        <v>2533</v>
      </c>
      <c r="C736" s="8" t="s">
        <v>2534</v>
      </c>
      <c r="D736" s="7" t="s">
        <v>2535</v>
      </c>
    </row>
    <row r="737" spans="1:4" ht="31.5" x14ac:dyDescent="0.25">
      <c r="A737" s="5" t="s">
        <v>2536</v>
      </c>
      <c r="B737" s="6" t="s">
        <v>2537</v>
      </c>
      <c r="C737" s="8" t="s">
        <v>2538</v>
      </c>
      <c r="D737" s="7" t="s">
        <v>2539</v>
      </c>
    </row>
    <row r="738" spans="1:4" ht="63" x14ac:dyDescent="0.25">
      <c r="A738" s="5" t="s">
        <v>2540</v>
      </c>
      <c r="B738" s="6" t="s">
        <v>2541</v>
      </c>
      <c r="C738" s="8" t="s">
        <v>2542</v>
      </c>
      <c r="D738" s="7" t="s">
        <v>2543</v>
      </c>
    </row>
    <row r="739" spans="1:4" ht="31.5" x14ac:dyDescent="0.25">
      <c r="A739" s="5" t="s">
        <v>2544</v>
      </c>
      <c r="B739" s="6" t="s">
        <v>2545</v>
      </c>
      <c r="C739" s="8" t="s">
        <v>489</v>
      </c>
      <c r="D739" s="7" t="s">
        <v>2546</v>
      </c>
    </row>
    <row r="740" spans="1:4" ht="31.5" x14ac:dyDescent="0.25">
      <c r="A740" s="5" t="s">
        <v>2547</v>
      </c>
      <c r="B740" s="6" t="s">
        <v>2548</v>
      </c>
      <c r="C740" s="8" t="s">
        <v>489</v>
      </c>
      <c r="D740" s="7" t="s">
        <v>2549</v>
      </c>
    </row>
    <row r="741" spans="1:4" ht="31.5" x14ac:dyDescent="0.25">
      <c r="A741" s="5" t="s">
        <v>2550</v>
      </c>
      <c r="B741" s="6" t="s">
        <v>2551</v>
      </c>
      <c r="C741" s="8" t="s">
        <v>2552</v>
      </c>
      <c r="D741" s="7" t="s">
        <v>2553</v>
      </c>
    </row>
    <row r="742" spans="1:4" ht="47.25" x14ac:dyDescent="0.25">
      <c r="A742" s="5" t="s">
        <v>2554</v>
      </c>
      <c r="B742" s="6" t="s">
        <v>2555</v>
      </c>
      <c r="C742" s="8" t="s">
        <v>2556</v>
      </c>
      <c r="D742" s="7" t="s">
        <v>2557</v>
      </c>
    </row>
    <row r="743" spans="1:4" ht="31.5" x14ac:dyDescent="0.25">
      <c r="A743" s="5" t="s">
        <v>2558</v>
      </c>
      <c r="B743" s="6" t="s">
        <v>2559</v>
      </c>
      <c r="C743" s="8" t="s">
        <v>861</v>
      </c>
      <c r="D743" s="7" t="s">
        <v>2560</v>
      </c>
    </row>
    <row r="744" spans="1:4" ht="78.75" x14ac:dyDescent="0.25">
      <c r="A744" s="5" t="s">
        <v>2561</v>
      </c>
      <c r="B744" s="6" t="s">
        <v>2562</v>
      </c>
      <c r="C744" s="8" t="s">
        <v>2563</v>
      </c>
      <c r="D744" s="7" t="s">
        <v>2564</v>
      </c>
    </row>
    <row r="745" spans="1:4" ht="31.5" x14ac:dyDescent="0.25">
      <c r="A745" s="5" t="s">
        <v>2565</v>
      </c>
      <c r="B745" s="6" t="s">
        <v>2566</v>
      </c>
      <c r="C745" s="8" t="s">
        <v>1538</v>
      </c>
      <c r="D745" s="7" t="s">
        <v>2567</v>
      </c>
    </row>
    <row r="746" spans="1:4" ht="63" x14ac:dyDescent="0.25">
      <c r="A746" s="5" t="s">
        <v>2568</v>
      </c>
      <c r="B746" s="6" t="s">
        <v>2569</v>
      </c>
      <c r="C746" s="8" t="s">
        <v>681</v>
      </c>
      <c r="D746" s="7" t="s">
        <v>2570</v>
      </c>
    </row>
    <row r="747" spans="1:4" ht="31.5" x14ac:dyDescent="0.25">
      <c r="A747" s="5" t="s">
        <v>2571</v>
      </c>
      <c r="B747" s="6" t="s">
        <v>2572</v>
      </c>
      <c r="C747" s="8" t="s">
        <v>700</v>
      </c>
      <c r="D747" s="7" t="s">
        <v>2573</v>
      </c>
    </row>
    <row r="748" spans="1:4" ht="31.5" x14ac:dyDescent="0.25">
      <c r="A748" s="5" t="s">
        <v>2574</v>
      </c>
      <c r="B748" s="6" t="s">
        <v>2575</v>
      </c>
      <c r="C748" s="8" t="s">
        <v>1012</v>
      </c>
      <c r="D748" s="7" t="s">
        <v>2576</v>
      </c>
    </row>
    <row r="749" spans="1:4" ht="47.25" x14ac:dyDescent="0.25">
      <c r="A749" s="5" t="s">
        <v>2577</v>
      </c>
      <c r="B749" s="6" t="s">
        <v>2578</v>
      </c>
      <c r="C749" s="8" t="s">
        <v>432</v>
      </c>
      <c r="D749" s="7" t="s">
        <v>2579</v>
      </c>
    </row>
    <row r="750" spans="1:4" ht="47.25" x14ac:dyDescent="0.25">
      <c r="A750" s="5" t="s">
        <v>2580</v>
      </c>
      <c r="B750" s="6" t="s">
        <v>2581</v>
      </c>
      <c r="C750" s="8" t="s">
        <v>360</v>
      </c>
      <c r="D750" s="7" t="s">
        <v>2582</v>
      </c>
    </row>
    <row r="751" spans="1:4" ht="47.25" x14ac:dyDescent="0.25">
      <c r="A751" s="5" t="s">
        <v>2583</v>
      </c>
      <c r="B751" s="6" t="s">
        <v>2584</v>
      </c>
      <c r="C751" s="8" t="s">
        <v>2232</v>
      </c>
      <c r="D751" s="7" t="s">
        <v>2585</v>
      </c>
    </row>
    <row r="752" spans="1:4" ht="31.5" x14ac:dyDescent="0.25">
      <c r="A752" s="5" t="s">
        <v>2586</v>
      </c>
      <c r="B752" s="6" t="s">
        <v>2587</v>
      </c>
      <c r="C752" s="8" t="s">
        <v>2588</v>
      </c>
      <c r="D752" s="7" t="s">
        <v>2589</v>
      </c>
    </row>
    <row r="753" spans="1:4" ht="47.25" x14ac:dyDescent="0.25">
      <c r="A753" s="5" t="s">
        <v>2590</v>
      </c>
      <c r="B753" s="6" t="s">
        <v>2591</v>
      </c>
      <c r="C753" s="8" t="s">
        <v>941</v>
      </c>
      <c r="D753" s="7" t="s">
        <v>2592</v>
      </c>
    </row>
    <row r="754" spans="1:4" ht="31.5" x14ac:dyDescent="0.25">
      <c r="A754" s="5" t="s">
        <v>2593</v>
      </c>
      <c r="B754" s="6" t="s">
        <v>2594</v>
      </c>
      <c r="C754" s="8" t="s">
        <v>563</v>
      </c>
      <c r="D754" s="7" t="s">
        <v>2595</v>
      </c>
    </row>
    <row r="755" spans="1:4" ht="31.5" x14ac:dyDescent="0.25">
      <c r="A755" s="5" t="s">
        <v>2596</v>
      </c>
      <c r="B755" s="6" t="s">
        <v>2597</v>
      </c>
      <c r="C755" s="8" t="s">
        <v>2598</v>
      </c>
      <c r="D755" s="7" t="s">
        <v>2599</v>
      </c>
    </row>
    <row r="756" spans="1:4" ht="47.25" x14ac:dyDescent="0.25">
      <c r="A756" s="5" t="s">
        <v>2600</v>
      </c>
      <c r="B756" s="6" t="s">
        <v>2601</v>
      </c>
      <c r="C756" s="8" t="s">
        <v>2602</v>
      </c>
      <c r="D756" s="7" t="s">
        <v>2603</v>
      </c>
    </row>
    <row r="757" spans="1:4" ht="31.5" x14ac:dyDescent="0.25">
      <c r="A757" s="5" t="s">
        <v>2604</v>
      </c>
      <c r="B757" s="6" t="s">
        <v>2605</v>
      </c>
      <c r="C757" s="8" t="s">
        <v>2606</v>
      </c>
      <c r="D757" s="7" t="s">
        <v>2607</v>
      </c>
    </row>
    <row r="758" spans="1:4" ht="63" x14ac:dyDescent="0.25">
      <c r="A758" s="5" t="s">
        <v>2608</v>
      </c>
      <c r="B758" s="6" t="s">
        <v>2609</v>
      </c>
      <c r="C758" s="8" t="s">
        <v>1140</v>
      </c>
      <c r="D758" s="7" t="s">
        <v>2610</v>
      </c>
    </row>
    <row r="759" spans="1:4" ht="47.25" x14ac:dyDescent="0.25">
      <c r="A759" s="5" t="s">
        <v>2611</v>
      </c>
      <c r="B759" s="6" t="s">
        <v>2612</v>
      </c>
      <c r="C759" s="8" t="s">
        <v>2613</v>
      </c>
      <c r="D759" s="7" t="s">
        <v>2614</v>
      </c>
    </row>
    <row r="760" spans="1:4" ht="47.25" x14ac:dyDescent="0.25">
      <c r="A760" s="5" t="s">
        <v>2615</v>
      </c>
      <c r="B760" s="6" t="s">
        <v>2616</v>
      </c>
      <c r="C760" s="8" t="s">
        <v>1548</v>
      </c>
      <c r="D760" s="7" t="s">
        <v>2617</v>
      </c>
    </row>
    <row r="761" spans="1:4" ht="47.25" x14ac:dyDescent="0.25">
      <c r="A761" s="5" t="s">
        <v>2618</v>
      </c>
      <c r="B761" s="6" t="s">
        <v>2619</v>
      </c>
      <c r="C761" s="8" t="s">
        <v>2620</v>
      </c>
      <c r="D761" s="7" t="s">
        <v>2621</v>
      </c>
    </row>
    <row r="762" spans="1:4" ht="31.5" x14ac:dyDescent="0.25">
      <c r="A762" s="5" t="s">
        <v>2622</v>
      </c>
      <c r="B762" s="6" t="s">
        <v>2623</v>
      </c>
      <c r="C762" s="8" t="s">
        <v>2318</v>
      </c>
      <c r="D762" s="7" t="s">
        <v>2624</v>
      </c>
    </row>
    <row r="763" spans="1:4" ht="47.25" x14ac:dyDescent="0.25">
      <c r="A763" s="5" t="s">
        <v>2625</v>
      </c>
      <c r="B763" s="6" t="s">
        <v>2626</v>
      </c>
      <c r="C763" s="8" t="s">
        <v>2627</v>
      </c>
      <c r="D763" s="7" t="s">
        <v>2628</v>
      </c>
    </row>
    <row r="764" spans="1:4" ht="31.5" x14ac:dyDescent="0.25">
      <c r="A764" s="5" t="s">
        <v>2629</v>
      </c>
      <c r="B764" s="6" t="s">
        <v>2630</v>
      </c>
      <c r="C764" s="8" t="s">
        <v>2631</v>
      </c>
      <c r="D764" s="7" t="s">
        <v>2632</v>
      </c>
    </row>
    <row r="765" spans="1:4" ht="31.5" x14ac:dyDescent="0.25">
      <c r="A765" s="5" t="s">
        <v>2633</v>
      </c>
      <c r="B765" s="6" t="s">
        <v>2634</v>
      </c>
      <c r="C765" s="8" t="s">
        <v>580</v>
      </c>
      <c r="D765" s="7" t="s">
        <v>2635</v>
      </c>
    </row>
    <row r="766" spans="1:4" ht="47.25" x14ac:dyDescent="0.25">
      <c r="A766" s="5" t="s">
        <v>2636</v>
      </c>
      <c r="B766" s="6" t="s">
        <v>2637</v>
      </c>
      <c r="C766" s="8" t="s">
        <v>700</v>
      </c>
      <c r="D766" s="7" t="s">
        <v>2638</v>
      </c>
    </row>
    <row r="767" spans="1:4" ht="31.5" x14ac:dyDescent="0.25">
      <c r="A767" s="5" t="s">
        <v>2639</v>
      </c>
      <c r="B767" s="6" t="s">
        <v>2640</v>
      </c>
      <c r="C767" s="8" t="s">
        <v>393</v>
      </c>
      <c r="D767" s="7" t="s">
        <v>2641</v>
      </c>
    </row>
    <row r="768" spans="1:4" ht="47.25" x14ac:dyDescent="0.25">
      <c r="A768" s="5" t="s">
        <v>2642</v>
      </c>
      <c r="B768" s="6" t="s">
        <v>2643</v>
      </c>
      <c r="C768" s="8" t="s">
        <v>2644</v>
      </c>
      <c r="D768" s="7" t="s">
        <v>2645</v>
      </c>
    </row>
    <row r="769" spans="1:4" ht="47.25" x14ac:dyDescent="0.25">
      <c r="A769" s="5" t="s">
        <v>2646</v>
      </c>
      <c r="B769" s="6" t="s">
        <v>2647</v>
      </c>
      <c r="C769" s="8" t="s">
        <v>771</v>
      </c>
      <c r="D769" s="7" t="s">
        <v>2648</v>
      </c>
    </row>
    <row r="770" spans="1:4" ht="31.5" x14ac:dyDescent="0.25">
      <c r="A770" s="5" t="s">
        <v>2649</v>
      </c>
      <c r="B770" s="6" t="s">
        <v>2650</v>
      </c>
      <c r="C770" s="8" t="s">
        <v>2651</v>
      </c>
      <c r="D770" s="7" t="s">
        <v>2652</v>
      </c>
    </row>
    <row r="771" spans="1:4" ht="63" x14ac:dyDescent="0.25">
      <c r="A771" s="5" t="s">
        <v>2653</v>
      </c>
      <c r="B771" s="6" t="s">
        <v>2654</v>
      </c>
      <c r="C771" s="8" t="s">
        <v>2655</v>
      </c>
      <c r="D771" s="7" t="s">
        <v>2656</v>
      </c>
    </row>
    <row r="772" spans="1:4" ht="47.25" x14ac:dyDescent="0.25">
      <c r="A772" s="5" t="s">
        <v>2657</v>
      </c>
      <c r="B772" s="6" t="s">
        <v>2658</v>
      </c>
      <c r="C772" s="8" t="s">
        <v>1012</v>
      </c>
      <c r="D772" s="7" t="s">
        <v>2659</v>
      </c>
    </row>
    <row r="773" spans="1:4" ht="31.5" x14ac:dyDescent="0.25">
      <c r="A773" s="5" t="s">
        <v>2660</v>
      </c>
      <c r="B773" s="6" t="s">
        <v>2661</v>
      </c>
      <c r="C773" s="8" t="s">
        <v>2662</v>
      </c>
      <c r="D773" s="7" t="s">
        <v>2663</v>
      </c>
    </row>
    <row r="774" spans="1:4" ht="47.25" x14ac:dyDescent="0.25">
      <c r="A774" s="5" t="s">
        <v>2664</v>
      </c>
      <c r="B774" s="6" t="s">
        <v>2665</v>
      </c>
      <c r="C774" s="8" t="s">
        <v>941</v>
      </c>
      <c r="D774" s="7" t="s">
        <v>2666</v>
      </c>
    </row>
    <row r="775" spans="1:4" ht="47.25" x14ac:dyDescent="0.25">
      <c r="A775" s="5" t="s">
        <v>2667</v>
      </c>
      <c r="B775" s="6" t="s">
        <v>2668</v>
      </c>
      <c r="C775" s="8" t="s">
        <v>823</v>
      </c>
      <c r="D775" s="7" t="s">
        <v>2669</v>
      </c>
    </row>
    <row r="776" spans="1:4" ht="47.25" x14ac:dyDescent="0.25">
      <c r="A776" s="5" t="s">
        <v>2670</v>
      </c>
      <c r="B776" s="6" t="s">
        <v>2671</v>
      </c>
      <c r="C776" s="8" t="s">
        <v>941</v>
      </c>
      <c r="D776" s="7" t="s">
        <v>2672</v>
      </c>
    </row>
    <row r="777" spans="1:4" ht="63" x14ac:dyDescent="0.25">
      <c r="A777" s="5" t="s">
        <v>2673</v>
      </c>
      <c r="B777" s="6" t="s">
        <v>2674</v>
      </c>
      <c r="C777" s="8" t="s">
        <v>2675</v>
      </c>
      <c r="D777" s="7" t="s">
        <v>2676</v>
      </c>
    </row>
    <row r="778" spans="1:4" ht="63" x14ac:dyDescent="0.25">
      <c r="A778" s="5" t="s">
        <v>2677</v>
      </c>
      <c r="B778" s="6" t="s">
        <v>2678</v>
      </c>
      <c r="C778" s="8" t="s">
        <v>2679</v>
      </c>
      <c r="D778" s="7" t="s">
        <v>2680</v>
      </c>
    </row>
    <row r="779" spans="1:4" ht="31.5" x14ac:dyDescent="0.25">
      <c r="A779" s="5" t="s">
        <v>2681</v>
      </c>
      <c r="B779" s="6" t="s">
        <v>2682</v>
      </c>
      <c r="C779" s="8" t="s">
        <v>1027</v>
      </c>
      <c r="D779" s="7" t="s">
        <v>2683</v>
      </c>
    </row>
    <row r="780" spans="1:4" ht="31.5" x14ac:dyDescent="0.25">
      <c r="A780" s="5" t="s">
        <v>2684</v>
      </c>
      <c r="B780" s="6" t="s">
        <v>2685</v>
      </c>
      <c r="C780" s="8" t="s">
        <v>580</v>
      </c>
      <c r="D780" s="7" t="s">
        <v>2686</v>
      </c>
    </row>
    <row r="781" spans="1:4" ht="47.25" x14ac:dyDescent="0.25">
      <c r="A781" s="5" t="s">
        <v>2687</v>
      </c>
      <c r="B781" s="6" t="s">
        <v>2688</v>
      </c>
      <c r="C781" s="8" t="s">
        <v>697</v>
      </c>
      <c r="D781" s="7" t="s">
        <v>2689</v>
      </c>
    </row>
    <row r="782" spans="1:4" ht="47.25" x14ac:dyDescent="0.25">
      <c r="A782" s="5" t="s">
        <v>2690</v>
      </c>
      <c r="B782" s="6" t="s">
        <v>2691</v>
      </c>
      <c r="C782" s="8" t="s">
        <v>2692</v>
      </c>
      <c r="D782" s="7" t="s">
        <v>2693</v>
      </c>
    </row>
    <row r="783" spans="1:4" ht="31.5" x14ac:dyDescent="0.25">
      <c r="A783" s="5" t="s">
        <v>2694</v>
      </c>
      <c r="B783" s="6" t="s">
        <v>2695</v>
      </c>
      <c r="C783" s="8" t="s">
        <v>495</v>
      </c>
      <c r="D783" s="7" t="s">
        <v>2696</v>
      </c>
    </row>
    <row r="784" spans="1:4" ht="47.25" x14ac:dyDescent="0.25">
      <c r="A784" s="5" t="s">
        <v>2697</v>
      </c>
      <c r="B784" s="6" t="s">
        <v>2698</v>
      </c>
      <c r="C784" s="8" t="s">
        <v>2699</v>
      </c>
      <c r="D784" s="7" t="s">
        <v>2700</v>
      </c>
    </row>
    <row r="785" spans="1:4" ht="31.5" x14ac:dyDescent="0.25">
      <c r="A785" s="5" t="s">
        <v>2701</v>
      </c>
      <c r="B785" s="6" t="s">
        <v>2702</v>
      </c>
      <c r="C785" s="8" t="s">
        <v>2318</v>
      </c>
      <c r="D785" s="7" t="s">
        <v>2703</v>
      </c>
    </row>
    <row r="786" spans="1:4" ht="47.25" x14ac:dyDescent="0.25">
      <c r="A786" s="5" t="s">
        <v>2704</v>
      </c>
      <c r="B786" s="6" t="s">
        <v>2705</v>
      </c>
      <c r="C786" s="8" t="s">
        <v>492</v>
      </c>
      <c r="D786" s="7" t="s">
        <v>2706</v>
      </c>
    </row>
    <row r="787" spans="1:4" ht="47.25" x14ac:dyDescent="0.25">
      <c r="A787" s="5" t="s">
        <v>2707</v>
      </c>
      <c r="B787" s="6" t="s">
        <v>2708</v>
      </c>
      <c r="C787" s="8" t="s">
        <v>1023</v>
      </c>
      <c r="D787" s="7" t="s">
        <v>2709</v>
      </c>
    </row>
    <row r="788" spans="1:4" ht="47.25" x14ac:dyDescent="0.25">
      <c r="A788" s="5" t="s">
        <v>2710</v>
      </c>
      <c r="B788" s="6" t="s">
        <v>2711</v>
      </c>
      <c r="C788" s="8" t="s">
        <v>2017</v>
      </c>
      <c r="D788" s="7" t="s">
        <v>2712</v>
      </c>
    </row>
    <row r="789" spans="1:4" ht="31.5" x14ac:dyDescent="0.25">
      <c r="A789" s="5" t="s">
        <v>2713</v>
      </c>
      <c r="B789" s="6" t="s">
        <v>2714</v>
      </c>
      <c r="C789" s="8" t="s">
        <v>2715</v>
      </c>
      <c r="D789" s="7" t="s">
        <v>2716</v>
      </c>
    </row>
    <row r="790" spans="1:4" ht="47.25" x14ac:dyDescent="0.25">
      <c r="A790" s="5" t="s">
        <v>2717</v>
      </c>
      <c r="B790" s="6" t="s">
        <v>2718</v>
      </c>
      <c r="C790" s="8" t="s">
        <v>634</v>
      </c>
      <c r="D790" s="7" t="s">
        <v>2719</v>
      </c>
    </row>
    <row r="791" spans="1:4" ht="31.5" x14ac:dyDescent="0.25">
      <c r="A791" s="5" t="s">
        <v>2720</v>
      </c>
      <c r="B791" s="6" t="s">
        <v>2721</v>
      </c>
      <c r="C791" s="8" t="s">
        <v>975</v>
      </c>
      <c r="D791" s="7" t="s">
        <v>2722</v>
      </c>
    </row>
    <row r="792" spans="1:4" ht="47.25" x14ac:dyDescent="0.25">
      <c r="A792" s="5" t="s">
        <v>2723</v>
      </c>
      <c r="B792" s="6" t="s">
        <v>2724</v>
      </c>
      <c r="C792" s="8" t="s">
        <v>2725</v>
      </c>
      <c r="D792" s="7" t="s">
        <v>2726</v>
      </c>
    </row>
    <row r="793" spans="1:4" ht="47.25" x14ac:dyDescent="0.25">
      <c r="A793" s="5" t="s">
        <v>2727</v>
      </c>
      <c r="B793" s="6" t="s">
        <v>2728</v>
      </c>
      <c r="C793" s="8" t="s">
        <v>2729</v>
      </c>
      <c r="D793" s="7" t="s">
        <v>2730</v>
      </c>
    </row>
    <row r="794" spans="1:4" ht="63" x14ac:dyDescent="0.25">
      <c r="A794" s="5" t="s">
        <v>2731</v>
      </c>
      <c r="B794" s="6" t="s">
        <v>2732</v>
      </c>
      <c r="C794" s="8" t="s">
        <v>498</v>
      </c>
      <c r="D794" s="7" t="s">
        <v>2733</v>
      </c>
    </row>
    <row r="795" spans="1:4" ht="63" x14ac:dyDescent="0.25">
      <c r="A795" s="5" t="s">
        <v>2734</v>
      </c>
      <c r="B795" s="6" t="s">
        <v>2735</v>
      </c>
      <c r="C795" s="8" t="s">
        <v>637</v>
      </c>
      <c r="D795" s="7" t="s">
        <v>2736</v>
      </c>
    </row>
    <row r="796" spans="1:4" ht="47.25" x14ac:dyDescent="0.25">
      <c r="A796" s="5" t="s">
        <v>2737</v>
      </c>
      <c r="B796" s="6" t="s">
        <v>2738</v>
      </c>
      <c r="C796" s="8" t="s">
        <v>415</v>
      </c>
      <c r="D796" s="7" t="s">
        <v>2739</v>
      </c>
    </row>
    <row r="797" spans="1:4" ht="78.75" x14ac:dyDescent="0.25">
      <c r="A797" s="5" t="s">
        <v>2740</v>
      </c>
      <c r="B797" s="6" t="s">
        <v>2741</v>
      </c>
      <c r="C797" s="8" t="s">
        <v>982</v>
      </c>
      <c r="D797" s="7" t="s">
        <v>2742</v>
      </c>
    </row>
    <row r="798" spans="1:4" ht="63" x14ac:dyDescent="0.25">
      <c r="A798" s="5" t="s">
        <v>2743</v>
      </c>
      <c r="B798" s="6" t="s">
        <v>2744</v>
      </c>
      <c r="C798" s="8" t="s">
        <v>1923</v>
      </c>
      <c r="D798" s="7" t="s">
        <v>2745</v>
      </c>
    </row>
    <row r="799" spans="1:4" ht="31.5" x14ac:dyDescent="0.25">
      <c r="A799" s="5" t="s">
        <v>2746</v>
      </c>
      <c r="B799" s="6" t="s">
        <v>2747</v>
      </c>
      <c r="C799" s="8" t="s">
        <v>518</v>
      </c>
      <c r="D799" s="7" t="s">
        <v>2748</v>
      </c>
    </row>
    <row r="800" spans="1:4" ht="31.5" x14ac:dyDescent="0.25">
      <c r="A800" s="5" t="s">
        <v>2749</v>
      </c>
      <c r="B800" s="6" t="s">
        <v>2750</v>
      </c>
      <c r="C800" s="8" t="s">
        <v>2627</v>
      </c>
      <c r="D800" s="7" t="s">
        <v>2751</v>
      </c>
    </row>
    <row r="801" spans="1:4" ht="47.25" x14ac:dyDescent="0.25">
      <c r="A801" s="5" t="s">
        <v>2752</v>
      </c>
      <c r="B801" s="6" t="s">
        <v>2753</v>
      </c>
      <c r="C801" s="8" t="s">
        <v>1886</v>
      </c>
      <c r="D801" s="7" t="s">
        <v>2754</v>
      </c>
    </row>
    <row r="802" spans="1:4" ht="31.5" x14ac:dyDescent="0.25">
      <c r="A802" s="5" t="s">
        <v>2755</v>
      </c>
      <c r="B802" s="6" t="s">
        <v>2756</v>
      </c>
      <c r="C802" s="8" t="s">
        <v>477</v>
      </c>
      <c r="D802" s="7" t="s">
        <v>2757</v>
      </c>
    </row>
    <row r="803" spans="1:4" ht="47.25" x14ac:dyDescent="0.25">
      <c r="A803" s="5" t="s">
        <v>2758</v>
      </c>
      <c r="B803" s="6" t="s">
        <v>2759</v>
      </c>
      <c r="C803" s="8" t="s">
        <v>498</v>
      </c>
      <c r="D803" s="7" t="s">
        <v>2760</v>
      </c>
    </row>
    <row r="804" spans="1:4" ht="47.25" x14ac:dyDescent="0.25">
      <c r="A804" s="5" t="s">
        <v>2761</v>
      </c>
      <c r="B804" s="6" t="s">
        <v>2762</v>
      </c>
      <c r="C804" s="8" t="s">
        <v>663</v>
      </c>
      <c r="D804" s="7" t="s">
        <v>2763</v>
      </c>
    </row>
    <row r="805" spans="1:4" ht="47.25" x14ac:dyDescent="0.25">
      <c r="A805" s="5" t="s">
        <v>2764</v>
      </c>
      <c r="B805" s="6" t="s">
        <v>2765</v>
      </c>
      <c r="C805" s="8" t="s">
        <v>646</v>
      </c>
      <c r="D805" s="7" t="s">
        <v>2766</v>
      </c>
    </row>
    <row r="806" spans="1:4" ht="63" x14ac:dyDescent="0.25">
      <c r="A806" s="5" t="s">
        <v>2767</v>
      </c>
      <c r="B806" s="6" t="s">
        <v>2768</v>
      </c>
      <c r="C806" s="8" t="s">
        <v>1330</v>
      </c>
      <c r="D806" s="7" t="s">
        <v>2769</v>
      </c>
    </row>
    <row r="807" spans="1:4" ht="63" x14ac:dyDescent="0.25">
      <c r="A807" s="5" t="s">
        <v>2770</v>
      </c>
      <c r="B807" s="6" t="s">
        <v>2771</v>
      </c>
      <c r="C807" s="8" t="s">
        <v>982</v>
      </c>
      <c r="D807" s="7" t="s">
        <v>2772</v>
      </c>
    </row>
    <row r="808" spans="1:4" ht="47.25" x14ac:dyDescent="0.25">
      <c r="A808" s="5" t="s">
        <v>2773</v>
      </c>
      <c r="B808" s="6" t="s">
        <v>2774</v>
      </c>
      <c r="C808" s="8" t="s">
        <v>2775</v>
      </c>
      <c r="D808" s="7" t="s">
        <v>2776</v>
      </c>
    </row>
    <row r="809" spans="1:4" ht="47.25" x14ac:dyDescent="0.25">
      <c r="A809" s="5" t="s">
        <v>2777</v>
      </c>
      <c r="B809" s="6" t="s">
        <v>2778</v>
      </c>
      <c r="C809" s="8" t="s">
        <v>2779</v>
      </c>
      <c r="D809" s="7" t="s">
        <v>2780</v>
      </c>
    </row>
    <row r="810" spans="1:4" ht="47.25" x14ac:dyDescent="0.25">
      <c r="A810" s="5" t="s">
        <v>2781</v>
      </c>
      <c r="B810" s="6" t="s">
        <v>2782</v>
      </c>
      <c r="C810" s="8" t="s">
        <v>646</v>
      </c>
      <c r="D810" s="7" t="s">
        <v>2783</v>
      </c>
    </row>
    <row r="811" spans="1:4" ht="47.25" x14ac:dyDescent="0.25">
      <c r="A811" s="5" t="s">
        <v>2784</v>
      </c>
      <c r="B811" s="6" t="s">
        <v>2785</v>
      </c>
      <c r="C811" s="8" t="s">
        <v>360</v>
      </c>
      <c r="D811" s="7" t="s">
        <v>2786</v>
      </c>
    </row>
    <row r="812" spans="1:4" ht="47.25" x14ac:dyDescent="0.25">
      <c r="A812" s="5" t="s">
        <v>2787</v>
      </c>
      <c r="B812" s="6" t="s">
        <v>2788</v>
      </c>
      <c r="C812" s="8" t="s">
        <v>2789</v>
      </c>
      <c r="D812" s="7" t="s">
        <v>2790</v>
      </c>
    </row>
    <row r="813" spans="1:4" ht="63" x14ac:dyDescent="0.25">
      <c r="A813" s="5" t="s">
        <v>2791</v>
      </c>
      <c r="B813" s="6" t="s">
        <v>2792</v>
      </c>
      <c r="C813" s="8" t="s">
        <v>936</v>
      </c>
      <c r="D813" s="7" t="s">
        <v>2793</v>
      </c>
    </row>
    <row r="814" spans="1:4" ht="31.5" x14ac:dyDescent="0.25">
      <c r="A814" s="5" t="s">
        <v>2794</v>
      </c>
      <c r="B814" s="6" t="s">
        <v>2795</v>
      </c>
      <c r="C814" s="8" t="s">
        <v>1012</v>
      </c>
      <c r="D814" s="7" t="s">
        <v>2796</v>
      </c>
    </row>
    <row r="815" spans="1:4" ht="78.75" x14ac:dyDescent="0.25">
      <c r="A815" s="5" t="s">
        <v>2797</v>
      </c>
      <c r="B815" s="6" t="s">
        <v>2798</v>
      </c>
      <c r="C815" s="8" t="s">
        <v>2799</v>
      </c>
      <c r="D815" s="7" t="s">
        <v>2800</v>
      </c>
    </row>
    <row r="816" spans="1:4" ht="63" x14ac:dyDescent="0.25">
      <c r="A816" s="5" t="s">
        <v>2801</v>
      </c>
      <c r="B816" s="6" t="s">
        <v>2802</v>
      </c>
      <c r="C816" s="8" t="s">
        <v>1951</v>
      </c>
      <c r="D816" s="7" t="s">
        <v>2803</v>
      </c>
    </row>
    <row r="817" spans="1:4" ht="78.75" x14ac:dyDescent="0.25">
      <c r="A817" s="5" t="s">
        <v>2804</v>
      </c>
      <c r="B817" s="6" t="s">
        <v>2805</v>
      </c>
      <c r="C817" s="8" t="s">
        <v>944</v>
      </c>
      <c r="D817" s="7" t="s">
        <v>2806</v>
      </c>
    </row>
    <row r="818" spans="1:4" ht="31.5" x14ac:dyDescent="0.25">
      <c r="A818" s="5" t="s">
        <v>2807</v>
      </c>
      <c r="B818" s="6" t="s">
        <v>2808</v>
      </c>
      <c r="C818" s="8" t="s">
        <v>2809</v>
      </c>
      <c r="D818" s="7" t="s">
        <v>2810</v>
      </c>
    </row>
    <row r="819" spans="1:4" ht="31.5" x14ac:dyDescent="0.25">
      <c r="A819" s="5" t="s">
        <v>2811</v>
      </c>
      <c r="B819" s="6" t="s">
        <v>2812</v>
      </c>
      <c r="C819" s="8" t="s">
        <v>1012</v>
      </c>
      <c r="D819" s="7" t="s">
        <v>2813</v>
      </c>
    </row>
    <row r="820" spans="1:4" ht="47.25" x14ac:dyDescent="0.25">
      <c r="A820" s="5" t="s">
        <v>2814</v>
      </c>
      <c r="B820" s="6" t="s">
        <v>2815</v>
      </c>
      <c r="C820" s="8" t="s">
        <v>700</v>
      </c>
      <c r="D820" s="7" t="s">
        <v>2816</v>
      </c>
    </row>
    <row r="821" spans="1:4" ht="63" x14ac:dyDescent="0.25">
      <c r="A821" s="5" t="s">
        <v>2817</v>
      </c>
      <c r="B821" s="6" t="s">
        <v>2818</v>
      </c>
      <c r="C821" s="8" t="s">
        <v>2819</v>
      </c>
      <c r="D821" s="7" t="s">
        <v>2820</v>
      </c>
    </row>
    <row r="822" spans="1:4" ht="31.5" x14ac:dyDescent="0.25">
      <c r="A822" s="5" t="s">
        <v>2821</v>
      </c>
      <c r="B822" s="6" t="s">
        <v>2822</v>
      </c>
      <c r="C822" s="8" t="s">
        <v>1727</v>
      </c>
      <c r="D822" s="7" t="s">
        <v>2823</v>
      </c>
    </row>
    <row r="823" spans="1:4" ht="31.5" x14ac:dyDescent="0.25">
      <c r="A823" s="5" t="s">
        <v>2824</v>
      </c>
      <c r="B823" s="6" t="s">
        <v>2825</v>
      </c>
      <c r="C823" s="8" t="s">
        <v>1012</v>
      </c>
      <c r="D823" s="7" t="s">
        <v>2826</v>
      </c>
    </row>
    <row r="824" spans="1:4" x14ac:dyDescent="0.25">
      <c r="A824" s="5" t="s">
        <v>2827</v>
      </c>
      <c r="B824" s="6" t="s">
        <v>2828</v>
      </c>
      <c r="C824" s="8" t="s">
        <v>2829</v>
      </c>
      <c r="D824" s="7" t="s">
        <v>2830</v>
      </c>
    </row>
    <row r="825" spans="1:4" ht="31.5" x14ac:dyDescent="0.25">
      <c r="A825" s="5" t="s">
        <v>2831</v>
      </c>
      <c r="B825" s="6" t="s">
        <v>2832</v>
      </c>
      <c r="C825" s="8" t="s">
        <v>1727</v>
      </c>
      <c r="D825" s="7" t="s">
        <v>2833</v>
      </c>
    </row>
    <row r="826" spans="1:4" ht="63" x14ac:dyDescent="0.25">
      <c r="A826" s="5" t="s">
        <v>2834</v>
      </c>
      <c r="B826" s="6" t="s">
        <v>2835</v>
      </c>
      <c r="C826" s="8" t="s">
        <v>84</v>
      </c>
      <c r="D826" s="7" t="s">
        <v>2836</v>
      </c>
    </row>
    <row r="827" spans="1:4" ht="78.75" x14ac:dyDescent="0.25">
      <c r="A827" s="5" t="s">
        <v>2837</v>
      </c>
      <c r="B827" s="6" t="s">
        <v>2838</v>
      </c>
      <c r="C827" s="8" t="s">
        <v>2775</v>
      </c>
      <c r="D827" s="7" t="s">
        <v>2839</v>
      </c>
    </row>
    <row r="828" spans="1:4" ht="47.25" x14ac:dyDescent="0.25">
      <c r="A828" s="5" t="s">
        <v>2840</v>
      </c>
      <c r="B828" s="6" t="s">
        <v>2841</v>
      </c>
      <c r="C828" s="8" t="s">
        <v>2842</v>
      </c>
      <c r="D828" s="7" t="s">
        <v>2843</v>
      </c>
    </row>
    <row r="829" spans="1:4" ht="31.5" x14ac:dyDescent="0.25">
      <c r="A829" s="5" t="s">
        <v>2844</v>
      </c>
      <c r="B829" s="6" t="s">
        <v>2845</v>
      </c>
      <c r="C829" s="8" t="s">
        <v>1834</v>
      </c>
      <c r="D829" s="7" t="s">
        <v>2846</v>
      </c>
    </row>
    <row r="830" spans="1:4" ht="63" x14ac:dyDescent="0.25">
      <c r="A830" s="5" t="s">
        <v>2847</v>
      </c>
      <c r="B830" s="6" t="s">
        <v>2848</v>
      </c>
      <c r="C830" s="8" t="s">
        <v>2849</v>
      </c>
      <c r="D830" s="7" t="s">
        <v>2850</v>
      </c>
    </row>
    <row r="831" spans="1:4" ht="47.25" x14ac:dyDescent="0.25">
      <c r="A831" s="5" t="s">
        <v>2851</v>
      </c>
      <c r="B831" s="6" t="s">
        <v>2852</v>
      </c>
      <c r="C831" s="8" t="s">
        <v>1834</v>
      </c>
      <c r="D831" s="7" t="s">
        <v>2853</v>
      </c>
    </row>
    <row r="832" spans="1:4" ht="63" x14ac:dyDescent="0.25">
      <c r="A832" s="5" t="s">
        <v>2854</v>
      </c>
      <c r="B832" s="6" t="s">
        <v>2855</v>
      </c>
      <c r="C832" s="8" t="s">
        <v>1886</v>
      </c>
      <c r="D832" s="7" t="s">
        <v>2856</v>
      </c>
    </row>
    <row r="833" spans="1:5" ht="31.5" x14ac:dyDescent="0.25">
      <c r="A833" s="5" t="s">
        <v>2857</v>
      </c>
      <c r="B833" s="6" t="s">
        <v>2858</v>
      </c>
      <c r="C833" s="8" t="s">
        <v>1076</v>
      </c>
      <c r="D833" s="7" t="s">
        <v>2859</v>
      </c>
    </row>
    <row r="834" spans="1:5" ht="31.5" x14ac:dyDescent="0.25">
      <c r="A834" s="5" t="s">
        <v>2860</v>
      </c>
      <c r="B834" s="6" t="s">
        <v>2861</v>
      </c>
      <c r="C834" s="8" t="s">
        <v>2862</v>
      </c>
      <c r="D834" s="7" t="s">
        <v>2863</v>
      </c>
    </row>
    <row r="835" spans="1:5" ht="47.25" x14ac:dyDescent="0.25">
      <c r="A835" s="5" t="s">
        <v>2864</v>
      </c>
      <c r="B835" s="6" t="s">
        <v>2865</v>
      </c>
      <c r="C835" s="8" t="s">
        <v>377</v>
      </c>
      <c r="D835" s="7" t="s">
        <v>2866</v>
      </c>
    </row>
    <row r="836" spans="1:5" ht="47.25" x14ac:dyDescent="0.25">
      <c r="A836" s="5" t="s">
        <v>2867</v>
      </c>
      <c r="B836" s="6" t="s">
        <v>2868</v>
      </c>
      <c r="C836" s="8" t="s">
        <v>1834</v>
      </c>
      <c r="D836" s="7" t="s">
        <v>2869</v>
      </c>
    </row>
    <row r="837" spans="1:5" ht="63" x14ac:dyDescent="0.25">
      <c r="A837" s="5" t="s">
        <v>2870</v>
      </c>
      <c r="B837" s="6" t="s">
        <v>2871</v>
      </c>
      <c r="C837" s="8" t="s">
        <v>2872</v>
      </c>
      <c r="D837" s="7" t="s">
        <v>2873</v>
      </c>
    </row>
    <row r="838" spans="1:5" ht="31.5" x14ac:dyDescent="0.25">
      <c r="A838" s="5" t="s">
        <v>2874</v>
      </c>
      <c r="B838" s="6" t="s">
        <v>2875</v>
      </c>
      <c r="C838" s="8" t="s">
        <v>2699</v>
      </c>
      <c r="D838" s="7" t="s">
        <v>2876</v>
      </c>
    </row>
    <row r="839" spans="1:5" ht="47.25" x14ac:dyDescent="0.25">
      <c r="A839" s="5" t="s">
        <v>2877</v>
      </c>
      <c r="B839" s="6" t="s">
        <v>2878</v>
      </c>
      <c r="C839" s="8" t="s">
        <v>2879</v>
      </c>
      <c r="D839" s="7" t="s">
        <v>2880</v>
      </c>
    </row>
    <row r="840" spans="1:5" ht="31.5" x14ac:dyDescent="0.25">
      <c r="A840" s="5" t="s">
        <v>2881</v>
      </c>
      <c r="B840" s="6" t="s">
        <v>2882</v>
      </c>
      <c r="C840" s="8" t="s">
        <v>2883</v>
      </c>
      <c r="D840" s="7" t="s">
        <v>2884</v>
      </c>
    </row>
    <row r="841" spans="1:5" ht="63" x14ac:dyDescent="0.25">
      <c r="A841" s="5" t="s">
        <v>2885</v>
      </c>
      <c r="B841" s="6" t="s">
        <v>2886</v>
      </c>
      <c r="C841" s="8" t="s">
        <v>2887</v>
      </c>
      <c r="D841" s="7" t="s">
        <v>2888</v>
      </c>
    </row>
    <row r="842" spans="1:5" ht="47.25" x14ac:dyDescent="0.25">
      <c r="A842" s="5" t="s">
        <v>2889</v>
      </c>
      <c r="B842" s="6" t="s">
        <v>2890</v>
      </c>
      <c r="C842" s="8" t="s">
        <v>2887</v>
      </c>
      <c r="D842" s="7" t="s">
        <v>2891</v>
      </c>
    </row>
    <row r="843" spans="1:5" ht="63" x14ac:dyDescent="0.25">
      <c r="A843" s="5" t="s">
        <v>2892</v>
      </c>
      <c r="B843" s="6" t="s">
        <v>2893</v>
      </c>
      <c r="C843" s="8" t="s">
        <v>2894</v>
      </c>
      <c r="D843" s="7" t="s">
        <v>2895</v>
      </c>
    </row>
    <row r="844" spans="1:5" ht="31.5" x14ac:dyDescent="0.25">
      <c r="A844" s="5" t="s">
        <v>2896</v>
      </c>
      <c r="B844" s="6" t="s">
        <v>2897</v>
      </c>
      <c r="C844" s="8" t="s">
        <v>628</v>
      </c>
      <c r="D844" s="7" t="s">
        <v>2898</v>
      </c>
    </row>
    <row r="845" spans="1:5" s="2" customFormat="1" ht="31.5" x14ac:dyDescent="0.25">
      <c r="A845" s="5" t="s">
        <v>2899</v>
      </c>
      <c r="B845" s="6" t="s">
        <v>2900</v>
      </c>
      <c r="C845" s="8" t="s">
        <v>2901</v>
      </c>
      <c r="D845" s="7" t="s">
        <v>2902</v>
      </c>
      <c r="E845" s="1"/>
    </row>
    <row r="846" spans="1:5" s="2" customFormat="1" ht="63" x14ac:dyDescent="0.25">
      <c r="A846" s="5" t="s">
        <v>2903</v>
      </c>
      <c r="B846" s="6" t="s">
        <v>2904</v>
      </c>
      <c r="C846" s="8" t="s">
        <v>2204</v>
      </c>
      <c r="D846" s="7" t="s">
        <v>2905</v>
      </c>
      <c r="E846" s="1"/>
    </row>
    <row r="847" spans="1:5" s="2" customFormat="1" ht="31.5" x14ac:dyDescent="0.25">
      <c r="A847" s="5" t="s">
        <v>2906</v>
      </c>
      <c r="B847" s="6" t="s">
        <v>2907</v>
      </c>
      <c r="C847" s="8" t="s">
        <v>1602</v>
      </c>
      <c r="D847" s="7" t="s">
        <v>2908</v>
      </c>
      <c r="E847" s="1"/>
    </row>
    <row r="848" spans="1:5" s="2" customFormat="1" ht="47.25" x14ac:dyDescent="0.25">
      <c r="A848" s="5" t="s">
        <v>2909</v>
      </c>
      <c r="B848" s="6" t="s">
        <v>2910</v>
      </c>
      <c r="C848" s="8" t="s">
        <v>1023</v>
      </c>
      <c r="D848" s="7" t="s">
        <v>2911</v>
      </c>
      <c r="E848" s="1"/>
    </row>
    <row r="849" spans="1:5" s="2" customFormat="1" ht="31.5" x14ac:dyDescent="0.25">
      <c r="A849" s="5" t="s">
        <v>2912</v>
      </c>
      <c r="B849" s="6" t="s">
        <v>2913</v>
      </c>
      <c r="C849" s="8" t="s">
        <v>2901</v>
      </c>
      <c r="D849" s="7" t="s">
        <v>2914</v>
      </c>
      <c r="E849" s="1"/>
    </row>
    <row r="850" spans="1:5" s="2" customFormat="1" ht="31.5" x14ac:dyDescent="0.25">
      <c r="A850" s="5" t="s">
        <v>2915</v>
      </c>
      <c r="B850" s="6" t="s">
        <v>2916</v>
      </c>
      <c r="C850" s="8" t="s">
        <v>993</v>
      </c>
      <c r="D850" s="7" t="s">
        <v>2917</v>
      </c>
      <c r="E850" s="1"/>
    </row>
    <row r="851" spans="1:5" s="2" customFormat="1" ht="47.25" x14ac:dyDescent="0.25">
      <c r="A851" s="5" t="s">
        <v>2918</v>
      </c>
      <c r="B851" s="6" t="s">
        <v>2919</v>
      </c>
      <c r="C851" s="8" t="s">
        <v>941</v>
      </c>
      <c r="D851" s="7" t="s">
        <v>2920</v>
      </c>
      <c r="E851" s="1"/>
    </row>
    <row r="852" spans="1:5" s="2" customFormat="1" ht="31.5" x14ac:dyDescent="0.25">
      <c r="A852" s="5" t="s">
        <v>2921</v>
      </c>
      <c r="B852" s="6" t="s">
        <v>2922</v>
      </c>
      <c r="C852" s="8" t="s">
        <v>2136</v>
      </c>
      <c r="D852" s="7" t="s">
        <v>2923</v>
      </c>
      <c r="E852" s="1"/>
    </row>
    <row r="853" spans="1:5" s="2" customFormat="1" ht="63" x14ac:dyDescent="0.25">
      <c r="A853" s="5" t="s">
        <v>2924</v>
      </c>
      <c r="B853" s="6" t="s">
        <v>2925</v>
      </c>
      <c r="C853" s="8" t="s">
        <v>389</v>
      </c>
      <c r="D853" s="7" t="s">
        <v>2926</v>
      </c>
      <c r="E853" s="1"/>
    </row>
    <row r="854" spans="1:5" s="2" customFormat="1" ht="31.5" x14ac:dyDescent="0.25">
      <c r="A854" s="5" t="s">
        <v>2927</v>
      </c>
      <c r="B854" s="6" t="s">
        <v>2928</v>
      </c>
      <c r="C854" s="8" t="s">
        <v>2929</v>
      </c>
      <c r="D854" s="7" t="s">
        <v>2930</v>
      </c>
      <c r="E854" s="1"/>
    </row>
    <row r="855" spans="1:5" s="2" customFormat="1" ht="31.5" x14ac:dyDescent="0.25">
      <c r="A855" s="5" t="s">
        <v>2931</v>
      </c>
      <c r="B855" s="6" t="s">
        <v>2932</v>
      </c>
      <c r="C855" s="8" t="s">
        <v>2933</v>
      </c>
      <c r="D855" s="7" t="s">
        <v>2934</v>
      </c>
      <c r="E855" s="1"/>
    </row>
    <row r="856" spans="1:5" s="2" customFormat="1" ht="47.25" x14ac:dyDescent="0.25">
      <c r="A856" s="5" t="s">
        <v>2935</v>
      </c>
      <c r="B856" s="6" t="s">
        <v>2936</v>
      </c>
      <c r="C856" s="8" t="s">
        <v>1834</v>
      </c>
      <c r="D856" s="7" t="s">
        <v>2937</v>
      </c>
      <c r="E856" s="1"/>
    </row>
    <row r="857" spans="1:5" s="2" customFormat="1" ht="63" x14ac:dyDescent="0.25">
      <c r="A857" s="5" t="s">
        <v>2938</v>
      </c>
      <c r="B857" s="6" t="s">
        <v>2939</v>
      </c>
      <c r="C857" s="8" t="s">
        <v>1552</v>
      </c>
      <c r="D857" s="7" t="s">
        <v>2940</v>
      </c>
      <c r="E857" s="1"/>
    </row>
    <row r="858" spans="1:5" s="2" customFormat="1" ht="31.5" x14ac:dyDescent="0.25">
      <c r="A858" s="5" t="s">
        <v>2941</v>
      </c>
      <c r="B858" s="6" t="s">
        <v>2942</v>
      </c>
      <c r="C858" s="8" t="s">
        <v>492</v>
      </c>
      <c r="D858" s="7" t="s">
        <v>2943</v>
      </c>
      <c r="E858" s="1"/>
    </row>
    <row r="859" spans="1:5" ht="47.25" x14ac:dyDescent="0.25">
      <c r="A859" s="5" t="s">
        <v>2944</v>
      </c>
      <c r="B859" s="6" t="s">
        <v>2945</v>
      </c>
      <c r="C859" s="8" t="s">
        <v>2946</v>
      </c>
      <c r="D859" s="7" t="s">
        <v>2947</v>
      </c>
    </row>
    <row r="860" spans="1:5" ht="47.25" x14ac:dyDescent="0.25">
      <c r="A860" s="5" t="s">
        <v>2948</v>
      </c>
      <c r="B860" s="6" t="s">
        <v>2949</v>
      </c>
      <c r="C860" s="8" t="s">
        <v>389</v>
      </c>
      <c r="D860" s="7" t="s">
        <v>2950</v>
      </c>
    </row>
    <row r="861" spans="1:5" ht="31.5" x14ac:dyDescent="0.25">
      <c r="A861" s="5" t="s">
        <v>2951</v>
      </c>
      <c r="B861" s="6" t="s">
        <v>2952</v>
      </c>
      <c r="C861" s="8" t="s">
        <v>2953</v>
      </c>
      <c r="D861" s="7" t="s">
        <v>2954</v>
      </c>
    </row>
    <row r="862" spans="1:5" ht="47.25" x14ac:dyDescent="0.25">
      <c r="A862" s="5" t="s">
        <v>2955</v>
      </c>
      <c r="B862" s="6" t="s">
        <v>2956</v>
      </c>
      <c r="C862" s="8" t="s">
        <v>2957</v>
      </c>
      <c r="D862" s="7" t="s">
        <v>2958</v>
      </c>
    </row>
    <row r="863" spans="1:5" ht="47.25" x14ac:dyDescent="0.25">
      <c r="A863" s="5" t="s">
        <v>2959</v>
      </c>
      <c r="B863" s="6" t="s">
        <v>2960</v>
      </c>
      <c r="C863" s="8" t="s">
        <v>911</v>
      </c>
      <c r="D863" s="7" t="s">
        <v>2961</v>
      </c>
    </row>
    <row r="864" spans="1:5" ht="47.25" x14ac:dyDescent="0.25">
      <c r="A864" s="5" t="s">
        <v>2962</v>
      </c>
      <c r="B864" s="6" t="s">
        <v>2963</v>
      </c>
      <c r="C864" s="8" t="s">
        <v>1727</v>
      </c>
      <c r="D864" s="7" t="s">
        <v>2964</v>
      </c>
    </row>
    <row r="865" spans="1:4" ht="31.5" x14ac:dyDescent="0.25">
      <c r="A865" s="5" t="s">
        <v>2965</v>
      </c>
      <c r="B865" s="6" t="s">
        <v>2966</v>
      </c>
      <c r="C865" s="8" t="s">
        <v>637</v>
      </c>
      <c r="D865" s="7" t="s">
        <v>2967</v>
      </c>
    </row>
    <row r="866" spans="1:4" ht="47.25" x14ac:dyDescent="0.25">
      <c r="A866" s="5" t="s">
        <v>2968</v>
      </c>
      <c r="B866" s="6" t="s">
        <v>2969</v>
      </c>
      <c r="C866" s="8" t="s">
        <v>911</v>
      </c>
      <c r="D866" s="7" t="s">
        <v>2970</v>
      </c>
    </row>
    <row r="867" spans="1:4" ht="63" x14ac:dyDescent="0.25">
      <c r="A867" s="5" t="s">
        <v>2971</v>
      </c>
      <c r="B867" s="6" t="s">
        <v>2972</v>
      </c>
      <c r="C867" s="8" t="s">
        <v>390</v>
      </c>
      <c r="D867" s="7" t="s">
        <v>2973</v>
      </c>
    </row>
    <row r="868" spans="1:4" ht="63" x14ac:dyDescent="0.25">
      <c r="A868" s="5" t="s">
        <v>2974</v>
      </c>
      <c r="B868" s="6" t="s">
        <v>2975</v>
      </c>
      <c r="C868" s="8" t="s">
        <v>2976</v>
      </c>
      <c r="D868" s="7" t="s">
        <v>2977</v>
      </c>
    </row>
    <row r="869" spans="1:4" ht="47.25" x14ac:dyDescent="0.25">
      <c r="A869" s="5" t="s">
        <v>2978</v>
      </c>
      <c r="B869" s="6" t="s">
        <v>2979</v>
      </c>
      <c r="C869" s="8" t="s">
        <v>2887</v>
      </c>
      <c r="D869" s="7" t="s">
        <v>2980</v>
      </c>
    </row>
    <row r="870" spans="1:4" ht="31.5" x14ac:dyDescent="0.25">
      <c r="A870" s="5" t="s">
        <v>2981</v>
      </c>
      <c r="B870" s="6" t="s">
        <v>2982</v>
      </c>
      <c r="C870" s="8" t="s">
        <v>2887</v>
      </c>
      <c r="D870" s="7" t="s">
        <v>2983</v>
      </c>
    </row>
    <row r="871" spans="1:4" ht="31.5" x14ac:dyDescent="0.25">
      <c r="A871" s="5" t="s">
        <v>2984</v>
      </c>
      <c r="B871" s="6" t="s">
        <v>2985</v>
      </c>
      <c r="C871" s="8" t="s">
        <v>2887</v>
      </c>
      <c r="D871" s="7" t="s">
        <v>2986</v>
      </c>
    </row>
    <row r="872" spans="1:4" ht="31.5" x14ac:dyDescent="0.25">
      <c r="A872" s="5" t="s">
        <v>2987</v>
      </c>
      <c r="B872" s="6" t="s">
        <v>2988</v>
      </c>
      <c r="C872" s="8" t="s">
        <v>2887</v>
      </c>
      <c r="D872" s="7" t="s">
        <v>2989</v>
      </c>
    </row>
    <row r="873" spans="1:4" ht="47.25" x14ac:dyDescent="0.25">
      <c r="A873" s="5" t="s">
        <v>2990</v>
      </c>
      <c r="B873" s="6" t="s">
        <v>2991</v>
      </c>
      <c r="C873" s="8" t="s">
        <v>360</v>
      </c>
      <c r="D873" s="7" t="s">
        <v>2992</v>
      </c>
    </row>
    <row r="874" spans="1:4" ht="47.25" x14ac:dyDescent="0.25">
      <c r="A874" s="5" t="s">
        <v>2993</v>
      </c>
      <c r="B874" s="6" t="s">
        <v>2994</v>
      </c>
      <c r="C874" s="8" t="s">
        <v>360</v>
      </c>
      <c r="D874" s="7" t="s">
        <v>2995</v>
      </c>
    </row>
    <row r="875" spans="1:4" ht="31.5" x14ac:dyDescent="0.25">
      <c r="A875" s="5" t="s">
        <v>2996</v>
      </c>
      <c r="B875" s="6" t="s">
        <v>2997</v>
      </c>
      <c r="C875" s="8" t="s">
        <v>1951</v>
      </c>
      <c r="D875" s="7" t="s">
        <v>2998</v>
      </c>
    </row>
    <row r="876" spans="1:4" ht="47.25" x14ac:dyDescent="0.25">
      <c r="A876" s="5" t="s">
        <v>2999</v>
      </c>
      <c r="B876" s="6" t="s">
        <v>3000</v>
      </c>
      <c r="C876" s="8" t="s">
        <v>3001</v>
      </c>
      <c r="D876" s="7" t="s">
        <v>3002</v>
      </c>
    </row>
    <row r="877" spans="1:4" ht="31.5" x14ac:dyDescent="0.25">
      <c r="A877" s="5" t="s">
        <v>3003</v>
      </c>
      <c r="B877" s="6" t="s">
        <v>3004</v>
      </c>
      <c r="C877" s="8" t="s">
        <v>911</v>
      </c>
      <c r="D877" s="7" t="s">
        <v>3005</v>
      </c>
    </row>
    <row r="878" spans="1:4" ht="47.25" x14ac:dyDescent="0.25">
      <c r="A878" s="5" t="s">
        <v>3006</v>
      </c>
      <c r="B878" s="6" t="s">
        <v>3007</v>
      </c>
      <c r="C878" s="8" t="s">
        <v>2457</v>
      </c>
      <c r="D878" s="7" t="s">
        <v>3008</v>
      </c>
    </row>
    <row r="879" spans="1:4" ht="63" x14ac:dyDescent="0.25">
      <c r="A879" s="5" t="s">
        <v>3009</v>
      </c>
      <c r="B879" s="6" t="s">
        <v>3010</v>
      </c>
      <c r="C879" s="8" t="s">
        <v>1923</v>
      </c>
      <c r="D879" s="7" t="s">
        <v>3011</v>
      </c>
    </row>
    <row r="880" spans="1:4" ht="63" x14ac:dyDescent="0.25">
      <c r="A880" s="5" t="s">
        <v>3012</v>
      </c>
      <c r="B880" s="6" t="s">
        <v>3013</v>
      </c>
      <c r="C880" s="8" t="s">
        <v>390</v>
      </c>
      <c r="D880" s="7" t="s">
        <v>3014</v>
      </c>
    </row>
    <row r="881" spans="1:4" ht="63" x14ac:dyDescent="0.25">
      <c r="A881" s="5" t="s">
        <v>3015</v>
      </c>
      <c r="B881" s="6" t="s">
        <v>3016</v>
      </c>
      <c r="C881" s="8" t="s">
        <v>654</v>
      </c>
      <c r="D881" s="7" t="s">
        <v>3017</v>
      </c>
    </row>
    <row r="882" spans="1:4" ht="63" x14ac:dyDescent="0.25">
      <c r="A882" s="5" t="s">
        <v>3018</v>
      </c>
      <c r="B882" s="6" t="s">
        <v>3019</v>
      </c>
      <c r="C882" s="8" t="s">
        <v>580</v>
      </c>
      <c r="D882" s="7" t="s">
        <v>3020</v>
      </c>
    </row>
    <row r="883" spans="1:4" ht="63" x14ac:dyDescent="0.25">
      <c r="A883" s="5" t="s">
        <v>3021</v>
      </c>
      <c r="B883" s="6" t="s">
        <v>3022</v>
      </c>
      <c r="C883" s="8" t="s">
        <v>3023</v>
      </c>
      <c r="D883" s="7" t="s">
        <v>3024</v>
      </c>
    </row>
    <row r="884" spans="1:4" ht="47.25" x14ac:dyDescent="0.25">
      <c r="A884" s="5" t="s">
        <v>3025</v>
      </c>
      <c r="B884" s="6" t="s">
        <v>3026</v>
      </c>
      <c r="C884" s="8" t="s">
        <v>703</v>
      </c>
      <c r="D884" s="7" t="s">
        <v>3027</v>
      </c>
    </row>
    <row r="885" spans="1:4" ht="47.25" x14ac:dyDescent="0.25">
      <c r="A885" s="5" t="s">
        <v>3028</v>
      </c>
      <c r="B885" s="6" t="s">
        <v>3029</v>
      </c>
      <c r="C885" s="8" t="s">
        <v>1826</v>
      </c>
      <c r="D885" s="7" t="s">
        <v>3030</v>
      </c>
    </row>
    <row r="886" spans="1:4" ht="47.25" x14ac:dyDescent="0.25">
      <c r="A886" s="5" t="s">
        <v>3031</v>
      </c>
      <c r="B886" s="6" t="s">
        <v>3032</v>
      </c>
      <c r="C886" s="8" t="s">
        <v>1826</v>
      </c>
      <c r="D886" s="7" t="s">
        <v>3033</v>
      </c>
    </row>
    <row r="887" spans="1:4" ht="31.5" x14ac:dyDescent="0.25">
      <c r="A887" s="5" t="s">
        <v>3034</v>
      </c>
      <c r="B887" s="6" t="s">
        <v>3035</v>
      </c>
      <c r="C887" s="8" t="s">
        <v>3036</v>
      </c>
      <c r="D887" s="7" t="s">
        <v>3037</v>
      </c>
    </row>
    <row r="888" spans="1:4" ht="31.5" x14ac:dyDescent="0.25">
      <c r="A888" s="5" t="s">
        <v>3038</v>
      </c>
      <c r="B888" s="6" t="s">
        <v>3039</v>
      </c>
      <c r="C888" s="8" t="s">
        <v>604</v>
      </c>
      <c r="D888" s="7" t="s">
        <v>3040</v>
      </c>
    </row>
    <row r="889" spans="1:4" ht="31.5" x14ac:dyDescent="0.25">
      <c r="A889" s="5" t="s">
        <v>3041</v>
      </c>
      <c r="B889" s="6" t="s">
        <v>3042</v>
      </c>
      <c r="C889" s="8" t="s">
        <v>604</v>
      </c>
      <c r="D889" s="7" t="s">
        <v>3043</v>
      </c>
    </row>
    <row r="890" spans="1:4" ht="31.5" x14ac:dyDescent="0.25">
      <c r="A890" s="5" t="s">
        <v>3044</v>
      </c>
      <c r="B890" s="6" t="s">
        <v>3045</v>
      </c>
      <c r="C890" s="8" t="s">
        <v>604</v>
      </c>
      <c r="D890" s="7" t="s">
        <v>3046</v>
      </c>
    </row>
    <row r="891" spans="1:4" ht="31.5" x14ac:dyDescent="0.25">
      <c r="A891" s="5" t="s">
        <v>3047</v>
      </c>
      <c r="B891" s="6" t="s">
        <v>3048</v>
      </c>
      <c r="C891" s="8" t="s">
        <v>2598</v>
      </c>
      <c r="D891" s="7" t="s">
        <v>3049</v>
      </c>
    </row>
    <row r="892" spans="1:4" ht="47.25" x14ac:dyDescent="0.25">
      <c r="A892" s="5" t="s">
        <v>3050</v>
      </c>
      <c r="B892" s="6" t="s">
        <v>3051</v>
      </c>
      <c r="C892" s="8" t="s">
        <v>2887</v>
      </c>
      <c r="D892" s="7" t="s">
        <v>3052</v>
      </c>
    </row>
    <row r="893" spans="1:4" ht="47.25" x14ac:dyDescent="0.25">
      <c r="A893" s="5" t="s">
        <v>3053</v>
      </c>
      <c r="B893" s="6" t="s">
        <v>3054</v>
      </c>
      <c r="C893" s="8" t="s">
        <v>1076</v>
      </c>
      <c r="D893" s="7" t="s">
        <v>3055</v>
      </c>
    </row>
    <row r="894" spans="1:4" ht="31.5" x14ac:dyDescent="0.25">
      <c r="A894" s="5" t="s">
        <v>3056</v>
      </c>
      <c r="B894" s="6" t="s">
        <v>3057</v>
      </c>
      <c r="C894" s="53" t="s">
        <v>3058</v>
      </c>
      <c r="D894" s="7" t="s">
        <v>3059</v>
      </c>
    </row>
    <row r="895" spans="1:4" ht="63" x14ac:dyDescent="0.25">
      <c r="A895" s="5" t="s">
        <v>3060</v>
      </c>
      <c r="B895" s="6" t="s">
        <v>3061</v>
      </c>
      <c r="C895" s="8" t="s">
        <v>854</v>
      </c>
      <c r="D895" s="7" t="s">
        <v>3062</v>
      </c>
    </row>
    <row r="896" spans="1:4" ht="47.25" x14ac:dyDescent="0.25">
      <c r="A896" s="5" t="s">
        <v>3063</v>
      </c>
      <c r="B896" s="6" t="s">
        <v>3064</v>
      </c>
      <c r="C896" s="8" t="s">
        <v>732</v>
      </c>
      <c r="D896" s="7" t="s">
        <v>3065</v>
      </c>
    </row>
    <row r="897" spans="1:4" ht="63" x14ac:dyDescent="0.25">
      <c r="A897" s="5" t="s">
        <v>3066</v>
      </c>
      <c r="B897" s="6" t="s">
        <v>3067</v>
      </c>
      <c r="C897" s="8" t="s">
        <v>1805</v>
      </c>
      <c r="D897" s="7" t="s">
        <v>3068</v>
      </c>
    </row>
    <row r="898" spans="1:4" ht="63" x14ac:dyDescent="0.25">
      <c r="A898" s="5" t="s">
        <v>3069</v>
      </c>
      <c r="B898" s="6" t="s">
        <v>3070</v>
      </c>
      <c r="C898" s="8" t="s">
        <v>3071</v>
      </c>
      <c r="D898" s="7" t="s">
        <v>3072</v>
      </c>
    </row>
    <row r="899" spans="1:4" ht="47.25" x14ac:dyDescent="0.25">
      <c r="A899" s="5" t="s">
        <v>3073</v>
      </c>
      <c r="B899" s="6" t="s">
        <v>3074</v>
      </c>
      <c r="C899" s="8" t="s">
        <v>1688</v>
      </c>
      <c r="D899" s="7" t="s">
        <v>3075</v>
      </c>
    </row>
    <row r="900" spans="1:4" ht="47.25" x14ac:dyDescent="0.25">
      <c r="A900" s="5" t="s">
        <v>3076</v>
      </c>
      <c r="B900" s="6" t="s">
        <v>3077</v>
      </c>
      <c r="C900" s="8" t="s">
        <v>1140</v>
      </c>
      <c r="D900" s="7" t="s">
        <v>3078</v>
      </c>
    </row>
    <row r="901" spans="1:4" ht="31.5" x14ac:dyDescent="0.25">
      <c r="A901" s="5" t="s">
        <v>3079</v>
      </c>
      <c r="B901" s="6" t="s">
        <v>3080</v>
      </c>
      <c r="C901" s="8" t="s">
        <v>3081</v>
      </c>
      <c r="D901" s="7" t="s">
        <v>3082</v>
      </c>
    </row>
    <row r="902" spans="1:4" ht="63" x14ac:dyDescent="0.25">
      <c r="A902" s="5" t="s">
        <v>3083</v>
      </c>
      <c r="B902" s="6" t="s">
        <v>3084</v>
      </c>
      <c r="C902" s="8" t="s">
        <v>477</v>
      </c>
      <c r="D902" s="7" t="s">
        <v>3085</v>
      </c>
    </row>
    <row r="903" spans="1:4" ht="47.25" x14ac:dyDescent="0.25">
      <c r="A903" s="5" t="s">
        <v>3086</v>
      </c>
      <c r="B903" s="6" t="s">
        <v>3087</v>
      </c>
      <c r="C903" s="8" t="s">
        <v>933</v>
      </c>
      <c r="D903" s="7" t="s">
        <v>3088</v>
      </c>
    </row>
    <row r="904" spans="1:4" ht="47.25" x14ac:dyDescent="0.25">
      <c r="A904" s="5" t="s">
        <v>3089</v>
      </c>
      <c r="B904" s="6" t="s">
        <v>3090</v>
      </c>
      <c r="C904" s="8" t="s">
        <v>1834</v>
      </c>
      <c r="D904" s="7" t="s">
        <v>3091</v>
      </c>
    </row>
    <row r="905" spans="1:4" ht="47.25" x14ac:dyDescent="0.25">
      <c r="A905" s="5" t="s">
        <v>3092</v>
      </c>
      <c r="B905" s="6" t="s">
        <v>3093</v>
      </c>
      <c r="C905" s="8" t="s">
        <v>891</v>
      </c>
      <c r="D905" s="7" t="s">
        <v>3094</v>
      </c>
    </row>
    <row r="906" spans="1:4" ht="31.5" x14ac:dyDescent="0.25">
      <c r="A906" s="5" t="s">
        <v>3095</v>
      </c>
      <c r="B906" s="6" t="s">
        <v>3096</v>
      </c>
      <c r="C906" s="8" t="s">
        <v>2318</v>
      </c>
      <c r="D906" s="7" t="s">
        <v>3097</v>
      </c>
    </row>
    <row r="907" spans="1:4" ht="31.5" x14ac:dyDescent="0.25">
      <c r="A907" s="5" t="s">
        <v>3098</v>
      </c>
      <c r="B907" s="6" t="s">
        <v>3099</v>
      </c>
      <c r="C907" s="8" t="s">
        <v>530</v>
      </c>
      <c r="D907" s="7" t="s">
        <v>3100</v>
      </c>
    </row>
    <row r="908" spans="1:4" ht="47.25" x14ac:dyDescent="0.25">
      <c r="A908" s="5" t="s">
        <v>3101</v>
      </c>
      <c r="B908" s="6" t="s">
        <v>3102</v>
      </c>
      <c r="C908" s="8" t="s">
        <v>498</v>
      </c>
      <c r="D908" s="7" t="s">
        <v>3103</v>
      </c>
    </row>
    <row r="909" spans="1:4" ht="78.75" x14ac:dyDescent="0.25">
      <c r="A909" s="5" t="s">
        <v>3104</v>
      </c>
      <c r="B909" s="6" t="s">
        <v>3105</v>
      </c>
      <c r="C909" s="8" t="s">
        <v>3106</v>
      </c>
      <c r="D909" s="7" t="s">
        <v>3107</v>
      </c>
    </row>
    <row r="910" spans="1:4" ht="31.5" x14ac:dyDescent="0.25">
      <c r="A910" s="5" t="s">
        <v>3108</v>
      </c>
      <c r="B910" s="6" t="s">
        <v>3109</v>
      </c>
      <c r="C910" s="8" t="s">
        <v>2887</v>
      </c>
      <c r="D910" s="7" t="s">
        <v>3110</v>
      </c>
    </row>
    <row r="911" spans="1:4" ht="47.25" x14ac:dyDescent="0.25">
      <c r="A911" s="5" t="s">
        <v>3111</v>
      </c>
      <c r="B911" s="6" t="s">
        <v>3112</v>
      </c>
      <c r="C911" s="8" t="s">
        <v>2161</v>
      </c>
      <c r="D911" s="7" t="s">
        <v>3113</v>
      </c>
    </row>
    <row r="912" spans="1:4" ht="31.5" x14ac:dyDescent="0.25">
      <c r="A912" s="5" t="s">
        <v>3114</v>
      </c>
      <c r="B912" s="6" t="s">
        <v>3115</v>
      </c>
      <c r="C912" s="8" t="s">
        <v>2161</v>
      </c>
      <c r="D912" s="7" t="s">
        <v>3116</v>
      </c>
    </row>
    <row r="913" spans="1:4" ht="31.5" x14ac:dyDescent="0.25">
      <c r="A913" s="5" t="s">
        <v>3117</v>
      </c>
      <c r="B913" s="6" t="s">
        <v>3118</v>
      </c>
      <c r="C913" s="8" t="s">
        <v>2161</v>
      </c>
      <c r="D913" s="7" t="s">
        <v>3119</v>
      </c>
    </row>
    <row r="914" spans="1:4" ht="31.5" x14ac:dyDescent="0.25">
      <c r="A914" s="5" t="s">
        <v>3120</v>
      </c>
      <c r="B914" s="6" t="s">
        <v>3121</v>
      </c>
      <c r="C914" s="8" t="s">
        <v>2161</v>
      </c>
      <c r="D914" s="7" t="s">
        <v>3122</v>
      </c>
    </row>
    <row r="915" spans="1:4" ht="47.25" x14ac:dyDescent="0.25">
      <c r="A915" s="5" t="s">
        <v>3123</v>
      </c>
      <c r="B915" s="6" t="s">
        <v>3124</v>
      </c>
      <c r="C915" s="8" t="s">
        <v>2161</v>
      </c>
      <c r="D915" s="7" t="s">
        <v>3125</v>
      </c>
    </row>
    <row r="916" spans="1:4" ht="31.5" x14ac:dyDescent="0.25">
      <c r="A916" s="5" t="s">
        <v>3126</v>
      </c>
      <c r="B916" s="6" t="s">
        <v>3127</v>
      </c>
      <c r="C916" s="8" t="s">
        <v>1180</v>
      </c>
      <c r="D916" s="7" t="s">
        <v>3128</v>
      </c>
    </row>
    <row r="917" spans="1:4" ht="31.5" x14ac:dyDescent="0.25">
      <c r="A917" s="5" t="s">
        <v>3129</v>
      </c>
      <c r="B917" s="6" t="s">
        <v>3130</v>
      </c>
      <c r="C917" s="8" t="s">
        <v>1284</v>
      </c>
      <c r="D917" s="7" t="s">
        <v>3131</v>
      </c>
    </row>
    <row r="918" spans="1:4" ht="47.25" x14ac:dyDescent="0.25">
      <c r="A918" s="5" t="s">
        <v>3132</v>
      </c>
      <c r="B918" s="6" t="s">
        <v>3133</v>
      </c>
      <c r="C918" s="8" t="s">
        <v>2552</v>
      </c>
      <c r="D918" s="7" t="s">
        <v>3134</v>
      </c>
    </row>
    <row r="919" spans="1:4" ht="31.5" x14ac:dyDescent="0.25">
      <c r="A919" s="5" t="s">
        <v>3135</v>
      </c>
      <c r="B919" s="6" t="s">
        <v>3136</v>
      </c>
      <c r="C919" s="8" t="s">
        <v>3137</v>
      </c>
      <c r="D919" s="7" t="s">
        <v>3138</v>
      </c>
    </row>
    <row r="920" spans="1:4" ht="31.5" x14ac:dyDescent="0.25">
      <c r="A920" s="5" t="s">
        <v>3139</v>
      </c>
      <c r="B920" s="6" t="s">
        <v>3140</v>
      </c>
      <c r="C920" s="8" t="s">
        <v>3141</v>
      </c>
      <c r="D920" s="7" t="s">
        <v>3142</v>
      </c>
    </row>
    <row r="921" spans="1:4" ht="31.5" x14ac:dyDescent="0.25">
      <c r="A921" s="5" t="s">
        <v>3143</v>
      </c>
      <c r="B921" s="6" t="s">
        <v>3144</v>
      </c>
      <c r="C921" s="8" t="s">
        <v>1564</v>
      </c>
      <c r="D921" s="7" t="s">
        <v>3145</v>
      </c>
    </row>
    <row r="922" spans="1:4" ht="63" x14ac:dyDescent="0.25">
      <c r="A922" s="5" t="s">
        <v>3146</v>
      </c>
      <c r="B922" s="6" t="s">
        <v>3147</v>
      </c>
      <c r="C922" s="8" t="s">
        <v>1418</v>
      </c>
      <c r="D922" s="7" t="s">
        <v>3148</v>
      </c>
    </row>
    <row r="923" spans="1:4" ht="63" x14ac:dyDescent="0.25">
      <c r="A923" s="5" t="s">
        <v>3149</v>
      </c>
      <c r="B923" s="6" t="s">
        <v>3150</v>
      </c>
      <c r="C923" s="8" t="s">
        <v>3151</v>
      </c>
      <c r="D923" s="7" t="s">
        <v>3152</v>
      </c>
    </row>
    <row r="924" spans="1:4" ht="47.25" x14ac:dyDescent="0.25">
      <c r="A924" s="5" t="s">
        <v>3153</v>
      </c>
      <c r="B924" s="6" t="s">
        <v>3154</v>
      </c>
      <c r="C924" s="8" t="s">
        <v>356</v>
      </c>
      <c r="D924" s="7" t="s">
        <v>3155</v>
      </c>
    </row>
    <row r="925" spans="1:4" ht="47.25" x14ac:dyDescent="0.25">
      <c r="A925" s="5" t="s">
        <v>3156</v>
      </c>
      <c r="B925" s="6" t="s">
        <v>3157</v>
      </c>
      <c r="C925" s="8" t="s">
        <v>518</v>
      </c>
      <c r="D925" s="7" t="s">
        <v>3158</v>
      </c>
    </row>
    <row r="926" spans="1:4" ht="63" x14ac:dyDescent="0.25">
      <c r="A926" s="5" t="s">
        <v>3159</v>
      </c>
      <c r="B926" s="6" t="s">
        <v>3160</v>
      </c>
      <c r="C926" s="8" t="s">
        <v>397</v>
      </c>
      <c r="D926" s="7" t="s">
        <v>3161</v>
      </c>
    </row>
    <row r="927" spans="1:4" ht="47.25" x14ac:dyDescent="0.25">
      <c r="A927" s="5" t="s">
        <v>3162</v>
      </c>
      <c r="B927" s="6" t="s">
        <v>3163</v>
      </c>
      <c r="C927" s="8" t="s">
        <v>854</v>
      </c>
      <c r="D927" s="7" t="s">
        <v>3164</v>
      </c>
    </row>
    <row r="928" spans="1:4" ht="31.5" x14ac:dyDescent="0.25">
      <c r="A928" s="5" t="s">
        <v>3165</v>
      </c>
      <c r="B928" s="6" t="s">
        <v>3166</v>
      </c>
      <c r="C928" s="8" t="s">
        <v>854</v>
      </c>
      <c r="D928" s="7" t="s">
        <v>3167</v>
      </c>
    </row>
    <row r="929" spans="1:4" ht="63" x14ac:dyDescent="0.25">
      <c r="A929" s="5" t="s">
        <v>3168</v>
      </c>
      <c r="B929" s="6" t="s">
        <v>3169</v>
      </c>
      <c r="C929" s="8" t="s">
        <v>1871</v>
      </c>
      <c r="D929" s="7" t="s">
        <v>3170</v>
      </c>
    </row>
    <row r="930" spans="1:4" ht="47.25" x14ac:dyDescent="0.25">
      <c r="A930" s="5" t="s">
        <v>3171</v>
      </c>
      <c r="B930" s="6" t="s">
        <v>3172</v>
      </c>
      <c r="C930" s="8" t="s">
        <v>637</v>
      </c>
      <c r="D930" s="7" t="s">
        <v>3173</v>
      </c>
    </row>
    <row r="931" spans="1:4" ht="31.5" x14ac:dyDescent="0.25">
      <c r="A931" s="5" t="s">
        <v>3174</v>
      </c>
      <c r="B931" s="6" t="s">
        <v>3175</v>
      </c>
      <c r="C931" s="8" t="s">
        <v>936</v>
      </c>
      <c r="D931" s="7" t="s">
        <v>3176</v>
      </c>
    </row>
    <row r="932" spans="1:4" ht="47.25" x14ac:dyDescent="0.25">
      <c r="A932" s="5" t="s">
        <v>3177</v>
      </c>
      <c r="B932" s="6" t="s">
        <v>3178</v>
      </c>
      <c r="C932" s="8" t="s">
        <v>3179</v>
      </c>
      <c r="D932" s="7" t="s">
        <v>3180</v>
      </c>
    </row>
    <row r="933" spans="1:4" ht="31.5" x14ac:dyDescent="0.25">
      <c r="A933" s="5" t="s">
        <v>3181</v>
      </c>
      <c r="B933" s="6" t="s">
        <v>3182</v>
      </c>
      <c r="C933" s="8" t="s">
        <v>518</v>
      </c>
      <c r="D933" s="7" t="s">
        <v>3183</v>
      </c>
    </row>
    <row r="934" spans="1:4" ht="47.25" x14ac:dyDescent="0.25">
      <c r="A934" s="5" t="s">
        <v>3184</v>
      </c>
      <c r="B934" s="6" t="s">
        <v>3185</v>
      </c>
      <c r="C934" s="8" t="s">
        <v>3186</v>
      </c>
      <c r="D934" s="7" t="s">
        <v>3187</v>
      </c>
    </row>
    <row r="935" spans="1:4" ht="47.25" x14ac:dyDescent="0.25">
      <c r="A935" s="5" t="s">
        <v>3188</v>
      </c>
      <c r="B935" s="6" t="s">
        <v>3189</v>
      </c>
      <c r="C935" s="8" t="s">
        <v>817</v>
      </c>
      <c r="D935" s="7" t="s">
        <v>3190</v>
      </c>
    </row>
    <row r="936" spans="1:4" ht="31.5" x14ac:dyDescent="0.25">
      <c r="A936" s="5" t="s">
        <v>3191</v>
      </c>
      <c r="B936" s="6" t="s">
        <v>3192</v>
      </c>
      <c r="C936" s="8" t="s">
        <v>530</v>
      </c>
      <c r="D936" s="7" t="s">
        <v>3193</v>
      </c>
    </row>
    <row r="937" spans="1:4" ht="47.25" x14ac:dyDescent="0.25">
      <c r="A937" s="5" t="s">
        <v>3194</v>
      </c>
      <c r="B937" s="6" t="s">
        <v>3195</v>
      </c>
      <c r="C937" s="8" t="s">
        <v>563</v>
      </c>
      <c r="D937" s="7" t="s">
        <v>3196</v>
      </c>
    </row>
    <row r="938" spans="1:4" ht="47.25" x14ac:dyDescent="0.25">
      <c r="A938" s="5" t="s">
        <v>3197</v>
      </c>
      <c r="B938" s="6" t="s">
        <v>3198</v>
      </c>
      <c r="C938" s="8" t="s">
        <v>2725</v>
      </c>
      <c r="D938" s="7" t="s">
        <v>3199</v>
      </c>
    </row>
    <row r="939" spans="1:4" ht="31.5" x14ac:dyDescent="0.25">
      <c r="A939" s="5" t="s">
        <v>3200</v>
      </c>
      <c r="B939" s="6" t="s">
        <v>3201</v>
      </c>
      <c r="C939" s="8" t="s">
        <v>1826</v>
      </c>
      <c r="D939" s="7" t="s">
        <v>3202</v>
      </c>
    </row>
    <row r="940" spans="1:4" ht="31.5" x14ac:dyDescent="0.25">
      <c r="A940" s="5" t="s">
        <v>3203</v>
      </c>
      <c r="B940" s="6" t="s">
        <v>3204</v>
      </c>
      <c r="C940" s="8" t="s">
        <v>1826</v>
      </c>
      <c r="D940" s="7" t="s">
        <v>3205</v>
      </c>
    </row>
    <row r="941" spans="1:4" ht="63" x14ac:dyDescent="0.25">
      <c r="A941" s="5" t="s">
        <v>3206</v>
      </c>
      <c r="B941" s="6" t="s">
        <v>3207</v>
      </c>
      <c r="C941" s="8" t="s">
        <v>3208</v>
      </c>
      <c r="D941" s="7" t="s">
        <v>3209</v>
      </c>
    </row>
    <row r="942" spans="1:4" ht="47.25" x14ac:dyDescent="0.25">
      <c r="A942" s="5" t="s">
        <v>3210</v>
      </c>
      <c r="B942" s="6" t="s">
        <v>3211</v>
      </c>
      <c r="C942" s="8" t="s">
        <v>1180</v>
      </c>
      <c r="D942" s="7" t="s">
        <v>3212</v>
      </c>
    </row>
    <row r="943" spans="1:4" ht="31.5" x14ac:dyDescent="0.25">
      <c r="A943" s="5" t="s">
        <v>3213</v>
      </c>
      <c r="B943" s="6" t="s">
        <v>3214</v>
      </c>
      <c r="C943" s="8" t="s">
        <v>941</v>
      </c>
      <c r="D943" s="7" t="s">
        <v>3215</v>
      </c>
    </row>
    <row r="944" spans="1:4" ht="47.25" x14ac:dyDescent="0.25">
      <c r="A944" s="5" t="s">
        <v>3216</v>
      </c>
      <c r="B944" s="6" t="s">
        <v>3217</v>
      </c>
      <c r="C944" s="8" t="s">
        <v>84</v>
      </c>
      <c r="D944" s="7" t="s">
        <v>3218</v>
      </c>
    </row>
    <row r="945" spans="1:4" ht="47.25" x14ac:dyDescent="0.25">
      <c r="A945" s="5" t="s">
        <v>3219</v>
      </c>
      <c r="B945" s="6" t="s">
        <v>3220</v>
      </c>
      <c r="C945" s="8" t="s">
        <v>3221</v>
      </c>
      <c r="D945" s="7" t="s">
        <v>3222</v>
      </c>
    </row>
    <row r="946" spans="1:4" ht="63" x14ac:dyDescent="0.25">
      <c r="A946" s="5" t="s">
        <v>3223</v>
      </c>
      <c r="B946" s="6" t="s">
        <v>3224</v>
      </c>
      <c r="C946" s="8" t="s">
        <v>3225</v>
      </c>
      <c r="D946" s="7" t="s">
        <v>3226</v>
      </c>
    </row>
    <row r="947" spans="1:4" ht="31.5" x14ac:dyDescent="0.25">
      <c r="A947" s="5" t="s">
        <v>3227</v>
      </c>
      <c r="B947" s="6" t="s">
        <v>3228</v>
      </c>
      <c r="C947" s="8" t="s">
        <v>390</v>
      </c>
      <c r="D947" s="7" t="s">
        <v>3229</v>
      </c>
    </row>
    <row r="948" spans="1:4" ht="31.5" x14ac:dyDescent="0.25">
      <c r="A948" s="5" t="s">
        <v>3230</v>
      </c>
      <c r="B948" s="6" t="s">
        <v>3231</v>
      </c>
      <c r="C948" s="8" t="s">
        <v>1180</v>
      </c>
      <c r="D948" s="7" t="s">
        <v>3232</v>
      </c>
    </row>
    <row r="949" spans="1:4" ht="47.25" x14ac:dyDescent="0.25">
      <c r="A949" s="5" t="s">
        <v>3233</v>
      </c>
      <c r="B949" s="6" t="s">
        <v>3234</v>
      </c>
      <c r="C949" s="8" t="s">
        <v>3235</v>
      </c>
      <c r="D949" s="7" t="s">
        <v>3236</v>
      </c>
    </row>
    <row r="950" spans="1:4" ht="31.5" x14ac:dyDescent="0.25">
      <c r="A950" s="5" t="s">
        <v>3237</v>
      </c>
      <c r="B950" s="6" t="s">
        <v>3238</v>
      </c>
      <c r="C950" s="8" t="s">
        <v>373</v>
      </c>
      <c r="D950" s="7" t="s">
        <v>3239</v>
      </c>
    </row>
    <row r="951" spans="1:4" ht="47.25" x14ac:dyDescent="0.25">
      <c r="A951" s="5" t="s">
        <v>3240</v>
      </c>
      <c r="B951" s="6" t="s">
        <v>3241</v>
      </c>
      <c r="C951" s="8" t="s">
        <v>2957</v>
      </c>
      <c r="D951" s="7" t="s">
        <v>3242</v>
      </c>
    </row>
    <row r="952" spans="1:4" ht="47.25" x14ac:dyDescent="0.25">
      <c r="A952" s="5" t="s">
        <v>3243</v>
      </c>
      <c r="B952" s="6" t="s">
        <v>3244</v>
      </c>
      <c r="C952" s="8" t="s">
        <v>1401</v>
      </c>
      <c r="D952" s="7" t="s">
        <v>3245</v>
      </c>
    </row>
    <row r="953" spans="1:4" ht="78.75" x14ac:dyDescent="0.25">
      <c r="A953" s="5" t="s">
        <v>3246</v>
      </c>
      <c r="B953" s="6" t="s">
        <v>3247</v>
      </c>
      <c r="C953" s="8" t="s">
        <v>1076</v>
      </c>
      <c r="D953" s="7" t="s">
        <v>3248</v>
      </c>
    </row>
    <row r="954" spans="1:4" ht="31.5" x14ac:dyDescent="0.25">
      <c r="A954" s="5" t="s">
        <v>3249</v>
      </c>
      <c r="B954" s="6" t="s">
        <v>3250</v>
      </c>
      <c r="C954" s="8" t="s">
        <v>425</v>
      </c>
      <c r="D954" s="7" t="s">
        <v>3251</v>
      </c>
    </row>
    <row r="955" spans="1:4" ht="31.5" x14ac:dyDescent="0.25">
      <c r="A955" s="5" t="s">
        <v>3252</v>
      </c>
      <c r="B955" s="6" t="s">
        <v>3253</v>
      </c>
      <c r="C955" s="8" t="s">
        <v>2699</v>
      </c>
      <c r="D955" s="7" t="s">
        <v>3254</v>
      </c>
    </row>
    <row r="956" spans="1:4" ht="63" x14ac:dyDescent="0.25">
      <c r="A956" s="5" t="s">
        <v>3255</v>
      </c>
      <c r="B956" s="6" t="s">
        <v>3256</v>
      </c>
      <c r="C956" s="8" t="s">
        <v>3257</v>
      </c>
      <c r="D956" s="7" t="s">
        <v>3258</v>
      </c>
    </row>
    <row r="957" spans="1:4" ht="31.5" x14ac:dyDescent="0.25">
      <c r="A957" s="5" t="s">
        <v>3259</v>
      </c>
      <c r="B957" s="6" t="s">
        <v>3260</v>
      </c>
      <c r="C957" s="8" t="s">
        <v>2662</v>
      </c>
      <c r="D957" s="7" t="s">
        <v>3261</v>
      </c>
    </row>
    <row r="958" spans="1:4" ht="31.5" x14ac:dyDescent="0.25">
      <c r="A958" s="5" t="s">
        <v>3262</v>
      </c>
      <c r="B958" s="6" t="s">
        <v>3263</v>
      </c>
      <c r="C958" s="8" t="s">
        <v>2328</v>
      </c>
      <c r="D958" s="7" t="s">
        <v>3264</v>
      </c>
    </row>
    <row r="959" spans="1:4" ht="31.5" x14ac:dyDescent="0.25">
      <c r="A959" s="5" t="s">
        <v>3265</v>
      </c>
      <c r="B959" s="6" t="s">
        <v>3266</v>
      </c>
      <c r="C959" s="8" t="s">
        <v>2069</v>
      </c>
      <c r="D959" s="7" t="s">
        <v>3267</v>
      </c>
    </row>
    <row r="960" spans="1:4" ht="47.25" x14ac:dyDescent="0.25">
      <c r="A960" s="5" t="s">
        <v>3268</v>
      </c>
      <c r="B960" s="6" t="s">
        <v>3269</v>
      </c>
      <c r="C960" s="8" t="s">
        <v>1059</v>
      </c>
      <c r="D960" s="7" t="s">
        <v>3270</v>
      </c>
    </row>
    <row r="961" spans="1:4" ht="47.25" x14ac:dyDescent="0.25">
      <c r="A961" s="5" t="s">
        <v>3271</v>
      </c>
      <c r="B961" s="6" t="s">
        <v>3272</v>
      </c>
      <c r="C961" s="8" t="s">
        <v>3273</v>
      </c>
      <c r="D961" s="7" t="s">
        <v>3274</v>
      </c>
    </row>
    <row r="962" spans="1:4" ht="31.5" x14ac:dyDescent="0.25">
      <c r="A962" s="5" t="s">
        <v>3275</v>
      </c>
      <c r="B962" s="6" t="s">
        <v>3276</v>
      </c>
      <c r="C962" s="8" t="s">
        <v>356</v>
      </c>
      <c r="D962" s="7" t="s">
        <v>3277</v>
      </c>
    </row>
    <row r="963" spans="1:4" ht="63" x14ac:dyDescent="0.25">
      <c r="A963" s="5" t="s">
        <v>3278</v>
      </c>
      <c r="B963" s="6" t="s">
        <v>3279</v>
      </c>
      <c r="C963" s="8" t="s">
        <v>746</v>
      </c>
      <c r="D963" s="7" t="s">
        <v>3280</v>
      </c>
    </row>
    <row r="964" spans="1:4" ht="47.25" x14ac:dyDescent="0.25">
      <c r="A964" s="5" t="s">
        <v>3281</v>
      </c>
      <c r="B964" s="6" t="s">
        <v>3282</v>
      </c>
      <c r="C964" s="8" t="s">
        <v>380</v>
      </c>
      <c r="D964" s="7" t="s">
        <v>3283</v>
      </c>
    </row>
    <row r="965" spans="1:4" ht="63" x14ac:dyDescent="0.25">
      <c r="A965" s="5" t="s">
        <v>3284</v>
      </c>
      <c r="B965" s="6" t="s">
        <v>3285</v>
      </c>
      <c r="C965" s="8" t="s">
        <v>435</v>
      </c>
      <c r="D965" s="7" t="s">
        <v>3286</v>
      </c>
    </row>
    <row r="966" spans="1:4" ht="63" x14ac:dyDescent="0.25">
      <c r="A966" s="5" t="s">
        <v>3287</v>
      </c>
      <c r="B966" s="6" t="s">
        <v>3288</v>
      </c>
      <c r="C966" s="8" t="s">
        <v>492</v>
      </c>
      <c r="D966" s="7" t="s">
        <v>3289</v>
      </c>
    </row>
    <row r="967" spans="1:4" ht="47.25" x14ac:dyDescent="0.25">
      <c r="A967" s="5" t="s">
        <v>3290</v>
      </c>
      <c r="B967" s="6" t="s">
        <v>3291</v>
      </c>
      <c r="C967" s="8" t="s">
        <v>1180</v>
      </c>
      <c r="D967" s="7" t="s">
        <v>3292</v>
      </c>
    </row>
    <row r="968" spans="1:4" ht="31.5" x14ac:dyDescent="0.25">
      <c r="A968" s="5" t="s">
        <v>3293</v>
      </c>
      <c r="B968" s="6" t="s">
        <v>3294</v>
      </c>
      <c r="C968" s="8" t="s">
        <v>3295</v>
      </c>
      <c r="D968" s="7" t="s">
        <v>3296</v>
      </c>
    </row>
    <row r="969" spans="1:4" ht="63" x14ac:dyDescent="0.25">
      <c r="A969" s="5" t="s">
        <v>3297</v>
      </c>
      <c r="B969" s="6" t="s">
        <v>3298</v>
      </c>
      <c r="C969" s="8" t="s">
        <v>1076</v>
      </c>
      <c r="D969" s="7" t="s">
        <v>3299</v>
      </c>
    </row>
    <row r="970" spans="1:4" ht="47.25" x14ac:dyDescent="0.25">
      <c r="A970" s="5" t="s">
        <v>3300</v>
      </c>
      <c r="B970" s="6" t="s">
        <v>3301</v>
      </c>
      <c r="C970" s="8" t="s">
        <v>1076</v>
      </c>
      <c r="D970" s="7" t="s">
        <v>3302</v>
      </c>
    </row>
    <row r="971" spans="1:4" ht="63" x14ac:dyDescent="0.25">
      <c r="A971" s="5" t="s">
        <v>3303</v>
      </c>
      <c r="B971" s="6" t="s">
        <v>3304</v>
      </c>
      <c r="C971" s="8" t="s">
        <v>3305</v>
      </c>
      <c r="D971" s="7" t="s">
        <v>3306</v>
      </c>
    </row>
    <row r="972" spans="1:4" ht="47.25" x14ac:dyDescent="0.25">
      <c r="A972" s="5" t="s">
        <v>3307</v>
      </c>
      <c r="B972" s="6" t="s">
        <v>3308</v>
      </c>
      <c r="C972" s="8" t="s">
        <v>628</v>
      </c>
      <c r="D972" s="7" t="s">
        <v>3309</v>
      </c>
    </row>
    <row r="973" spans="1:4" ht="47.25" x14ac:dyDescent="0.25">
      <c r="A973" s="5" t="s">
        <v>3310</v>
      </c>
      <c r="B973" s="6" t="s">
        <v>3311</v>
      </c>
      <c r="C973" s="8" t="s">
        <v>732</v>
      </c>
      <c r="D973" s="7" t="s">
        <v>3312</v>
      </c>
    </row>
    <row r="974" spans="1:4" ht="47.25" x14ac:dyDescent="0.25">
      <c r="A974" s="5" t="s">
        <v>3313</v>
      </c>
      <c r="B974" s="6" t="s">
        <v>3314</v>
      </c>
      <c r="C974" s="8" t="s">
        <v>930</v>
      </c>
      <c r="D974" s="7" t="s">
        <v>3315</v>
      </c>
    </row>
    <row r="975" spans="1:4" ht="31.5" x14ac:dyDescent="0.25">
      <c r="A975" s="5" t="s">
        <v>3316</v>
      </c>
      <c r="B975" s="6" t="s">
        <v>3317</v>
      </c>
      <c r="C975" s="8" t="s">
        <v>3318</v>
      </c>
      <c r="D975" s="7" t="s">
        <v>3319</v>
      </c>
    </row>
    <row r="976" spans="1:4" ht="63" x14ac:dyDescent="0.25">
      <c r="A976" s="5" t="s">
        <v>3320</v>
      </c>
      <c r="B976" s="6" t="s">
        <v>3321</v>
      </c>
      <c r="C976" s="8" t="s">
        <v>3318</v>
      </c>
      <c r="D976" s="7" t="s">
        <v>3322</v>
      </c>
    </row>
    <row r="977" spans="1:4" ht="47.25" x14ac:dyDescent="0.25">
      <c r="A977" s="5" t="s">
        <v>3323</v>
      </c>
      <c r="B977" s="6" t="s">
        <v>3324</v>
      </c>
      <c r="C977" s="8" t="s">
        <v>3325</v>
      </c>
      <c r="D977" s="7" t="s">
        <v>3326</v>
      </c>
    </row>
    <row r="978" spans="1:4" ht="31.5" x14ac:dyDescent="0.25">
      <c r="A978" s="5" t="s">
        <v>3327</v>
      </c>
      <c r="B978" s="6" t="s">
        <v>3328</v>
      </c>
      <c r="C978" s="8" t="s">
        <v>3329</v>
      </c>
      <c r="D978" s="7" t="s">
        <v>3330</v>
      </c>
    </row>
    <row r="979" spans="1:4" ht="47.25" x14ac:dyDescent="0.25">
      <c r="A979" s="5" t="s">
        <v>3331</v>
      </c>
      <c r="B979" s="6" t="s">
        <v>3332</v>
      </c>
      <c r="C979" s="8" t="s">
        <v>1031</v>
      </c>
      <c r="D979" s="7" t="s">
        <v>3333</v>
      </c>
    </row>
    <row r="980" spans="1:4" ht="31.5" x14ac:dyDescent="0.25">
      <c r="A980" s="5" t="s">
        <v>3334</v>
      </c>
      <c r="B980" s="6" t="s">
        <v>3335</v>
      </c>
      <c r="C980" s="8" t="s">
        <v>3336</v>
      </c>
      <c r="D980" s="7" t="s">
        <v>3337</v>
      </c>
    </row>
    <row r="981" spans="1:4" ht="47.25" x14ac:dyDescent="0.25">
      <c r="A981" s="5" t="s">
        <v>3338</v>
      </c>
      <c r="B981" s="6" t="s">
        <v>3339</v>
      </c>
      <c r="C981" s="8" t="s">
        <v>2092</v>
      </c>
      <c r="D981" s="7" t="s">
        <v>3340</v>
      </c>
    </row>
    <row r="982" spans="1:4" ht="47.25" x14ac:dyDescent="0.25">
      <c r="A982" s="5" t="s">
        <v>3341</v>
      </c>
      <c r="B982" s="6" t="s">
        <v>3342</v>
      </c>
      <c r="C982" s="8" t="s">
        <v>525</v>
      </c>
      <c r="D982" s="7" t="s">
        <v>3343</v>
      </c>
    </row>
    <row r="983" spans="1:4" ht="63" x14ac:dyDescent="0.25">
      <c r="A983" s="5" t="s">
        <v>3344</v>
      </c>
      <c r="B983" s="6" t="s">
        <v>3345</v>
      </c>
      <c r="C983" s="8" t="s">
        <v>3346</v>
      </c>
      <c r="D983" s="7" t="s">
        <v>3347</v>
      </c>
    </row>
    <row r="984" spans="1:4" ht="47.25" x14ac:dyDescent="0.25">
      <c r="A984" s="5" t="s">
        <v>3348</v>
      </c>
      <c r="B984" s="6" t="s">
        <v>3349</v>
      </c>
      <c r="C984" s="8" t="s">
        <v>1923</v>
      </c>
      <c r="D984" s="7" t="s">
        <v>3350</v>
      </c>
    </row>
    <row r="985" spans="1:4" ht="78.75" x14ac:dyDescent="0.25">
      <c r="A985" s="5" t="s">
        <v>3351</v>
      </c>
      <c r="B985" s="6" t="s">
        <v>3352</v>
      </c>
      <c r="C985" s="8" t="s">
        <v>982</v>
      </c>
      <c r="D985" s="7" t="s">
        <v>3353</v>
      </c>
    </row>
    <row r="986" spans="1:4" ht="31.5" x14ac:dyDescent="0.25">
      <c r="A986" s="5" t="s">
        <v>3354</v>
      </c>
      <c r="B986" s="6" t="s">
        <v>3355</v>
      </c>
      <c r="C986" s="8" t="s">
        <v>530</v>
      </c>
      <c r="D986" s="7" t="s">
        <v>3356</v>
      </c>
    </row>
    <row r="987" spans="1:4" ht="47.25" x14ac:dyDescent="0.25">
      <c r="A987" s="5" t="s">
        <v>3357</v>
      </c>
      <c r="B987" s="6" t="s">
        <v>3358</v>
      </c>
      <c r="C987" s="8" t="s">
        <v>3359</v>
      </c>
      <c r="D987" s="7" t="s">
        <v>3360</v>
      </c>
    </row>
    <row r="988" spans="1:4" ht="47.25" x14ac:dyDescent="0.25">
      <c r="A988" s="5" t="s">
        <v>3361</v>
      </c>
      <c r="B988" s="6" t="s">
        <v>3362</v>
      </c>
      <c r="C988" s="8" t="s">
        <v>2457</v>
      </c>
      <c r="D988" s="7" t="s">
        <v>3363</v>
      </c>
    </row>
    <row r="989" spans="1:4" ht="31.5" x14ac:dyDescent="0.25">
      <c r="A989" s="5" t="s">
        <v>3364</v>
      </c>
      <c r="B989" s="6" t="s">
        <v>3365</v>
      </c>
      <c r="C989" s="8" t="s">
        <v>1198</v>
      </c>
      <c r="D989" s="7" t="s">
        <v>3366</v>
      </c>
    </row>
    <row r="990" spans="1:4" ht="47.25" x14ac:dyDescent="0.25">
      <c r="A990" s="5" t="s">
        <v>3367</v>
      </c>
      <c r="B990" s="6" t="s">
        <v>3368</v>
      </c>
      <c r="C990" s="8" t="s">
        <v>3369</v>
      </c>
      <c r="D990" s="7" t="s">
        <v>3370</v>
      </c>
    </row>
    <row r="991" spans="1:4" ht="47.25" x14ac:dyDescent="0.25">
      <c r="A991" s="5" t="s">
        <v>3371</v>
      </c>
      <c r="B991" s="6" t="s">
        <v>3372</v>
      </c>
      <c r="C991" s="8" t="s">
        <v>3295</v>
      </c>
      <c r="D991" s="7" t="s">
        <v>3373</v>
      </c>
    </row>
    <row r="992" spans="1:4" ht="47.25" x14ac:dyDescent="0.25">
      <c r="A992" s="5" t="s">
        <v>3374</v>
      </c>
      <c r="B992" s="6" t="s">
        <v>3375</v>
      </c>
      <c r="C992" s="53" t="s">
        <v>3376</v>
      </c>
      <c r="D992" s="7" t="s">
        <v>3377</v>
      </c>
    </row>
    <row r="993" spans="1:4" ht="63" x14ac:dyDescent="0.25">
      <c r="A993" s="5" t="s">
        <v>3378</v>
      </c>
      <c r="B993" s="6" t="s">
        <v>3379</v>
      </c>
      <c r="C993" s="8" t="s">
        <v>944</v>
      </c>
      <c r="D993" s="7" t="s">
        <v>3380</v>
      </c>
    </row>
    <row r="994" spans="1:4" ht="63" x14ac:dyDescent="0.25">
      <c r="A994" s="5" t="s">
        <v>3381</v>
      </c>
      <c r="B994" s="6" t="s">
        <v>3382</v>
      </c>
      <c r="C994" s="8" t="s">
        <v>944</v>
      </c>
      <c r="D994" s="7" t="s">
        <v>3383</v>
      </c>
    </row>
    <row r="995" spans="1:4" ht="47.25" x14ac:dyDescent="0.25">
      <c r="A995" s="5" t="s">
        <v>3384</v>
      </c>
      <c r="B995" s="6" t="s">
        <v>3385</v>
      </c>
      <c r="C995" s="8" t="s">
        <v>3359</v>
      </c>
      <c r="D995" s="7" t="s">
        <v>3386</v>
      </c>
    </row>
    <row r="996" spans="1:4" ht="47.25" x14ac:dyDescent="0.25">
      <c r="A996" s="5" t="s">
        <v>3387</v>
      </c>
      <c r="B996" s="6" t="s">
        <v>3388</v>
      </c>
      <c r="C996" s="8" t="s">
        <v>3359</v>
      </c>
      <c r="D996" s="7" t="s">
        <v>3389</v>
      </c>
    </row>
    <row r="997" spans="1:4" ht="47.25" x14ac:dyDescent="0.25">
      <c r="A997" s="5" t="s">
        <v>3390</v>
      </c>
      <c r="B997" s="6" t="s">
        <v>3391</v>
      </c>
      <c r="C997" s="8" t="s">
        <v>2879</v>
      </c>
      <c r="D997" s="7" t="s">
        <v>3392</v>
      </c>
    </row>
    <row r="998" spans="1:4" ht="31.5" x14ac:dyDescent="0.25">
      <c r="A998" s="5" t="s">
        <v>3393</v>
      </c>
      <c r="B998" s="6" t="s">
        <v>3394</v>
      </c>
      <c r="C998" s="8" t="s">
        <v>1742</v>
      </c>
      <c r="D998" s="7" t="s">
        <v>3395</v>
      </c>
    </row>
    <row r="999" spans="1:4" ht="31.5" x14ac:dyDescent="0.25">
      <c r="A999" s="5" t="s">
        <v>3396</v>
      </c>
      <c r="B999" s="6" t="s">
        <v>3397</v>
      </c>
      <c r="C999" s="8" t="s">
        <v>3398</v>
      </c>
      <c r="D999" s="7" t="s">
        <v>3399</v>
      </c>
    </row>
    <row r="1000" spans="1:4" ht="31.5" x14ac:dyDescent="0.25">
      <c r="A1000" s="5" t="s">
        <v>3400</v>
      </c>
      <c r="B1000" s="6" t="s">
        <v>3401</v>
      </c>
      <c r="C1000" s="8" t="s">
        <v>3225</v>
      </c>
      <c r="D1000" s="7" t="s">
        <v>3402</v>
      </c>
    </row>
    <row r="1001" spans="1:4" ht="47.25" x14ac:dyDescent="0.25">
      <c r="A1001" s="5" t="s">
        <v>3403</v>
      </c>
      <c r="B1001" s="6" t="s">
        <v>3404</v>
      </c>
      <c r="C1001" s="8" t="s">
        <v>646</v>
      </c>
      <c r="D1001" s="7" t="s">
        <v>3405</v>
      </c>
    </row>
    <row r="1002" spans="1:4" ht="31.5" x14ac:dyDescent="0.25">
      <c r="A1002" s="5" t="s">
        <v>3406</v>
      </c>
      <c r="B1002" s="6" t="s">
        <v>3407</v>
      </c>
      <c r="C1002" s="8" t="s">
        <v>3408</v>
      </c>
      <c r="D1002" s="7" t="s">
        <v>3409</v>
      </c>
    </row>
    <row r="1003" spans="1:4" ht="31.5" x14ac:dyDescent="0.25">
      <c r="A1003" s="5" t="s">
        <v>3410</v>
      </c>
      <c r="B1003" s="6" t="s">
        <v>3411</v>
      </c>
      <c r="C1003" s="8" t="s">
        <v>530</v>
      </c>
      <c r="D1003" s="7" t="s">
        <v>3412</v>
      </c>
    </row>
    <row r="1004" spans="1:4" ht="63" x14ac:dyDescent="0.25">
      <c r="A1004" s="5" t="s">
        <v>3413</v>
      </c>
      <c r="B1004" s="6" t="s">
        <v>3414</v>
      </c>
      <c r="C1004" s="8" t="s">
        <v>817</v>
      </c>
      <c r="D1004" s="7" t="s">
        <v>3415</v>
      </c>
    </row>
    <row r="1005" spans="1:4" ht="47.25" x14ac:dyDescent="0.25">
      <c r="A1005" s="5" t="s">
        <v>3416</v>
      </c>
      <c r="B1005" s="6" t="s">
        <v>3417</v>
      </c>
      <c r="C1005" s="8" t="s">
        <v>3418</v>
      </c>
      <c r="D1005" s="7" t="s">
        <v>3419</v>
      </c>
    </row>
    <row r="1006" spans="1:4" ht="31.5" x14ac:dyDescent="0.25">
      <c r="A1006" s="5" t="s">
        <v>3420</v>
      </c>
      <c r="B1006" s="6" t="s">
        <v>3421</v>
      </c>
      <c r="C1006" s="8" t="s">
        <v>663</v>
      </c>
      <c r="D1006" s="7" t="s">
        <v>3422</v>
      </c>
    </row>
    <row r="1007" spans="1:4" ht="31.5" x14ac:dyDescent="0.25">
      <c r="A1007" s="5" t="s">
        <v>3423</v>
      </c>
      <c r="B1007" s="6" t="s">
        <v>3424</v>
      </c>
      <c r="C1007" s="8" t="s">
        <v>2140</v>
      </c>
      <c r="D1007" s="7" t="s">
        <v>3425</v>
      </c>
    </row>
    <row r="1008" spans="1:4" ht="31.5" x14ac:dyDescent="0.25">
      <c r="A1008" s="5" t="s">
        <v>3426</v>
      </c>
      <c r="B1008" s="6" t="s">
        <v>3427</v>
      </c>
      <c r="C1008" s="8" t="s">
        <v>2140</v>
      </c>
      <c r="D1008" s="7" t="s">
        <v>3428</v>
      </c>
    </row>
    <row r="1009" spans="1:4" ht="31.5" x14ac:dyDescent="0.25">
      <c r="A1009" s="5" t="s">
        <v>3429</v>
      </c>
      <c r="B1009" s="6" t="s">
        <v>3430</v>
      </c>
      <c r="C1009" s="8" t="s">
        <v>546</v>
      </c>
      <c r="D1009" s="7" t="s">
        <v>3431</v>
      </c>
    </row>
    <row r="1010" spans="1:4" ht="31.5" x14ac:dyDescent="0.25">
      <c r="A1010" s="5" t="s">
        <v>3432</v>
      </c>
      <c r="B1010" s="6" t="s">
        <v>3433</v>
      </c>
      <c r="C1010" s="8" t="s">
        <v>546</v>
      </c>
      <c r="D1010" s="7" t="s">
        <v>3434</v>
      </c>
    </row>
    <row r="1011" spans="1:4" ht="47.25" x14ac:dyDescent="0.25">
      <c r="A1011" s="5" t="s">
        <v>3435</v>
      </c>
      <c r="B1011" s="6" t="s">
        <v>3436</v>
      </c>
      <c r="C1011" s="8" t="s">
        <v>1302</v>
      </c>
      <c r="D1011" s="7" t="s">
        <v>3437</v>
      </c>
    </row>
    <row r="1012" spans="1:4" x14ac:dyDescent="0.25">
      <c r="A1012" s="5" t="s">
        <v>3438</v>
      </c>
      <c r="B1012" s="6" t="s">
        <v>3439</v>
      </c>
      <c r="C1012" s="8" t="s">
        <v>2725</v>
      </c>
      <c r="D1012" s="7" t="s">
        <v>3440</v>
      </c>
    </row>
    <row r="1013" spans="1:4" ht="47.25" x14ac:dyDescent="0.25">
      <c r="A1013" s="5" t="s">
        <v>3441</v>
      </c>
      <c r="B1013" s="6" t="s">
        <v>3442</v>
      </c>
      <c r="C1013" s="8" t="s">
        <v>2318</v>
      </c>
      <c r="D1013" s="7" t="s">
        <v>3443</v>
      </c>
    </row>
    <row r="1014" spans="1:4" ht="47.25" x14ac:dyDescent="0.25">
      <c r="A1014" s="5" t="s">
        <v>3444</v>
      </c>
      <c r="B1014" s="6" t="s">
        <v>3445</v>
      </c>
      <c r="C1014" s="8" t="s">
        <v>3446</v>
      </c>
      <c r="D1014" s="7" t="s">
        <v>3447</v>
      </c>
    </row>
    <row r="1015" spans="1:4" ht="31.5" x14ac:dyDescent="0.25">
      <c r="A1015" s="5" t="s">
        <v>3448</v>
      </c>
      <c r="B1015" s="6" t="s">
        <v>3449</v>
      </c>
      <c r="C1015" s="8" t="s">
        <v>3450</v>
      </c>
      <c r="D1015" s="7" t="s">
        <v>3451</v>
      </c>
    </row>
    <row r="1016" spans="1:4" ht="47.25" x14ac:dyDescent="0.25">
      <c r="A1016" s="5" t="s">
        <v>3452</v>
      </c>
      <c r="B1016" s="6" t="s">
        <v>3453</v>
      </c>
      <c r="C1016" s="8" t="s">
        <v>2421</v>
      </c>
      <c r="D1016" s="7" t="s">
        <v>3454</v>
      </c>
    </row>
    <row r="1017" spans="1:4" ht="47.25" x14ac:dyDescent="0.25">
      <c r="A1017" s="5" t="s">
        <v>3455</v>
      </c>
      <c r="B1017" s="6" t="s">
        <v>3456</v>
      </c>
      <c r="C1017" s="8" t="s">
        <v>3457</v>
      </c>
      <c r="D1017" s="7" t="s">
        <v>3458</v>
      </c>
    </row>
    <row r="1018" spans="1:4" ht="63" x14ac:dyDescent="0.25">
      <c r="A1018" s="5" t="s">
        <v>3459</v>
      </c>
      <c r="B1018" s="6" t="s">
        <v>3460</v>
      </c>
      <c r="C1018" s="8" t="s">
        <v>3461</v>
      </c>
      <c r="D1018" s="7" t="s">
        <v>3462</v>
      </c>
    </row>
    <row r="1019" spans="1:4" ht="31.5" x14ac:dyDescent="0.25">
      <c r="A1019" s="5" t="s">
        <v>3463</v>
      </c>
      <c r="B1019" s="6" t="s">
        <v>3464</v>
      </c>
      <c r="C1019" s="8" t="s">
        <v>3465</v>
      </c>
      <c r="D1019" s="7" t="s">
        <v>3466</v>
      </c>
    </row>
    <row r="1020" spans="1:4" ht="47.25" x14ac:dyDescent="0.25">
      <c r="A1020" s="5" t="s">
        <v>3467</v>
      </c>
      <c r="B1020" s="6" t="s">
        <v>3468</v>
      </c>
      <c r="C1020" s="8" t="s">
        <v>1348</v>
      </c>
      <c r="D1020" s="7" t="s">
        <v>3469</v>
      </c>
    </row>
    <row r="1021" spans="1:4" ht="31.5" x14ac:dyDescent="0.25">
      <c r="A1021" s="5" t="s">
        <v>3470</v>
      </c>
      <c r="B1021" s="6" t="s">
        <v>3471</v>
      </c>
      <c r="C1021" s="8" t="s">
        <v>1348</v>
      </c>
      <c r="D1021" s="7" t="s">
        <v>3472</v>
      </c>
    </row>
    <row r="1022" spans="1:4" ht="47.25" x14ac:dyDescent="0.25">
      <c r="A1022" s="5" t="s">
        <v>3473</v>
      </c>
      <c r="B1022" s="6" t="s">
        <v>3474</v>
      </c>
      <c r="C1022" s="8" t="s">
        <v>911</v>
      </c>
      <c r="D1022" s="7" t="s">
        <v>3475</v>
      </c>
    </row>
    <row r="1023" spans="1:4" ht="47.25" x14ac:dyDescent="0.25">
      <c r="A1023" s="5" t="s">
        <v>3476</v>
      </c>
      <c r="B1023" s="6" t="s">
        <v>3477</v>
      </c>
      <c r="C1023" s="8" t="s">
        <v>2901</v>
      </c>
      <c r="D1023" s="7" t="s">
        <v>3478</v>
      </c>
    </row>
    <row r="1024" spans="1:4" ht="47.25" x14ac:dyDescent="0.25">
      <c r="A1024" s="5" t="s">
        <v>3479</v>
      </c>
      <c r="B1024" s="6" t="s">
        <v>3480</v>
      </c>
      <c r="C1024" s="8" t="s">
        <v>3481</v>
      </c>
      <c r="D1024" s="7" t="s">
        <v>3482</v>
      </c>
    </row>
    <row r="1025" spans="1:4" ht="47.25" x14ac:dyDescent="0.25">
      <c r="A1025" s="5" t="s">
        <v>3483</v>
      </c>
      <c r="B1025" s="6" t="s">
        <v>3484</v>
      </c>
      <c r="C1025" s="8" t="s">
        <v>3481</v>
      </c>
      <c r="D1025" s="7" t="s">
        <v>3485</v>
      </c>
    </row>
    <row r="1026" spans="1:4" ht="63" x14ac:dyDescent="0.25">
      <c r="A1026" s="5" t="s">
        <v>3486</v>
      </c>
      <c r="B1026" s="6" t="s">
        <v>3487</v>
      </c>
      <c r="C1026" s="8" t="s">
        <v>530</v>
      </c>
      <c r="D1026" s="7" t="s">
        <v>3488</v>
      </c>
    </row>
    <row r="1027" spans="1:4" ht="47.25" x14ac:dyDescent="0.25">
      <c r="A1027" s="5" t="s">
        <v>3489</v>
      </c>
      <c r="B1027" s="6" t="s">
        <v>3490</v>
      </c>
      <c r="C1027" s="8" t="s">
        <v>2627</v>
      </c>
      <c r="D1027" s="7" t="s">
        <v>3491</v>
      </c>
    </row>
    <row r="1028" spans="1:4" ht="47.25" x14ac:dyDescent="0.25">
      <c r="A1028" s="5" t="s">
        <v>3492</v>
      </c>
      <c r="B1028" s="6" t="s">
        <v>3493</v>
      </c>
      <c r="C1028" s="8" t="s">
        <v>360</v>
      </c>
      <c r="D1028" s="7" t="s">
        <v>3494</v>
      </c>
    </row>
    <row r="1029" spans="1:4" ht="47.25" x14ac:dyDescent="0.25">
      <c r="A1029" s="5" t="s">
        <v>3495</v>
      </c>
      <c r="B1029" s="6" t="s">
        <v>3496</v>
      </c>
      <c r="C1029" s="8" t="s">
        <v>549</v>
      </c>
      <c r="D1029" s="7" t="s">
        <v>3497</v>
      </c>
    </row>
    <row r="1030" spans="1:4" ht="63" x14ac:dyDescent="0.25">
      <c r="A1030" s="5" t="s">
        <v>3498</v>
      </c>
      <c r="B1030" s="6" t="s">
        <v>3499</v>
      </c>
      <c r="C1030" s="8" t="s">
        <v>380</v>
      </c>
      <c r="D1030" s="7" t="s">
        <v>3500</v>
      </c>
    </row>
    <row r="1031" spans="1:4" ht="47.25" x14ac:dyDescent="0.25">
      <c r="A1031" s="5" t="s">
        <v>3501</v>
      </c>
      <c r="B1031" s="6" t="s">
        <v>3502</v>
      </c>
      <c r="C1031" s="8" t="s">
        <v>3408</v>
      </c>
      <c r="D1031" s="7" t="s">
        <v>3503</v>
      </c>
    </row>
    <row r="1032" spans="1:4" ht="31.5" x14ac:dyDescent="0.25">
      <c r="A1032" s="5" t="s">
        <v>3504</v>
      </c>
      <c r="B1032" s="6" t="s">
        <v>3505</v>
      </c>
      <c r="C1032" s="8" t="s">
        <v>746</v>
      </c>
      <c r="D1032" s="7" t="s">
        <v>3506</v>
      </c>
    </row>
    <row r="1033" spans="1:4" ht="31.5" x14ac:dyDescent="0.25">
      <c r="A1033" s="5" t="s">
        <v>3507</v>
      </c>
      <c r="B1033" s="6" t="s">
        <v>3508</v>
      </c>
      <c r="C1033" s="8" t="s">
        <v>1161</v>
      </c>
      <c r="D1033" s="7" t="s">
        <v>3509</v>
      </c>
    </row>
    <row r="1034" spans="1:4" ht="47.25" x14ac:dyDescent="0.25">
      <c r="A1034" s="5" t="s">
        <v>3510</v>
      </c>
      <c r="B1034" s="6" t="s">
        <v>3511</v>
      </c>
      <c r="C1034" s="8" t="s">
        <v>3512</v>
      </c>
      <c r="D1034" s="7" t="s">
        <v>3513</v>
      </c>
    </row>
    <row r="1035" spans="1:4" ht="47.25" x14ac:dyDescent="0.25">
      <c r="A1035" s="5" t="s">
        <v>3514</v>
      </c>
      <c r="B1035" s="6" t="s">
        <v>3515</v>
      </c>
      <c r="C1035" s="8" t="s">
        <v>944</v>
      </c>
      <c r="D1035" s="7" t="s">
        <v>3516</v>
      </c>
    </row>
    <row r="1036" spans="1:4" ht="63" x14ac:dyDescent="0.25">
      <c r="A1036" s="5" t="s">
        <v>3517</v>
      </c>
      <c r="B1036" s="6" t="s">
        <v>3518</v>
      </c>
      <c r="C1036" s="8" t="s">
        <v>1923</v>
      </c>
      <c r="D1036" s="7" t="s">
        <v>3519</v>
      </c>
    </row>
    <row r="1037" spans="1:4" ht="31.5" x14ac:dyDescent="0.25">
      <c r="A1037" s="5" t="s">
        <v>3520</v>
      </c>
      <c r="B1037" s="6" t="s">
        <v>3521</v>
      </c>
      <c r="C1037" s="8" t="s">
        <v>1923</v>
      </c>
      <c r="D1037" s="7" t="s">
        <v>3522</v>
      </c>
    </row>
    <row r="1038" spans="1:4" ht="47.25" x14ac:dyDescent="0.25">
      <c r="A1038" s="5" t="s">
        <v>3523</v>
      </c>
      <c r="B1038" s="6" t="s">
        <v>3524</v>
      </c>
      <c r="C1038" s="8" t="s">
        <v>1805</v>
      </c>
      <c r="D1038" s="7" t="s">
        <v>3525</v>
      </c>
    </row>
    <row r="1039" spans="1:4" ht="47.25" x14ac:dyDescent="0.25">
      <c r="A1039" s="5" t="s">
        <v>3526</v>
      </c>
      <c r="B1039" s="6" t="s">
        <v>3527</v>
      </c>
      <c r="C1039" s="8" t="s">
        <v>786</v>
      </c>
      <c r="D1039" s="7" t="s">
        <v>3528</v>
      </c>
    </row>
    <row r="1040" spans="1:4" ht="47.25" x14ac:dyDescent="0.25">
      <c r="A1040" s="5" t="s">
        <v>3529</v>
      </c>
      <c r="B1040" s="6" t="s">
        <v>3530</v>
      </c>
      <c r="C1040" s="8" t="s">
        <v>817</v>
      </c>
      <c r="D1040" s="7" t="s">
        <v>3531</v>
      </c>
    </row>
    <row r="1041" spans="1:4" ht="47.25" x14ac:dyDescent="0.25">
      <c r="A1041" s="5" t="s">
        <v>3532</v>
      </c>
      <c r="B1041" s="6" t="s">
        <v>3533</v>
      </c>
      <c r="C1041" s="8" t="s">
        <v>823</v>
      </c>
      <c r="D1041" s="7" t="s">
        <v>3534</v>
      </c>
    </row>
    <row r="1042" spans="1:4" ht="47.25" x14ac:dyDescent="0.25">
      <c r="A1042" s="5" t="s">
        <v>3535</v>
      </c>
      <c r="B1042" s="6" t="s">
        <v>3536</v>
      </c>
      <c r="C1042" s="8" t="s">
        <v>3537</v>
      </c>
      <c r="D1042" s="7" t="s">
        <v>3538</v>
      </c>
    </row>
    <row r="1043" spans="1:4" ht="63" x14ac:dyDescent="0.25">
      <c r="A1043" s="5" t="s">
        <v>3539</v>
      </c>
      <c r="B1043" s="6" t="s">
        <v>3540</v>
      </c>
      <c r="C1043" s="8" t="s">
        <v>3541</v>
      </c>
      <c r="D1043" s="7" t="s">
        <v>3542</v>
      </c>
    </row>
    <row r="1044" spans="1:4" ht="47.25" x14ac:dyDescent="0.25">
      <c r="A1044" s="5" t="s">
        <v>3543</v>
      </c>
      <c r="B1044" s="6" t="s">
        <v>3544</v>
      </c>
      <c r="C1044" s="8" t="s">
        <v>415</v>
      </c>
      <c r="D1044" s="7" t="s">
        <v>3545</v>
      </c>
    </row>
    <row r="1045" spans="1:4" ht="47.25" x14ac:dyDescent="0.25">
      <c r="A1045" s="5" t="s">
        <v>3546</v>
      </c>
      <c r="B1045" s="6" t="s">
        <v>3547</v>
      </c>
      <c r="C1045" s="8" t="s">
        <v>3548</v>
      </c>
      <c r="D1045" s="7" t="s">
        <v>3549</v>
      </c>
    </row>
    <row r="1046" spans="1:4" ht="47.25" x14ac:dyDescent="0.25">
      <c r="A1046" s="5" t="s">
        <v>3550</v>
      </c>
      <c r="B1046" s="6" t="s">
        <v>3551</v>
      </c>
      <c r="C1046" s="8" t="s">
        <v>732</v>
      </c>
      <c r="D1046" s="7" t="s">
        <v>3552</v>
      </c>
    </row>
    <row r="1047" spans="1:4" ht="47.25" x14ac:dyDescent="0.25">
      <c r="A1047" s="5" t="s">
        <v>3553</v>
      </c>
      <c r="B1047" s="6" t="s">
        <v>3554</v>
      </c>
      <c r="C1047" s="8" t="s">
        <v>1654</v>
      </c>
      <c r="D1047" s="7" t="s">
        <v>3555</v>
      </c>
    </row>
    <row r="1048" spans="1:4" ht="47.25" x14ac:dyDescent="0.25">
      <c r="A1048" s="5" t="s">
        <v>3556</v>
      </c>
      <c r="B1048" s="6" t="s">
        <v>3557</v>
      </c>
      <c r="C1048" s="8" t="s">
        <v>3558</v>
      </c>
      <c r="D1048" s="7" t="s">
        <v>3559</v>
      </c>
    </row>
    <row r="1049" spans="1:4" ht="31.5" x14ac:dyDescent="0.25">
      <c r="A1049" s="5" t="s">
        <v>3560</v>
      </c>
      <c r="B1049" s="6" t="s">
        <v>3561</v>
      </c>
      <c r="C1049" s="8" t="s">
        <v>817</v>
      </c>
      <c r="D1049" s="7" t="s">
        <v>3562</v>
      </c>
    </row>
    <row r="1050" spans="1:4" ht="47.25" x14ac:dyDescent="0.25">
      <c r="A1050" s="5" t="s">
        <v>3563</v>
      </c>
      <c r="B1050" s="6" t="s">
        <v>3564</v>
      </c>
      <c r="C1050" s="8" t="s">
        <v>3565</v>
      </c>
      <c r="D1050" s="7" t="s">
        <v>3566</v>
      </c>
    </row>
    <row r="1051" spans="1:4" ht="31.5" x14ac:dyDescent="0.25">
      <c r="A1051" s="5" t="s">
        <v>3567</v>
      </c>
      <c r="B1051" s="6" t="s">
        <v>3568</v>
      </c>
      <c r="C1051" s="8" t="s">
        <v>393</v>
      </c>
      <c r="D1051" s="7" t="s">
        <v>3569</v>
      </c>
    </row>
    <row r="1052" spans="1:4" ht="47.25" x14ac:dyDescent="0.25">
      <c r="A1052" s="5" t="s">
        <v>3570</v>
      </c>
      <c r="B1052" s="6" t="s">
        <v>3571</v>
      </c>
      <c r="C1052" s="8" t="s">
        <v>498</v>
      </c>
      <c r="D1052" s="7" t="s">
        <v>3572</v>
      </c>
    </row>
    <row r="1053" spans="1:4" ht="47.25" x14ac:dyDescent="0.25">
      <c r="A1053" s="5" t="s">
        <v>3573</v>
      </c>
      <c r="B1053" s="6" t="s">
        <v>3574</v>
      </c>
      <c r="C1053" s="8" t="s">
        <v>425</v>
      </c>
      <c r="D1053" s="7" t="s">
        <v>3575</v>
      </c>
    </row>
    <row r="1054" spans="1:4" ht="31.5" x14ac:dyDescent="0.25">
      <c r="A1054" s="5" t="s">
        <v>3576</v>
      </c>
      <c r="B1054" s="6" t="s">
        <v>3577</v>
      </c>
      <c r="C1054" s="8" t="s">
        <v>3578</v>
      </c>
      <c r="D1054" s="7" t="s">
        <v>3579</v>
      </c>
    </row>
    <row r="1055" spans="1:4" ht="47.25" x14ac:dyDescent="0.25">
      <c r="A1055" s="5" t="s">
        <v>3580</v>
      </c>
      <c r="B1055" s="6" t="s">
        <v>3581</v>
      </c>
      <c r="C1055" s="8" t="s">
        <v>425</v>
      </c>
      <c r="D1055" s="7" t="s">
        <v>3582</v>
      </c>
    </row>
    <row r="1056" spans="1:4" ht="47.25" x14ac:dyDescent="0.25">
      <c r="A1056" s="5" t="s">
        <v>3583</v>
      </c>
      <c r="B1056" s="6" t="s">
        <v>3584</v>
      </c>
      <c r="C1056" s="8" t="s">
        <v>3585</v>
      </c>
      <c r="D1056" s="7" t="s">
        <v>3586</v>
      </c>
    </row>
    <row r="1057" spans="1:4" ht="47.25" x14ac:dyDescent="0.25">
      <c r="A1057" s="5" t="s">
        <v>3587</v>
      </c>
      <c r="B1057" s="6" t="s">
        <v>3588</v>
      </c>
      <c r="C1057" s="8" t="s">
        <v>2218</v>
      </c>
      <c r="D1057" s="7" t="s">
        <v>3589</v>
      </c>
    </row>
    <row r="1058" spans="1:4" ht="47.25" x14ac:dyDescent="0.25">
      <c r="A1058" s="5" t="s">
        <v>3590</v>
      </c>
      <c r="B1058" s="6" t="s">
        <v>3591</v>
      </c>
      <c r="C1058" s="8" t="s">
        <v>2627</v>
      </c>
      <c r="D1058" s="7" t="s">
        <v>3592</v>
      </c>
    </row>
    <row r="1059" spans="1:4" ht="47.25" x14ac:dyDescent="0.25">
      <c r="A1059" s="5" t="s">
        <v>3593</v>
      </c>
      <c r="B1059" s="6" t="s">
        <v>3594</v>
      </c>
      <c r="C1059" s="8" t="s">
        <v>2457</v>
      </c>
      <c r="D1059" s="7" t="s">
        <v>3595</v>
      </c>
    </row>
    <row r="1060" spans="1:4" ht="31.5" x14ac:dyDescent="0.25">
      <c r="A1060" s="5" t="s">
        <v>3596</v>
      </c>
      <c r="B1060" s="6" t="s">
        <v>3597</v>
      </c>
      <c r="C1060" s="8" t="s">
        <v>1370</v>
      </c>
      <c r="D1060" s="7" t="s">
        <v>3598</v>
      </c>
    </row>
    <row r="1061" spans="1:4" ht="47.25" x14ac:dyDescent="0.25">
      <c r="A1061" s="5" t="s">
        <v>3599</v>
      </c>
      <c r="B1061" s="6" t="s">
        <v>3600</v>
      </c>
      <c r="C1061" s="8" t="s">
        <v>477</v>
      </c>
      <c r="D1061" s="7" t="s">
        <v>3601</v>
      </c>
    </row>
    <row r="1062" spans="1:4" ht="47.25" x14ac:dyDescent="0.25">
      <c r="A1062" s="5" t="s">
        <v>3602</v>
      </c>
      <c r="B1062" s="6" t="s">
        <v>3603</v>
      </c>
      <c r="C1062" s="8" t="s">
        <v>3604</v>
      </c>
      <c r="D1062" s="7" t="s">
        <v>3605</v>
      </c>
    </row>
    <row r="1063" spans="1:4" ht="31.5" x14ac:dyDescent="0.25">
      <c r="A1063" s="5" t="s">
        <v>3606</v>
      </c>
      <c r="B1063" s="6" t="s">
        <v>3607</v>
      </c>
      <c r="C1063" s="8" t="s">
        <v>1886</v>
      </c>
      <c r="D1063" s="7" t="s">
        <v>3608</v>
      </c>
    </row>
    <row r="1064" spans="1:4" ht="47.25" x14ac:dyDescent="0.25">
      <c r="A1064" s="5" t="s">
        <v>3609</v>
      </c>
      <c r="B1064" s="6" t="s">
        <v>3610</v>
      </c>
      <c r="C1064" s="8" t="s">
        <v>2849</v>
      </c>
      <c r="D1064" s="7" t="s">
        <v>3611</v>
      </c>
    </row>
    <row r="1065" spans="1:4" ht="78.75" x14ac:dyDescent="0.25">
      <c r="A1065" s="5" t="s">
        <v>3612</v>
      </c>
      <c r="B1065" s="6" t="s">
        <v>3613</v>
      </c>
      <c r="C1065" s="8" t="s">
        <v>477</v>
      </c>
      <c r="D1065" s="7" t="s">
        <v>3614</v>
      </c>
    </row>
    <row r="1066" spans="1:4" ht="47.25" x14ac:dyDescent="0.25">
      <c r="A1066" s="5" t="s">
        <v>3615</v>
      </c>
      <c r="B1066" s="6" t="s">
        <v>3616</v>
      </c>
      <c r="C1066" s="8" t="s">
        <v>2613</v>
      </c>
      <c r="D1066" s="7" t="s">
        <v>3617</v>
      </c>
    </row>
    <row r="1067" spans="1:4" ht="47.25" x14ac:dyDescent="0.25">
      <c r="A1067" s="5" t="s">
        <v>3618</v>
      </c>
      <c r="B1067" s="6" t="s">
        <v>3619</v>
      </c>
      <c r="C1067" s="8" t="s">
        <v>3336</v>
      </c>
      <c r="D1067" s="7" t="s">
        <v>3620</v>
      </c>
    </row>
    <row r="1068" spans="1:4" ht="47.25" x14ac:dyDescent="0.25">
      <c r="A1068" s="5" t="s">
        <v>3621</v>
      </c>
      <c r="B1068" s="6" t="s">
        <v>3622</v>
      </c>
      <c r="C1068" s="8" t="s">
        <v>580</v>
      </c>
      <c r="D1068" s="7" t="s">
        <v>3623</v>
      </c>
    </row>
    <row r="1069" spans="1:4" ht="31.5" x14ac:dyDescent="0.25">
      <c r="A1069" s="5" t="s">
        <v>3624</v>
      </c>
      <c r="B1069" s="6" t="s">
        <v>3625</v>
      </c>
      <c r="C1069" s="8" t="s">
        <v>2606</v>
      </c>
      <c r="D1069" s="7" t="s">
        <v>3626</v>
      </c>
    </row>
    <row r="1070" spans="1:4" ht="63" x14ac:dyDescent="0.25">
      <c r="A1070" s="5" t="s">
        <v>3627</v>
      </c>
      <c r="B1070" s="6" t="s">
        <v>3628</v>
      </c>
      <c r="C1070" s="8" t="s">
        <v>3629</v>
      </c>
      <c r="D1070" s="7" t="s">
        <v>3630</v>
      </c>
    </row>
    <row r="1071" spans="1:4" ht="31.5" x14ac:dyDescent="0.25">
      <c r="A1071" s="5" t="s">
        <v>3631</v>
      </c>
      <c r="B1071" s="6" t="s">
        <v>3632</v>
      </c>
      <c r="C1071" s="8" t="s">
        <v>2598</v>
      </c>
      <c r="D1071" s="7" t="s">
        <v>3633</v>
      </c>
    </row>
    <row r="1072" spans="1:4" ht="63" x14ac:dyDescent="0.25">
      <c r="A1072" s="5" t="s">
        <v>3634</v>
      </c>
      <c r="B1072" s="6" t="s">
        <v>3635</v>
      </c>
      <c r="C1072" s="8" t="s">
        <v>3636</v>
      </c>
      <c r="D1072" s="7" t="s">
        <v>3637</v>
      </c>
    </row>
    <row r="1073" spans="1:4" ht="63" x14ac:dyDescent="0.25">
      <c r="A1073" s="5" t="s">
        <v>3638</v>
      </c>
      <c r="B1073" s="6" t="s">
        <v>3639</v>
      </c>
      <c r="C1073" s="8" t="s">
        <v>96</v>
      </c>
      <c r="D1073" s="7" t="s">
        <v>3640</v>
      </c>
    </row>
    <row r="1074" spans="1:4" ht="31.5" x14ac:dyDescent="0.25">
      <c r="A1074" s="5" t="s">
        <v>3641</v>
      </c>
      <c r="B1074" s="6" t="s">
        <v>3642</v>
      </c>
      <c r="C1074" s="8" t="s">
        <v>2118</v>
      </c>
      <c r="D1074" s="7" t="s">
        <v>3643</v>
      </c>
    </row>
    <row r="1075" spans="1:4" ht="31.5" x14ac:dyDescent="0.25">
      <c r="A1075" s="5" t="s">
        <v>3644</v>
      </c>
      <c r="B1075" s="6" t="s">
        <v>3645</v>
      </c>
      <c r="C1075" s="8" t="s">
        <v>96</v>
      </c>
      <c r="D1075" s="7" t="s">
        <v>3646</v>
      </c>
    </row>
    <row r="1076" spans="1:4" ht="47.25" x14ac:dyDescent="0.25">
      <c r="A1076" s="5" t="s">
        <v>3647</v>
      </c>
      <c r="B1076" s="6" t="s">
        <v>3648</v>
      </c>
      <c r="C1076" s="8" t="s">
        <v>444</v>
      </c>
      <c r="D1076" s="7" t="s">
        <v>3649</v>
      </c>
    </row>
    <row r="1077" spans="1:4" ht="47.25" x14ac:dyDescent="0.25">
      <c r="A1077" s="5" t="s">
        <v>3650</v>
      </c>
      <c r="B1077" s="6" t="s">
        <v>3651</v>
      </c>
      <c r="C1077" s="8" t="s">
        <v>554</v>
      </c>
      <c r="D1077" s="7" t="s">
        <v>3652</v>
      </c>
    </row>
    <row r="1078" spans="1:4" ht="94.5" x14ac:dyDescent="0.25">
      <c r="A1078" s="5" t="s">
        <v>3653</v>
      </c>
      <c r="B1078" s="6" t="s">
        <v>3654</v>
      </c>
      <c r="C1078" s="8" t="s">
        <v>1923</v>
      </c>
      <c r="D1078" s="7" t="s">
        <v>3655</v>
      </c>
    </row>
    <row r="1079" spans="1:4" ht="31.5" x14ac:dyDescent="0.25">
      <c r="A1079" s="5" t="s">
        <v>3656</v>
      </c>
      <c r="B1079" s="6" t="s">
        <v>3657</v>
      </c>
      <c r="C1079" s="8" t="s">
        <v>3658</v>
      </c>
      <c r="D1079" s="7" t="s">
        <v>3659</v>
      </c>
    </row>
    <row r="1080" spans="1:4" ht="31.5" x14ac:dyDescent="0.25">
      <c r="A1080" s="5" t="s">
        <v>3660</v>
      </c>
      <c r="B1080" s="6" t="s">
        <v>3661</v>
      </c>
      <c r="C1080" s="8" t="s">
        <v>1180</v>
      </c>
      <c r="D1080" s="7" t="s">
        <v>3662</v>
      </c>
    </row>
    <row r="1081" spans="1:4" ht="31.5" x14ac:dyDescent="0.25">
      <c r="A1081" s="5" t="s">
        <v>3663</v>
      </c>
      <c r="B1081" s="6" t="s">
        <v>3664</v>
      </c>
      <c r="C1081" s="8" t="s">
        <v>2779</v>
      </c>
      <c r="D1081" s="7" t="s">
        <v>3665</v>
      </c>
    </row>
  </sheetData>
  <phoneticPr fontId="6" type="noConversion"/>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84" footer="0.19685039370078741"/>
  <pageSetup paperSize="8" scale="75" fitToHeight="1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ayfa30">
    <tabColor rgb="FF002060"/>
  </sheetPr>
  <dimension ref="A1:I19"/>
  <sheetViews>
    <sheetView workbookViewId="0">
      <selection activeCell="A13" sqref="A13"/>
    </sheetView>
  </sheetViews>
  <sheetFormatPr defaultColWidth="10.7109375" defaultRowHeight="15.75" x14ac:dyDescent="0.25"/>
  <cols>
    <col min="1" max="1" width="46.85546875" style="11" bestFit="1" customWidth="1"/>
    <col min="2" max="2" width="58.7109375" style="11" bestFit="1" customWidth="1"/>
    <col min="3" max="3" width="53.5703125" style="15" customWidth="1"/>
    <col min="4" max="16384" width="10.7109375" style="11"/>
  </cols>
  <sheetData>
    <row r="1" spans="1:9" ht="79.5" thickBot="1" x14ac:dyDescent="0.3">
      <c r="A1" s="29" t="str">
        <f>MID(C1,IFERROR(FIND("üyelerinden ",C1),FIND("elemanlarından ",C1))+LEN(IFERROR(IF(FIND("üyelerinden ",C1),"üyelerinden "),"elemanlarından ")),FIND(" sorumlu",C1)-(IFERROR(FIND("üyelerinden ",C1),FIND("elemanlarından ",C1)))-LEN(IFERROR(IF(FIND("üyelerinden ",C1),"üyelerinden "),"elemanlarından ")))</f>
        <v>Prof. Dr. Başaran DEMİR’in</v>
      </c>
      <c r="B1" s="29" t="str">
        <f>MID(C1,FIND("Fakültesi ",C1)+LEN("Fakültesi "),FIND("öğretim ",C1)-FIND("Fakültesi ",C1)-LEN("Fakültesi "))</f>
        <v xml:space="preserve">Ruh Sağlığı ve Hastalıkları Anabilim Dalı </v>
      </c>
      <c r="C1" s="30" t="s">
        <v>90</v>
      </c>
    </row>
    <row r="4" spans="1:9" s="1" customFormat="1" x14ac:dyDescent="0.25">
      <c r="B4"/>
      <c r="C4"/>
      <c r="D4"/>
      <c r="E4"/>
      <c r="F4"/>
      <c r="G4"/>
      <c r="H4"/>
      <c r="I4"/>
    </row>
    <row r="5" spans="1:9" s="1" customFormat="1" x14ac:dyDescent="0.25">
      <c r="A5" s="10" t="s">
        <v>80</v>
      </c>
      <c r="B5"/>
      <c r="C5"/>
      <c r="D5"/>
      <c r="E5"/>
      <c r="F5"/>
      <c r="G5"/>
      <c r="H5"/>
      <c r="I5"/>
    </row>
    <row r="6" spans="1:9" s="1" customFormat="1" x14ac:dyDescent="0.25">
      <c r="A6" s="10" t="s">
        <v>81</v>
      </c>
      <c r="B6"/>
      <c r="C6"/>
      <c r="D6"/>
      <c r="E6"/>
      <c r="F6"/>
      <c r="G6"/>
      <c r="H6"/>
      <c r="I6"/>
    </row>
    <row r="7" spans="1:9" s="1" customFormat="1" x14ac:dyDescent="0.25">
      <c r="A7" s="10" t="s">
        <v>82</v>
      </c>
      <c r="B7"/>
      <c r="C7"/>
      <c r="D7"/>
      <c r="E7"/>
      <c r="F7"/>
      <c r="G7"/>
      <c r="H7"/>
      <c r="I7"/>
    </row>
    <row r="8" spans="1:9" s="1" customFormat="1" x14ac:dyDescent="0.25">
      <c r="A8" s="10" t="s">
        <v>83</v>
      </c>
      <c r="B8"/>
      <c r="C8"/>
      <c r="D8"/>
      <c r="E8"/>
      <c r="F8"/>
      <c r="G8"/>
      <c r="H8"/>
      <c r="I8"/>
    </row>
    <row r="9" spans="1:9" s="1" customFormat="1" ht="63" x14ac:dyDescent="0.25">
      <c r="A9" s="28" t="s">
        <v>85</v>
      </c>
      <c r="B9"/>
      <c r="C9"/>
      <c r="D9"/>
      <c r="E9"/>
      <c r="F9"/>
      <c r="G9"/>
      <c r="H9"/>
      <c r="I9"/>
    </row>
    <row r="10" spans="1:9" s="1" customFormat="1" x14ac:dyDescent="0.25">
      <c r="B10"/>
      <c r="C10"/>
      <c r="D10"/>
      <c r="E10"/>
      <c r="F10"/>
      <c r="G10"/>
      <c r="H10"/>
      <c r="I10"/>
    </row>
    <row r="12" spans="1:9" x14ac:dyDescent="0.25">
      <c r="A12" s="10" t="e">
        <f>COUNTIF(#REF!,"")</f>
        <v>#REF!</v>
      </c>
    </row>
    <row r="13" spans="1:9" x14ac:dyDescent="0.25">
      <c r="A13" s="10" t="e" cm="1">
        <f t="array" ref="A13">SUMPRODUCT(--(LEN(TRIM(#REF!))=0))</f>
        <v>#REF!</v>
      </c>
    </row>
    <row r="14" spans="1:9" x14ac:dyDescent="0.25">
      <c r="A14" s="51" t="e">
        <f>IF(COUNTIF(#REF!,"")&gt;0, "⚠ DİKKAT: Boş bırakılan alanlar var!", "✓ Tüm alanlar dolu")</f>
        <v>#REF!</v>
      </c>
    </row>
    <row r="15" spans="1:9" x14ac:dyDescent="0.25">
      <c r="A15" s="51" t="e" cm="1">
        <f t="array" ref="A15">IF(SUMPRODUCT(--(LEN(TRIM(#REF!))=0))&gt;0,
"⚠ DİKKAT: Boş bırakılan alanlar var!",
"✓ Tüm alanlar dolu")</f>
        <v>#REF!</v>
      </c>
    </row>
    <row r="16" spans="1:9" x14ac:dyDescent="0.25">
      <c r="A16" s="10"/>
    </row>
    <row r="17" spans="1:1" x14ac:dyDescent="0.25">
      <c r="A17" s="10"/>
    </row>
    <row r="18" spans="1:1" x14ac:dyDescent="0.25">
      <c r="A18" s="10" t="e" cm="1">
        <f t="array" ref="A18">_xlfn._xlws.FILTER("J"&amp;ROW(#REF!), LEN(TRIM(#REF!))=0)</f>
        <v>#REF!</v>
      </c>
    </row>
    <row r="19" spans="1:1" x14ac:dyDescent="0.25">
      <c r="A19" s="11" t="s">
        <v>4258</v>
      </c>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ayfa33">
    <tabColor rgb="FFFFFF00"/>
    <pageSetUpPr fitToPage="1"/>
  </sheetPr>
  <dimension ref="A2:I6"/>
  <sheetViews>
    <sheetView showZeros="0" workbookViewId="0">
      <selection activeCell="N19" sqref="N19"/>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6384" width="9.140625" style="1"/>
  </cols>
  <sheetData>
    <row r="2" spans="1:1" x14ac:dyDescent="0.25">
      <c r="A2" s="10"/>
    </row>
    <row r="3" spans="1:1" x14ac:dyDescent="0.25">
      <c r="A3" s="10"/>
    </row>
    <row r="4" spans="1:1" x14ac:dyDescent="0.25">
      <c r="A4" s="10"/>
    </row>
    <row r="5" spans="1:1" x14ac:dyDescent="0.25">
      <c r="A5" s="10"/>
    </row>
    <row r="6" spans="1:1" x14ac:dyDescent="0.25">
      <c r="A6" s="28"/>
    </row>
  </sheetData>
  <printOptions horizontalCentered="1" verticalCentered="1"/>
  <pageMargins left="0.39370078740157483" right="0.39370078740157483" top="0.39370078740157483" bottom="0.39370078740157483" header="0.31496062992125984" footer="0.31496062992125984"/>
  <pageSetup paperSize="9" scale="24"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14</vt:i4>
      </vt:variant>
      <vt:variant>
        <vt:lpstr>Adlandırılmış Aralıklar</vt:lpstr>
      </vt:variant>
      <vt:variant>
        <vt:i4>3</vt:i4>
      </vt:variant>
    </vt:vector>
  </HeadingPairs>
  <TitlesOfParts>
    <vt:vector size="17" baseType="lpstr">
      <vt:lpstr>Başvuru</vt:lpstr>
      <vt:lpstr>Üye_1</vt:lpstr>
      <vt:lpstr>Üye_2</vt:lpstr>
      <vt:lpstr>Üye_Yeni</vt:lpstr>
      <vt:lpstr>Birim_Yeni</vt:lpstr>
      <vt:lpstr>Kurul_Raporu</vt:lpstr>
      <vt:lpstr>İstatistik</vt:lpstr>
      <vt:lpstr>Özet</vt:lpstr>
      <vt:lpstr>Pivot</vt:lpstr>
      <vt:lpstr>Sayılar</vt:lpstr>
      <vt:lpstr>Word_Gündem</vt:lpstr>
      <vt:lpstr>2025</vt:lpstr>
      <vt:lpstr>Formül</vt:lpstr>
      <vt:lpstr>Deneme</vt:lpstr>
      <vt:lpstr>Eski</vt:lpstr>
      <vt:lpstr>EskiListe</vt:lpstr>
      <vt:lpstr>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2026-01-16T11:24:14Z</cp:lastPrinted>
  <dcterms:created xsi:type="dcterms:W3CDTF">2023-01-09T10:46:20Z</dcterms:created>
  <dcterms:modified xsi:type="dcterms:W3CDTF">2026-02-17T12:33:45Z</dcterms:modified>
</cp:coreProperties>
</file>