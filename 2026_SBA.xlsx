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D71642DA-2402-4F31-AE1D-085791CD1F35}" xr6:coauthVersionLast="47" xr6:coauthVersionMax="47" xr10:uidLastSave="{00000000-0000-0000-0000-000000000000}"/>
  <bookViews>
    <workbookView xWindow="-120" yWindow="-120" windowWidth="29040" windowHeight="16440" tabRatio="944" activeTab="8"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52" i="129" l="1"/>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241" i="129"/>
  <c r="P242" i="129"/>
  <c r="P243" i="129"/>
  <c r="P244" i="129"/>
  <c r="P245" i="129"/>
  <c r="P246" i="129"/>
  <c r="P247" i="129"/>
  <c r="P248" i="129"/>
  <c r="P249" i="129"/>
  <c r="P250" i="129"/>
  <c r="P25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9" i="158"/>
  <c r="F10" i="158"/>
  <c r="F11" i="158"/>
  <c r="F12" i="158"/>
  <c r="F13" i="158"/>
  <c r="F14" i="158"/>
  <c r="F15" i="158"/>
  <c r="F16" i="158"/>
  <c r="F17" i="158"/>
  <c r="F18" i="158"/>
  <c r="F19" i="158"/>
  <c r="F20" i="158"/>
  <c r="F21" i="158"/>
  <c r="F22" i="158"/>
  <c r="F23" i="158"/>
  <c r="F24" i="158"/>
  <c r="F25" i="158"/>
  <c r="F26" i="158"/>
  <c r="C11" i="94" a="1"/>
  <c r="C11" i="94" s="1"/>
  <c r="C12" i="94" a="1"/>
  <c r="C12" i="94" s="1"/>
  <c r="C13" i="94" a="1"/>
  <c r="C13" i="94" s="1"/>
  <c r="C14" i="94" a="1"/>
  <c r="C14" i="94" s="1"/>
  <c r="C15" i="94" a="1"/>
  <c r="C15" i="94" s="1"/>
  <c r="C16" i="94" a="1"/>
  <c r="C16" i="94" s="1"/>
  <c r="C17" i="94" a="1"/>
  <c r="C17" i="94" s="1"/>
  <c r="C18" i="94" a="1"/>
  <c r="C18" i="94" s="1"/>
  <c r="C19" i="94" a="1"/>
  <c r="C19" i="94" s="1"/>
  <c r="C20" i="94" a="1"/>
  <c r="C20" i="94" s="1"/>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s="1"/>
  <c r="C32" i="94" a="1"/>
  <c r="C32" i="94" s="1"/>
  <c r="C33" i="94" a="1"/>
  <c r="C33" i="94" s="1"/>
  <c r="C34" i="94" a="1"/>
  <c r="C34" i="94" s="1"/>
  <c r="C35" i="94" a="1"/>
  <c r="C35" i="94" s="1"/>
  <c r="C36" i="94" a="1"/>
  <c r="C36" i="94" s="1"/>
  <c r="C37" i="94" a="1"/>
  <c r="C37" i="94" s="1"/>
  <c r="C38" i="94" a="1"/>
  <c r="C38" i="94" s="1"/>
  <c r="C39" i="94" a="1"/>
  <c r="C39" i="94" s="1"/>
  <c r="C40" i="94" a="1"/>
  <c r="C40" i="94" s="1"/>
  <c r="C41" i="94" a="1"/>
  <c r="C41" i="94" s="1"/>
  <c r="C42" i="94" a="1"/>
  <c r="C42" i="94" s="1"/>
  <c r="C43" i="94" a="1"/>
  <c r="C43" i="94" s="1"/>
  <c r="C44" i="94" a="1"/>
  <c r="C44" i="94" s="1"/>
  <c r="C45" i="94" a="1"/>
  <c r="C45" i="94" s="1"/>
  <c r="C46" i="94" a="1"/>
  <c r="C46" i="94" s="1"/>
  <c r="C47" i="94" a="1"/>
  <c r="C47" i="94" s="1"/>
  <c r="C48" i="94" a="1"/>
  <c r="C48" i="94" s="1"/>
  <c r="C49" i="94" a="1"/>
  <c r="C49" i="94" s="1"/>
  <c r="C50" i="94" a="1"/>
  <c r="C50" i="94" s="1"/>
  <c r="C51" i="94" a="1"/>
  <c r="C51" i="94" s="1"/>
  <c r="C52" i="94" a="1"/>
  <c r="C52" i="94" s="1"/>
  <c r="C53" i="94" a="1"/>
  <c r="C53" i="94" s="1"/>
  <c r="C54" i="94" a="1"/>
  <c r="C54" i="94" s="1"/>
  <c r="C55" i="94" a="1"/>
  <c r="C55" i="94" s="1"/>
  <c r="C56" i="94" a="1"/>
  <c r="C56" i="94" s="1"/>
  <c r="C57" i="94" a="1"/>
  <c r="C57" i="94" s="1"/>
  <c r="C58" i="94" a="1"/>
  <c r="C58" i="94" s="1"/>
  <c r="C59" i="94" a="1"/>
  <c r="C59" i="94" s="1"/>
  <c r="C60" i="94" a="1"/>
  <c r="C60" i="94" s="1"/>
  <c r="C61" i="94" a="1"/>
  <c r="C61" i="94" s="1"/>
  <c r="C62" i="94" a="1"/>
  <c r="C62" i="94" s="1"/>
  <c r="C63" i="94" a="1"/>
  <c r="C63" i="94" s="1"/>
  <c r="C64" i="94" a="1"/>
  <c r="C64" i="94" s="1"/>
  <c r="C65" i="94" a="1"/>
  <c r="C65" i="94" s="1"/>
  <c r="C66" i="94" a="1"/>
  <c r="C66" i="94" s="1"/>
  <c r="C67" i="94" a="1"/>
  <c r="C67" i="94" s="1"/>
  <c r="C68" i="94" a="1"/>
  <c r="C68" i="94" s="1"/>
  <c r="C69" i="94" a="1"/>
  <c r="C69" i="94" s="1"/>
  <c r="C70" i="94" a="1"/>
  <c r="C70" i="94" s="1"/>
  <c r="C71" i="94" a="1"/>
  <c r="C71" i="94" s="1"/>
  <c r="C72" i="94" a="1"/>
  <c r="C72" i="94" s="1"/>
  <c r="C73" i="94" a="1"/>
  <c r="C73" i="94" s="1"/>
  <c r="C74" i="94" a="1"/>
  <c r="C74" i="94" s="1"/>
  <c r="B38" i="94" a="1"/>
  <c r="B38" i="94" s="1"/>
  <c r="B39" i="94" a="1"/>
  <c r="B39" i="94" s="1"/>
  <c r="B40" i="94" a="1"/>
  <c r="B40" i="94" s="1"/>
  <c r="B41" i="94" a="1"/>
  <c r="B41" i="94" s="1"/>
  <c r="B42" i="94" a="1"/>
  <c r="B42" i="94" s="1"/>
  <c r="B43" i="94" a="1"/>
  <c r="B43" i="94" s="1"/>
  <c r="B44" i="94" a="1"/>
  <c r="B44" i="94" s="1"/>
  <c r="B45" i="94" a="1"/>
  <c r="B45" i="94" s="1"/>
  <c r="B46" i="94" a="1"/>
  <c r="B46" i="94" s="1"/>
  <c r="B47" i="94" a="1"/>
  <c r="B47" i="94" s="1"/>
  <c r="B48" i="94" a="1"/>
  <c r="B48" i="94" s="1"/>
  <c r="B49" i="94" a="1"/>
  <c r="B49" i="94" s="1"/>
  <c r="B50" i="94" a="1"/>
  <c r="B50" i="94" s="1"/>
  <c r="B51" i="94" a="1"/>
  <c r="B51" i="94" s="1"/>
  <c r="B52" i="94" a="1"/>
  <c r="B52" i="94" s="1"/>
  <c r="B53" i="94" a="1"/>
  <c r="B53" i="94" s="1"/>
  <c r="B21" i="94" a="1"/>
  <c r="B21" i="94" s="1"/>
  <c r="B22" i="94" a="1"/>
  <c r="B22" i="94" s="1"/>
  <c r="B23" i="94" a="1"/>
  <c r="B23" i="94" s="1"/>
  <c r="B24" i="94" a="1"/>
  <c r="B24" i="94" s="1"/>
  <c r="B25" i="94" a="1"/>
  <c r="B25" i="94" s="1"/>
  <c r="B26" i="94" a="1"/>
  <c r="B26" i="94" s="1"/>
  <c r="B27" i="94" a="1"/>
  <c r="B27" i="94" s="1"/>
  <c r="B28" i="94" a="1"/>
  <c r="B28" i="94" s="1"/>
  <c r="B29" i="94" a="1"/>
  <c r="B29" i="94" s="1"/>
  <c r="B30" i="94" a="1"/>
  <c r="B30" i="94" s="1"/>
  <c r="B31" i="94" a="1"/>
  <c r="B31" i="94" s="1"/>
  <c r="B32" i="94" a="1"/>
  <c r="B32" i="94" s="1"/>
  <c r="B33" i="94" a="1"/>
  <c r="B33" i="94" s="1"/>
  <c r="B34" i="94" a="1"/>
  <c r="B34" i="94" s="1"/>
  <c r="B35" i="94" a="1"/>
  <c r="B35" i="94" s="1"/>
  <c r="B36" i="94" a="1"/>
  <c r="B36" i="94" s="1"/>
  <c r="B37" i="94" a="1"/>
  <c r="B37"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C3" i="94" a="1"/>
  <c r="C3" i="94" s="1"/>
  <c r="C4" i="94" a="1"/>
  <c r="C4" i="94" s="1"/>
  <c r="C5" i="94" a="1"/>
  <c r="C5" i="94" s="1"/>
  <c r="C6" i="94" a="1"/>
  <c r="C6" i="94" s="1"/>
  <c r="C7" i="94" a="1"/>
  <c r="C7" i="94" s="1"/>
  <c r="C8" i="94" a="1"/>
  <c r="C8" i="94" s="1"/>
  <c r="C9" i="94" a="1"/>
  <c r="C9" i="94" s="1"/>
  <c r="C10" i="94" a="1"/>
  <c r="C10" i="94" s="1"/>
  <c r="B1" i="94" a="1"/>
  <c r="B1" i="94" s="1"/>
  <c r="B2" i="94" a="1"/>
  <c r="B2" i="94" s="1"/>
  <c r="B3" i="94" a="1"/>
  <c r="B3" i="94" s="1"/>
  <c r="B4" i="94" a="1"/>
  <c r="B4" i="94" s="1"/>
  <c r="B5" i="94" a="1"/>
  <c r="B5" i="94" s="1"/>
  <c r="B6" i="94" a="1"/>
  <c r="B6" i="94" s="1"/>
  <c r="B7" i="94" a="1"/>
  <c r="B7" i="94" s="1"/>
  <c r="B8" i="94" a="1"/>
  <c r="B8" i="94" s="1"/>
  <c r="B9" i="94" a="1"/>
  <c r="B9" i="94" s="1"/>
  <c r="B10" i="94" a="1"/>
  <c r="B10" i="94" s="1"/>
  <c r="B11" i="94" a="1"/>
  <c r="B11" i="94" s="1"/>
  <c r="B12" i="94" a="1"/>
  <c r="B12" i="94" s="1"/>
  <c r="B13" i="94" a="1"/>
  <c r="B13" i="94" s="1"/>
  <c r="B14" i="94" a="1"/>
  <c r="B14" i="94" s="1"/>
  <c r="B15" i="94" a="1"/>
  <c r="B15" i="94" s="1"/>
  <c r="B16" i="94" a="1"/>
  <c r="B16" i="94" s="1"/>
  <c r="B17" i="94" a="1"/>
  <c r="B17" i="94" s="1"/>
  <c r="B18" i="94" a="1"/>
  <c r="B18" i="94" s="1"/>
  <c r="B19" i="94" a="1"/>
  <c r="B19" i="94" s="1"/>
  <c r="B20" i="94" a="1"/>
  <c r="B20"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4" i="157"/>
  <c r="C13" i="157"/>
  <c r="C12" i="157"/>
  <c r="C11" i="157"/>
  <c r="C10" i="157"/>
  <c r="C9" i="157"/>
  <c r="C8" i="157"/>
  <c r="C7" i="157"/>
  <c r="C6" i="157"/>
  <c r="C5" i="157"/>
  <c r="C3" i="157"/>
  <c r="C2"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14" i="157"/>
  <c r="C15"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2" i="157" a="1"/>
  <c r="Z2" i="157" s="1"/>
  <c r="I11" i="157" a="1"/>
  <c r="I11" i="157" s="1"/>
  <c r="I8" i="157" a="1"/>
  <c r="I8" i="157" s="1"/>
  <c r="E3" i="157" a="1"/>
  <c r="E3" i="157" s="1"/>
  <c r="V3" i="157" a="1"/>
  <c r="V3" i="157" s="1"/>
  <c r="AB10" i="157" a="1"/>
  <c r="AB10" i="157" s="1"/>
  <c r="W5" i="157" a="1"/>
  <c r="W5" i="157" s="1"/>
  <c r="W2" i="157" a="1"/>
  <c r="W2" i="157" s="1"/>
  <c r="G2" i="157" a="1"/>
  <c r="G2" i="157" s="1"/>
  <c r="H3" i="157" a="1"/>
  <c r="H3" i="157" s="1"/>
  <c r="W11" i="157" a="1"/>
  <c r="W11" i="157" s="1"/>
  <c r="AB7" i="157" a="1"/>
  <c r="AB7" i="157" s="1"/>
  <c r="AF3" i="157" a="1"/>
  <c r="AF3" i="157" s="1"/>
  <c r="M2" i="157" a="1"/>
  <c r="M2" i="157" s="1"/>
  <c r="E9" i="157" a="1"/>
  <c r="E9" i="157" s="1"/>
  <c r="E6" i="157" a="1"/>
  <c r="E6" i="157" s="1"/>
  <c r="I2" i="157" a="1"/>
  <c r="I2" i="157" s="1"/>
  <c r="R12" i="157" a="1"/>
  <c r="R12" i="157" s="1"/>
  <c r="R9" i="157" a="1"/>
  <c r="R9" i="157" s="1"/>
  <c r="AF6" i="157" a="1"/>
  <c r="AF6" i="157" s="1"/>
  <c r="R3" i="157" a="1"/>
  <c r="R3" i="157" s="1"/>
  <c r="E12" i="157" a="1"/>
  <c r="E12" i="157" s="1"/>
  <c r="AB4" i="157" a="1"/>
  <c r="AB4" i="157" s="1"/>
  <c r="U2" i="157" a="1"/>
  <c r="U2" i="157" s="1"/>
  <c r="N13" i="157" a="1"/>
  <c r="N13" i="157" s="1"/>
  <c r="Y7" i="157" a="1"/>
  <c r="Y7" i="157" s="1"/>
  <c r="P6" i="157" a="1"/>
  <c r="P6" i="157" s="1"/>
  <c r="U5" i="157" a="1"/>
  <c r="U5" i="157" s="1"/>
  <c r="G5" i="157" a="1"/>
  <c r="G5" i="157" s="1"/>
  <c r="AD3" i="157" a="1"/>
  <c r="AD3" i="157" s="1"/>
  <c r="L7" i="157" a="1"/>
  <c r="L7" i="157" s="1"/>
  <c r="AD6" i="157" a="1"/>
  <c r="AD6" i="157" s="1"/>
  <c r="AH5" i="157" a="1"/>
  <c r="AH5" i="157" s="1"/>
  <c r="Y4" i="157" a="1"/>
  <c r="Y4" i="157" s="1"/>
  <c r="L4" i="157" a="1"/>
  <c r="L4" i="157" s="1"/>
  <c r="N10" i="157" a="1"/>
  <c r="N10" i="157" s="1"/>
  <c r="N7" i="157" a="1"/>
  <c r="N7" i="157" s="1"/>
  <c r="N4" i="157" a="1"/>
  <c r="N4" i="157" s="1"/>
  <c r="Q4" i="157" a="1"/>
  <c r="Q4" i="157" s="1"/>
  <c r="AF9" i="157" a="1"/>
  <c r="AF9" i="157" s="1"/>
  <c r="R6" i="157" a="1"/>
  <c r="R6" i="157" s="1"/>
  <c r="P3" i="157" a="1"/>
  <c r="P3" i="157" s="1"/>
  <c r="W8" i="157" a="1"/>
  <c r="W8" i="157" s="1"/>
  <c r="I5" i="157" a="1"/>
  <c r="I5" i="157" s="1"/>
  <c r="AH2" i="157" a="1"/>
  <c r="AH2" i="157" s="1"/>
  <c r="AH13" i="157" a="1"/>
  <c r="AH13" i="157" s="1"/>
  <c r="M6" i="157" a="1"/>
  <c r="M6" i="157" s="1"/>
  <c r="Q11" i="157" a="1"/>
  <c r="Q11" i="157" s="1"/>
  <c r="W4" i="157" a="1"/>
  <c r="W4" i="157" s="1"/>
  <c r="AB9" i="157" a="1"/>
  <c r="AB9" i="157" s="1"/>
  <c r="T2" i="157" a="1"/>
  <c r="T2" i="157" s="1"/>
  <c r="X7" i="157" a="1"/>
  <c r="X7" i="157" s="1"/>
  <c r="AC12" i="157" a="1"/>
  <c r="AC12" i="157" s="1"/>
  <c r="AH11" i="157" a="1"/>
  <c r="AH11" i="157" s="1"/>
  <c r="H5" i="157" a="1"/>
  <c r="H5" i="157" s="1"/>
  <c r="M10" i="157" a="1"/>
  <c r="M10" i="157" s="1"/>
  <c r="X2" i="157" a="1"/>
  <c r="X2" i="157" s="1"/>
  <c r="AC7" i="157" a="1"/>
  <c r="AC7" i="157" s="1"/>
  <c r="AG12" i="157" a="1"/>
  <c r="AG12" i="157" s="1"/>
  <c r="G6" i="157" a="1"/>
  <c r="G6" i="157" s="1"/>
  <c r="L11" i="157" a="1"/>
  <c r="L11" i="157" s="1"/>
  <c r="Z8" i="157" a="1"/>
  <c r="Z8" i="157" s="1"/>
  <c r="AE13" i="157" a="1"/>
  <c r="AE13" i="157" s="1"/>
  <c r="W6" i="157" a="1"/>
  <c r="W6" i="157" s="1"/>
  <c r="AB11" i="157" a="1"/>
  <c r="AB11" i="157" s="1"/>
  <c r="F4" i="157" a="1"/>
  <c r="F4" i="157" s="1"/>
  <c r="J9" i="157" a="1"/>
  <c r="J9" i="157" s="1"/>
  <c r="Z5" i="157" a="1"/>
  <c r="Z5" i="157" s="1"/>
  <c r="Y6" i="157" a="1"/>
  <c r="Y6" i="157" s="1"/>
  <c r="AD11" i="157" a="1"/>
  <c r="AD11" i="157" s="1"/>
  <c r="L12" i="157" a="1"/>
  <c r="L12" i="157" s="1"/>
  <c r="Y12" i="157" a="1"/>
  <c r="Y12" i="157" s="1"/>
  <c r="G13" i="157" a="1"/>
  <c r="G13" i="157" s="1"/>
  <c r="AE4" i="157" a="1"/>
  <c r="AE4" i="157" s="1"/>
  <c r="Z6" i="157" a="1"/>
  <c r="Z6" i="157" s="1"/>
  <c r="AE11" i="157" a="1"/>
  <c r="AE11" i="157" s="1"/>
  <c r="E5" i="157" a="1"/>
  <c r="E5" i="157" s="1"/>
  <c r="I10" i="157" a="1"/>
  <c r="I10" i="157" s="1"/>
  <c r="AG2" i="157" a="1"/>
  <c r="AG2" i="157" s="1"/>
  <c r="F8" i="157" a="1"/>
  <c r="F8" i="157" s="1"/>
  <c r="J13" i="157" a="1"/>
  <c r="J13" i="157" s="1"/>
  <c r="P12" i="157" a="1"/>
  <c r="P12" i="157" s="1"/>
  <c r="V5" i="157" a="1"/>
  <c r="V5" i="157" s="1"/>
  <c r="Z10" i="157" a="1"/>
  <c r="Z10" i="157" s="1"/>
  <c r="F3" i="157" a="1"/>
  <c r="F3" i="157" s="1"/>
  <c r="J8" i="157" a="1"/>
  <c r="J8" i="157" s="1"/>
  <c r="O13" i="157" a="1"/>
  <c r="O13" i="157" s="1"/>
  <c r="U6" i="157" a="1"/>
  <c r="U6" i="157" s="1"/>
  <c r="Y11" i="157" a="1"/>
  <c r="Y11" i="157" s="1"/>
  <c r="H9" i="157" a="1"/>
  <c r="H9" i="157" s="1"/>
  <c r="H6" i="157" a="1"/>
  <c r="H6" i="157" s="1"/>
  <c r="E7" i="157" a="1"/>
  <c r="E7" i="157" s="1"/>
  <c r="I12" i="157" a="1"/>
  <c r="I12" i="157" s="1"/>
  <c r="T4" i="157" a="1"/>
  <c r="T4" i="157" s="1"/>
  <c r="X9" i="157" a="1"/>
  <c r="X9" i="157" s="1"/>
  <c r="G7" i="157" a="1"/>
  <c r="G7" i="157" s="1"/>
  <c r="D2" i="157" a="1"/>
  <c r="D2" i="157" s="1"/>
  <c r="H7" i="157" a="1"/>
  <c r="H7" i="157" s="1"/>
  <c r="M12" i="157" a="1"/>
  <c r="M12" i="157" s="1"/>
  <c r="R5" i="157" a="1"/>
  <c r="R5" i="157" s="1"/>
  <c r="W10" i="157" a="1"/>
  <c r="W10" i="157" s="1"/>
  <c r="O3" i="157" a="1"/>
  <c r="O3" i="157" s="1"/>
  <c r="T8" i="157" a="1"/>
  <c r="T8" i="157" s="1"/>
  <c r="X13" i="157" a="1"/>
  <c r="X13" i="157" s="1"/>
  <c r="AD12" i="157" a="1"/>
  <c r="AD12" i="157" s="1"/>
  <c r="D6" i="157" a="1"/>
  <c r="D6" i="157" s="1"/>
  <c r="H11" i="157" a="1"/>
  <c r="H11" i="157" s="1"/>
  <c r="T3" i="157" a="1"/>
  <c r="T3" i="157" s="1"/>
  <c r="X8" i="157" a="1"/>
  <c r="X8" i="157" s="1"/>
  <c r="AC13" i="157" a="1"/>
  <c r="AC13" i="157" s="1"/>
  <c r="AH6" i="157" a="1"/>
  <c r="AH6" i="157" s="1"/>
  <c r="G12" i="157" a="1"/>
  <c r="G12" i="157" s="1"/>
  <c r="V9" i="157" a="1"/>
  <c r="V9" i="157" s="1"/>
  <c r="N2" i="157" a="1"/>
  <c r="N2" i="157" s="1"/>
  <c r="R7" i="157" a="1"/>
  <c r="R7" i="157" s="1"/>
  <c r="W12" i="157" a="1"/>
  <c r="W12" i="157" s="1"/>
  <c r="AG4" i="157" a="1"/>
  <c r="AG4" i="157" s="1"/>
  <c r="F10" i="157" a="1"/>
  <c r="F10" i="157" s="1"/>
  <c r="P2" i="157" a="1"/>
  <c r="P2" i="157" s="1"/>
  <c r="U7" i="157" a="1"/>
  <c r="U7" i="157" s="1"/>
  <c r="AH7" i="157" a="1"/>
  <c r="AH7" i="157" s="1"/>
  <c r="Q2" i="157" a="1"/>
  <c r="Q2" i="157" s="1"/>
  <c r="V7" i="157" a="1"/>
  <c r="V7" i="157" s="1"/>
  <c r="Z12" i="157" a="1"/>
  <c r="Z12" i="157" s="1"/>
  <c r="AF5" i="157" a="1"/>
  <c r="AF5" i="157" s="1"/>
  <c r="E11" i="157" a="1"/>
  <c r="E11" i="157" s="1"/>
  <c r="AC3" i="157" a="1"/>
  <c r="AC3" i="157" s="1"/>
  <c r="AG8" i="157" a="1"/>
  <c r="AG8" i="157" s="1"/>
  <c r="G8" i="157" a="1"/>
  <c r="G8" i="157" s="1"/>
  <c r="L13" i="157" a="1"/>
  <c r="L13" i="157" s="1"/>
  <c r="Q6" i="157" a="1"/>
  <c r="Q6" i="157" s="1"/>
  <c r="V11" i="157" a="1"/>
  <c r="V11" i="157" s="1"/>
  <c r="AG3" i="157" a="1"/>
  <c r="AG3" i="157" s="1"/>
  <c r="F9" i="157" a="1"/>
  <c r="F9" i="157" s="1"/>
  <c r="L2" i="157" a="1"/>
  <c r="L2" i="157" s="1"/>
  <c r="P7" i="157" a="1"/>
  <c r="P7" i="157" s="1"/>
  <c r="U12" i="157" a="1"/>
  <c r="U12" i="157" s="1"/>
  <c r="D10" i="157" a="1"/>
  <c r="D10" i="157" s="1"/>
  <c r="AB2" i="157" a="1"/>
  <c r="AB2" i="157" s="1"/>
  <c r="AF7" i="157" a="1"/>
  <c r="AF7" i="157" s="1"/>
  <c r="E13" i="157" a="1"/>
  <c r="E13" i="157" s="1"/>
  <c r="O5" i="157" a="1"/>
  <c r="O5" i="157" s="1"/>
  <c r="T10" i="157" a="1"/>
  <c r="T10" i="157" s="1"/>
  <c r="AD2" i="157" a="1"/>
  <c r="AD2" i="157" s="1"/>
  <c r="L6" i="157" a="1"/>
  <c r="L6" i="157" s="1"/>
  <c r="AE2" i="157" a="1"/>
  <c r="AE2" i="157" s="1"/>
  <c r="D8" i="157" a="1"/>
  <c r="D8" i="157" s="1"/>
  <c r="H13" i="157" a="1"/>
  <c r="H13" i="157" s="1"/>
  <c r="N6" i="157" a="1"/>
  <c r="N6" i="157" s="1"/>
  <c r="R11" i="157" a="1"/>
  <c r="R11" i="157" s="1"/>
  <c r="J4" i="157" a="1"/>
  <c r="J4" i="157" s="1"/>
  <c r="O9" i="157" a="1"/>
  <c r="O9" i="157" s="1"/>
  <c r="U8" i="157" a="1"/>
  <c r="U8" i="157" s="1"/>
  <c r="Y13" i="157" a="1"/>
  <c r="Y13" i="157" s="1"/>
  <c r="AE6" i="157" a="1"/>
  <c r="AE6" i="157" s="1"/>
  <c r="D12" i="157" a="1"/>
  <c r="D12" i="157" s="1"/>
  <c r="O4" i="157" a="1"/>
  <c r="O4" i="157" s="1"/>
  <c r="T9" i="157" a="1"/>
  <c r="T9" i="157" s="1"/>
  <c r="Y2" i="157" a="1"/>
  <c r="Y2" i="157" s="1"/>
  <c r="AD7" i="157" a="1"/>
  <c r="AD7" i="157" s="1"/>
  <c r="AH12" i="157" a="1"/>
  <c r="AH12" i="157" s="1"/>
  <c r="Q10" i="157" a="1"/>
  <c r="Q10" i="157" s="1"/>
  <c r="I3" i="157" a="1"/>
  <c r="I3" i="157" s="1"/>
  <c r="N8" i="157" a="1"/>
  <c r="N8" i="157" s="1"/>
  <c r="R13" i="157" a="1"/>
  <c r="R13" i="157" s="1"/>
  <c r="AC5" i="157" a="1"/>
  <c r="AC5" i="157" s="1"/>
  <c r="AG10" i="157" a="1"/>
  <c r="AG10" i="157" s="1"/>
  <c r="L3" i="157" a="1"/>
  <c r="L3" i="157" s="1"/>
  <c r="P8" i="157" a="1"/>
  <c r="P8" i="157" s="1"/>
  <c r="U13" i="157" a="1"/>
  <c r="U13" i="157" s="1"/>
  <c r="M3" i="157" a="1"/>
  <c r="M3" i="157" s="1"/>
  <c r="Q8" i="157" a="1"/>
  <c r="Q8" i="157" s="1"/>
  <c r="V13" i="157" a="1"/>
  <c r="V13" i="157" s="1"/>
  <c r="AB6" i="157" a="1"/>
  <c r="AB6" i="157" s="1"/>
  <c r="AF11" i="157" a="1"/>
  <c r="AF11" i="157" s="1"/>
  <c r="X4" i="157" a="1"/>
  <c r="X4" i="157" s="1"/>
  <c r="AC9" i="157" a="1"/>
  <c r="AC9" i="157" s="1"/>
  <c r="AH8" i="157" a="1"/>
  <c r="AH8" i="157" s="1"/>
  <c r="H2" i="157" a="1"/>
  <c r="H2" i="157" s="1"/>
  <c r="M7" i="157" a="1"/>
  <c r="M7" i="157" s="1"/>
  <c r="Q12" i="157" a="1"/>
  <c r="Q12" i="157" s="1"/>
  <c r="AC4" i="157" a="1"/>
  <c r="AC4" i="157" s="1"/>
  <c r="AG9" i="157" a="1"/>
  <c r="AG9" i="157" s="1"/>
  <c r="G3" i="157" a="1"/>
  <c r="G3" i="157" s="1"/>
  <c r="L8" i="157" a="1"/>
  <c r="L8" i="157" s="1"/>
  <c r="P13" i="157" a="1"/>
  <c r="P13" i="157" s="1"/>
  <c r="AE10" i="157" a="1"/>
  <c r="AE10" i="157" s="1"/>
  <c r="W3" i="157" a="1"/>
  <c r="W3" i="157" s="1"/>
  <c r="AB8" i="157" a="1"/>
  <c r="AB8" i="157" s="1"/>
  <c r="AF13" i="157" a="1"/>
  <c r="AF13" i="157" s="1"/>
  <c r="J6" i="157" a="1"/>
  <c r="J6" i="157" s="1"/>
  <c r="O11" i="157" a="1"/>
  <c r="O11" i="157" s="1"/>
  <c r="Y3" i="157" a="1"/>
  <c r="Y3" i="157" s="1"/>
  <c r="AD8" i="157" a="1"/>
  <c r="AD8" i="157" s="1"/>
  <c r="L9" i="157" a="1"/>
  <c r="L9" i="157" s="1"/>
  <c r="AE9" i="157" a="1"/>
  <c r="AE9" i="157" s="1"/>
  <c r="M8" i="157" a="1"/>
  <c r="M8" i="157" s="1"/>
  <c r="P11" i="157" a="1"/>
  <c r="P11" i="157" s="1"/>
  <c r="Z3" i="157" a="1"/>
  <c r="Z3" i="157" s="1"/>
  <c r="AE8" i="157" a="1"/>
  <c r="AE8" i="157" s="1"/>
  <c r="E2" i="157" a="1"/>
  <c r="E2" i="157" s="1"/>
  <c r="I7" i="157" a="1"/>
  <c r="I7" i="157" s="1"/>
  <c r="N12" i="157" a="1"/>
  <c r="N12" i="157" s="1"/>
  <c r="F5" i="157" a="1"/>
  <c r="F5" i="157" s="1"/>
  <c r="J10" i="157" a="1"/>
  <c r="J10" i="157" s="1"/>
  <c r="P9" i="157" a="1"/>
  <c r="P9" i="157" s="1"/>
  <c r="V2" i="157" a="1"/>
  <c r="V2" i="157" s="1"/>
  <c r="Z7" i="157" a="1"/>
  <c r="Z7" i="157" s="1"/>
  <c r="AE12" i="157" a="1"/>
  <c r="AE12" i="157" s="1"/>
  <c r="J5" i="157" a="1"/>
  <c r="J5" i="157" s="1"/>
  <c r="O10" i="157" a="1"/>
  <c r="O10" i="157" s="1"/>
  <c r="U3" i="157" a="1"/>
  <c r="U3" i="157" s="1"/>
  <c r="Y8" i="157" a="1"/>
  <c r="Y8" i="157" s="1"/>
  <c r="AD13" i="157" a="1"/>
  <c r="AD13" i="157" s="1"/>
  <c r="M11" i="157" a="1"/>
  <c r="M11" i="157" s="1"/>
  <c r="E4" i="157" a="1"/>
  <c r="E4" i="157" s="1"/>
  <c r="I9" i="157" a="1"/>
  <c r="I9" i="157" s="1"/>
  <c r="V6" i="157" a="1"/>
  <c r="V6" i="157" s="1"/>
  <c r="X6" i="157" a="1"/>
  <c r="X6" i="157" s="1"/>
  <c r="AC11" i="157" a="1"/>
  <c r="AC11" i="157" s="1"/>
  <c r="G4" i="157" a="1"/>
  <c r="G4" i="157" s="1"/>
  <c r="U11" i="157" a="1"/>
  <c r="U11" i="157" s="1"/>
  <c r="AD10" i="157" a="1"/>
  <c r="AD10" i="157" s="1"/>
  <c r="AG13" i="157" a="1"/>
  <c r="AG13" i="157" s="1"/>
  <c r="H4" i="157" a="1"/>
  <c r="H4" i="157" s="1"/>
  <c r="M9" i="157" a="1"/>
  <c r="M9" i="157" s="1"/>
  <c r="R2" i="157" a="1"/>
  <c r="R2" i="157" s="1"/>
  <c r="W7" i="157" a="1"/>
  <c r="W7" i="157" s="1"/>
  <c r="AB12" i="157" a="1"/>
  <c r="AB12" i="157" s="1"/>
  <c r="T5" i="157" a="1"/>
  <c r="T5" i="157" s="1"/>
  <c r="X10" i="157" a="1"/>
  <c r="X10" i="157" s="1"/>
  <c r="AD9" i="157" a="1"/>
  <c r="AD9" i="157" s="1"/>
  <c r="D3" i="157" a="1"/>
  <c r="D3" i="157" s="1"/>
  <c r="H8" i="157" a="1"/>
  <c r="H8" i="157" s="1"/>
  <c r="M13" i="157" a="1"/>
  <c r="M13" i="157" s="1"/>
  <c r="X5" i="157" a="1"/>
  <c r="X5" i="157" s="1"/>
  <c r="AC10" i="157" a="1"/>
  <c r="AC10" i="157" s="1"/>
  <c r="AH3" i="157" a="1"/>
  <c r="AH3" i="157" s="1"/>
  <c r="G9" i="157" a="1"/>
  <c r="G9" i="157" s="1"/>
  <c r="M5" i="157" a="1"/>
  <c r="M5" i="157" s="1"/>
  <c r="Z11" i="157" a="1"/>
  <c r="Z11" i="157" s="1"/>
  <c r="R4" i="157" a="1"/>
  <c r="R4" i="157" s="1"/>
  <c r="W9" i="157" a="1"/>
  <c r="W9" i="157" s="1"/>
  <c r="F7" i="157" a="1"/>
  <c r="F7" i="157" s="1"/>
  <c r="J12" i="157" a="1"/>
  <c r="J12" i="157" s="1"/>
  <c r="U4" i="157" a="1"/>
  <c r="U4" i="157" s="1"/>
  <c r="Y9" i="157" a="1"/>
  <c r="Y9" i="157" s="1"/>
  <c r="G10" i="157" a="1"/>
  <c r="G10" i="157" s="1"/>
  <c r="F2" i="157" a="1"/>
  <c r="F2" i="157" s="1"/>
  <c r="O7" i="157" a="1"/>
  <c r="O7" i="157" s="1"/>
  <c r="N11" i="157" a="1"/>
  <c r="N11" i="157" s="1"/>
  <c r="V4" i="157" a="1"/>
  <c r="V4" i="157" s="1"/>
  <c r="Z9" i="157" a="1"/>
  <c r="Z9" i="157" s="1"/>
  <c r="AF2" i="157" a="1"/>
  <c r="AF2" i="157" s="1"/>
  <c r="E8" i="157" a="1"/>
  <c r="E8" i="157" s="1"/>
  <c r="I13" i="157" a="1"/>
  <c r="I13" i="157" s="1"/>
  <c r="AG5" i="157" a="1"/>
  <c r="AG5" i="157" s="1"/>
  <c r="F11" i="157" a="1"/>
  <c r="F11" i="157" s="1"/>
  <c r="L10" i="157" a="1"/>
  <c r="L10" i="157" s="1"/>
  <c r="Q3" i="157" a="1"/>
  <c r="Q3" i="157" s="1"/>
  <c r="V8" i="157" a="1"/>
  <c r="V8" i="157" s="1"/>
  <c r="Z13" i="157" a="1"/>
  <c r="Z13" i="157" s="1"/>
  <c r="F6" i="157" a="1"/>
  <c r="F6" i="157" s="1"/>
  <c r="J11" i="157" a="1"/>
  <c r="J11" i="157" s="1"/>
  <c r="P4" i="157" a="1"/>
  <c r="P4" i="157" s="1"/>
  <c r="U9" i="157" a="1"/>
  <c r="U9" i="157" s="1"/>
  <c r="D7" i="157" a="1"/>
  <c r="D7" i="157" s="1"/>
  <c r="H12" i="157" a="1"/>
  <c r="H12" i="157" s="1"/>
  <c r="AF4" i="157" a="1"/>
  <c r="AF4" i="157" s="1"/>
  <c r="E10" i="157" a="1"/>
  <c r="E10" i="157" s="1"/>
  <c r="O2" i="157" a="1"/>
  <c r="O2" i="157" s="1"/>
  <c r="T7" i="157" a="1"/>
  <c r="T7" i="157" s="1"/>
  <c r="X12" i="157" a="1"/>
  <c r="X12" i="157" s="1"/>
  <c r="AH4" i="157" a="1"/>
  <c r="AH4" i="157" s="1"/>
  <c r="P5" i="157" a="1"/>
  <c r="P5" i="157" s="1"/>
  <c r="O12" i="157" a="1"/>
  <c r="O12" i="157" s="1"/>
  <c r="T12" i="157" a="1"/>
  <c r="T12" i="157" s="1"/>
  <c r="X3" i="157" a="1"/>
  <c r="X3" i="157" s="1"/>
  <c r="D5" i="157" a="1"/>
  <c r="D5" i="157" s="1"/>
  <c r="H10" i="157" a="1"/>
  <c r="H10" i="157" s="1"/>
  <c r="N3" i="157" a="1"/>
  <c r="N3" i="157" s="1"/>
  <c r="R8" i="157" a="1"/>
  <c r="R8" i="157" s="1"/>
  <c r="W13" i="157" a="1"/>
  <c r="W13" i="157" s="1"/>
  <c r="O6" i="157" a="1"/>
  <c r="O6" i="157" s="1"/>
  <c r="T11" i="157" a="1"/>
  <c r="T11" i="157" s="1"/>
  <c r="Y10" i="157" a="1"/>
  <c r="Y10" i="157" s="1"/>
  <c r="AE3" i="157" a="1"/>
  <c r="AE3" i="157" s="1"/>
  <c r="D9" i="157" a="1"/>
  <c r="D9" i="157" s="1"/>
  <c r="AB13" i="157" a="1"/>
  <c r="AB13" i="157" s="1"/>
  <c r="T6" i="157" a="1"/>
  <c r="T6" i="157" s="1"/>
  <c r="X11" i="157" a="1"/>
  <c r="X11" i="157" s="1"/>
  <c r="AD4" i="157" a="1"/>
  <c r="AD4" i="157" s="1"/>
  <c r="AH9" i="157" a="1"/>
  <c r="AH9" i="157" s="1"/>
  <c r="Q7" i="157" a="1"/>
  <c r="Q7" i="157" s="1"/>
  <c r="V12" i="157" a="1"/>
  <c r="V12" i="157" s="1"/>
  <c r="N5" i="157" a="1"/>
  <c r="N5" i="157" s="1"/>
  <c r="R10" i="157" a="1"/>
  <c r="R10" i="157" s="1"/>
  <c r="AC2" i="157" a="1"/>
  <c r="AC2" i="157" s="1"/>
  <c r="AG7" i="157" a="1"/>
  <c r="AG7" i="157" s="1"/>
  <c r="F13" i="157" a="1"/>
  <c r="F13" i="157" s="1"/>
  <c r="U10" i="157" a="1"/>
  <c r="U10" i="157" s="1"/>
  <c r="Z4" i="157" a="1"/>
  <c r="Z4" i="157" s="1"/>
  <c r="Q13" i="157" a="1"/>
  <c r="Q13" i="157" s="1"/>
  <c r="Q5" i="157" a="1"/>
  <c r="Q5" i="157" s="1"/>
  <c r="V10" i="157" a="1"/>
  <c r="V10" i="157" s="1"/>
  <c r="AB3" i="157" a="1"/>
  <c r="AB3" i="157" s="1"/>
  <c r="AF8" i="157" a="1"/>
  <c r="AF8" i="157" s="1"/>
  <c r="D4" i="157" a="1"/>
  <c r="D4" i="157" s="1"/>
  <c r="AC6" i="157" a="1"/>
  <c r="AC6" i="157" s="1"/>
  <c r="AG11" i="157" a="1"/>
  <c r="AG11" i="157" s="1"/>
  <c r="G11" i="157" a="1"/>
  <c r="G11" i="157" s="1"/>
  <c r="M4" i="157" a="1"/>
  <c r="M4" i="157" s="1"/>
  <c r="Q9" i="157" a="1"/>
  <c r="Q9" i="157" s="1"/>
  <c r="AF12" i="157" a="1"/>
  <c r="AF12" i="157" s="1"/>
  <c r="AG6" i="157" a="1"/>
  <c r="AG6" i="157" s="1"/>
  <c r="F12" i="157" a="1"/>
  <c r="F12" i="157" s="1"/>
  <c r="L5" i="157" a="1"/>
  <c r="L5" i="157" s="1"/>
  <c r="P10" i="157" a="1"/>
  <c r="P10" i="157" s="1"/>
  <c r="AE7" i="157" a="1"/>
  <c r="AE7" i="157" s="1"/>
  <c r="D13" i="157" a="1"/>
  <c r="D13" i="157" s="1"/>
  <c r="AB5" i="157" a="1"/>
  <c r="AB5" i="157" s="1"/>
  <c r="AF10" i="157" a="1"/>
  <c r="AF10" i="157" s="1"/>
  <c r="J3" i="157" a="1"/>
  <c r="J3" i="157" s="1"/>
  <c r="O8" i="157" a="1"/>
  <c r="O8" i="157" s="1"/>
  <c r="T13" i="157" a="1"/>
  <c r="T13" i="157" s="1"/>
  <c r="AD5" i="157" a="1"/>
  <c r="AD5" i="157" s="1"/>
  <c r="AH10" i="157" a="1"/>
  <c r="AH10" i="157" s="1"/>
  <c r="J7" i="157" a="1"/>
  <c r="J7" i="157" s="1"/>
  <c r="Y5" i="157" a="1"/>
  <c r="Y5" i="157" s="1"/>
  <c r="AC8" i="157" a="1"/>
  <c r="AC8" i="157" s="1"/>
  <c r="AE5" i="157" a="1"/>
  <c r="AE5" i="157" s="1"/>
  <c r="D11" i="157" a="1"/>
  <c r="D11" i="157" s="1"/>
  <c r="I4" i="157" a="1"/>
  <c r="I4" i="157" s="1"/>
  <c r="N9" i="157" a="1"/>
  <c r="N9" i="157" s="1"/>
  <c r="J2" i="157" a="1"/>
  <c r="J2" i="157" s="1"/>
  <c r="I6" i="157" a="1"/>
  <c r="I6" i="157" s="1"/>
  <c r="AQ15" i="159"/>
  <c r="AN17" i="159" s="1"/>
  <c r="D17" i="159"/>
  <c r="AJ17" i="159" s="1"/>
  <c r="H45" i="164" l="1"/>
  <c r="D45" i="164"/>
  <c r="C45" i="164"/>
  <c r="F45" i="164"/>
  <c r="E45" i="164"/>
  <c r="I45" i="164"/>
  <c r="G45" i="164"/>
  <c r="AL4" i="157"/>
  <c r="AJ4" i="157"/>
  <c r="AN4" i="157"/>
  <c r="AP4" i="157"/>
  <c r="AO4" i="157"/>
  <c r="AM4" i="157"/>
  <c r="AK4" i="157"/>
  <c r="AA4" i="157"/>
  <c r="S4" i="157"/>
  <c r="AL8" i="157"/>
  <c r="AI4" i="157"/>
  <c r="K4" i="157"/>
  <c r="AK11" i="157"/>
  <c r="AK5" i="157"/>
  <c r="AL10" i="157"/>
  <c r="AN13" i="157"/>
  <c r="AN3" i="157"/>
  <c r="AM7" i="157"/>
  <c r="AD14" i="157"/>
  <c r="AN6" i="157"/>
  <c r="AM6" i="157"/>
  <c r="S13" i="157"/>
  <c r="P14" i="157"/>
  <c r="AP13" i="157"/>
  <c r="AN8" i="157"/>
  <c r="AL6" i="157"/>
  <c r="AG14" i="157"/>
  <c r="AI7" i="157"/>
  <c r="AA3" i="157"/>
  <c r="AE14" i="157"/>
  <c r="AA5" i="157"/>
  <c r="AK10" i="157"/>
  <c r="N14" i="157"/>
  <c r="S9" i="157"/>
  <c r="AI12" i="157"/>
  <c r="W14" i="157"/>
  <c r="AI13" i="157"/>
  <c r="AO7" i="157"/>
  <c r="K6" i="157"/>
  <c r="AJ6" i="157"/>
  <c r="AP7" i="157"/>
  <c r="AI11" i="157"/>
  <c r="AL11" i="157"/>
  <c r="AI3" i="157"/>
  <c r="AM3" i="157"/>
  <c r="AN12" i="157"/>
  <c r="M14" i="157"/>
  <c r="S7" i="157"/>
  <c r="AM9" i="157"/>
  <c r="AP12" i="157"/>
  <c r="AK9" i="157"/>
  <c r="K7" i="157"/>
  <c r="AJ7" i="157"/>
  <c r="R14" i="157"/>
  <c r="AO12" i="157"/>
  <c r="AP5" i="157"/>
  <c r="AK2" i="157"/>
  <c r="E14" i="157"/>
  <c r="AL9" i="157"/>
  <c r="AI2" i="157"/>
  <c r="AB14" i="157"/>
  <c r="AH14" i="157"/>
  <c r="AL7" i="157"/>
  <c r="AF14" i="157"/>
  <c r="AJ11" i="157"/>
  <c r="K11" i="157"/>
  <c r="AI6" i="157"/>
  <c r="S3" i="157"/>
  <c r="AA10" i="157"/>
  <c r="AK7" i="157"/>
  <c r="AK12" i="157"/>
  <c r="K10" i="157"/>
  <c r="AJ10" i="157"/>
  <c r="S6" i="157"/>
  <c r="AA11" i="157"/>
  <c r="H14" i="157"/>
  <c r="AN2" i="157"/>
  <c r="AO5" i="157"/>
  <c r="AJ12" i="157"/>
  <c r="K12" i="157"/>
  <c r="S8" i="157"/>
  <c r="AJ5" i="157"/>
  <c r="K5" i="157"/>
  <c r="S11" i="157"/>
  <c r="AI10" i="157"/>
  <c r="AO3" i="157"/>
  <c r="AN7" i="157"/>
  <c r="AM11" i="157"/>
  <c r="AO9" i="157"/>
  <c r="G14" i="157"/>
  <c r="AM2" i="157"/>
  <c r="V14" i="157"/>
  <c r="AA8" i="157"/>
  <c r="J14" i="157"/>
  <c r="AP2" i="157"/>
  <c r="AP9" i="157"/>
  <c r="AA9" i="157"/>
  <c r="AI5" i="157"/>
  <c r="AO13" i="157"/>
  <c r="AK3" i="157"/>
  <c r="S2" i="157"/>
  <c r="L14" i="157"/>
  <c r="X14" i="157"/>
  <c r="AP11" i="157"/>
  <c r="T14" i="157"/>
  <c r="AA2" i="157"/>
  <c r="Z14" i="157"/>
  <c r="AL3" i="157"/>
  <c r="AI9" i="157"/>
  <c r="AJ2" i="157"/>
  <c r="K2" i="157"/>
  <c r="D14" i="157"/>
  <c r="AM10" i="157"/>
  <c r="AA7" i="157"/>
  <c r="AK8" i="157"/>
  <c r="S10" i="157"/>
  <c r="Y14" i="157"/>
  <c r="AA6" i="157"/>
  <c r="AO11" i="157"/>
  <c r="AN9" i="157"/>
  <c r="AP10" i="157"/>
  <c r="AM5" i="157"/>
  <c r="AN10" i="157"/>
  <c r="AP6" i="157"/>
  <c r="AO6" i="157"/>
  <c r="AK6" i="157"/>
  <c r="Q14" i="157"/>
  <c r="AL13" i="157"/>
  <c r="AL5" i="157"/>
  <c r="U14" i="157"/>
  <c r="AO8" i="157"/>
  <c r="AM13" i="157"/>
  <c r="AN5" i="157"/>
  <c r="S12" i="157"/>
  <c r="F14" i="157"/>
  <c r="AL2" i="157"/>
  <c r="AM8" i="157"/>
  <c r="AO10" i="157"/>
  <c r="K8" i="157"/>
  <c r="AJ8" i="157"/>
  <c r="AP8" i="157"/>
  <c r="AL12" i="157"/>
  <c r="AC14" i="157"/>
  <c r="AK13" i="157"/>
  <c r="AM12" i="157"/>
  <c r="O14" i="157"/>
  <c r="AJ9" i="157"/>
  <c r="K9" i="157"/>
  <c r="AJ3" i="157"/>
  <c r="K3" i="157"/>
  <c r="S5" i="157"/>
  <c r="AA13" i="157"/>
  <c r="K13" i="157"/>
  <c r="AJ13" i="157"/>
  <c r="AA12" i="157"/>
  <c r="AP3" i="157"/>
  <c r="AI8" i="157"/>
  <c r="I14" i="157"/>
  <c r="AO2" i="157"/>
  <c r="AN11" i="157"/>
  <c r="AQ4" i="157" l="1"/>
  <c r="L15" i="157"/>
  <c r="AQ13" i="157"/>
  <c r="AM14" i="157"/>
  <c r="K14" i="157"/>
  <c r="AQ8" i="157"/>
  <c r="AQ6" i="157"/>
  <c r="AN14" i="157"/>
  <c r="AQ11" i="157"/>
  <c r="AQ7" i="157"/>
  <c r="AA14" i="157"/>
  <c r="AO14" i="157"/>
  <c r="AP14" i="157"/>
  <c r="AQ9" i="157"/>
  <c r="AB15" i="157"/>
  <c r="AQ3" i="157"/>
  <c r="T15" i="157"/>
  <c r="AL14" i="157"/>
  <c r="AQ10" i="157"/>
  <c r="AI14" i="157"/>
  <c r="AQ5" i="157"/>
  <c r="S14" i="157"/>
  <c r="D15" i="157"/>
  <c r="AK14" i="157"/>
  <c r="AQ2" i="157"/>
  <c r="AJ14" i="157"/>
  <c r="AQ12" i="157"/>
  <c r="A1" i="50"/>
  <c r="B1" i="50"/>
  <c r="AQ14" i="157" l="1"/>
  <c r="AN16" i="157" s="1"/>
  <c r="D16" i="157"/>
  <c r="AJ16" i="157" s="1"/>
  <c r="C29" i="159"/>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<sst xmlns="http://schemas.openxmlformats.org/spreadsheetml/2006/main" count="8511" uniqueCount="4552">
  <si>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</si>
  <si>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</si>
  <si>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</si>
  <si>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</si>
  <si>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</si>
  <si>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</si>
  <si>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</si>
  <si>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</si>
  <si>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</si>
  <si>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</si>
  <si>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</si>
  <si>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</si>
  <si>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</si>
  <si>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</si>
  <si>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</si>
  <si>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</si>
  <si>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</si>
  <si>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</si>
  <si>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</si>
  <si>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</si>
  <si>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</si>
  <si>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</si>
  <si>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</si>
  <si>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</si>
  <si>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</si>
  <si>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</si>
  <si>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</si>
  <si>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</si>
  <si>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</si>
  <si>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</si>
  <si>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</si>
  <si>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</si>
  <si>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</si>
  <si>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</si>
  <si>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</si>
  <si>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</si>
  <si>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</si>
  <si>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</si>
  <si>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</si>
  <si>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</si>
  <si>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</si>
  <si>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</si>
  <si>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</si>
  <si>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</si>
  <si>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</si>
  <si>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</si>
  <si>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</si>
  <si>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</si>
  <si>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</si>
  <si>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</si>
  <si>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</si>
  <si>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</si>
  <si>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</si>
  <si>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</si>
  <si>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</si>
  <si>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</si>
  <si>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</si>
  <si>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</si>
  <si>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</si>
  <si>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</si>
  <si>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</si>
  <si>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</si>
  <si>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</si>
  <si>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</si>
  <si>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</si>
  <si>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</si>
  <si>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</si>
  <si>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</si>
  <si>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</si>
  <si>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</si>
  <si>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</si>
  <si>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</si>
  <si>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</si>
  <si>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</si>
  <si>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</si>
  <si>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</si>
  <si>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</si>
  <si>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</si>
  <si>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</si>
  <si>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</si>
  <si>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</si>
  <si>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</si>
  <si>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</si>
  <si>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</si>
  <si>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</si>
  <si>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</si>
  <si>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</si>
  <si>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</si>
  <si>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</si>
  <si>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</si>
  <si>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</si>
  <si>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</si>
  <si>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</si>
  <si>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</si>
  <si>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</si>
  <si>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</si>
  <si>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</si>
  <si>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</si>
  <si>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</si>
  <si>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</si>
  <si>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</si>
  <si>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</si>
  <si>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</si>
  <si>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</si>
  <si>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</si>
  <si>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</si>
  <si>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</si>
  <si>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</si>
  <si>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</si>
  <si>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</si>
  <si>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</si>
  <si>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</si>
  <si>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</si>
  <si>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</si>
  <si>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</si>
  <si>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</si>
  <si>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</si>
  <si>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</si>
  <si>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</si>
  <si>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</si>
  <si>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</si>
  <si>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</si>
  <si>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</si>
  <si>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</si>
  <si>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</si>
  <si>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</si>
  <si>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</si>
  <si>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</si>
  <si>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</si>
  <si>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</si>
  <si>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</si>
  <si>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</si>
  <si>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</si>
  <si>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</si>
  <si>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</si>
  <si>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</si>
  <si>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</si>
  <si>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</si>
  <si>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</si>
  <si>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</si>
  <si>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</si>
  <si>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</si>
  <si>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</si>
  <si>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</si>
  <si>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</si>
  <si>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</si>
  <si>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</si>
  <si>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</si>
  <si>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</si>
  <si>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</si>
  <si>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</si>
  <si>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</si>
  <si>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</si>
  <si>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</si>
  <si>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</si>
  <si>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</si>
  <si>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</si>
  <si>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</si>
  <si>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</si>
  <si>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</si>
  <si>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</si>
  <si>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</si>
  <si>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</si>
  <si>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</si>
  <si>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</si>
  <si>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</si>
  <si>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</si>
  <si>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</si>
  <si>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</si>
  <si>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</si>
  <si>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</si>
  <si>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</si>
  <si>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</si>
  <si>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</si>
  <si>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</si>
  <si>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</si>
  <si>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</si>
  <si>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</si>
  <si>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</si>
  <si>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</si>
  <si>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</si>
  <si>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</si>
  <si>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</si>
  <si>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</si>
  <si>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</si>
  <si>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</si>
  <si>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</si>
  <si>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</si>
  <si>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</si>
  <si>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</si>
  <si>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</si>
  <si>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</si>
  <si>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</si>
  <si>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</si>
  <si>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</si>
  <si>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</si>
  <si>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</si>
  <si>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</si>
  <si>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</si>
  <si>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</si>
  <si>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</si>
  <si>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</si>
  <si>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</si>
  <si>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</si>
  <si>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</si>
  <si>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</si>
  <si>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</si>
  <si>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</si>
  <si>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</si>
  <si>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</si>
  <si>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</si>
  <si>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</si>
  <si>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</si>
  <si>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</si>
  <si>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</si>
  <si>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</si>
  <si>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</si>
  <si>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</si>
  <si>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</si>
  <si>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</si>
  <si>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</si>
  <si>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</si>
  <si>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</si>
  <si>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</si>
  <si>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</si>
  <si>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</si>
  <si>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</si>
  <si>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</si>
  <si>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</si>
  <si>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</si>
  <si>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</si>
  <si>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</si>
  <si>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</si>
  <si>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</si>
  <si>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</si>
  <si>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</si>
  <si>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</si>
  <si>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</si>
  <si>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</si>
  <si>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</si>
  <si>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</si>
  <si>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</si>
  <si>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</si>
  <si>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</si>
  <si>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</si>
  <si>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</si>
  <si>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</si>
  <si>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</si>
  <si>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</si>
  <si>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</si>
  <si>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</si>
  <si>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</si>
  <si>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</si>
  <si>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</si>
  <si>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</si>
  <si>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</si>
  <si>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</si>
  <si>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</si>
  <si>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</si>
  <si>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</si>
  <si>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</si>
  <si>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</si>
  <si>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</si>
  <si>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</si>
  <si>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</si>
  <si>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</si>
  <si>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</si>
  <si>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</si>
  <si>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</si>
  <si>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</si>
  <si>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</si>
  <si>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</si>
  <si>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</si>
  <si>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</si>
  <si>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</si>
  <si>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</si>
  <si>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</si>
  <si>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</si>
  <si>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</si>
  <si>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</si>
  <si>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</si>
  <si>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</si>
  <si>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</si>
  <si>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</si>
  <si>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</si>
  <si>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</si>
  <si>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</si>
  <si>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</si>
  <si>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</si>
  <si>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</si>
  <si>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</si>
  <si>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</si>
  <si>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</si>
  <si>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</si>
  <si>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</si>
  <si>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</si>
  <si>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</si>
  <si>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</si>
  <si>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</si>
  <si>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</si>
  <si>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</si>
  <si>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</si>
  <si>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</si>
  <si>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</si>
  <si>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</si>
  <si>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</si>
  <si>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</si>
  <si>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</si>
  <si>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</si>
  <si>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</si>
  <si>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</si>
  <si>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</si>
  <si>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</si>
  <si>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</si>
  <si>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</si>
  <si>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</si>
  <si>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</si>
  <si>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</si>
  <si>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</si>
  <si>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</si>
  <si>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</si>
  <si>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</si>
  <si>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</si>
  <si>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</si>
  <si>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</si>
  <si>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</si>
  <si>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</si>
  <si>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</si>
  <si>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</si>
  <si>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</si>
  <si>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</si>
  <si>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</si>
  <si>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</si>
  <si>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</si>
  <si>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</si>
  <si>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</si>
  <si>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</si>
  <si>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</si>
  <si>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</si>
  <si>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</si>
  <si>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</si>
  <si>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</si>
  <si>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</si>
  <si>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</si>
  <si>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</si>
  <si>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</si>
  <si>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</si>
  <si>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</si>
  <si>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</si>
  <si>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</si>
  <si>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</si>
  <si>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</si>
  <si>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</si>
  <si>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</si>
  <si>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</si>
  <si>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</si>
  <si>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</si>
  <si>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</si>
  <si>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</si>
  <si>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</si>
  <si>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</si>
  <si>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</si>
  <si>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</si>
  <si>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</si>
  <si>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</si>
  <si>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</si>
  <si>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</si>
  <si>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</si>
  <si>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</si>
  <si>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</si>
  <si>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</si>
  <si>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</si>
  <si>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</si>
  <si>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</si>
  <si>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</si>
  <si>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</si>
  <si>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</si>
  <si>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</si>
  <si>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</si>
  <si>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</si>
  <si>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</si>
  <si>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</si>
  <si>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</si>
  <si>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</si>
  <si>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</si>
  <si>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</si>
  <si>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</si>
  <si>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</si>
  <si>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</si>
  <si>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</si>
  <si>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</si>
  <si>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</si>
  <si>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</si>
  <si>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</si>
  <si>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</si>
  <si>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</si>
  <si>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</si>
  <si>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</si>
  <si>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</si>
  <si>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</si>
  <si>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</si>
  <si>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</si>
  <si>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</si>
  <si>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</si>
  <si>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</si>
  <si>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</si>
  <si>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</si>
  <si>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</si>
  <si>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</si>
  <si>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</si>
  <si>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</si>
  <si>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</si>
  <si>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</si>
  <si>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</si>
  <si>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</si>
  <si>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</si>
  <si>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</si>
  <si>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</si>
  <si>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</si>
  <si>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</si>
  <si>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</si>
  <si>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</si>
  <si>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</si>
  <si>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</si>
  <si>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</si>
  <si>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</si>
  <si>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</si>
  <si>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</si>
  <si>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</si>
  <si>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</si>
  <si>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</si>
  <si>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</si>
  <si>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</si>
  <si>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</si>
  <si>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</si>
  <si>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</si>
  <si>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</si>
  <si>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</si>
  <si>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</si>
  <si>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</si>
  <si>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</si>
  <si>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</si>
  <si>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</si>
  <si>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</si>
  <si>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</si>
  <si>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</si>
  <si>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</si>
  <si>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</si>
  <si>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</si>
  <si>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</si>
  <si>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</si>
  <si>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</si>
  <si>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</si>
  <si>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</si>
  <si>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</si>
  <si>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</si>
  <si>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</si>
  <si>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</si>
  <si>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</si>
  <si>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</si>
  <si>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</si>
  <si>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</si>
  <si>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</si>
  <si>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</si>
  <si>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</si>
  <si>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</si>
  <si>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</si>
  <si>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</si>
  <si>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</si>
  <si>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</si>
  <si>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</si>
  <si>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</si>
  <si>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</si>
  <si>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</si>
  <si>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</si>
  <si>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</si>
  <si>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</si>
  <si>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</si>
  <si>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</si>
  <si>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</si>
  <si>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</si>
  <si>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</si>
  <si>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</si>
  <si>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</si>
  <si>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</si>
  <si>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</si>
  <si>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</si>
  <si>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</si>
  <si>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</si>
  <si>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</si>
  <si>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</si>
  <si>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</si>
  <si>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</si>
  <si>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</si>
  <si>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</si>
  <si>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</si>
  <si>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</si>
  <si>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</si>
  <si>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</si>
  <si>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</si>
  <si>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</si>
  <si>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</si>
  <si>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</si>
  <si>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</si>
  <si>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</si>
  <si>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</si>
  <si>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</si>
  <si>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</si>
  <si>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</si>
  <si>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</si>
  <si>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</si>
  <si>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</si>
  <si>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</si>
  <si>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</si>
  <si>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</si>
  <si>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</si>
  <si>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</si>
  <si>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</si>
  <si>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</si>
  <si>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</si>
  <si>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</si>
  <si>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</si>
  <si>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</si>
  <si>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</si>
  <si>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</si>
  <si>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</si>
  <si>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</si>
  <si>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</si>
  <si>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</si>
  <si>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</si>
  <si>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</si>
  <si>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</si>
  <si>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</si>
  <si>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</si>
  <si>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</si>
  <si>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</si>
  <si>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</si>
  <si>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</si>
  <si>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</si>
  <si>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</si>
  <si>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</si>
  <si>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</si>
  <si>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</si>
  <si>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</si>
  <si>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</si>
  <si>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</si>
  <si>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</si>
  <si>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</si>
  <si>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</si>
  <si>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</si>
  <si>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</si>
  <si>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</si>
  <si>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</si>
  <si>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</si>
  <si>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</si>
  <si>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</si>
  <si>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</si>
  <si>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</si>
  <si>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</si>
  <si>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</si>
  <si>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</si>
  <si>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</si>
  <si>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</si>
  <si>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</si>
  <si>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</si>
  <si>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</si>
  <si>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</si>
  <si>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</si>
  <si>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</si>
  <si>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</si>
  <si>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</si>
  <si>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</si>
  <si>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</si>
  <si>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</si>
  <si>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</si>
  <si>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</si>
  <si>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</si>
  <si>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</si>
  <si>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</si>
  <si>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</si>
  <si>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</si>
  <si>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</si>
  <si>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</si>
  <si>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</si>
  <si>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</si>
  <si>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</si>
  <si>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</si>
  <si>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</si>
  <si>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</si>
  <si>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</si>
  <si>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</si>
  <si>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</si>
  <si>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</si>
  <si>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</si>
  <si>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</si>
  <si>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</si>
  <si>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</si>
  <si>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</si>
  <si>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</si>
  <si>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</si>
  <si>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</si>
  <si>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</si>
  <si>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</si>
  <si>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</si>
  <si>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</si>
  <si>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</si>
  <si>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</si>
  <si>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</si>
  <si>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</si>
  <si>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</si>
  <si>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</si>
  <si>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</si>
  <si>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</si>
  <si>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</si>
  <si>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</si>
  <si>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</si>
  <si>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</si>
  <si>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</si>
  <si>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</si>
  <si>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</si>
  <si>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</si>
  <si>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</si>
  <si>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</si>
  <si>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</si>
  <si>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</si>
  <si>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</si>
  <si>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</si>
  <si>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</si>
  <si>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</si>
  <si>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</si>
  <si>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</si>
  <si>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</si>
  <si>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</si>
  <si>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</si>
  <si>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</si>
  <si>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</si>
  <si>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</si>
  <si>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</si>
  <si>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</si>
  <si>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</si>
  <si>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</si>
  <si>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</si>
  <si>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</si>
  <si>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</si>
  <si>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</si>
  <si>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</si>
  <si>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</si>
  <si>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</si>
  <si>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</si>
  <si>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</si>
  <si>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</si>
  <si>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</si>
  <si>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</si>
  <si>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</si>
  <si>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</si>
  <si>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</si>
  <si>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</si>
  <si>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</si>
  <si>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</si>
  <si>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</si>
  <si>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</si>
  <si>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</si>
  <si>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</si>
  <si>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</si>
  <si>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</si>
  <si>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</si>
  <si>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</si>
  <si>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</si>
  <si>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</si>
  <si>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</si>
  <si>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</si>
  <si>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</si>
  <si>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</si>
  <si>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</si>
  <si>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</si>
  <si>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</si>
  <si>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</si>
  <si>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</si>
  <si>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</si>
  <si>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</si>
  <si>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</si>
  <si>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</si>
  <si>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</si>
  <si>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</si>
  <si>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</si>
  <si>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</si>
  <si>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</si>
  <si>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</si>
  <si>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</si>
  <si>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</si>
  <si>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</si>
  <si>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</si>
  <si>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</si>
  <si>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</si>
  <si>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</si>
  <si>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</si>
  <si>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</si>
  <si>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</si>
  <si>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</si>
  <si>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</si>
  <si>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</si>
  <si>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</si>
  <si>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</si>
  <si>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</si>
  <si>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</si>
  <si>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</si>
  <si>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</si>
  <si>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</si>
  <si>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</si>
  <si>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</si>
  <si>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</si>
  <si>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</si>
  <si>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</si>
  <si>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</si>
  <si>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</si>
  <si>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</si>
  <si>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</si>
  <si>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</si>
  <si>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</si>
  <si>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</si>
  <si>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</si>
  <si>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</si>
  <si>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</si>
  <si>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</si>
  <si>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</si>
  <si>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</si>
  <si>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</si>
  <si>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</si>
  <si>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</si>
  <si>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</si>
  <si>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</si>
  <si>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</si>
  <si>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</si>
  <si>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</si>
  <si>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</si>
  <si>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</si>
  <si>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</si>
  <si>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</si>
  <si>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</si>
  <si>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</si>
  <si>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</si>
  <si>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</si>
  <si>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</si>
  <si>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</si>
  <si>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</si>
  <si>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</si>
  <si>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</si>
  <si>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</si>
  <si>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</si>
  <si>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</si>
  <si>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</si>
  <si>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</si>
  <si>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</si>
  <si>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</si>
  <si>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</si>
  <si>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</si>
  <si>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</si>
  <si>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</si>
  <si>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</si>
  <si>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</si>
  <si>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</si>
  <si>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</si>
  <si>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</si>
  <si>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</si>
  <si>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</si>
  <si>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</si>
  <si>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</si>
  <si>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</si>
  <si>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</si>
  <si>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</si>
  <si>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</si>
  <si>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</si>
  <si>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</si>
  <si>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</si>
  <si>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</si>
  <si>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</si>
  <si>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</si>
  <si>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</si>
  <si>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</si>
  <si>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</si>
  <si>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</si>
  <si>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</si>
  <si>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</si>
  <si>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</si>
  <si>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</si>
  <si>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</si>
  <si>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</si>
  <si>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</si>
  <si>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</si>
  <si>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</si>
  <si>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</si>
  <si>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</si>
  <si>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</si>
  <si>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</si>
  <si>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</si>
  <si>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</si>
  <si>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</si>
  <si>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</si>
  <si>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</si>
  <si>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</si>
  <si>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</si>
  <si>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</si>
  <si>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</si>
  <si>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</si>
  <si>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</si>
  <si>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</si>
  <si>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</si>
  <si>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</si>
  <si>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</si>
  <si>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</si>
  <si>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</si>
  <si>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</si>
  <si>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</si>
  <si>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</si>
  <si>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</si>
  <si>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</si>
  <si>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</si>
  <si>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</si>
  <si>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</si>
  <si>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</si>
  <si>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</si>
  <si>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</si>
  <si>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</si>
  <si>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</si>
  <si>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</si>
  <si>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</si>
  <si>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</si>
  <si>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</si>
  <si>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</si>
  <si>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</si>
  <si>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</si>
  <si>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</si>
  <si>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</si>
  <si>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</si>
  <si>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</si>
  <si>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</si>
  <si>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</si>
  <si>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</si>
  <si>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</si>
  <si>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</si>
  <si>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</si>
  <si>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</si>
  <si>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</si>
  <si>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</si>
  <si>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</si>
  <si>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</si>
  <si>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</si>
  <si>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</si>
  <si>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</si>
  <si>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</si>
  <si>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</si>
  <si>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</si>
  <si>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</si>
  <si>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</si>
  <si>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</si>
  <si>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</si>
  <si>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</si>
  <si>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</si>
  <si>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</si>
  <si>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</si>
  <si>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</si>
  <si>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</si>
  <si>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</si>
  <si>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</si>
  <si>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</si>
  <si>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</si>
  <si>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</si>
  <si>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</si>
  <si>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</si>
  <si>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</si>
  <si>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</si>
  <si>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</si>
  <si>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</si>
  <si>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</si>
  <si>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</si>
  <si>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</si>
  <si>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</si>
  <si>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</si>
  <si>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</si>
  <si>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</si>
  <si>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</si>
  <si>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</si>
  <si>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</si>
  <si>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</si>
  <si>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</si>
  <si>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</si>
  <si>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</si>
  <si>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</si>
  <si>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</si>
  <si>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</si>
  <si>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</si>
  <si>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</si>
  <si>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</si>
  <si>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</si>
  <si>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</si>
  <si>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</si>
  <si>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</si>
  <si>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</si>
  <si>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</si>
  <si>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</si>
  <si>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</si>
  <si>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</si>
  <si>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</si>
  <si>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</si>
  <si>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</si>
  <si>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</si>
  <si>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</si>
  <si>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</si>
  <si>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</si>
  <si>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</si>
  <si>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</si>
  <si>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</si>
  <si>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</si>
  <si>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</si>
  <si>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</si>
  <si>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</si>
  <si>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</si>
  <si>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</si>
  <si>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</si>
  <si>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</si>
  <si>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</si>
  <si>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</si>
  <si>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</si>
  <si>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</si>
  <si>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</si>
  <si>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</si>
  <si>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</si>
  <si>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</si>
  <si>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</si>
  <si>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</si>
  <si>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</si>
  <si>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</si>
  <si>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</si>
  <si>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</si>
  <si>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</si>
  <si>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</si>
  <si>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</si>
  <si>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</si>
  <si>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</si>
  <si>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</si>
  <si>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</si>
  <si>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</si>
  <si>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</si>
  <si>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</si>
  <si>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</si>
  <si>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</si>
  <si>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</si>
  <si>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</si>
  <si>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</si>
  <si>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</si>
  <si>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</si>
  <si>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</si>
  <si>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</si>
  <si>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</si>
  <si>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</si>
  <si>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</si>
  <si>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</si>
  <si>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</si>
  <si>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</si>
  <si>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</si>
  <si>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</si>
  <si>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</si>
  <si>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</si>
  <si>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</si>
  <si>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</si>
  <si>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</si>
  <si>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</si>
  <si>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</si>
  <si>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</si>
  <si>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</si>
  <si>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</si>
  <si>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</si>
  <si>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</si>
  <si>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</si>
  <si>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</si>
  <si>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</si>
  <si>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</si>
  <si>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</si>
  <si>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</si>
  <si>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</si>
  <si>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</si>
  <si>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</si>
  <si>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</si>
  <si>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</si>
  <si>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</si>
  <si>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</si>
  <si>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</si>
  <si>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</si>
  <si>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</si>
  <si>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</si>
  <si>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</si>
  <si>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</si>
  <si>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</si>
  <si>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</si>
  <si>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</si>
  <si>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</si>
  <si>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</si>
  <si>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</si>
  <si>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</si>
  <si>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</si>
  <si>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</si>
  <si>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</si>
  <si>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</si>
  <si>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</si>
  <si>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</si>
  <si>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</si>
  <si>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</si>
  <si>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</si>
  <si>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</si>
  <si>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</si>
  <si>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</si>
  <si>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</si>
  <si>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</si>
  <si>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</si>
  <si>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</si>
  <si>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</si>
  <si>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</si>
  <si>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</si>
  <si>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</si>
  <si>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</si>
  <si>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</si>
  <si>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</si>
  <si>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</si>
  <si>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</si>
  <si>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</si>
  <si>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</si>
  <si>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</si>
  <si>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</si>
  <si>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</si>
  <si>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</si>
  <si>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</si>
  <si>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</si>
  <si>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</si>
  <si>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</si>
  <si>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</si>
  <si>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</si>
  <si>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</si>
  <si>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</si>
  <si>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</si>
  <si>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</si>
  <si>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</si>
  <si>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</si>
  <si>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</si>
  <si>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</si>
  <si>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</si>
  <si>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</si>
  <si>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</si>
  <si>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</si>
  <si>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</si>
  <si>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</si>
  <si>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</si>
  <si>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</si>
  <si>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</si>
  <si>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</si>
  <si>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</si>
  <si>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</si>
  <si>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</si>
  <si>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</si>
  <si>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</si>
  <si>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</si>
  <si>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</si>
  <si>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</si>
  <si>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</si>
  <si>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</si>
  <si>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</si>
  <si>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</si>
  <si>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</si>
  <si>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</si>
  <si>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</si>
  <si>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</si>
  <si>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</si>
  <si>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</si>
  <si>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</si>
  <si>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</si>
  <si>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</si>
  <si>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</si>
  <si>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</si>
  <si>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</si>
  <si>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</si>
  <si>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</si>
  <si>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</si>
  <si>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</si>
  <si>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</si>
  <si>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</si>
  <si>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</si>
  <si>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</si>
  <si>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</si>
  <si>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</si>
  <si>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</si>
  <si>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</si>
  <si>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</si>
  <si>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</si>
  <si>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</si>
  <si>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</si>
  <si>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</si>
  <si>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</si>
  <si>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</si>
  <si>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</si>
  <si>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</si>
  <si>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</si>
  <si>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</si>
  <si>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</si>
  <si>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</si>
  <si>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</si>
  <si>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</si>
  <si>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</si>
  <si>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</si>
  <si>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</si>
  <si>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</si>
  <si>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</si>
  <si>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</si>
  <si>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</si>
  <si>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</si>
  <si>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</si>
  <si>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</si>
  <si>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</si>
  <si>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</si>
  <si>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</si>
  <si>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</si>
  <si>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</si>
  <si>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</si>
  <si>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</si>
  <si>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</si>
  <si>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</si>
  <si>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</si>
  <si>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</si>
  <si>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</si>
  <si>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</si>
  <si>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</si>
  <si>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</si>
  <si>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</si>
  <si>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</si>
  <si>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</si>
  <si>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</si>
  <si>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</si>
  <si>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</si>
  <si>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</si>
  <si>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</si>
  <si>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</si>
  <si>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</si>
  <si>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</si>
  <si>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</si>
  <si>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</si>
  <si>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</si>
  <si>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</si>
  <si>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</si>
  <si>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</si>
  <si>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</si>
  <si>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</si>
  <si>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</si>
  <si>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</si>
  <si>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</si>
  <si>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</si>
  <si>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</si>
  <si>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</si>
  <si>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</si>
  <si>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</si>
  <si>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</si>
  <si>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</si>
  <si>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</si>
  <si>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</si>
  <si>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</si>
  <si>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</si>
  <si>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</si>
  <si>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</si>
  <si>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</si>
  <si>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</si>
  <si>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</si>
  <si>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</si>
  <si>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</si>
  <si>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</si>
  <si>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</si>
  <si>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</si>
  <si>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</si>
  <si>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</si>
  <si>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</si>
  <si>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</si>
  <si>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</si>
  <si>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</si>
  <si>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</si>
  <si>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</si>
  <si>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</si>
  <si>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</si>
  <si>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</si>
  <si>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</si>
  <si>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</si>
  <si>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</si>
  <si>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</si>
  <si>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</si>
  <si>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</si>
  <si>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</si>
  <si>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</si>
  <si>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</si>
  <si>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</si>
  <si>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</si>
  <si>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</si>
  <si>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</si>
  <si>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</si>
  <si>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</si>
  <si>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</si>
  <si>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</si>
  <si>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</si>
  <si>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</si>
  <si>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</si>
  <si>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</si>
  <si>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</si>
  <si>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</si>
  <si>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</si>
  <si>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</si>
  <si>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</si>
  <si>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</si>
  <si>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</si>
  <si>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</si>
  <si>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</si>
  <si>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</si>
  <si>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</si>
  <si>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</si>
  <si>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</si>
  <si>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</si>
  <si>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</si>
  <si>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</si>
  <si>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</si>
  <si>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</si>
  <si>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</si>
  <si>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</si>
  <si>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</si>
  <si>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</si>
  <si>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</si>
  <si>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</si>
  <si>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</si>
  <si>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</si>
  <si>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</si>
  <si>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</si>
  <si>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</si>
  <si>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</si>
  <si>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</si>
  <si>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</si>
  <si>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</si>
  <si>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</si>
  <si>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</si>
  <si>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</si>
  <si>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</si>
  <si>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</si>
  <si>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</si>
  <si>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</si>
  <si>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</si>
  <si>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</si>
  <si>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</si>
  <si>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</si>
  <si>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</si>
  <si>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</si>
  <si>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</si>
  <si>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</si>
  <si>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</si>
  <si>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</si>
  <si>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</si>
  <si>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</si>
  <si>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</si>
  <si>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</si>
  <si>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</si>
  <si>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</si>
  <si>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</si>
  <si>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</si>
  <si>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</si>
  <si>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</si>
  <si>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</si>
  <si>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</si>
  <si>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</si>
  <si>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</si>
  <si>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</si>
  <si>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</si>
  <si>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</si>
  <si>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</si>
  <si>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</si>
  <si>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</si>
  <si>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</si>
  <si>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</si>
  <si>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</si>
  <si>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</si>
  <si>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</si>
  <si>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</si>
  <si>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</si>
  <si>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</si>
  <si>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</si>
  <si>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</si>
  <si>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</si>
  <si>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</si>
  <si>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</si>
  <si>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</si>
  <si>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</si>
  <si>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</si>
  <si>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</si>
  <si>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</si>
  <si>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</si>
  <si>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</si>
  <si>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</si>
  <si>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</si>
  <si>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</si>
  <si>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</si>
  <si>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</si>
  <si>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</si>
  <si>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</si>
  <si>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</si>
  <si>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</si>
  <si>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</si>
  <si>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</si>
  <si>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</si>
  <si>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</si>
  <si>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</si>
  <si>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</si>
  <si>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</si>
  <si>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</si>
  <si>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</si>
  <si>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</si>
  <si>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</si>
  <si>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</si>
  <si>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</si>
  <si>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</si>
  <si>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</si>
  <si>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</si>
  <si>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</si>
  <si>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</si>
  <si>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</si>
  <si>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</si>
  <si>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</si>
  <si>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</si>
  <si>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</si>
  <si>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</si>
  <si>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</si>
  <si>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</si>
  <si>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</si>
  <si>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</si>
  <si>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</si>
  <si>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</si>
  <si>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</si>
  <si>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</si>
  <si>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</si>
  <si>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</si>
  <si>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</si>
  <si>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</si>
  <si>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</si>
  <si>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</si>
  <si>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</si>
  <si>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</si>
  <si>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</si>
  <si>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</si>
  <si>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</si>
  <si>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</si>
  <si>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</si>
  <si>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</si>
  <si>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</si>
  <si>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</si>
  <si>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</si>
  <si>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</si>
  <si>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</si>
  <si>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</si>
  <si>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</si>
  <si>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</si>
  <si>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</si>
  <si>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</si>
  <si>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</si>
  <si>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</si>
  <si>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</si>
  <si>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</si>
  <si>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</si>
  <si>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</si>
  <si>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</si>
  <si>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</si>
  <si>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</si>
  <si>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</si>
  <si>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</si>
  <si>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</si>
  <si>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</si>
  <si>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</si>
  <si>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</si>
  <si>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</si>
  <si>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</si>
  <si>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</si>
  <si>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</si>
  <si>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</si>
  <si>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</si>
  <si>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</si>
  <si>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</si>
  <si>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</si>
  <si>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</si>
  <si>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</si>
  <si>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</si>
  <si>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</si>
  <si>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</si>
  <si>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</si>
  <si>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</si>
  <si>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</si>
  <si>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</si>
  <si>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</si>
  <si>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</si>
  <si>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</si>
  <si>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</si>
  <si>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</si>
  <si>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</si>
  <si>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</si>
  <si>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</si>
  <si>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</si>
  <si>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</si>
  <si>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</si>
  <si>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</si>
  <si>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</si>
  <si>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</si>
  <si>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</si>
  <si>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</si>
  <si>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</si>
  <si>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</si>
  <si>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</si>
  <si>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</si>
  <si>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</si>
  <si>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</si>
  <si>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</si>
  <si>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</si>
  <si>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</si>
  <si>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</si>
  <si>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</si>
  <si>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</si>
  <si>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</si>
  <si>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</si>
  <si>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</si>
  <si>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</si>
  <si>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</si>
  <si>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</si>
  <si>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</si>
  <si>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</si>
  <si>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</si>
  <si>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</si>
  <si>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</si>
  <si>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</si>
  <si>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</si>
  <si>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</si>
  <si>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</si>
  <si>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</si>
  <si>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</si>
  <si>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</si>
  <si>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</si>
  <si>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</si>
  <si>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</si>
  <si>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</si>
  <si>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</si>
  <si>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</si>
  <si>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</si>
  <si>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</si>
  <si>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</si>
  <si>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</si>
  <si>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</si>
  <si>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</si>
  <si>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</si>
  <si>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</si>
  <si>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</si>
  <si>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</si>
  <si>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</si>
  <si>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</si>
  <si>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</si>
  <si>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</si>
  <si>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</si>
  <si>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</si>
  <si>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</si>
  <si>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</si>
  <si>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</si>
  <si>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</si>
  <si>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</si>
  <si>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</si>
  <si>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</si>
  <si>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</si>
  <si>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</si>
  <si>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</si>
  <si>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</si>
  <si>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</si>
  <si>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</si>
  <si>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</si>
  <si>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</si>
  <si>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</si>
  <si>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</si>
  <si>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</si>
  <si>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</si>
  <si>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</si>
  <si>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</si>
  <si>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</si>
  <si>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</si>
  <si>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</si>
  <si>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</si>
  <si>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</si>
  <si>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</si>
  <si>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</si>
  <si>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</si>
  <si>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</si>
  <si>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</si>
  <si>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</si>
  <si>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</si>
  <si>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</si>
  <si>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</si>
  <si>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</si>
  <si>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</si>
  <si>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</si>
  <si>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</si>
  <si>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</si>
  <si>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</si>
  <si>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</si>
  <si>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</si>
  <si>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</si>
  <si>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</si>
  <si>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</si>
  <si>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</si>
  <si>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</si>
  <si>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</si>
  <si>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</si>
  <si>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</si>
  <si>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</si>
  <si>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</si>
  <si>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</si>
  <si>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</si>
  <si>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</si>
  <si>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</si>
  <si>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</si>
  <si>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</si>
  <si>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</si>
  <si>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</si>
  <si>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</si>
  <si>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</si>
  <si>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</si>
  <si>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</si>
  <si>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</si>
  <si>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</si>
  <si>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</si>
  <si>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</si>
  <si>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</si>
  <si>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</si>
  <si>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</si>
  <si>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</si>
  <si>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</si>
  <si>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</si>
  <si>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</si>
  <si>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</si>
  <si>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</si>
  <si>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</si>
  <si>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</si>
  <si>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</si>
  <si>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</si>
  <si>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</si>
  <si>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</si>
  <si>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</si>
  <si>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</si>
  <si>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</si>
  <si>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</si>
  <si>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</si>
  <si>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</si>
  <si>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</si>
  <si>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</si>
  <si>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</si>
  <si>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</si>
  <si>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</si>
  <si>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</si>
  <si>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</si>
  <si>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</si>
  <si>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</si>
  <si>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</si>
  <si>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</si>
  <si>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</si>
  <si>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</si>
  <si>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</si>
  <si>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</si>
  <si>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</si>
  <si>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</si>
  <si>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</si>
  <si>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</si>
  <si>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</si>
  <si>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</si>
  <si>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</si>
  <si>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</si>
  <si>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</si>
  <si>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</si>
  <si>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</si>
  <si>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</si>
  <si>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</si>
  <si>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</si>
  <si>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</si>
  <si>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</si>
  <si>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</si>
  <si>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</si>
  <si>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</si>
  <si>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</si>
  <si>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</si>
  <si>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</si>
  <si>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</si>
  <si>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</si>
  <si>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</si>
  <si>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</si>
  <si>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</si>
  <si>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</si>
  <si>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</si>
  <si>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</si>
  <si>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</si>
  <si>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</si>
  <si>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</si>
  <si>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</si>
  <si>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</si>
  <si>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</si>
  <si>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</si>
  <si>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</si>
  <si>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</si>
  <si>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</si>
  <si>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</si>
  <si>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</si>
  <si>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</si>
  <si>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</si>
  <si>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</si>
  <si>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</si>
  <si>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</si>
  <si>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</si>
  <si>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</si>
  <si>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</si>
  <si>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</si>
  <si>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</si>
  <si>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</si>
  <si>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</si>
  <si>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</si>
  <si>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</si>
  <si>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</si>
  <si>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</si>
  <si>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</si>
  <si>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</si>
  <si>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</si>
  <si>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</si>
  <si>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</si>
  <si>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</si>
  <si>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</si>
  <si>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</si>
  <si>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</si>
  <si>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</si>
  <si>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</si>
  <si>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</si>
  <si>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</si>
  <si>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</si>
  <si>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</si>
  <si>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</si>
  <si>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</si>
  <si>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</si>
  <si>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</si>
  <si>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</si>
  <si>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</si>
  <si>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</si>
  <si>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</si>
  <si>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</si>
  <si>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</si>
  <si>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</si>
  <si>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</si>
  <si>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</si>
  <si>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</si>
  <si>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</si>
  <si>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</si>
  <si>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</si>
  <si>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</si>
  <si>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</si>
  <si>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</si>
  <si>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</si>
  <si>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</si>
  <si>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</si>
  <si>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</si>
  <si>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</si>
  <si>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</si>
  <si>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</si>
  <si>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</si>
  <si>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</si>
  <si>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</si>
  <si>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</si>
  <si>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</si>
  <si>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</si>
  <si>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</si>
  <si>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</si>
  <si>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</si>
  <si>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</si>
  <si>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</si>
  <si>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</si>
  <si>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</si>
  <si>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</si>
  <si>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</si>
  <si>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</si>
  <si>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</si>
  <si>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</si>
  <si>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</si>
  <si>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</si>
  <si>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</si>
  <si>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</si>
  <si>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</si>
  <si>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</si>
  <si>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</si>
  <si>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</si>
  <si>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</si>
  <si>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</si>
  <si>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</si>
  <si>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</si>
  <si>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</si>
  <si>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</si>
  <si>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</si>
  <si>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</si>
  <si>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</si>
  <si>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</si>
  <si>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</si>
  <si>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</si>
  <si>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</si>
  <si>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</si>
  <si>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</si>
  <si>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</si>
  <si>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</si>
  <si>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</si>
  <si>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</si>
  <si>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</si>
  <si>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</si>
  <si>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</si>
  <si>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</si>
  <si>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</si>
  <si>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</si>
  <si>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</si>
  <si>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</si>
  <si>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</si>
  <si>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</si>
  <si>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</si>
  <si>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</si>
  <si>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</si>
  <si>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</si>
  <si>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</si>
  <si>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</si>
  <si>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</si>
  <si>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</si>
  <si>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</si>
  <si>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</si>
  <si>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</si>
  <si>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</si>
  <si>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</si>
  <si>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</si>
  <si>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</si>
  <si>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</si>
  <si>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</si>
  <si>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</si>
  <si>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</si>
  <si>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</si>
  <si>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</si>
  <si>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</si>
  <si>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</si>
  <si>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</si>
  <si>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</si>
  <si>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</si>
  <si>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</si>
  <si>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</si>
  <si>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</si>
  <si>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</si>
  <si>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</si>
  <si>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</si>
  <si>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</si>
  <si>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</si>
  <si>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</si>
  <si>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</si>
  <si>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</si>
  <si>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</si>
  <si>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</si>
  <si>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</si>
  <si>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</si>
  <si>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</si>
  <si>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</si>
  <si>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</si>
  <si>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</si>
  <si>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</si>
  <si>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</si>
  <si>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</si>
  <si>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</si>
  <si>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</si>
  <si>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</si>
  <si>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</si>
  <si>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</si>
  <si>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</si>
  <si>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</si>
  <si>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</si>
  <si>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</si>
  <si>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</si>
  <si>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</si>
  <si>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</si>
  <si>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</si>
  <si>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</si>
  <si>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</si>
  <si>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</si>
  <si>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</si>
  <si>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</si>
  <si>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</si>
  <si>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</si>
  <si>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</si>
  <si>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</si>
  <si>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</si>
  <si>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</si>
  <si>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</si>
  <si>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</si>
  <si>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</si>
  <si>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</si>
  <si>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</si>
  <si>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</si>
  <si>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</si>
  <si>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</si>
  <si>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</si>
  <si>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</si>
  <si>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</si>
  <si>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</si>
  <si>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</si>
  <si>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</si>
  <si>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</si>
  <si>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</si>
  <si>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</si>
  <si>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</si>
  <si>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</si>
  <si>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</si>
  <si>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</si>
  <si>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</si>
  <si>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</si>
  <si>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</si>
  <si>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</si>
  <si>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</si>
  <si>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</si>
  <si>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</si>
  <si>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</si>
  <si>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</si>
  <si>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</si>
  <si>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</si>
  <si>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</si>
  <si>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</si>
  <si>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</si>
  <si>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</si>
  <si>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</si>
  <si>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</si>
  <si>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</si>
  <si>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</si>
  <si>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</si>
  <si>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</si>
  <si>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</si>
  <si>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</si>
  <si>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</si>
  <si>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</si>
  <si>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</si>
  <si>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</si>
  <si>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</si>
  <si>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</si>
  <si>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</si>
  <si>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</si>
  <si>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</si>
  <si>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</si>
  <si>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</si>
  <si>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</si>
  <si>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</si>
  <si>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</si>
  <si>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</si>
  <si>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</si>
  <si>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</si>
  <si>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</si>
  <si>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</si>
  <si>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</si>
  <si>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</si>
  <si>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</si>
  <si>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</si>
  <si>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</si>
  <si>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</si>
  <si>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</si>
  <si>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</si>
  <si>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</si>
  <si>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</si>
  <si>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</si>
  <si>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</si>
  <si>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</si>
  <si>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</si>
  <si>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</si>
  <si>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</si>
  <si>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</si>
  <si>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</si>
  <si>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</si>
  <si>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</si>
  <si>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</si>
  <si>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</si>
  <si>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</si>
  <si>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</si>
  <si>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</si>
  <si>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</si>
  <si>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</si>
  <si>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</si>
  <si>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</si>
  <si>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</si>
  <si>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</si>
  <si>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</si>
  <si>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</si>
  <si>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</si>
  <si>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</si>
  <si>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</si>
  <si>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</si>
  <si>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</si>
  <si>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</si>
  <si>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</si>
  <si>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</si>
  <si>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</si>
  <si>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</si>
  <si>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</si>
  <si>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</si>
  <si>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</si>
  <si>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</si>
  <si>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</si>
  <si>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</si>
  <si>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</si>
  <si>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</si>
  <si>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</si>
  <si>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</si>
  <si>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</si>
  <si>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</si>
  <si>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</si>
  <si>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</si>
  <si>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</si>
  <si>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</si>
  <si>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</si>
  <si>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</si>
  <si>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</si>
  <si>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</si>
  <si>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</si>
  <si>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</si>
  <si>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</si>
  <si>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</si>
  <si>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</si>
  <si>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</si>
  <si>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</si>
  <si>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</si>
  <si>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</si>
  <si>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</si>
  <si>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</si>
  <si>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</si>
  <si>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</si>
  <si>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</si>
  <si>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</si>
  <si>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</si>
  <si>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</si>
  <si>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</si>
  <si>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</si>
  <si>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</si>
  <si>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</si>
  <si>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</si>
  <si>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</si>
  <si>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</si>
  <si>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</si>
  <si>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</si>
  <si>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</si>
  <si>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</si>
  <si>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</si>
  <si>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</si>
  <si>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</si>
  <si>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</si>
  <si>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</si>
  <si>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</si>
  <si>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</si>
  <si>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</si>
  <si>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</si>
  <si>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</si>
  <si>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</si>
  <si>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</si>
  <si>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</si>
  <si>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</si>
  <si>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</si>
  <si>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</si>
  <si>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</si>
  <si>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</si>
  <si>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</si>
  <si>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</si>
  <si>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</si>
  <si>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</si>
  <si>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</si>
  <si>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</si>
  <si>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</si>
  <si>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</si>
  <si>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</si>
  <si>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</si>
  <si>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</si>
  <si>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</si>
  <si>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</si>
  <si>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</si>
  <si>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</si>
  <si>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</si>
  <si>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</si>
  <si>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</si>
  <si>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</si>
  <si>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</si>
  <si>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</si>
  <si>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</si>
  <si>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</si>
  <si>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</si>
  <si>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</si>
  <si>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</si>
  <si>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</si>
  <si>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</si>
  <si>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</si>
  <si>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</si>
  <si>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</si>
  <si>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</si>
  <si>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</si>
  <si>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</si>
  <si>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</si>
  <si>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</si>
  <si>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</si>
  <si>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</si>
  <si>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</si>
  <si>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</si>
  <si>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</si>
  <si>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</si>
  <si>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</si>
  <si>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</si>
  <si>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</si>
  <si>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</si>
  <si>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</si>
  <si>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</si>
  <si>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</si>
  <si>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</si>
  <si>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</si>
  <si>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</si>
  <si>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</si>
  <si>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</si>
  <si>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</si>
  <si>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</si>
  <si>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</si>
  <si>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</si>
  <si>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</si>
  <si>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</si>
  <si>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</si>
  <si>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</si>
  <si>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</si>
  <si>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</si>
  <si>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</si>
  <si>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</si>
  <si>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</si>
  <si>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</si>
  <si>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</si>
  <si>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</si>
  <si>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</si>
  <si>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</si>
  <si>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</si>
  <si>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</si>
  <si>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</si>
  <si>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</si>
  <si>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</si>
  <si>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</si>
  <si>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</si>
  <si>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</si>
  <si>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</si>
  <si>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</si>
  <si>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</si>
  <si>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</si>
  <si>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</si>
  <si>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</si>
  <si>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</si>
  <si>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</si>
  <si>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</si>
  <si>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</si>
  <si>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</si>
  <si>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</si>
  <si>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</si>
  <si>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</si>
  <si>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</si>
  <si>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</si>
  <si>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</si>
  <si>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</si>
  <si>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</si>
  <si>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</si>
  <si>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</si>
  <si>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</si>
  <si>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</si>
  <si>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</si>
  <si>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</si>
  <si>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</si>
  <si>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</si>
  <si>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</si>
  <si>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</si>
  <si>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</si>
  <si>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</si>
  <si>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</si>
  <si>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</si>
  <si>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</si>
  <si>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</si>
  <si>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</si>
  <si>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</si>
  <si>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</si>
  <si>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</si>
  <si>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</si>
  <si>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</si>
  <si>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</si>
  <si>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</si>
  <si>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</si>
  <si>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</si>
  <si>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</si>
  <si>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</si>
  <si>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</si>
  <si>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</si>
  <si>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</si>
  <si>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</si>
  <si>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</si>
  <si>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</si>
  <si>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</si>
  <si>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</si>
  <si>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</si>
  <si>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</si>
  <si>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</si>
  <si>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</si>
  <si>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</si>
  <si>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</si>
  <si>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</si>
  <si>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</si>
  <si>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</si>
  <si>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</si>
  <si>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</si>
  <si>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</si>
  <si>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</si>
  <si>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</si>
  <si>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</si>
  <si>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</si>
  <si>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</si>
  <si>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</si>
  <si>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</si>
  <si>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</si>
  <si>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</si>
  <si>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</si>
  <si>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</si>
  <si>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</si>
  <si>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</si>
  <si>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</si>
  <si>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</si>
  <si>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</si>
  <si>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</si>
  <si>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</si>
  <si>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</si>
  <si>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</si>
  <si>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</si>
  <si>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</si>
  <si>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</si>
  <si>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</si>
  <si>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</si>
  <si>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</si>
  <si>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</si>
  <si>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</si>
  <si>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</si>
  <si>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</si>
  <si>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</si>
  <si>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</si>
  <si>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</si>
  <si>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</si>
  <si>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</si>
  <si>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</si>
  <si>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</si>
  <si>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</si>
  <si>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</si>
  <si>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</si>
  <si>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</si>
  <si>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</si>
  <si>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</si>
  <si>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</si>
  <si>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</si>
  <si>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</si>
  <si>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</si>
  <si>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</si>
  <si>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</si>
  <si>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</si>
  <si>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</si>
  <si>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</si>
  <si>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</si>
  <si>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</si>
  <si>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</si>
  <si>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</si>
  <si>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</si>
  <si>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</si>
  <si>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</si>
  <si>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</si>
  <si>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</si>
  <si>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</si>
  <si>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</si>
  <si>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</si>
  <si>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</si>
  <si>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</si>
  <si>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</si>
  <si>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</si>
  <si>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</si>
  <si>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</si>
  <si>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</si>
  <si>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</si>
  <si>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</si>
  <si>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</si>
  <si>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</si>
  <si>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</si>
  <si>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</si>
  <si>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</si>
  <si>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</si>
  <si>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</si>
  <si>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</si>
  <si>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</si>
  <si>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</si>
  <si>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</si>
  <si>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</si>
  <si>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</si>
  <si>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</si>
  <si>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</si>
  <si>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</si>
  <si>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</si>
  <si>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</si>
  <si>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</si>
  <si>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</si>
  <si>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</si>
  <si>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</si>
  <si>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</si>
  <si>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</si>
  <si>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</si>
  <si>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</si>
  <si>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</si>
  <si>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</si>
  <si>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</si>
  <si>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</si>
  <si>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</si>
  <si>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</si>
  <si>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</si>
  <si>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</si>
  <si>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</si>
  <si>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</si>
  <si>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</si>
  <si>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</si>
  <si>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</si>
  <si>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</si>
  <si>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</si>
  <si>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</si>
  <si>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</si>
  <si>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</si>
  <si>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</si>
  <si>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</si>
  <si>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</si>
  <si>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</si>
  <si>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</si>
  <si>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</si>
  <si>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</si>
  <si>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</si>
  <si>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</si>
  <si>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</si>
  <si>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</si>
  <si>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</si>
  <si>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</si>
  <si>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</si>
  <si>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</si>
  <si>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</si>
  <si>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</si>
  <si>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</si>
  <si>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</si>
  <si>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</si>
  <si>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</si>
  <si>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</si>
  <si>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</si>
  <si>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</si>
  <si>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</si>
  <si>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</si>
  <si>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</si>
  <si>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</si>
  <si>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</si>
  <si>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</si>
  <si>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</si>
  <si>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</si>
  <si>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</si>
  <si>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</si>
  <si>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</si>
  <si>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</si>
  <si>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</si>
  <si>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</si>
  <si>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</si>
  <si>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</si>
  <si>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</si>
  <si>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</si>
  <si>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</si>
  <si>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</si>
  <si>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</si>
  <si>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</si>
  <si>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</si>
  <si>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</si>
  <si>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</si>
  <si>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</si>
  <si>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</si>
  <si>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</si>
  <si>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</si>
  <si>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</si>
  <si>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</si>
  <si>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</si>
  <si>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</si>
  <si>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</si>
  <si>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</si>
  <si>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</si>
  <si>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</si>
  <si>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</si>
  <si>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</si>
  <si>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</si>
  <si>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</si>
  <si>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</si>
  <si>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</si>
  <si>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</si>
  <si>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</si>
  <si>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</si>
  <si>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</si>
  <si>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</si>
  <si>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</si>
  <si>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</si>
  <si>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</si>
  <si>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</si>
  <si>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</si>
  <si>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</si>
  <si>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</si>
  <si>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</si>
  <si>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</si>
  <si>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</si>
  <si>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</si>
  <si>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</si>
  <si>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</si>
  <si>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</si>
  <si>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</si>
  <si>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</si>
  <si>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</si>
  <si>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</si>
  <si>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</si>
  <si>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</si>
  <si>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</si>
  <si>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</si>
  <si>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</si>
  <si>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</si>
  <si>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</si>
  <si>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</si>
  <si>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</si>
  <si>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</si>
  <si>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</si>
  <si>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</si>
  <si>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</si>
  <si>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</si>
  <si>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</si>
  <si>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</si>
  <si>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</si>
  <si>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</si>
  <si>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</si>
  <si>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</si>
  <si>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</si>
  <si>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</si>
  <si>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</si>
  <si>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</si>
  <si>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</si>
  <si>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</si>
  <si>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</si>
  <si>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</si>
  <si>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</si>
  <si>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</si>
  <si>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</si>
  <si>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</si>
  <si>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</si>
  <si>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</si>
  <si>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</si>
  <si>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</si>
  <si>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</si>
  <si>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</si>
  <si>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</si>
  <si>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</si>
  <si>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</si>
  <si>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</si>
  <si>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</si>
  <si>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</si>
  <si>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</si>
  <si>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</si>
  <si>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</si>
  <si>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</si>
  <si>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</si>
  <si>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</si>
  <si>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</si>
  <si>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</si>
  <si>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</si>
  <si>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</si>
  <si>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</si>
  <si>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</si>
  <si>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</si>
  <si>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</si>
  <si>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</si>
  <si>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</si>
  <si>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</si>
  <si>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</si>
  <si>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</si>
  <si>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</si>
  <si>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</si>
  <si>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</si>
  <si>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</si>
  <si>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</si>
  <si>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</si>
  <si>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</si>
  <si>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</si>
  <si>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</si>
  <si>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</si>
  <si>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</si>
  <si>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</si>
  <si>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</si>
  <si>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</si>
  <si>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</si>
  <si>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</si>
  <si>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</si>
  <si>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</si>
  <si>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</si>
  <si>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</si>
  <si>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</si>
  <si>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</si>
  <si>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</si>
  <si>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</si>
  <si>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</si>
  <si>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</si>
  <si>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</si>
  <si>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</si>
  <si>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</si>
  <si>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</si>
  <si>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</si>
  <si>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</si>
  <si>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</si>
  <si>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</si>
  <si>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</si>
  <si>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</si>
  <si>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</si>
  <si>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</si>
  <si>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</si>
  <si>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</si>
  <si>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</si>
  <si>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</si>
  <si>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</si>
  <si>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</si>
  <si>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</si>
  <si>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</si>
  <si>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</si>
  <si>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</si>
  <si>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</si>
  <si>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</si>
  <si>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</si>
  <si>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</si>
  <si>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</si>
  <si>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</si>
  <si>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</si>
  <si>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</si>
  <si>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</si>
  <si>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</si>
  <si>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</si>
  <si>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</si>
  <si>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</si>
  <si>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</si>
  <si>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</si>
  <si>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</si>
  <si>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</si>
  <si>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</si>
  <si>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</si>
  <si>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</si>
  <si>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</si>
  <si>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</si>
  <si>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</si>
  <si>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</si>
  <si>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</si>
  <si>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</si>
  <si>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</si>
  <si>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</si>
  <si>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</si>
  <si>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</si>
  <si>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</si>
  <si>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</si>
  <si>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</si>
  <si>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</si>
  <si>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</si>
  <si>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</si>
  <si>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</si>
  <si>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</si>
  <si>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</si>
  <si>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</si>
  <si>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</si>
  <si>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</si>
  <si>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</si>
  <si>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</si>
  <si>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</si>
  <si>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</si>
  <si>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</si>
  <si>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</si>
  <si>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</si>
  <si>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</si>
  <si>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</si>
  <si>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</si>
  <si>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</si>
  <si>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</si>
  <si>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</si>
  <si>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</si>
  <si>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</si>
  <si>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</si>
  <si>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</si>
  <si>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</si>
  <si>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</si>
  <si>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</si>
  <si>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</si>
  <si>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</si>
  <si>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</si>
  <si>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</si>
  <si>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</si>
  <si>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</si>
  <si>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</si>
  <si>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</si>
  <si>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</si>
  <si>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</si>
  <si>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</si>
  <si>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</si>
  <si>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</si>
  <si>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</si>
  <si>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</si>
  <si>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</si>
  <si>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</si>
  <si>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</si>
  <si>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</si>
  <si>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</si>
  <si>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</si>
  <si>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</si>
  <si>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</si>
  <si>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</si>
  <si>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</si>
  <si>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</si>
  <si>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</si>
  <si>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</si>
  <si>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</si>
  <si>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</si>
  <si>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</si>
  <si>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</si>
  <si>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</si>
  <si>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</si>
  <si>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</si>
  <si>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</si>
  <si>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</si>
  <si>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</si>
  <si>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</si>
  <si>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</si>
  <si>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</si>
  <si>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</si>
  <si>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</si>
  <si>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</si>
  <si>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</si>
  <si>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</si>
  <si>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</si>
  <si>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</si>
  <si>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</si>
  <si>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</si>
  <si>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</si>
  <si>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</si>
  <si>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</si>
  <si>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</si>
  <si>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</si>
  <si>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</si>
  <si>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</si>
  <si>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</si>
  <si>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</si>
  <si>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</si>
  <si>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</si>
  <si>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</si>
  <si>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</si>
  <si>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</si>
  <si>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</si>
  <si>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</si>
  <si>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</si>
  <si>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</si>
  <si>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</si>
  <si>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</si>
  <si>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</si>
  <si>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</si>
  <si>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</si>
  <si>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</si>
  <si>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</si>
  <si>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</si>
  <si>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</si>
  <si>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</si>
  <si>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</si>
  <si>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</si>
  <si>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</si>
  <si>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</si>
  <si>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</si>
  <si>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</si>
  <si>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</si>
  <si>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</si>
  <si>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</si>
  <si>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</si>
  <si>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</si>
  <si>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</si>
  <si>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</si>
  <si>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</si>
  <si>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</si>
  <si>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</si>
  <si>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</si>
  <si>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</si>
  <si>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</si>
  <si>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</si>
  <si>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</si>
  <si>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</si>
  <si>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</si>
  <si>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</si>
  <si>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</si>
  <si>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</si>
  <si>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</si>
  <si>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</si>
  <si>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</si>
  <si>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</si>
  <si>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</si>
  <si>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</si>
  <si>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</si>
  <si>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</si>
  <si>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</si>
  <si>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</si>
  <si>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</si>
  <si>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</si>
  <si>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</si>
  <si>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</si>
  <si>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</si>
  <si>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</si>
  <si>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</si>
  <si>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</si>
  <si>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</si>
  <si>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</si>
  <si>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</si>
  <si>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</si>
  <si>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</si>
  <si>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</si>
  <si>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</si>
  <si>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</si>
  <si>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</si>
  <si>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</si>
  <si>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</si>
  <si>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</si>
  <si>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</si>
  <si>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</si>
  <si>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</si>
  <si>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</si>
  <si>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</si>
  <si>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</si>
  <si>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</si>
  <si>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</si>
  <si>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</si>
  <si>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</si>
  <si>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</si>
  <si>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</si>
  <si>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</si>
  <si>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</si>
  <si>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</si>
  <si>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</si>
  <si>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</si>
  <si>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</si>
  <si>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</si>
  <si>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</si>
  <si>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</si>
  <si>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</si>
  <si>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</si>
  <si>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</si>
  <si>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</si>
  <si>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</si>
  <si>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</si>
  <si>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</si>
  <si>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</si>
  <si>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</si>
  <si>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</si>
  <si>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</si>
  <si>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</si>
  <si>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</si>
  <si>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</si>
  <si>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</si>
  <si>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</si>
  <si>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</si>
  <si>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</si>
  <si>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</si>
  <si>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</si>
  <si>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</si>
  <si>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</si>
  <si>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</si>
  <si>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</si>
  <si>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</si>
  <si>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</si>
  <si>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</si>
  <si>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</si>
  <si>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</si>
  <si>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</si>
  <si>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</si>
  <si>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</si>
  <si>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</si>
  <si>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</si>
  <si>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</si>
  <si>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</si>
  <si>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</si>
  <si>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</si>
  <si>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</si>
  <si>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</si>
  <si>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</si>
  <si>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</si>
  <si>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</si>
  <si>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</si>
  <si>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</si>
  <si>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</si>
  <si>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</si>
  <si>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</si>
  <si>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</si>
  <si>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</si>
  <si>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</si>
  <si>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</si>
  <si>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</si>
  <si>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</si>
  <si>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</si>
  <si>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</si>
  <si>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</si>
  <si>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</si>
  <si>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</si>
  <si>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</si>
  <si>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</si>
  <si>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</si>
  <si>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</si>
  <si>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</si>
  <si>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</si>
  <si>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</si>
  <si>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</si>
  <si>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</si>
  <si>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</si>
  <si>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</si>
  <si>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</si>
  <si>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</si>
  <si>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</si>
  <si>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</si>
  <si>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</si>
  <si>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</si>
  <si>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</si>
  <si>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</si>
  <si>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</si>
  <si>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</si>
  <si>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</si>
  <si>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</si>
  <si>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</si>
  <si>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</si>
  <si>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</si>
  <si>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</si>
  <si>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</si>
  <si>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</si>
  <si>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</si>
  <si>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</si>
  <si>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</si>
  <si>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</si>
  <si>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</si>
  <si>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</si>
  <si>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</si>
  <si>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</si>
  <si>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</si>
  <si>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</si>
  <si>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</si>
  <si>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</si>
  <si>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</si>
  <si>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</si>
  <si>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</si>
  <si>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</si>
  <si>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</si>
  <si>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</si>
  <si>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</si>
  <si>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</si>
  <si>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</si>
  <si>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</si>
  <si>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</si>
  <si>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</si>
  <si>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</si>
  <si>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</si>
  <si>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</si>
  <si>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</si>
  <si>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</si>
  <si>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</si>
  <si>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</si>
  <si>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</si>
  <si>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</si>
  <si>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</si>
  <si>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</si>
  <si>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</si>
  <si>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</si>
  <si>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</si>
  <si>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</si>
  <si>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</si>
  <si>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</si>
  <si>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</si>
  <si>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</si>
  <si>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</si>
  <si>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</si>
  <si>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</si>
  <si>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</si>
  <si>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</si>
  <si>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</si>
  <si>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</si>
  <si>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</si>
  <si>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</si>
  <si>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</si>
  <si>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</si>
  <si>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</si>
  <si>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</si>
  <si>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</si>
  <si>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</si>
  <si>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</si>
  <si>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</si>
  <si>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</si>
  <si>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</si>
  <si>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</si>
  <si>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</si>
  <si>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</si>
  <si>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</si>
  <si>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</si>
  <si>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</si>
  <si>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</si>
  <si>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</si>
  <si>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</si>
  <si>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</si>
  <si>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</si>
  <si>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</si>
  <si>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</si>
  <si>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</si>
  <si>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</si>
  <si>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</si>
  <si>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</si>
  <si>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</si>
  <si>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</si>
  <si>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</si>
  <si>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</si>
  <si>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</si>
  <si>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</si>
  <si>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</si>
  <si>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</si>
  <si>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</si>
  <si>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</si>
  <si>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</si>
  <si>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</si>
  <si>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</si>
  <si>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</si>
  <si>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</si>
  <si>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</si>
  <si>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</si>
  <si>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</si>
  <si>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</si>
  <si>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</si>
  <si>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</si>
  <si>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</si>
  <si>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</si>
  <si>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</si>
  <si>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</si>
  <si>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</si>
  <si>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</si>
  <si>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</si>
  <si>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</si>
  <si>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</si>
  <si>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</si>
  <si>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</si>
  <si>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</si>
  <si>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</si>
  <si>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</si>
  <si>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</si>
  <si>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</si>
  <si>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</si>
  <si>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</si>
  <si>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</si>
  <si>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</si>
  <si>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</si>
  <si>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</si>
  <si>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</si>
  <si>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</si>
  <si>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</si>
  <si>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</si>
  <si>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</si>
  <si>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</si>
  <si>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</si>
  <si>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</si>
  <si>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</si>
  <si>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</si>
  <si>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</si>
  <si>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</si>
  <si>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</si>
  <si>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</si>
  <si>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</si>
  <si>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</si>
  <si>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</si>
  <si>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</si>
  <si>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</si>
  <si>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</si>
  <si>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</si>
  <si>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</si>
  <si>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</si>
  <si>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</si>
  <si>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</si>
  <si>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</si>
  <si>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</si>
  <si>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</si>
  <si>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</si>
  <si>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</si>
  <si>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</si>
  <si>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</si>
  <si>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</si>
  <si>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</si>
  <si>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</si>
  <si>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</si>
  <si>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</si>
  <si>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</si>
  <si>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</si>
  <si>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</si>
  <si>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</si>
  <si>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</si>
  <si>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</si>
  <si>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</si>
  <si>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</si>
  <si>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</si>
  <si>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</si>
  <si>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</si>
  <si>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</si>
  <si>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</si>
  <si>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</si>
  <si>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</si>
  <si>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</si>
  <si>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</si>
  <si>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</si>
  <si>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</si>
  <si>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</si>
  <si>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</si>
  <si>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</si>
  <si>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</si>
  <si>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</si>
  <si>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</si>
  <si>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</si>
  <si>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</si>
  <si>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</si>
  <si>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</si>
  <si>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</si>
  <si>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</si>
  <si>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</si>
  <si>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</si>
  <si>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</si>
  <si>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</si>
  <si>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</si>
  <si>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</si>
  <si>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</si>
  <si>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</si>
  <si>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</si>
  <si>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</si>
  <si>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</si>
  <si>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</si>
  <si>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</si>
  <si>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</si>
  <si>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</si>
  <si>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</si>
  <si>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</si>
  <si>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</si>
  <si>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</si>
  <si>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</si>
  <si>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</si>
  <si>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</si>
  <si>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</si>
  <si>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</si>
  <si>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</si>
  <si>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</si>
  <si>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</si>
  <si>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</si>
  <si>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</si>
  <si>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</si>
  <si>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</si>
  <si>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</si>
  <si>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</si>
  <si>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</si>
  <si>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</si>
  <si>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</si>
  <si>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</si>
  <si>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</si>
  <si>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</si>
  <si>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</si>
  <si>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</si>
  <si>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</si>
  <si>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</si>
  <si>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</si>
  <si>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</si>
  <si>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</si>
  <si>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</si>
  <si>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</si>
  <si>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</si>
  <si>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</si>
  <si>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</si>
  <si>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</si>
  <si>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</si>
  <si>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</si>
  <si>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</si>
  <si>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</si>
  <si>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</si>
  <si>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</si>
  <si>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</si>
  <si>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</si>
  <si>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</si>
  <si>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</si>
  <si>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</si>
  <si>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</si>
  <si>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</si>
  <si>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</si>
  <si>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</si>
  <si>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</si>
  <si>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</si>
  <si>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</si>
  <si>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</si>
  <si>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</si>
  <si>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</si>
  <si>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</si>
  <si>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</si>
  <si>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</si>
  <si>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</si>
  <si>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</si>
  <si>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</si>
  <si>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</si>
  <si>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</si>
  <si>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</si>
  <si>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</si>
  <si>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</si>
  <si>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</si>
  <si>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</si>
  <si>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</si>
  <si>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</si>
  <si>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</si>
  <si>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</si>
  <si>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</si>
  <si>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</si>
  <si>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</si>
  <si>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</si>
  <si>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</si>
  <si>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</si>
  <si>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</si>
  <si>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</si>
  <si>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</si>
  <si>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</si>
  <si>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</si>
  <si>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</si>
  <si>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</si>
  <si>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</si>
  <si>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</si>
  <si>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</si>
  <si>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</si>
  <si>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</si>
  <si>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</si>
  <si>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</si>
  <si>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</si>
  <si>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</si>
  <si>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</si>
  <si>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</si>
  <si>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</si>
  <si>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</si>
  <si>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</si>
  <si>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</si>
  <si>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</si>
  <si>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</si>
  <si>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</si>
  <si>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</si>
  <si>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</si>
  <si>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</si>
  <si>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</si>
  <si>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</si>
  <si>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</si>
  <si>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</si>
  <si>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</si>
  <si>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</si>
  <si>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</si>
  <si>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</si>
  <si>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</si>
  <si>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</si>
  <si>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</si>
  <si>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</si>
  <si>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</si>
  <si>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</si>
  <si>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</si>
  <si>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</si>
  <si>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</si>
  <si>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</si>
  <si>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</si>
  <si>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</si>
  <si>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</si>
  <si>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</si>
  <si>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</si>
  <si>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</si>
  <si>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</si>
  <si>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</si>
  <si>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</si>
  <si>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</si>
  <si>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</si>
  <si>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</si>
  <si>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</si>
  <si>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</si>
  <si>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</si>
  <si>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</si>
  <si>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</si>
  <si>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</si>
  <si>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</si>
  <si>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</si>
  <si>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</si>
  <si>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</si>
  <si>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</si>
  <si>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</si>
  <si>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</si>
  <si>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</si>
  <si>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</si>
  <si>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</si>
  <si>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</si>
  <si>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</si>
  <si>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</si>
  <si>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</si>
  <si>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</si>
  <si>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</si>
  <si>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</si>
  <si>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</si>
  <si>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</si>
  <si>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</si>
  <si>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</si>
  <si>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</si>
  <si>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</si>
  <si>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</si>
  <si>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</si>
  <si>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</si>
  <si>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</si>
  <si>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</si>
  <si>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</si>
  <si>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</si>
  <si>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</si>
  <si>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</si>
  <si>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</si>
  <si>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</si>
  <si>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</si>
  <si>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</si>
  <si>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</si>
  <si>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</si>
  <si>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</si>
  <si>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</si>
  <si>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</si>
  <si>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</si>
  <si>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</si>
  <si>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</si>
  <si>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</si>
  <si>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</si>
  <si>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</si>
  <si>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</si>
  <si>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</si>
  <si>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</si>
  <si>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</si>
  <si>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</si>
  <si>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</si>
  <si>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</si>
  <si>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</si>
  <si>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</si>
  <si>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</si>
  <si>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</si>
  <si>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</si>
  <si>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</si>
  <si>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</si>
  <si>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</si>
  <si>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</si>
  <si>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</si>
  <si>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</si>
  <si>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</si>
  <si>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</si>
  <si>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</si>
  <si>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</si>
  <si>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</si>
  <si>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</si>
  <si>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</si>
  <si>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</si>
  <si>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</si>
  <si>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</si>
  <si>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</si>
  <si>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</si>
  <si>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</si>
  <si>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</si>
  <si>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</si>
  <si>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</si>
  <si>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</si>
  <si>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</si>
  <si>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</si>
  <si>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</si>
  <si>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</si>
  <si>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</si>
  <si>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</si>
  <si>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</si>
  <si>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</si>
  <si>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</si>
  <si>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</si>
  <si>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</si>
  <si>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</si>
  <si>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</si>
  <si>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</si>
  <si>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</si>
  <si>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</si>
  <si>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</si>
  <si>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</si>
  <si>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</si>
  <si>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</si>
  <si>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</si>
  <si>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</si>
  <si>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</si>
  <si>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</si>
  <si>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</si>
  <si>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</si>
  <si>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</si>
  <si>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</si>
  <si>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</si>
  <si>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</si>
  <si>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</si>
  <si>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</si>
  <si>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</si>
  <si>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</si>
  <si>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</si>
  <si>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</si>
  <si>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</si>
  <si>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</si>
  <si>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</si>
  <si>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</si>
  <si>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</si>
  <si>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</si>
  <si>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</si>
  <si>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</si>
  <si>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</si>
  <si>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</si>
  <si>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</si>
  <si>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</si>
  <si>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</si>
  <si>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</si>
  <si>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</si>
  <si>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</si>
  <si>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</si>
  <si>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</si>
  <si>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</si>
  <si>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</si>
  <si>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</si>
  <si>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</si>
  <si>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</si>
  <si>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</si>
  <si>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</si>
  <si>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</si>
  <si>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</si>
  <si>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</si>
  <si>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</si>
  <si>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</si>
  <si>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</si>
  <si>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</si>
  <si>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</si>
  <si>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</si>
  <si>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</si>
  <si>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</si>
  <si>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</si>
  <si>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</si>
  <si>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</si>
  <si>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</si>
  <si>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</si>
  <si>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</si>
  <si>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</si>
  <si>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</si>
  <si>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</si>
  <si>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</si>
  <si>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</si>
  <si>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</si>
  <si>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</si>
  <si>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</si>
  <si>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</si>
  <si>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</si>
  <si>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</si>
  <si>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</si>
  <si>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</si>
  <si>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</si>
  <si>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</si>
  <si>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</si>
  <si>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</si>
  <si>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</si>
  <si>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</si>
  <si>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</si>
  <si>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</si>
  <si>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</si>
  <si>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</si>
  <si>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</si>
  <si>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</si>
  <si>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</si>
  <si>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</si>
  <si>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</si>
  <si>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</si>
  <si>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</si>
  <si>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</si>
  <si>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</si>
  <si>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</si>
  <si>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</si>
  <si>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</si>
  <si>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</si>
  <si>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</si>
  <si>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</si>
  <si>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</si>
  <si>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</si>
  <si>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</si>
  <si>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</si>
  <si>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</si>
  <si>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</si>
  <si>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</si>
  <si>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</si>
  <si>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</si>
  <si>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</si>
  <si>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</si>
  <si>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</si>
  <si>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</si>
  <si>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</si>
  <si>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</si>
  <si>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</si>
  <si>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</si>
  <si>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</si>
  <si>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</si>
  <si>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</si>
  <si>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</si>
  <si>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</si>
  <si>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</si>
  <si>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</si>
  <si>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</si>
  <si>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</si>
  <si>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</si>
  <si>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</si>
  <si>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</si>
  <si>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</si>
  <si>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</si>
  <si>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</si>
  <si>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</si>
  <si>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</si>
  <si>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</si>
  <si>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</si>
  <si>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</si>
  <si>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</si>
  <si>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</si>
  <si>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</si>
  <si>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</si>
  <si>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</si>
  <si>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</si>
  <si>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</si>
  <si>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</si>
  <si>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</si>
  <si>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</si>
  <si>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</si>
  <si>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</si>
  <si>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</si>
  <si>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</si>
  <si>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</si>
  <si>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</si>
  <si>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</si>
  <si>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</si>
  <si>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</si>
  <si>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</si>
  <si>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</si>
  <si>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</si>
  <si>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</si>
  <si>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</si>
  <si>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</si>
  <si>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</si>
  <si>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</si>
  <si>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</si>
  <si>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</si>
  <si>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</si>
  <si>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</si>
  <si>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</si>
  <si>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</si>
  <si>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</si>
  <si>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</si>
  <si>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</si>
  <si>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</si>
  <si>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</si>
  <si>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</si>
  <si>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</si>
  <si>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</si>
  <si>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</si>
  <si>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</si>
  <si>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</si>
  <si>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</si>
  <si>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</si>
  <si>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</si>
  <si>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</si>
  <si>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</si>
  <si>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</si>
  <si>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</si>
  <si>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</si>
  <si>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</si>
  <si>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</si>
  <si>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</si>
  <si>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</si>
  <si>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</si>
  <si>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</si>
  <si>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</si>
  <si>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</si>
  <si>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</si>
  <si>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</si>
  <si>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</si>
  <si>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</si>
  <si>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</si>
  <si>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</si>
  <si>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</si>
  <si>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</si>
  <si>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</si>
  <si>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</si>
  <si>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</si>
  <si>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</si>
  <si>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</si>
  <si>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</si>
  <si>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</si>
  <si>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</si>
  <si>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</si>
  <si>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</si>
  <si>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</si>
  <si>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</si>
  <si>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</si>
  <si>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</si>
  <si>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</si>
  <si>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</si>
  <si>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</si>
  <si>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</si>
  <si>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</si>
  <si>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</si>
  <si>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</si>
  <si>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</si>
  <si>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</si>
  <si>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</si>
  <si>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</si>
  <si>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</si>
  <si>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</si>
  <si>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</si>
  <si>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</si>
  <si>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</si>
  <si>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</si>
  <si>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</si>
  <si>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</si>
  <si>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</si>
  <si>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</si>
  <si>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</si>
  <si>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</si>
  <si>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</si>
  <si>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</si>
  <si>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</si>
  <si>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</si>
  <si>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</si>
  <si>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</si>
  <si>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</si>
  <si>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</si>
  <si>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</si>
  <si>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</si>
  <si>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</si>
  <si>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</si>
  <si>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</si>
  <si>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</si>
  <si>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</si>
  <si>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</si>
  <si>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</si>
  <si>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</si>
  <si>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</si>
  <si>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</si>
  <si>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</si>
  <si>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</si>
  <si>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</si>
  <si>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</si>
  <si>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</si>
  <si>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</si>
  <si>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</si>
  <si>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</si>
  <si>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</si>
  <si>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</si>
  <si>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</si>
  <si>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</si>
  <si>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</si>
  <si>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</si>
  <si>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</si>
  <si>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</si>
  <si>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</si>
  <si>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</si>
  <si>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</si>
  <si>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</si>
  <si>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</si>
  <si>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</si>
  <si>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</si>
  <si>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</si>
  <si>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</si>
  <si>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</si>
  <si>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</si>
  <si>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</si>
  <si>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</si>
  <si>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</si>
  <si>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</si>
  <si>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</si>
  <si>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</si>
  <si>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</si>
  <si>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</si>
  <si>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</si>
  <si>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</si>
  <si>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</si>
  <si>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</si>
  <si>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</si>
  <si>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</si>
  <si>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</si>
  <si>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</si>
  <si>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</si>
  <si>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</si>
  <si>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</si>
  <si>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</si>
  <si>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</si>
  <si>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</si>
  <si>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</si>
  <si>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</si>
  <si>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</si>
  <si>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</si>
  <si>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</si>
  <si>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</si>
  <si>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</si>
  <si>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</si>
  <si>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</si>
  <si>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</si>
  <si>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</si>
  <si>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</si>
  <si>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</si>
  <si>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</si>
  <si>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</si>
  <si>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</si>
  <si>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</si>
  <si>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</si>
  <si>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</si>
  <si>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</si>
  <si>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</si>
  <si>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</si>
  <si>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</si>
  <si>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</si>
  <si>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</si>
  <si>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</si>
  <si>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</si>
  <si>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</si>
  <si>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</si>
  <si>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</si>
  <si>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</si>
  <si>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</si>
  <si>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</si>
  <si>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</si>
  <si>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</si>
  <si>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</si>
  <si>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</si>
  <si>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</si>
  <si>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</si>
  <si>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</si>
  <si>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</si>
  <si>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</si>
  <si>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</si>
  <si>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</si>
  <si>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</si>
  <si>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</si>
  <si>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</si>
  <si>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</si>
  <si>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</si>
  <si>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</si>
  <si>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</si>
  <si>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</si>
  <si>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</si>
  <si>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</si>
  <si>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</si>
  <si>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</si>
  <si>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</si>
  <si>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</si>
  <si>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</si>
  <si>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</si>
  <si>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</si>
  <si>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</si>
  <si>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</si>
  <si>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</si>
  <si>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</si>
  <si>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</si>
  <si>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</si>
  <si>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</si>
  <si>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</si>
  <si>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</si>
  <si>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</si>
  <si>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</si>
  <si>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</si>
  <si>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</si>
  <si>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</si>
  <si>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</si>
  <si>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</si>
  <si>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</si>
  <si>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</si>
  <si>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</si>
  <si>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</si>
  <si>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</si>
  <si>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</si>
  <si>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</si>
  <si>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</si>
  <si>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</si>
  <si>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</si>
  <si>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</si>
  <si>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</si>
  <si>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</si>
  <si>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</si>
  <si>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</si>
  <si>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</si>
  <si>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</si>
  <si>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</si>
  <si>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</si>
  <si>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</si>
  <si>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</si>
  <si>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</si>
  <si>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</si>
  <si>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</si>
  <si>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</si>
  <si>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</si>
  <si>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</si>
  <si>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</si>
  <si>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</si>
  <si>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</si>
  <si>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</si>
  <si>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</si>
  <si>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</si>
  <si>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</si>
  <si>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</si>
  <si>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</si>
  <si>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</si>
  <si>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</si>
  <si>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</si>
  <si>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</si>
  <si>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</si>
  <si>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</si>
  <si>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</si>
  <si>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</si>
  <si>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</si>
  <si>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</si>
  <si>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</si>
  <si>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</si>
  <si>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</si>
  <si>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</si>
  <si>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</si>
  <si>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</si>
  <si>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</si>
  <si>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</si>
  <si>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</si>
  <si>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</si>
  <si>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</si>
  <si>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</si>
  <si>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</si>
  <si>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</si>
  <si>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</si>
  <si>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</si>
  <si>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</si>
  <si>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</si>
  <si>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</si>
  <si>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</si>
  <si>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</si>
  <si>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</si>
  <si>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</si>
  <si>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</si>
  <si>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</si>
  <si>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</si>
  <si>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</si>
  <si>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</si>
  <si>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</si>
  <si>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</si>
  <si>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</si>
  <si>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</si>
  <si>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</si>
  <si>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</si>
  <si>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</si>
  <si>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</si>
  <si>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</si>
  <si>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</si>
  <si>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</si>
  <si>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</si>
  <si>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</si>
  <si>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</si>
  <si>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</si>
  <si>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</si>
  <si>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</si>
  <si>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</si>
  <si>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</si>
  <si>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</si>
  <si>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</si>
  <si>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</si>
  <si>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</si>
  <si>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</si>
  <si>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</si>
  <si>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</si>
  <si>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</si>
  <si>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</si>
  <si>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</si>
  <si>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</si>
  <si>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</si>
  <si>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</si>
  <si>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</si>
  <si>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</si>
  <si>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</si>
  <si>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</si>
  <si>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</si>
  <si>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</si>
  <si>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</si>
  <si>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</si>
  <si>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</si>
  <si>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</si>
  <si>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</si>
  <si>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</si>
  <si>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</si>
  <si>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</si>
  <si>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</si>
  <si>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</si>
  <si>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</si>
  <si>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</si>
  <si>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</si>
  <si>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</si>
  <si>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</si>
  <si>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</si>
  <si>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</si>
  <si>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</si>
  <si>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</si>
  <si>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</si>
  <si>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</si>
  <si>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</si>
  <si>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</si>
  <si>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</si>
  <si>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</si>
  <si>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</si>
  <si>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</si>
  <si>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</si>
  <si>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</si>
  <si>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</si>
  <si>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</si>
  <si>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</si>
  <si>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</si>
  <si>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</si>
  <si>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</si>
  <si>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</si>
  <si>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</si>
  <si>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</si>
  <si>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</si>
  <si>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</si>
  <si>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</si>
  <si>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</si>
  <si>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</si>
  <si>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</si>
  <si>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</si>
  <si>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</si>
  <si>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</si>
  <si>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</si>
  <si>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</si>
  <si>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</si>
  <si>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</si>
  <si>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</si>
  <si>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</si>
  <si>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</si>
  <si>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</si>
  <si>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</si>
  <si>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</si>
  <si>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</si>
  <si>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</si>
  <si>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</si>
  <si>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</si>
  <si>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</si>
  <si>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</si>
  <si>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</si>
  <si>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</si>
  <si>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</si>
  <si>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</si>
  <si>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</si>
  <si>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</si>
  <si>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</si>
  <si>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</si>
  <si>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</si>
  <si>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</si>
  <si>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</si>
  <si>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</si>
  <si>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</si>
  <si>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</si>
  <si>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</si>
  <si>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</si>
  <si>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</si>
  <si>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</si>
  <si>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</si>
  <si>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</si>
  <si>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</si>
  <si>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</si>
  <si>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</si>
  <si>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</si>
  <si>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</si>
  <si>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</si>
  <si>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</si>
  <si>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</si>
  <si>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</si>
  <si>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</si>
  <si>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</si>
  <si>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</si>
  <si>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</si>
  <si>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</si>
  <si>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</si>
  <si>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</si>
  <si>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</si>
  <si>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</si>
  <si>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</si>
  <si>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</si>
  <si>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</si>
  <si>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</si>
  <si>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</si>
  <si>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</si>
  <si>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</si>
  <si>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</si>
  <si>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</si>
  <si>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</si>
  <si>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</si>
  <si>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</si>
  <si>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</si>
  <si>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</si>
  <si>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</si>
  <si>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</si>
  <si>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</si>
  <si>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</si>
  <si>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</si>
  <si>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</si>
  <si>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</si>
  <si>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</si>
  <si>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</si>
  <si>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</si>
  <si>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</si>
  <si>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</si>
  <si>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</si>
  <si>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</si>
  <si>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</si>
  <si>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</si>
  <si>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</si>
  <si>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</si>
  <si>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</si>
  <si>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</si>
  <si>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</si>
  <si>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</si>
  <si>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</si>
  <si>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</si>
  <si>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</si>
  <si>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</si>
  <si>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</si>
  <si>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</si>
  <si>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</si>
  <si>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</si>
  <si>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</si>
  <si>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</si>
  <si>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</si>
  <si>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</si>
  <si>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</si>
  <si>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</si>
  <si>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</si>
  <si>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</si>
  <si>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</si>
  <si>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</si>
  <si>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</si>
  <si>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</si>
  <si>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</si>
  <si>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</si>
  <si>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</si>
  <si>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</si>
  <si>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</si>
  <si>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</si>
  <si>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</si>
  <si>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</si>
  <si>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</si>
  <si>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</si>
  <si>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</si>
  <si>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</si>
  <si>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</si>
  <si>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</si>
  <si>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</si>
  <si>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</si>
  <si>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</si>
  <si>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</si>
  <si>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</si>
  <si>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</si>
  <si>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</si>
  <si>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</si>
  <si>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</si>
  <si>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</si>
  <si>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</si>
  <si>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</si>
  <si>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</si>
  <si>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</si>
  <si>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</si>
  <si>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</si>
  <si>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</si>
  <si>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</si>
  <si>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</si>
  <si>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</si>
  <si>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</si>
  <si>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</si>
  <si>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</si>
  <si>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</si>
  <si>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</si>
  <si>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</si>
  <si>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</si>
  <si>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</si>
  <si>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</si>
  <si>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</si>
  <si>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</si>
  <si>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</si>
  <si>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</si>
  <si>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</si>
  <si>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</si>
  <si>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</si>
  <si>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</si>
  <si>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</si>
  <si>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</si>
  <si>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</si>
  <si>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</si>
  <si>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</si>
  <si>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</si>
  <si>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</si>
  <si>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</si>
  <si>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</si>
  <si>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</si>
  <si>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</si>
  <si>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</si>
  <si>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</si>
  <si>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</si>
  <si>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</si>
  <si>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</si>
  <si>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</si>
  <si>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</si>
  <si>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</si>
  <si>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</si>
  <si>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</si>
  <si>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</si>
  <si>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</si>
  <si>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</si>
  <si>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</si>
  <si>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</si>
  <si>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</si>
  <si>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</si>
  <si>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</si>
  <si>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</si>
  <si>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</si>
  <si>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</si>
  <si>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</si>
  <si>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</si>
  <si>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</si>
  <si>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</si>
  <si>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</si>
  <si>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</si>
  <si>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</si>
  <si>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</si>
  <si>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</si>
  <si>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</si>
  <si>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</si>
  <si>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</si>
  <si>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</si>
  <si>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</si>
  <si>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</si>
  <si>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</si>
  <si>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</si>
  <si>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</si>
  <si>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</si>
  <si>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</si>
  <si>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</si>
  <si>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</si>
  <si>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</si>
  <si>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</si>
  <si>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</si>
  <si>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</si>
  <si>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</si>
  <si>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</si>
  <si>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</si>
  <si>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</si>
  <si>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</si>
  <si>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</si>
  <si>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</si>
  <si>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</si>
  <si>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</si>
  <si>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</si>
  <si>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</si>
  <si>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</si>
  <si>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</si>
  <si>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</si>
  <si>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</si>
  <si>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</si>
  <si>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</si>
  <si>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</si>
  <si>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</si>
  <si>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</si>
  <si>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</si>
  <si>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</si>
  <si>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</si>
  <si>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</si>
  <si>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</si>
  <si>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</si>
  <si>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</si>
  <si>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</si>
  <si>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</si>
  <si>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</si>
  <si>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</si>
  <si>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</si>
  <si>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</si>
  <si>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</si>
  <si>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</si>
  <si>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</si>
  <si>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</si>
  <si>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</si>
  <si>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</si>
  <si>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</si>
  <si>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</si>
  <si>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</si>
  <si>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</si>
  <si>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</si>
  <si>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</si>
  <si>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</si>
  <si>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</si>
  <si>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</si>
  <si>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</si>
  <si>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</si>
  <si>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</si>
  <si>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</si>
  <si>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</si>
  <si>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</si>
  <si>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</si>
  <si>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</si>
  <si>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</si>
  <si>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</si>
  <si>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</si>
  <si>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</si>
  <si>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</si>
  <si>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</si>
  <si>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</si>
  <si>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</si>
  <si>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</si>
  <si>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</si>
  <si>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</si>
  <si>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</si>
  <si>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</si>
  <si>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</si>
  <si>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</si>
  <si>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</si>
  <si>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</si>
  <si>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</si>
  <si>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</si>
  <si>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</si>
  <si>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</si>
  <si>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</si>
  <si>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</si>
  <si>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</si>
  <si>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</si>
  <si>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</si>
  <si>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</si>
  <si>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</si>
  <si>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</si>
  <si>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</si>
  <si>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</si>
  <si>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</si>
  <si>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</si>
  <si>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</si>
  <si>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</si>
  <si>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</si>
  <si>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</si>
  <si>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</si>
  <si>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</si>
  <si>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</si>
  <si>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</si>
  <si>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</si>
  <si>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</si>
  <si>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</si>
  <si>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</si>
  <si>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</si>
  <si>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</si>
  <si>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</si>
  <si>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</si>
  <si>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</si>
  <si>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</si>
  <si>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</si>
  <si>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</si>
  <si>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</si>
  <si>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</si>
  <si>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</si>
  <si>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</si>
  <si>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</si>
  <si>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</si>
  <si>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</si>
  <si>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</si>
  <si>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</si>
  <si>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</si>
  <si>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</si>
  <si>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</si>
  <si>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</si>
  <si>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</si>
  <si>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</si>
  <si>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</si>
  <si>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</si>
  <si>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</si>
  <si>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</si>
  <si>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</si>
  <si>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</si>
  <si>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</si>
  <si>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</si>
  <si>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</si>
  <si>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</si>
  <si>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</si>
  <si>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</si>
  <si>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</si>
  <si>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</si>
  <si>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</si>
  <si>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</si>
  <si>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</si>
  <si>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</si>
  <si>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</si>
  <si>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</si>
  <si>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</si>
  <si>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</si>
  <si>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</si>
  <si>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</si>
  <si>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</si>
  <si>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</si>
  <si>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</si>
  <si>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</si>
  <si>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</si>
  <si>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</si>
  <si>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</si>
  <si>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</si>
  <si>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</si>
  <si>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</si>
  <si>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</si>
  <si>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</si>
  <si>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</si>
  <si>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</si>
  <si>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</si>
  <si>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</si>
  <si>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</si>
  <si>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</si>
  <si>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</si>
  <si>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</si>
  <si>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</si>
  <si>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</si>
  <si>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</si>
  <si>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</si>
  <si>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</si>
  <si>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</si>
  <si>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</si>
  <si>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</si>
  <si>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</si>
  <si>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</si>
  <si>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</si>
  <si>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</si>
  <si>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</si>
  <si>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</si>
  <si>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</si>
  <si>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</si>
  <si>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</si>
  <si>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</si>
  <si>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</si>
  <si>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</si>
  <si>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</si>
  <si>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</si>
  <si>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</si>
  <si>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</si>
  <si>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</si>
  <si>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</si>
  <si>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</si>
  <si>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</si>
  <si>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</si>
  <si>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</si>
  <si>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</si>
  <si>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</si>
  <si>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</si>
  <si>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</si>
  <si>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</si>
  <si>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</si>
  <si>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</si>
  <si>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</si>
  <si>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</si>
  <si>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</si>
  <si>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</si>
  <si>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</si>
  <si>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</si>
  <si>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</si>
  <si>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</si>
  <si>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</si>
  <si>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</si>
  <si>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</si>
  <si>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</si>
  <si>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</si>
  <si>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</si>
  <si>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</si>
  <si>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</si>
  <si>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</si>
  <si>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</si>
  <si>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</si>
  <si>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</si>
  <si>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</si>
  <si>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</si>
  <si>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</si>
  <si>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</si>
  <si>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</si>
  <si>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</si>
  <si>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</si>
  <si>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</si>
  <si>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</si>
  <si>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</si>
  <si>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</si>
  <si>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</si>
  <si>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</si>
  <si>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</si>
  <si>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</si>
  <si>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</si>
  <si>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</si>
  <si>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</si>
  <si>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</si>
  <si>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</si>
  <si>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</si>
  <si>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</si>
  <si>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</si>
  <si>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</si>
  <si>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</si>
  <si>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</si>
  <si>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</si>
  <si>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</si>
  <si>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</si>
  <si>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</si>
  <si>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</si>
  <si>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</si>
  <si>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</si>
  <si>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</si>
  <si>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</si>
  <si>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</si>
  <si>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</si>
  <si>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</si>
  <si>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</si>
  <si>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</si>
  <si>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</si>
  <si>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</si>
  <si>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</si>
  <si>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</si>
  <si>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</si>
  <si>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</si>
  <si>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</si>
  <si>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</si>
  <si>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</si>
  <si>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</si>
  <si>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</si>
  <si>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</si>
  <si>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</si>
  <si>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</si>
  <si>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</si>
  <si>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</si>
  <si>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</si>
  <si>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</si>
  <si>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</si>
  <si>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</si>
  <si>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</si>
  <si>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</si>
  <si>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</si>
  <si>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</si>
  <si>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</si>
  <si>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</si>
  <si>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</si>
  <si>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</si>
  <si>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</si>
  <si>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</si>
  <si>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</si>
  <si>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</si>
  <si>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</si>
  <si>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</si>
  <si>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</si>
  <si>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</si>
  <si>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</si>
  <si>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</si>
  <si>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</si>
  <si>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</si>
  <si>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</si>
  <si>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</si>
  <si>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</si>
  <si>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</si>
  <si>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</si>
  <si>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</si>
  <si>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</si>
  <si>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</si>
  <si>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</si>
  <si>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</si>
  <si>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</si>
  <si>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</si>
  <si>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</si>
  <si>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</si>
  <si>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</si>
  <si>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</si>
  <si>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</si>
  <si>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</si>
  <si>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</si>
  <si>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</si>
  <si>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</si>
  <si>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</si>
  <si>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</si>
  <si>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</si>
  <si>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</si>
  <si>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</si>
  <si>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</si>
  <si>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</si>
  <si>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</si>
  <si>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</si>
  <si>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</si>
  <si>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</si>
  <si>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</si>
  <si>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</si>
  <si>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</si>
  <si>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</si>
  <si>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</si>
  <si>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</si>
  <si>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</si>
  <si>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</si>
  <si>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</si>
  <si>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</si>
  <si>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</si>
  <si>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</si>
  <si>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</si>
  <si>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</si>
  <si>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</si>
  <si>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</si>
  <si>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</si>
  <si>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</si>
  <si>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</si>
  <si>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</si>
  <si>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</si>
  <si>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</si>
  <si>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</si>
  <si>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</si>
  <si>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</si>
  <si>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</si>
  <si>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</si>
  <si>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</si>
  <si>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</si>
  <si>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</si>
  <si>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</si>
  <si>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</si>
  <si>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</si>
  <si>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</si>
  <si>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</si>
  <si>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</si>
  <si>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</si>
  <si>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</si>
  <si>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</si>
  <si>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</si>
  <si>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</si>
  <si>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</si>
  <si>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</si>
  <si>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</si>
  <si>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</si>
  <si>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</si>
  <si>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</si>
  <si>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</si>
  <si>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</si>
  <si>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</si>
  <si>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</si>
  <si>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</si>
  <si>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</si>
  <si>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</si>
  <si>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</si>
  <si>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</si>
  <si>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</si>
  <si>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</si>
  <si>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</si>
  <si>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</si>
  <si>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</si>
  <si>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</si>
  <si>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</si>
  <si>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</si>
  <si>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</si>
  <si>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</si>
  <si>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</si>
  <si>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</si>
  <si>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</si>
  <si>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</si>
  <si>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</si>
  <si>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</si>
  <si>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</si>
  <si>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</si>
  <si>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</si>
  <si>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</si>
  <si>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</si>
  <si>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</si>
  <si>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</si>
  <si>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</si>
  <si>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</si>
  <si>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</si>
  <si>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</si>
  <si>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</si>
  <si>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</si>
  <si>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</si>
  <si>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</si>
  <si>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</si>
  <si>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</si>
  <si>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</si>
  <si>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</si>
  <si>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</si>
  <si>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</si>
  <si>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</si>
  <si>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</si>
  <si>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</si>
  <si>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</si>
  <si>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</si>
  <si>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</si>
  <si>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</si>
  <si>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</si>
  <si>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</si>
  <si>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</si>
  <si>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</si>
  <si>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</si>
  <si>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</si>
  <si>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</si>
  <si>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</si>
  <si>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</si>
  <si>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</si>
  <si>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</si>
  <si>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</si>
  <si>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</si>
  <si>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</si>
  <si>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</si>
  <si>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</si>
  <si>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</si>
  <si>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</si>
  <si>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</si>
  <si>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</si>
  <si>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</si>
  <si>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</si>
  <si>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</si>
  <si>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</si>
  <si>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</si>
  <si>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</si>
  <si>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</si>
  <si>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</si>
  <si>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</si>
  <si>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</si>
  <si>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</si>
  <si>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</si>
  <si>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</si>
  <si>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</si>
  <si>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</si>
  <si>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</si>
  <si>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</si>
  <si>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</si>
  <si>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</si>
  <si>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</si>
  <si>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</si>
  <si>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</si>
  <si>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</si>
  <si>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</si>
  <si>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</si>
  <si>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</si>
  <si>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</si>
  <si>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</si>
  <si>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</si>
  <si>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</si>
  <si>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</si>
  <si>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</si>
  <si>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</si>
  <si>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</si>
  <si>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</si>
  <si>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</si>
  <si>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</si>
  <si>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</si>
  <si>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</si>
  <si>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</si>
  <si>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</si>
  <si>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</si>
  <si>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</si>
  <si>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</si>
  <si>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</si>
  <si>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</si>
  <si>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</si>
  <si>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</si>
  <si>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</si>
  <si>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</si>
  <si>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</si>
  <si>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</si>
  <si>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</si>
  <si>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</si>
  <si>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</si>
  <si>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</si>
  <si>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</si>
  <si>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</si>
  <si>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</si>
  <si>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</si>
  <si>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</si>
  <si>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</si>
  <si>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</si>
  <si>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</si>
  <si>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</si>
  <si>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</si>
  <si>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</si>
  <si>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</si>
  <si>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</si>
  <si>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</si>
  <si>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</si>
  <si>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</si>
  <si>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</si>
  <si>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</si>
  <si>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</si>
  <si>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</si>
  <si>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</si>
  <si>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</si>
  <si>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</si>
  <si>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</si>
  <si>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</si>
  <si>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</si>
  <si>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</si>
  <si>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</si>
  <si>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</si>
  <si>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</si>
  <si>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</si>
  <si>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</si>
  <si>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</si>
  <si>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</si>
  <si>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</si>
  <si>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</si>
  <si>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</si>
  <si>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</si>
  <si>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</si>
  <si>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</si>
  <si>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</si>
  <si>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</si>
  <si>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</si>
  <si>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</si>
  <si>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</si>
  <si>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</si>
  <si>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</si>
  <si>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</si>
  <si>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</si>
  <si>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</si>
  <si>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</si>
  <si>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</si>
  <si>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</si>
  <si>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</si>
  <si>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</si>
  <si>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</si>
  <si>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</si>
  <si>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</si>
  <si>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</si>
  <si>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</si>
  <si>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Onay Düzeltme</t>
  </si>
  <si>
    <t>Yüksek Lisans Tezi Onay KAEK</t>
  </si>
  <si>
    <t>Yüksek Lisans Tezi Onay Görüş</t>
  </si>
  <si>
    <t>Yüksek Lisans Tezi Onay Ret</t>
  </si>
  <si>
    <t>Yüksek Lisans Tezi Onay Kapsam Dışı</t>
  </si>
  <si>
    <t>Yüksek Lisans Tezi Onay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</si>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</sst>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5"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193">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3" fillId="4" borderId="2" xfId="0" applyFont="1" applyFill="1" applyBorder="1" applyAlignment="1">
      <alignment vertical="center"/>
    </xf>
    <xf numFmtId="0" fontId="13" fillId="4" borderId="3" xfId="0" applyFont="1" applyFill="1" applyBorder="1" applyAlignment="1">
      <alignment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18" fillId="2" borderId="0" xfId="0" applyFont="1" applyFill="1" applyAlignment="1">
      <alignment horizontal="center"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16" fillId="11" borderId="0" xfId="0" applyFont="1" applyFill="1" applyAlignment="1">
      <alignment horizontal="center" vertical="center"/>
    </xf>
    <xf numFmtId="0" fontId="13" fillId="4" borderId="2" xfId="0" applyFont="1" applyFill="1" applyBorder="1" applyAlignment="1">
      <alignment horizontal="right"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0" fillId="0" borderId="0" xfId="0" applyNumberFormat="1"/>
  </cellXfs>
  <cellStyles count="2">
    <cellStyle name="Normal" xfId="0" builtinId="0"/>
    <cellStyle name="Normal 2" xfId="1" xr:uid="{41E63873-3F6E-4A70-B909-3992DE0AF51F}"/>
  </cellStyles>
  <dxfs count="46">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6</c:v>
                </c:pt>
                <c:pt idx="1">
                  <c:v>5</c:v>
                </c:pt>
                <c:pt idx="2">
                  <c:v>1</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29</c:v>
                </c:pt>
                <c:pt idx="1">
                  <c:v>15</c:v>
                </c:pt>
                <c:pt idx="2">
                  <c:v>1</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4</c:v>
                </c:pt>
                <c:pt idx="1">
                  <c:v>2</c:v>
                </c:pt>
                <c:pt idx="2">
                  <c:v>0</c:v>
                </c:pt>
                <c:pt idx="3">
                  <c:v>1</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19</c:v>
                </c:pt>
                <c:pt idx="1">
                  <c:v>18</c:v>
                </c:pt>
                <c:pt idx="2">
                  <c:v>1</c:v>
                </c:pt>
                <c:pt idx="3">
                  <c:v>1</c:v>
                </c:pt>
                <c:pt idx="4">
                  <c:v>0</c:v>
                </c:pt>
                <c:pt idx="5">
                  <c:v>2</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78.464017708335"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54">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m/>
      </sharedItems>
    </cacheField>
    <cacheField name="BİRİMİ" numFmtId="0">
      <sharedItems containsBlank="1" count="57">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25T00:00:00"/>
    </cacheField>
    <cacheField name="KURUL TARİHİ" numFmtId="0">
      <sharedItems containsNonDate="0" containsDate="1" containsString="0" containsBlank="1" minDate="2026-01-06T00:00:00" maxDate="2026-03-04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84"/>
    </cacheField>
    <cacheField name="KURUL KARARI 2" numFmtId="0">
      <sharedItems containsBlank="1" containsMixedTypes="1" containsNumber="1" containsInteger="1" minValue="0" maxValue="30"/>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8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s v="DÜZELTME"/>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s v="DÜZELTME"/>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s v="DÜZELTME"/>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s v="DÜZELTME"/>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s v="DÜZELTME"/>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s v="DÜZELTME"/>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m/>
    <m/>
    <m/>
    <s v="GÖRÜŞ"/>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m/>
    <m/>
    <m/>
    <s v="DÜZELTME"/>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m/>
    <m/>
    <m/>
    <s v="DÜZELTME"/>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n v="0"/>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m/>
    <m/>
    <m/>
    <s v="DÜZELTME"/>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m/>
    <m/>
    <m/>
    <s v="DÜZELTME"/>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m/>
    <m/>
    <m/>
    <s v="DÜZELTME"/>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m/>
    <m/>
    <m/>
    <s v="DÜZELTME"/>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n v="0"/>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m/>
    <m/>
    <m/>
    <m/>
    <m/>
    <m/>
    <n v="0"/>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m/>
    <m/>
    <m/>
    <m/>
    <m/>
    <m/>
    <n v="0"/>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m/>
    <m/>
    <m/>
    <m/>
    <m/>
    <m/>
    <n v="0"/>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m/>
    <m/>
    <m/>
    <m/>
    <m/>
    <m/>
    <n v="0"/>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m/>
    <m/>
    <m/>
    <m/>
    <m/>
    <m/>
    <n v="0"/>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m/>
    <m/>
    <m/>
    <m/>
    <m/>
    <m/>
    <n v="0"/>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m/>
    <m/>
    <m/>
    <m/>
    <m/>
    <m/>
    <n v="0"/>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m/>
    <m/>
    <m/>
    <m/>
    <m/>
    <m/>
    <n v="0"/>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m/>
    <m/>
    <m/>
    <m/>
    <m/>
    <m/>
    <n v="0"/>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m/>
    <m/>
    <m/>
    <m/>
    <m/>
    <m/>
    <n v="0"/>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m/>
    <m/>
    <m/>
    <m/>
    <m/>
    <m/>
    <n v="0"/>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m/>
    <m/>
    <m/>
    <m/>
    <m/>
    <m/>
    <n v="0"/>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m/>
    <m/>
    <m/>
    <m/>
    <m/>
    <m/>
    <n v="0"/>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m/>
    <m/>
    <m/>
    <m/>
    <m/>
    <m/>
    <n v="0"/>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m/>
    <m/>
    <m/>
    <m/>
    <m/>
    <m/>
    <n v="0"/>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m/>
    <m/>
    <m/>
    <m/>
    <m/>
    <m/>
    <n v="0"/>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m/>
    <m/>
    <m/>
    <m/>
    <m/>
    <m/>
    <n v="0"/>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m/>
    <m/>
    <m/>
    <m/>
    <m/>
    <m/>
    <n v="0"/>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m/>
    <m/>
    <m/>
    <m/>
    <m/>
    <m/>
    <n v="0"/>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m/>
    <m/>
    <m/>
    <m/>
    <m/>
    <m/>
    <n v="0"/>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m/>
    <m/>
    <m/>
    <m/>
    <m/>
    <m/>
    <n v="0"/>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m/>
    <m/>
    <m/>
    <m/>
    <m/>
    <m/>
    <n v="0"/>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
    <s v="Bireysel Araştırma"/>
    <d v="2026-02-23T00:00:00"/>
    <d v="2026-03-03T00:00:00"/>
    <m/>
    <m/>
    <m/>
    <m/>
    <m/>
    <m/>
    <n v="0"/>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m/>
    <m/>
    <m/>
    <m/>
    <m/>
    <m/>
    <n v="0"/>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m/>
    <m/>
    <m/>
    <m/>
    <m/>
    <m/>
    <n v="0"/>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m/>
    <m/>
    <m/>
    <m/>
    <m/>
    <m/>
    <n v="0"/>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m/>
    <m/>
    <m/>
    <m/>
    <m/>
    <m/>
    <n v="0"/>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m/>
    <m/>
    <m/>
    <m/>
    <m/>
    <m/>
    <n v="0"/>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m/>
    <m/>
    <m/>
    <m/>
    <m/>
    <m/>
    <n v="0"/>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m/>
    <m/>
    <m/>
    <m/>
    <m/>
    <m/>
    <n v="0"/>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m/>
    <m/>
    <m/>
    <m/>
    <m/>
    <m/>
    <n v="0"/>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m/>
    <m/>
    <m/>
    <m/>
    <m/>
    <m/>
    <n v="0"/>
  </r>
  <r>
    <s v="223."/>
    <s v="SBA 26/223"/>
    <x v="153"/>
    <x v="56"/>
    <m/>
    <m/>
    <m/>
    <m/>
    <m/>
    <m/>
    <m/>
    <m/>
    <m/>
    <m/>
    <m/>
    <n v="0"/>
  </r>
  <r>
    <s v="224."/>
    <s v="SBA 26/224"/>
    <x v="153"/>
    <x v="56"/>
    <m/>
    <m/>
    <m/>
    <m/>
    <m/>
    <m/>
    <m/>
    <m/>
    <m/>
    <m/>
    <m/>
    <n v="0"/>
  </r>
  <r>
    <s v="225."/>
    <s v="SBA 26/225"/>
    <x v="153"/>
    <x v="56"/>
    <m/>
    <m/>
    <m/>
    <m/>
    <m/>
    <m/>
    <m/>
    <m/>
    <m/>
    <m/>
    <m/>
    <n v="0"/>
  </r>
  <r>
    <s v="226."/>
    <s v="SBA 26/226"/>
    <x v="153"/>
    <x v="56"/>
    <m/>
    <m/>
    <m/>
    <m/>
    <m/>
    <m/>
    <m/>
    <m/>
    <m/>
    <m/>
    <m/>
    <n v="0"/>
  </r>
  <r>
    <s v="227."/>
    <s v="SBA 26/227"/>
    <x v="153"/>
    <x v="56"/>
    <m/>
    <m/>
    <m/>
    <m/>
    <m/>
    <m/>
    <m/>
    <m/>
    <m/>
    <m/>
    <m/>
    <n v="0"/>
  </r>
  <r>
    <s v="228."/>
    <s v="SBA 26/228"/>
    <x v="153"/>
    <x v="56"/>
    <m/>
    <m/>
    <m/>
    <m/>
    <m/>
    <m/>
    <m/>
    <m/>
    <m/>
    <m/>
    <m/>
    <n v="0"/>
  </r>
  <r>
    <s v="229."/>
    <s v="SBA 26/229"/>
    <x v="153"/>
    <x v="56"/>
    <m/>
    <m/>
    <m/>
    <m/>
    <m/>
    <m/>
    <m/>
    <m/>
    <m/>
    <m/>
    <m/>
    <n v="0"/>
  </r>
  <r>
    <s v="230."/>
    <s v="SBA 26/230"/>
    <x v="153"/>
    <x v="56"/>
    <m/>
    <m/>
    <m/>
    <m/>
    <m/>
    <m/>
    <m/>
    <m/>
    <m/>
    <m/>
    <m/>
    <n v="0"/>
  </r>
  <r>
    <s v="231."/>
    <s v="SBA 26/231"/>
    <x v="153"/>
    <x v="56"/>
    <m/>
    <m/>
    <m/>
    <m/>
    <m/>
    <m/>
    <m/>
    <m/>
    <m/>
    <m/>
    <m/>
    <n v="0"/>
  </r>
  <r>
    <s v="232."/>
    <s v="SBA 26/232"/>
    <x v="153"/>
    <x v="56"/>
    <m/>
    <m/>
    <m/>
    <m/>
    <m/>
    <m/>
    <m/>
    <m/>
    <m/>
    <m/>
    <m/>
    <n v="0"/>
  </r>
  <r>
    <s v="233."/>
    <s v="SBA 26/233"/>
    <x v="153"/>
    <x v="56"/>
    <m/>
    <m/>
    <m/>
    <m/>
    <m/>
    <m/>
    <m/>
    <m/>
    <m/>
    <m/>
    <m/>
    <n v="0"/>
  </r>
  <r>
    <s v="234."/>
    <s v="SBA 26/234"/>
    <x v="153"/>
    <x v="56"/>
    <m/>
    <m/>
    <m/>
    <m/>
    <m/>
    <m/>
    <m/>
    <m/>
    <m/>
    <m/>
    <m/>
    <n v="0"/>
  </r>
  <r>
    <s v="235."/>
    <s v="SBA 26/235"/>
    <x v="153"/>
    <x v="56"/>
    <m/>
    <m/>
    <m/>
    <m/>
    <m/>
    <m/>
    <m/>
    <m/>
    <m/>
    <m/>
    <m/>
    <n v="0"/>
  </r>
  <r>
    <s v="236."/>
    <s v="SBA 26/236"/>
    <x v="153"/>
    <x v="56"/>
    <m/>
    <m/>
    <m/>
    <m/>
    <m/>
    <m/>
    <m/>
    <m/>
    <m/>
    <m/>
    <m/>
    <n v="0"/>
  </r>
  <r>
    <s v="237."/>
    <s v="SBA 26/237"/>
    <x v="153"/>
    <x v="56"/>
    <m/>
    <m/>
    <m/>
    <m/>
    <m/>
    <m/>
    <m/>
    <m/>
    <m/>
    <m/>
    <m/>
    <n v="0"/>
  </r>
  <r>
    <s v="238."/>
    <s v="SBA 26/238"/>
    <x v="153"/>
    <x v="56"/>
    <m/>
    <m/>
    <m/>
    <m/>
    <m/>
    <m/>
    <m/>
    <m/>
    <m/>
    <m/>
    <m/>
    <n v="0"/>
  </r>
  <r>
    <s v="239."/>
    <s v="SBA 26/239"/>
    <x v="153"/>
    <x v="56"/>
    <m/>
    <m/>
    <m/>
    <m/>
    <m/>
    <m/>
    <m/>
    <m/>
    <m/>
    <m/>
    <m/>
    <n v="0"/>
  </r>
  <r>
    <s v="240."/>
    <s v="SBA 26/240"/>
    <x v="153"/>
    <x v="56"/>
    <m/>
    <m/>
    <m/>
    <m/>
    <m/>
    <m/>
    <m/>
    <m/>
    <m/>
    <m/>
    <m/>
    <n v="0"/>
  </r>
  <r>
    <s v="241."/>
    <s v="SBA 26/241"/>
    <x v="153"/>
    <x v="56"/>
    <m/>
    <m/>
    <m/>
    <m/>
    <m/>
    <m/>
    <m/>
    <m/>
    <m/>
    <m/>
    <m/>
    <n v="0"/>
  </r>
  <r>
    <s v="242."/>
    <s v="SBA 26/242"/>
    <x v="153"/>
    <x v="56"/>
    <m/>
    <m/>
    <m/>
    <m/>
    <m/>
    <m/>
    <m/>
    <m/>
    <m/>
    <m/>
    <m/>
    <n v="0"/>
  </r>
  <r>
    <s v="243."/>
    <s v="SBA 26/243"/>
    <x v="153"/>
    <x v="56"/>
    <m/>
    <m/>
    <m/>
    <m/>
    <m/>
    <m/>
    <m/>
    <m/>
    <m/>
    <m/>
    <m/>
    <n v="0"/>
  </r>
  <r>
    <s v="244."/>
    <s v="SBA 26/244"/>
    <x v="153"/>
    <x v="56"/>
    <m/>
    <m/>
    <m/>
    <m/>
    <m/>
    <m/>
    <m/>
    <m/>
    <m/>
    <m/>
    <m/>
    <n v="0"/>
  </r>
  <r>
    <s v="245."/>
    <s v="SBA 26/245"/>
    <x v="153"/>
    <x v="56"/>
    <m/>
    <m/>
    <m/>
    <m/>
    <m/>
    <m/>
    <m/>
    <m/>
    <m/>
    <m/>
    <m/>
    <n v="0"/>
  </r>
  <r>
    <s v="246."/>
    <s v="SBA 26/246"/>
    <x v="153"/>
    <x v="56"/>
    <m/>
    <m/>
    <m/>
    <m/>
    <m/>
    <m/>
    <m/>
    <m/>
    <m/>
    <m/>
    <m/>
    <n v="0"/>
  </r>
  <r>
    <s v="247."/>
    <s v="SBA 26/247"/>
    <x v="153"/>
    <x v="56"/>
    <m/>
    <m/>
    <m/>
    <m/>
    <m/>
    <m/>
    <m/>
    <m/>
    <m/>
    <m/>
    <m/>
    <n v="0"/>
  </r>
  <r>
    <s v="248."/>
    <s v="SBA 26/248"/>
    <x v="153"/>
    <x v="56"/>
    <m/>
    <m/>
    <m/>
    <m/>
    <m/>
    <m/>
    <m/>
    <m/>
    <m/>
    <m/>
    <m/>
    <n v="0"/>
  </r>
  <r>
    <s v="249."/>
    <s v="SBA 26/249"/>
    <x v="153"/>
    <x v="56"/>
    <m/>
    <m/>
    <m/>
    <m/>
    <m/>
    <m/>
    <m/>
    <m/>
    <m/>
    <m/>
    <m/>
    <n v="0"/>
  </r>
  <r>
    <s v="250."/>
    <s v="SBA 26/250"/>
    <x v="153"/>
    <x v="56"/>
    <m/>
    <m/>
    <m/>
    <m/>
    <m/>
    <m/>
    <m/>
    <m/>
    <m/>
    <m/>
    <m/>
    <n v="0"/>
  </r>
  <r>
    <m/>
    <m/>
    <x v="153"/>
    <x v="56"/>
    <m/>
    <m/>
    <m/>
    <m/>
    <m/>
    <m/>
    <m/>
    <m/>
    <m/>
    <m/>
    <m/>
    <m/>
  </r>
  <r>
    <m/>
    <m/>
    <x v="153"/>
    <x v="56"/>
    <m/>
    <s v="“Üniversite Öğrencilerinde Ekran Zamanının ve Teknoloji Kullanımının Ruh Sağlığı Üzerindeki Etkileri”"/>
    <m/>
    <m/>
    <m/>
    <m/>
    <s v="ONAY"/>
    <n v="102"/>
    <n v="20"/>
    <n v="5"/>
    <n v="0"/>
    <n v="127"/>
  </r>
  <r>
    <m/>
    <m/>
    <x v="153"/>
    <x v="56"/>
    <m/>
    <s v="“Periodontal Durum, Oral Sağlık ve Sosyal Anksiyete Düzeyi Arasındaki İlişkinin İncelenmesi”"/>
    <m/>
    <m/>
    <m/>
    <m/>
    <s v="DÜZELTME"/>
    <n v="69"/>
    <n v="2"/>
    <n v="0"/>
    <n v="0"/>
    <n v="46"/>
  </r>
  <r>
    <m/>
    <m/>
    <x v="153"/>
    <x v="56"/>
    <m/>
    <s v="“65 Yaş Üstü Hastalarda Yaşlı Ayrımcılığına Maruziyet Sıklığı, Yaşlı Ayrımcılığının İlişkili Olduğu Faktörler ve Bakım Verenlerinde Yaşlanma Anksiyetesi”"/>
    <m/>
    <m/>
    <m/>
    <m/>
    <s v="KAEK"/>
    <n v="4"/>
    <n v="0"/>
    <n v="0"/>
    <n v="0"/>
    <n v="3"/>
  </r>
  <r>
    <m/>
    <m/>
    <x v="153"/>
    <x v="56"/>
    <m/>
    <s v="“Avrupa'da Geriatri Tıbbı Eğitim Programının Tamamlanması: Milenyum Kuşağı ve Z Kuşağı Geriatristlerinin Mesleki Beklentileri- Kesitsel, Avrupa Tabanlı Bir Çalışma”"/>
    <m/>
    <m/>
    <m/>
    <m/>
    <s v="GÖRÜŞ"/>
    <n v="4"/>
    <n v="7"/>
    <n v="0"/>
    <n v="0"/>
    <n v="3"/>
  </r>
  <r>
    <m/>
    <m/>
    <x v="153"/>
    <x v="56"/>
    <m/>
    <s v="“Sağlık Profesyonellerinin Besin ve İlaç Etkileşimleri Hakkında Bilgi ve Farkındalık Düzeylerinin Değerlendirilmesi”"/>
    <m/>
    <m/>
    <m/>
    <m/>
    <s v="KAPSAM DIŞI"/>
    <n v="1"/>
    <n v="0"/>
    <n v="0"/>
    <n v="0"/>
    <n v="1"/>
  </r>
  <r>
    <m/>
    <m/>
    <x v="153"/>
    <x v="56"/>
    <m/>
    <s v="“Çocuklarda Kedi, Köpek ve At Alerjisinde Moleküler Duyarlılık Özellikleri ve Klinik ile İlişkisi”"/>
    <m/>
    <m/>
    <m/>
    <m/>
    <s v="RET"/>
    <n v="4"/>
    <n v="0"/>
    <n v="0"/>
    <n v="0"/>
    <n v="3"/>
  </r>
  <r>
    <m/>
    <m/>
    <x v="153"/>
    <x v="56"/>
    <m/>
    <s v="“Denosumab Tedavisinde İnterlökin-6 Düzeyi ve DEXA Yanıtı İlişkisi: Retrospektif Bir Analiz”"/>
    <m/>
    <m/>
    <m/>
    <m/>
    <s v="GERİ ÇEKİLDİ"/>
    <n v="0"/>
    <n v="1"/>
    <n v="0"/>
    <n v="0"/>
    <n v="1"/>
  </r>
  <r>
    <m/>
    <m/>
    <x v="153"/>
    <x v="56"/>
    <m/>
    <s v="“Clostridium Difficile Enfeksiyonu Olan Hastanede Yatan 50 Yaş ve Üstü Hastaların Kapsamlı Geriatrik Değerlendirme ile Değerlendirilmesi”"/>
    <m/>
    <m/>
    <m/>
    <m/>
    <s v="TOPLAM"/>
    <n v="184"/>
    <n v="30"/>
    <n v="5"/>
    <n v="0"/>
    <n v="184"/>
  </r>
  <r>
    <m/>
    <m/>
    <x v="153"/>
    <x v="56"/>
    <m/>
    <s v="“İlaca Dirençli Epilepside MikroRNA İfade Değişikliklerinin Değerlendirilmesi”"/>
    <m/>
    <m/>
    <m/>
    <m/>
    <m/>
    <m/>
    <m/>
    <m/>
    <m/>
    <m/>
  </r>
  <r>
    <m/>
    <m/>
    <x v="153"/>
    <x v="56"/>
    <m/>
    <s v="“Emilebilir İp Uygulamaları ile Biyostimülan Ajanların Yüz Anatomisi Şekillendirme Kapasitesinin Değerlendirmesi: Retrospektif Gözlem Çalışması”"/>
    <m/>
    <m/>
    <m/>
    <m/>
    <m/>
    <m/>
    <m/>
    <m/>
    <m/>
    <m/>
  </r>
  <r>
    <m/>
    <m/>
    <x v="153"/>
    <x v="56"/>
    <m/>
    <s v="“Rozasea Hastalığının Bazı Alt Gruplarında Görülebilen Oküler Tutulumun Belirlenmesinde ve Takibinde Kullanılabilecek Yeni Biyobelirteçlerin Klinik Temelli Metabolomik Çalışmalarla Araştırılması”"/>
    <m/>
    <m/>
    <m/>
    <m/>
    <m/>
    <n v="66"/>
    <m/>
    <m/>
    <m/>
    <m/>
  </r>
  <r>
    <m/>
    <m/>
    <x v="153"/>
    <x v="56"/>
    <m/>
    <s v="“STAT1 ve STAT3 Mutasyonu olan Hastaların Klinik ve Laboratuvar Özelliklerinin Değerlendirilmesi”"/>
    <m/>
    <m/>
    <m/>
    <m/>
    <m/>
    <n v="66"/>
    <m/>
    <m/>
    <m/>
    <m/>
  </r>
  <r>
    <m/>
    <m/>
    <x v="153"/>
    <x v="56"/>
    <m/>
    <s v="“Emzirme Döneminde Beslenme: Annelerin İnanç ve Deneyimlerine Yönelik Kalitatif İnceleme”"/>
    <m/>
    <m/>
    <m/>
    <m/>
    <m/>
    <s v="⚠ DİKKAT: Boş bırakılan alanlar var!"/>
    <m/>
    <m/>
    <m/>
    <m/>
  </r>
  <r>
    <m/>
    <m/>
    <x v="153"/>
    <x v="56"/>
    <m/>
    <s v="&quot;Kadın Hastalarda Herediter Anjioödemin Seyri ve Klinik Özellikleri&quot;"/>
    <m/>
    <m/>
    <m/>
    <m/>
    <m/>
    <s v="⚠ DİKKAT: Boş bırakılan alanlar var!"/>
    <m/>
    <m/>
    <m/>
    <m/>
  </r>
  <r>
    <m/>
    <m/>
    <x v="153"/>
    <x v="56"/>
    <m/>
    <s v="&quot;Herediter Anjioödem Tanılı Hastalarda Dental İşlemlerin Klinik Sonuçları&quot;"/>
    <m/>
    <m/>
    <m/>
    <m/>
    <m/>
    <m/>
    <m/>
    <m/>
    <m/>
    <m/>
  </r>
  <r>
    <m/>
    <m/>
    <x v="153"/>
    <x v="56"/>
    <m/>
    <s v="&quot;Ağır Astımda Hedefe Yönelik Biyolojik Tedaviler: Benralizumabın Değerlendirilmesi &quot;"/>
    <m/>
    <m/>
    <m/>
    <m/>
    <m/>
    <m/>
    <m/>
    <m/>
    <m/>
    <m/>
  </r>
  <r>
    <m/>
    <m/>
    <x v="153"/>
    <x v="56"/>
    <m/>
    <s v="“Şeffaf Plak Tekniğinde Ramus Plağı veya Bukkal Shelf Minividası Kullanımının Mandibular Molar Distalizasyonuna Etkisinin FEM ile İncelenmesi”"/>
    <m/>
    <m/>
    <m/>
    <m/>
    <m/>
    <s v="L59"/>
    <m/>
    <m/>
    <m/>
    <m/>
  </r>
  <r>
    <m/>
    <m/>
    <x v="153"/>
    <x v="56"/>
    <m/>
    <s v="“Erken Dönem Yaşa Bağlı Makula Dejenerasyonunda Perimetri ile Makuler Parametrelerin İncelenmesi”"/>
    <m/>
    <m/>
    <m/>
    <m/>
    <m/>
    <s v="L73"/>
    <m/>
    <m/>
    <m/>
    <m/>
  </r>
  <r>
    <m/>
    <m/>
    <x v="153"/>
    <x v="56"/>
    <m/>
    <s v="“Babalarda Doğum Korkusu ile Fetal Bağlanma, Depresyon, Anksiyete ve Stres Arasındaki İlişkinin Belirlenmesi”"/>
    <m/>
    <m/>
    <m/>
    <m/>
    <m/>
    <s v="L157"/>
    <m/>
    <m/>
    <m/>
    <m/>
  </r>
  <r>
    <m/>
    <m/>
    <x v="153"/>
    <x v="56"/>
    <m/>
    <s v="“Aletli Periton Diyalizi Yapan Hastalarda Uzaktan Erişim Modüllerinin Hastanın Tedavi Uyumuna ve Diyaliz Yeterliliğine Olan Etkisinin İncelenmesi”"/>
    <m/>
    <m/>
    <m/>
    <m/>
    <m/>
    <s v="L158"/>
    <m/>
    <m/>
    <m/>
    <m/>
  </r>
  <r>
    <m/>
    <m/>
    <x v="153"/>
    <x v="56"/>
    <m/>
    <s v="“Mandibular Tek Taraflı Kondil Hiperplazisi Olan Hastalarda Eklem Aralığı ve Gonial Açı Ölçümlerinin Retrospektif Analizi”"/>
    <m/>
    <m/>
    <m/>
    <m/>
    <m/>
    <s v="L162"/>
    <m/>
    <m/>
    <m/>
    <m/>
  </r>
  <r>
    <m/>
    <m/>
    <x v="153"/>
    <x v="56"/>
    <m/>
    <s v="“Ev Hanımlarında Sosyal Medya Kullanımının Okupasyonel Denge ve Zaman Yönetimi ile İlişkisinin İncelenmesi”"/>
    <m/>
    <m/>
    <m/>
    <m/>
    <m/>
    <s v="L188"/>
    <m/>
    <m/>
    <m/>
    <m/>
  </r>
  <r>
    <m/>
    <m/>
    <x v="153"/>
    <x v="56"/>
    <m/>
    <s v="“Yaşlı Bireylerin Yardımcı Teknoloji Kullanımına Bakış Açıları: Nitel Araştırma”"/>
    <m/>
    <m/>
    <m/>
    <m/>
    <m/>
    <s v="L192"/>
    <m/>
    <m/>
    <m/>
    <m/>
  </r>
  <r>
    <m/>
    <m/>
    <x v="153"/>
    <x v="56"/>
    <m/>
    <s v="“AKUT Gönüllülerinde Psikolojik Sağlamlığın İş Yaşam Kalitesi ile İlişkisinin İncelenmesi”"/>
    <m/>
    <m/>
    <m/>
    <m/>
    <m/>
    <s v="L193"/>
    <m/>
    <m/>
    <m/>
    <m/>
  </r>
  <r>
    <m/>
    <m/>
    <x v="153"/>
    <x v="56"/>
    <m/>
    <s v="“Disleksi Tanısı Alan Üniversite Öğrencilerinin Yükseköğrenim Serüveni: Nitel Bir Çalışma”"/>
    <m/>
    <m/>
    <m/>
    <m/>
    <m/>
    <s v="L194"/>
    <m/>
    <m/>
    <m/>
    <m/>
  </r>
  <r>
    <m/>
    <m/>
    <x v="153"/>
    <x v="56"/>
    <m/>
    <s v="“Çocukluk Çağı Başlangıçlı Takayasu Arteritlerinin Romatolojik ve Kardiyolojik Değerlendirilmesi”"/>
    <m/>
    <m/>
    <m/>
    <m/>
    <m/>
    <s v="L195"/>
    <m/>
    <m/>
    <m/>
    <m/>
  </r>
  <r>
    <m/>
    <m/>
    <x v="153"/>
    <x v="56"/>
    <m/>
    <s v="“Sigara Bırakma Polikliniğine Başvuran Bireylerde Motivasyonel Görüşmenin Sürece Etkilerinin Nitel Olarak ve Yapay Zeka Resim Analizi ile İncelenmesi”"/>
    <m/>
    <m/>
    <m/>
    <m/>
    <m/>
    <s v="L196"/>
    <m/>
    <m/>
    <m/>
    <m/>
  </r>
  <r>
    <m/>
    <m/>
    <x v="153"/>
    <x v="56"/>
    <m/>
    <s v="“Gebelerin ve Postpartum ilk 6 Aydaki Annelerin Topuk Kanı Taraması Hakkındaki Düşünceleri: Kalitatif Çalışma”"/>
    <m/>
    <m/>
    <m/>
    <m/>
    <m/>
    <s v="L197"/>
    <m/>
    <m/>
    <m/>
    <m/>
  </r>
  <r>
    <m/>
    <m/>
    <x v="153"/>
    <x v="56"/>
    <m/>
    <s v="“Ataksi Telanjiektazi Hastalarının Klinik Değerlendirmeleri ile Kraniyal Manyetik Rezonans Görüntüleme Bulgularının İlişkisinin Araştırılması”"/>
    <m/>
    <m/>
    <m/>
    <m/>
    <m/>
    <s v="L198"/>
    <m/>
    <m/>
    <m/>
    <m/>
  </r>
  <r>
    <m/>
    <m/>
    <x v="153"/>
    <x v="56"/>
    <m/>
    <s v="“Pediatrik Kriptojenik Nörolojik Hastalıklarda İnsizyonel Beyin Biyopsisinin Tanıya Katkısı”"/>
    <m/>
    <m/>
    <m/>
    <m/>
    <m/>
    <s v="L199"/>
    <m/>
    <m/>
    <m/>
    <m/>
  </r>
  <r>
    <m/>
    <m/>
    <x v="153"/>
    <x v="56"/>
    <m/>
    <s v="“Posterior Üvea Nevüsü, Üvea Melanomu ve Sınırlı Koroid Hemanjiyomu Hastalıklarının Ayırıcı Tanısında Makine Öğrenmesi Temelli Yapay Zeka Algoritması Oluşturulması”"/>
    <m/>
    <m/>
    <m/>
    <m/>
    <m/>
    <s v="L200"/>
    <m/>
    <m/>
    <m/>
    <m/>
  </r>
  <r>
    <m/>
    <m/>
    <x v="153"/>
    <x v="56"/>
    <m/>
    <s v="&quot; 0-48 ay Arasındaki Çocuklarının Aşılanma Durumları ile Ebeveynlerin E-sağlık Okuryazarlığı Düzeyi Arasındaki İlişkinin İncelenmesi”"/>
    <m/>
    <m/>
    <m/>
    <m/>
    <m/>
    <s v="L201"/>
    <m/>
    <m/>
    <m/>
    <m/>
  </r>
  <r>
    <m/>
    <m/>
    <x v="153"/>
    <x v="56"/>
    <m/>
    <s v="“Sele Bireysel Hazırlık Bilgi ve Davranış Ölçeklerinin Uyarlanarak, Etiyopya’nın Kelafo İlçesinde Yaşayan Risk Altı Nüfusun Hazırlık Düzeyinin ve İlişkili Faktörlerin Belirlenmesi”"/>
    <m/>
    <m/>
    <m/>
    <m/>
    <m/>
    <s v="L202"/>
    <m/>
    <m/>
    <m/>
    <m/>
  </r>
  <r>
    <m/>
    <m/>
    <x v="153"/>
    <x v="56"/>
    <m/>
    <s v="“65 Yaş ve Üstündeki Hastalarda Kalp Yetmezliği Semptomları ile Oral Beslenme Desteği İlişkisinin Değerlendirilmesi”"/>
    <m/>
    <m/>
    <m/>
    <m/>
    <m/>
    <s v="L203"/>
    <m/>
    <m/>
    <m/>
    <m/>
  </r>
  <r>
    <m/>
    <m/>
    <x v="153"/>
    <x v="56"/>
    <m/>
    <s v="“Alzheimer Hastalığında Disfaji ile Manyetik Rezonans Görüntülemesiyle Beyindeki Atrofi Alanları Arasındaki İlişkinin İncelenmesi”"/>
    <m/>
    <m/>
    <m/>
    <m/>
    <m/>
    <s v="L204"/>
    <m/>
    <m/>
    <m/>
    <m/>
  </r>
  <r>
    <m/>
    <m/>
    <x v="153"/>
    <x v="56"/>
    <m/>
    <s v="“Güncel Vestibüler Hastalıkların Tanısında Vestibüler Test Bataryaları ve Vestibüler Rehabilitasyon Yaklaşımlarının Belirlenmesi”"/>
    <m/>
    <m/>
    <m/>
    <m/>
    <m/>
    <s v="L205"/>
    <m/>
    <m/>
    <m/>
    <m/>
  </r>
  <r>
    <m/>
    <m/>
    <x v="153"/>
    <x v="56"/>
    <m/>
    <s v="“Multipl Skleroz Hastalarında Hastalık Modifiye Edici Tedavilerin Yan Etkilerinin Yaş ve Cinsiyete Göre İncelenmesi”"/>
    <m/>
    <m/>
    <m/>
    <m/>
    <m/>
    <s v="L206"/>
    <m/>
    <m/>
    <m/>
    <m/>
  </r>
  <r>
    <m/>
    <m/>
    <x v="153"/>
    <x v="56"/>
    <m/>
    <s v="“Rituksimabın Santral Sinir Sistemi Demiyelinizan ve Otoimmün Hastalıklarında Etkililik ve Güvenliliği: Tek Merkez Deneyimi”"/>
    <m/>
    <m/>
    <m/>
    <m/>
    <m/>
    <s v="L207"/>
    <m/>
    <m/>
    <m/>
    <m/>
  </r>
  <r>
    <m/>
    <m/>
    <x v="153"/>
    <x v="56"/>
    <m/>
    <s v="“Onkolojik veya Hematolojik Malignitesi Olan Nötropenik Hastalarda Karbapenemaz Üreten Enterobacterales Sebepli Bakteriyemi Tedavisinde Seftazidim/Avibaktam”"/>
    <m/>
    <m/>
    <m/>
    <m/>
    <m/>
    <s v="L208"/>
    <m/>
    <m/>
    <m/>
    <m/>
  </r>
  <r>
    <m/>
    <m/>
    <x v="153"/>
    <x v="56"/>
    <m/>
    <s v="“Karbapeneme Dirençli Klebsilla pneumoniae ile Gelişen Kan Dolaşımı Enfeksiyonlarında Risk Faktörleri, Mortalite ve Moleküler Epidemiyolojik Verilerin Araştırılması: Karşılaştırmalı Retrospektif Analiz”"/>
    <m/>
    <m/>
    <m/>
    <m/>
    <m/>
    <s v="L209"/>
    <m/>
    <m/>
    <m/>
    <m/>
  </r>
  <r>
    <m/>
    <m/>
    <x v="153"/>
    <x v="56"/>
    <m/>
    <s v="“Tekil Gebeliklerin İlk Trimesterdeki Myometrial Kalınlık Ölçümleriyle Preterm Doğum İlişkisi”"/>
    <m/>
    <m/>
    <m/>
    <m/>
    <m/>
    <s v="L210"/>
    <m/>
    <m/>
    <m/>
    <m/>
  </r>
  <r>
    <m/>
    <m/>
    <x v="153"/>
    <x v="56"/>
    <m/>
    <s v="“Terapötik Hikaye İçerikli Bilgilendirici İnteraktif Mobil Uygulamanın Çocuk Kalp Cerrahisi Uygulanacak Hastaların Anksiyete Seviyelerine Etkisi”"/>
    <m/>
    <m/>
    <m/>
    <m/>
    <m/>
    <s v="L211"/>
    <m/>
    <m/>
    <m/>
    <m/>
  </r>
  <r>
    <m/>
    <m/>
    <x v="153"/>
    <x v="56"/>
    <m/>
    <s v="“Karaciğer Transplantasyonu Geçirmiş Bireylerde Kardiyovasküler ve Kassal Parametrelerin, Motor Kognitif Performansın, Bilişsel Fonksiyonun, Kinezyofobinin ve Yaşam Kalitesinin İncelenmesi”"/>
    <m/>
    <m/>
    <m/>
    <m/>
    <m/>
    <s v="L212"/>
    <m/>
    <m/>
    <m/>
    <m/>
  </r>
  <r>
    <m/>
    <m/>
    <x v="153"/>
    <x v="56"/>
    <m/>
    <s v="“Endodontik-Periodontal Lezyonlarda Etyoloji, Prognoz ve Tedavi Yaklaşımlarının Endodontist ve Periodontist Perspektifinden Değerlendirilmesi: Gözlemsel Bir Çalışma”"/>
    <m/>
    <m/>
    <m/>
    <m/>
    <m/>
    <s v="L213"/>
    <m/>
    <m/>
    <m/>
    <m/>
  </r>
  <r>
    <m/>
    <m/>
    <x v="153"/>
    <x v="56"/>
    <m/>
    <s v="“Artan Trichophyton İndotineae Vakalarının Retrospektif Değerlendirilmesi”"/>
    <m/>
    <m/>
    <m/>
    <m/>
    <m/>
    <s v="L214"/>
    <m/>
    <m/>
    <m/>
    <m/>
  </r>
  <r>
    <m/>
    <m/>
    <x v="153"/>
    <x v="56"/>
    <m/>
    <s v="“Tıp Öğrencilerinde İyilik Hali Düzeyini Arttırmaya Yönelik Bir Program: Pilot Uygulama”"/>
    <m/>
    <m/>
    <m/>
    <m/>
    <m/>
    <s v="L215"/>
    <m/>
    <m/>
    <m/>
    <m/>
  </r>
  <r>
    <m/>
    <m/>
    <x v="153"/>
    <x v="56"/>
    <m/>
    <s v="“Tıpta Yan Dal Uzmanlık Eğitimi Tercihlerini Belirleyen Etkenler”"/>
    <m/>
    <m/>
    <m/>
    <m/>
    <m/>
    <s v="L216"/>
    <m/>
    <m/>
    <m/>
    <m/>
  </r>
  <r>
    <m/>
    <m/>
    <x v="153"/>
    <x v="56"/>
    <m/>
    <s v="“Erişkin Subklinik Hipotiroidili Hastalarda Kardiyak Fonksiyonların İncelenmesi”"/>
    <m/>
    <m/>
    <m/>
    <m/>
    <m/>
    <s v="L217"/>
    <m/>
    <m/>
    <m/>
    <m/>
  </r>
  <r>
    <m/>
    <m/>
    <x v="153"/>
    <x v="56"/>
    <m/>
    <s v="“Oktogenarian Kolon Kanserli Hastalarda Tedavi Etkinliğinin ve Uyumunun Değerlendirilmesi"/>
    <m/>
    <m/>
    <m/>
    <m/>
    <m/>
    <s v="L218"/>
    <m/>
    <m/>
    <m/>
    <m/>
  </r>
  <r>
    <m/>
    <m/>
    <x v="153"/>
    <x v="56"/>
    <m/>
    <s v="“Çocuklarda Antimikrobiyal İlaç Desensitizasyonlarının Etkinliği ve Güvenilirliği”"/>
    <m/>
    <m/>
    <m/>
    <m/>
    <m/>
    <s v="L219"/>
    <m/>
    <m/>
    <m/>
    <m/>
  </r>
  <r>
    <m/>
    <m/>
    <x v="153"/>
    <x v="56"/>
    <m/>
    <s v="“Çocuklarda Kemoterapötik İlaç Desensitizasyonlarının Etkinliği ve Güvenliği”"/>
    <m/>
    <m/>
    <m/>
    <m/>
    <m/>
    <s v="L220"/>
    <m/>
    <m/>
    <m/>
    <m/>
  </r>
  <r>
    <m/>
    <m/>
    <x v="153"/>
    <x v="56"/>
    <m/>
    <s v="“Rezin İnfiltrasyon Tekniğinde Farklı Pürüzlendirme Yöntemlerinin Renk Stabilitesine ve Yüzey Pürüzlülüğüne Etkisi”"/>
    <m/>
    <m/>
    <m/>
    <m/>
    <m/>
    <s v="L221"/>
    <m/>
    <m/>
    <m/>
    <m/>
  </r>
  <r>
    <m/>
    <m/>
    <x v="153"/>
    <x v="56"/>
    <m/>
    <s v="“İnfertil Göçmen Kadınların Aile Yaşantılarının Sosyal Hizmet Perspektifiyle İncelenmesi”"/>
    <m/>
    <m/>
    <m/>
    <m/>
    <m/>
    <s v="L222"/>
    <m/>
    <m/>
    <m/>
    <m/>
  </r>
  <r>
    <m/>
    <m/>
    <x v="153"/>
    <x v="56"/>
    <m/>
    <s v="“Dikkat Eksikliği Hiperaktivite Bozukluğu olan Ergenlerde Nikotin Tüketimi, Zihin Gezinmesi, Duygu Düzenleme, Zihinselleştirme ve Yürütücü İşlevlerin İncelenmesi”"/>
    <m/>
    <m/>
    <m/>
    <m/>
    <m/>
    <s v="L223"/>
    <m/>
    <m/>
    <m/>
    <m/>
  </r>
  <r>
    <m/>
    <m/>
    <x v="153"/>
    <x v="56"/>
    <m/>
    <s v="“Primer İmmün Yetmezlikli Hastalarda Nutrisyonel Durumun Değerlendirilmesi ve Vücut Kompozisyonu Ölçümü”"/>
    <m/>
    <m/>
    <m/>
    <m/>
    <m/>
    <s v="L224"/>
    <m/>
    <m/>
    <m/>
    <m/>
  </r>
  <r>
    <m/>
    <m/>
    <x v="153"/>
    <x v="56"/>
    <m/>
    <s v="“Farklı Kök Kanal Doldurma Teknikleri ile Doldurulmuş Dişlerde Kanal Dolgusu Sökümü Sonrası Apikalden Taşmanın Değerlendirilmesi”"/>
    <m/>
    <m/>
    <m/>
    <m/>
    <m/>
    <s v="L225"/>
    <m/>
    <m/>
    <m/>
    <m/>
  </r>
  <r>
    <m/>
    <m/>
    <x v="153"/>
    <x v="56"/>
    <m/>
    <s v="“Son Bir Yılda Türkiye'deki Çocuk Yoğun Bakımlarda Miyokardit”"/>
    <m/>
    <m/>
    <m/>
    <m/>
    <m/>
    <s v="L226"/>
    <m/>
    <m/>
    <m/>
    <m/>
  </r>
  <r>
    <m/>
    <m/>
    <x v="153"/>
    <x v="56"/>
    <m/>
    <s v="“Vücudu Dik Pozisyona Getirerek Yerden Ağırlık Kaldırışının (Deadlift) Biyomekanik Modellenmesi”"/>
    <m/>
    <m/>
    <m/>
    <m/>
    <m/>
    <s v="L227"/>
    <m/>
    <m/>
    <m/>
    <m/>
  </r>
  <r>
    <m/>
    <m/>
    <x v="153"/>
    <x v="56"/>
    <m/>
    <s v="“Hizmet Alanların Gözünden Boşluk Modeline Dayalı Olarak Hemşirelik Mesleğinin İmajının İncelenmesi: Nöropazarlama Analizi”"/>
    <m/>
    <m/>
    <m/>
    <m/>
    <m/>
    <s v="L228"/>
    <m/>
    <m/>
    <m/>
    <m/>
  </r>
  <r>
    <m/>
    <m/>
    <x v="153"/>
    <x v="56"/>
    <m/>
    <s v="“Astım Tanılı Ergenlerde Menstruasyonun Astım Kontrolü Üzerindeki Etkisi”"/>
    <m/>
    <m/>
    <m/>
    <m/>
    <m/>
    <s v="L229"/>
    <m/>
    <m/>
    <m/>
    <m/>
  </r>
  <r>
    <m/>
    <m/>
    <x v="153"/>
    <x v="56"/>
    <m/>
    <s v="“Asemptomatik Tansiyon Düşüklüğü Olan Hastalarda Endotel Disfonksiyonu ve Renin-Anjiyotensin-Aldosteron Sistem Fonksiyonlarının Değerlendirilmesi”"/>
    <m/>
    <m/>
    <m/>
    <m/>
    <m/>
    <s v="L230"/>
    <m/>
    <m/>
    <m/>
    <m/>
  </r>
  <r>
    <m/>
    <m/>
    <x v="153"/>
    <x v="56"/>
    <m/>
    <s v="“Uyku Apnesi Olmayan Ancak Nazal Septal Deviasyonu Olan Hastalarda Septoplasti Ameliyatı Öncesi ve Sonrası Serum Melatonin Düzeylerinin Karşılaştırılması”"/>
    <m/>
    <m/>
    <m/>
    <m/>
    <m/>
    <s v="L231"/>
    <m/>
    <m/>
    <m/>
    <m/>
  </r>
  <r>
    <m/>
    <m/>
    <x v="153"/>
    <x v="56"/>
    <m/>
    <s v="“Sekonder Hipertansiyon Klinik Özellikleri ve Tanıda Bilgisayarlı Tomografinin Rolü”"/>
    <m/>
    <m/>
    <m/>
    <m/>
    <m/>
    <s v="L232"/>
    <m/>
    <m/>
    <m/>
    <m/>
  </r>
  <r>
    <m/>
    <m/>
    <x v="153"/>
    <x v="56"/>
    <m/>
    <s v="“Kronik Hastalığı Olan Çocukların Eğitiminde Yapay Zeka Kullanımına İlişkin Pediatri Hemşirelerinin Metaforlarının Analizi”"/>
    <m/>
    <m/>
    <m/>
    <m/>
    <m/>
    <s v="L233"/>
    <m/>
    <m/>
    <m/>
    <m/>
  </r>
  <r>
    <m/>
    <m/>
    <x v="153"/>
    <x v="56"/>
    <m/>
    <s v="“Translasyonel Preklinik Modeller ile Pulmoner Fibrozis İçin Yeni Tedavi Yaklaşımlarının Geliştirilmesi”"/>
    <m/>
    <m/>
    <m/>
    <m/>
    <m/>
    <s v="L234"/>
    <m/>
    <m/>
    <m/>
    <m/>
  </r>
  <r>
    <m/>
    <m/>
    <x v="153"/>
    <x v="56"/>
    <m/>
    <s v="“Kronik Spontan Ürtiker Tanılı Adölesan Hastalarda Menstrüel Siklusun Hastalık Aktiviyesi Üzerine Etkisi”"/>
    <m/>
    <m/>
    <m/>
    <m/>
    <m/>
    <s v="L235"/>
    <m/>
    <m/>
    <m/>
    <m/>
  </r>
  <r>
    <m/>
    <m/>
    <x v="153"/>
    <x v="56"/>
    <m/>
    <s v="“Atopik Dermatit Tanılı 1-3 Yaş Arası Çocuklarda Besin Alerjisi Varlığının Lezyonel ve Non-lezyonel Deri Bölgelerindeki Sitokin ve Mikrobiyom Özelliklerine Etkisi”"/>
    <m/>
    <m/>
    <m/>
    <m/>
    <m/>
    <s v="L236"/>
    <m/>
    <m/>
    <m/>
    <m/>
  </r>
  <r>
    <m/>
    <m/>
    <x v="153"/>
    <x v="56"/>
    <m/>
    <s v="“Septik Artrit ve Osteomyelit Tanılı 0-18 Yaş Arasındaki Hastaların Klinik, Etiyolojik ve Epidemiyolojik Açıdan İncelenmesi”"/>
    <m/>
    <m/>
    <m/>
    <m/>
    <m/>
    <s v="L237"/>
    <m/>
    <m/>
    <m/>
    <m/>
  </r>
  <r>
    <m/>
    <m/>
    <x v="153"/>
    <x v="56"/>
    <m/>
    <s v="“Akciğer Kanserinde Lipid Metabolizması ile İmmün Sistem İlişkisi”"/>
    <m/>
    <m/>
    <m/>
    <m/>
    <m/>
    <s v="L238"/>
    <m/>
    <m/>
    <m/>
    <m/>
  </r>
  <r>
    <m/>
    <m/>
    <x v="153"/>
    <x v="56"/>
    <m/>
    <s v="“Farklı Ajanların İmmün Hücre Metabolizması ve Proliferasyonuna Etkileri”"/>
    <m/>
    <m/>
    <m/>
    <m/>
    <m/>
    <s v="L239"/>
    <m/>
    <m/>
    <m/>
    <m/>
  </r>
  <r>
    <m/>
    <m/>
    <x v="153"/>
    <x v="56"/>
    <m/>
    <s v="“Baş-boyun, Beyin ve Spinal Tümörlerin CEST Görüntüleme Yöntemi ile Değerlendirilmesi”"/>
    <m/>
    <m/>
    <m/>
    <m/>
    <m/>
    <s v="L240"/>
    <m/>
    <m/>
    <m/>
    <m/>
  </r>
  <r>
    <m/>
    <m/>
    <x v="153"/>
    <x v="56"/>
    <m/>
    <s v="“Midpalatal Sütur Olgunlaşmasının Değerlendirilmesinde Yeni Bir Metot”"/>
    <m/>
    <m/>
    <m/>
    <m/>
    <m/>
    <s v="L241"/>
    <m/>
    <m/>
    <m/>
    <m/>
  </r>
  <r>
    <m/>
    <m/>
    <x v="153"/>
    <x v="56"/>
    <m/>
    <s v="“Beyin Tümörünün Postoperatif Tedavisinde Antikanser/Antianjiogenik İlaç ve Kök Hücre İçeren, 3B Yazıcı ile Kişiselleştirilebilir İmplantların Geliştirilmesi ve İnvitro/İnvivo Değerlendirilmesi”"/>
    <m/>
    <m/>
    <m/>
    <m/>
    <m/>
    <s v="L242"/>
    <m/>
    <m/>
    <m/>
    <m/>
  </r>
  <r>
    <m/>
    <m/>
    <x v="153"/>
    <x v="56"/>
    <m/>
    <s v="“Multipl Skleroz Tanılı Hastalarda Telomer Uzunluğu Analizi: Prognoz, Klinik Fenotip, Dizabilite ve Manyetik Rezonans Görüntüleme Beyin Volüm Değişiklikleri ile İlişkisi”"/>
    <m/>
    <m/>
    <m/>
    <m/>
    <m/>
    <s v="L243"/>
    <m/>
    <m/>
    <m/>
    <m/>
  </r>
  <r>
    <m/>
    <m/>
    <x v="153"/>
    <x v="56"/>
    <m/>
    <s v="“Psoriatik Tırnak Bulgularının İncelenmesi ve Psoriatik Artrit ile İlişkisi”"/>
    <m/>
    <m/>
    <m/>
    <m/>
    <m/>
    <s v="L244"/>
    <m/>
    <m/>
    <m/>
    <m/>
  </r>
  <r>
    <m/>
    <m/>
    <x v="153"/>
    <x v="56"/>
    <m/>
    <s v="“IL-1 İnhibitörü Tedavisi ve Kolşisin Tedavisi Alan Ailevi Akdeniz Ateşi Hastalarında Kemik Dönüşüm Belirteçlerinin Karşılaştırılması”"/>
    <m/>
    <m/>
    <m/>
    <m/>
    <m/>
    <s v="L245"/>
    <m/>
    <m/>
    <m/>
    <m/>
  </r>
  <r>
    <m/>
    <m/>
    <x v="153"/>
    <x v="56"/>
    <m/>
    <s v="“Triple Negatif Meme Kanseri Tanılı Hastaların Klinik Özellikleri ve Tedavi Sonuçlarının İncelenmesi”"/>
    <m/>
    <m/>
    <m/>
    <m/>
    <m/>
    <s v="L246"/>
    <m/>
    <m/>
    <m/>
    <m/>
  </r>
  <r>
    <m/>
    <m/>
    <x v="153"/>
    <x v="56"/>
    <m/>
    <s v="“WaLIDD Skorunun Türkçe Geçerlik ve Güvenirlik Çalışması”"/>
    <m/>
    <m/>
    <m/>
    <m/>
    <m/>
    <s v="L247"/>
    <m/>
    <m/>
    <m/>
    <m/>
  </r>
  <r>
    <m/>
    <m/>
    <x v="153"/>
    <x v="56"/>
    <m/>
    <s v="“Ulusal Yenidoğan Tarama Programı ile Konjenital Hipotiroidi Tanısı Alarak İzlemde Geçici ve Kalıcı Konjenital Hipotiroidi Tanımlanan Olguların Retrospektif Değerlendirmesi&quot;"/>
    <m/>
    <m/>
    <m/>
    <m/>
    <m/>
    <s v="L248"/>
    <m/>
    <m/>
    <m/>
    <m/>
  </r>
  <r>
    <m/>
    <m/>
    <x v="153"/>
    <x v="56"/>
    <m/>
    <s v="“Fibromiyalji Tanılı Hastalarda İstenilen Görüntüleme Yöntemleri ile Geçirilmiş Cerrahi Operasyonların Sıklığı&quot;"/>
    <m/>
    <m/>
    <m/>
    <m/>
    <m/>
    <s v="L249"/>
    <m/>
    <m/>
    <m/>
    <m/>
  </r>
  <r>
    <m/>
    <m/>
    <x v="153"/>
    <x v="56"/>
    <m/>
    <s v="“Üçüncü Basamak Sağlık Merkezinde Pediatrik Osteoporoz Olgularının Etiyolojik Dağılımı, Klinik ve Laboratuvar Özellikleri”"/>
    <m/>
    <m/>
    <m/>
    <m/>
    <m/>
    <s v="L250"/>
    <m/>
    <m/>
    <m/>
    <m/>
  </r>
  <r>
    <m/>
    <m/>
    <x v="153"/>
    <x v="56"/>
    <m/>
    <s v="“Pediatrik Brakiosefalik Ven Kateterizasyonlarının Komplikasyonlar Açısından Retrospektif Olarak İncelenmesi”"/>
    <m/>
    <m/>
    <m/>
    <m/>
    <m/>
    <s v="L251"/>
    <m/>
    <m/>
    <m/>
    <m/>
  </r>
  <r>
    <m/>
    <m/>
    <x v="153"/>
    <x v="56"/>
    <m/>
    <s v="“İyon Salan Restoratif Dental Malzemelerin Bazı Mekanik Özellikler ve Mikrosızıntı Açısından İn-Vitro Olarak Değerlendirilmesi”"/>
    <m/>
    <m/>
    <m/>
    <m/>
    <m/>
    <m/>
    <m/>
    <m/>
    <m/>
    <m/>
  </r>
  <r>
    <m/>
    <m/>
    <x v="153"/>
    <x v="56"/>
    <m/>
    <s v="“Glutatyon S Transferaz P1 Enziminin Triple-Negatif Meme Kanser Hücrelerinde Ferroptoz Üzerindeki Rolünün İncelenmesi”"/>
    <m/>
    <m/>
    <m/>
    <m/>
    <m/>
    <m/>
    <m/>
    <m/>
    <m/>
    <m/>
  </r>
  <r>
    <m/>
    <m/>
    <x v="153"/>
    <x v="56"/>
    <m/>
    <s v="&quot;Tip I Diyabet Tanısı Olan Çocukların Sağlıkta Baba Katılımlarının Değerlendirilmesi&quot;"/>
    <m/>
    <m/>
    <m/>
    <m/>
    <m/>
    <m/>
    <m/>
    <m/>
    <m/>
    <m/>
  </r>
  <r>
    <m/>
    <m/>
    <x v="153"/>
    <x v="56"/>
    <m/>
    <s v="“Kronik Myeloid Lösemi Blastik Faz Hastalarının Tek Merkezden Gerçek Yaşam Verileriyle Retrospektif İncelenmesi”"/>
    <m/>
    <m/>
    <m/>
    <m/>
    <m/>
    <m/>
    <m/>
    <m/>
    <m/>
    <m/>
  </r>
  <r>
    <m/>
    <m/>
    <x v="153"/>
    <x v="56"/>
    <m/>
    <s v="“Çocukluk Çağı Eksojen Obezite Tedavisinde Yaşam Tarzı Değişikliği Önerilerinin Etkinliğinin İncelenmesi”"/>
    <m/>
    <m/>
    <m/>
    <m/>
    <m/>
    <m/>
    <m/>
    <m/>
    <m/>
    <m/>
  </r>
  <r>
    <m/>
    <m/>
    <x v="153"/>
    <x v="56"/>
    <m/>
    <s v="“Bifosfonat Kullanan Hastalarda İlaca Bağlı Olarak Çenelerde Görülen Osteonekrozun Etyopatogenezinde Otofaji, Apoptoz ve Nekrozun Rolü”"/>
    <m/>
    <m/>
    <m/>
    <m/>
    <m/>
    <m/>
    <m/>
    <m/>
    <m/>
    <m/>
  </r>
  <r>
    <m/>
    <m/>
    <x v="153"/>
    <x v="56"/>
    <m/>
    <s v="&quot;Kronik Lenfositik Lösemi Hastalarında Ekstrameduller Tutulumunun Prognostik, Klinik, Laboratuvar, Tedavi Yanıtı Açısından Değerlendirmesi&quot;"/>
    <m/>
    <m/>
    <m/>
    <m/>
    <m/>
    <m/>
    <m/>
    <m/>
    <m/>
    <m/>
  </r>
  <r>
    <m/>
    <m/>
    <x v="153"/>
    <x v="56"/>
    <m/>
    <s v="“Kronik Myeloid Lösemi Hastalarının Klinik, Prognostik, Sağkalım ve Tedavilerinin Değerlendirilmesi”"/>
    <m/>
    <m/>
    <m/>
    <m/>
    <m/>
    <m/>
    <m/>
    <m/>
    <m/>
    <m/>
  </r>
  <r>
    <m/>
    <m/>
    <x v="153"/>
    <x v="56"/>
    <m/>
    <s v="“Akut Myeloid Lösemi Hastalarında Konsolidasyon Tedavisinde Kullanılan Sitarabin Doz Yoğunluğunun Hastalığın Prognozu ve Sağkalımı Üzerine Etkisi”"/>
    <m/>
    <m/>
    <m/>
    <m/>
    <m/>
    <m/>
    <m/>
    <m/>
    <m/>
    <m/>
  </r>
  <r>
    <m/>
    <m/>
    <x v="153"/>
    <x v="56"/>
    <m/>
    <s v="“Fertilite Koruyucu Tedavi Uygulanan Endometrium Kanseri ve Endometrial İntraepitelyal Neoplazi Tanılı Hastalarda Moleküler Sınıflandırmanın Prognoza Etkisi”"/>
    <m/>
    <m/>
    <m/>
    <m/>
    <m/>
    <m/>
    <m/>
    <m/>
    <m/>
    <m/>
  </r>
  <r>
    <m/>
    <m/>
    <x v="153"/>
    <x v="56"/>
    <m/>
    <s v="“Özgül Öğrenme Bozukluğu ve Dikkat Eksikliği Hiperaktivite Bozukluğu Komorbiditesi Olan Çocuklarda Okuma-Yazma Performansının Yönetici İşlevler, Nörobilişsel Profil ve İşlevsellik ile İlişkisinin İncelenmesi”"/>
    <m/>
    <m/>
    <m/>
    <m/>
    <m/>
    <m/>
    <m/>
    <m/>
    <m/>
    <m/>
  </r>
  <r>
    <m/>
    <m/>
    <x v="153"/>
    <x v="56"/>
    <m/>
    <s v="“Pediatrik Akciğer Enfeksiyonlarında Toraks BT Bulgularının Klinik Verilerle Birleştirilmesi Sonucunda Mantar ve Diğer Etkenlerin Derin Öğrenme ve Makine Öğrenmesi Yöntemleriyle Erken Dönemde Ayırt Edilmesi”"/>
    <m/>
    <m/>
    <m/>
    <m/>
    <m/>
    <m/>
    <m/>
    <m/>
    <m/>
    <m/>
  </r>
  <r>
    <m/>
    <m/>
    <x v="153"/>
    <x v="56"/>
    <m/>
    <s v="“İnsan Hareketinin Biyomekanik Analizi İçin Bilgisayar Benzeşim Modeli Geliştirilmesi”"/>
    <m/>
    <m/>
    <m/>
    <m/>
    <m/>
    <m/>
    <m/>
    <m/>
    <m/>
    <m/>
  </r>
  <r>
    <m/>
    <m/>
    <x v="153"/>
    <x v="56"/>
    <m/>
    <s v="“Amelogenezis İmperfectalı Hastaların Mandibula Kemik Yapısının Fraktal Analizi”"/>
    <m/>
    <m/>
    <m/>
    <m/>
    <m/>
    <m/>
    <m/>
    <m/>
    <m/>
    <m/>
  </r>
  <r>
    <m/>
    <m/>
    <x v="153"/>
    <x v="56"/>
    <m/>
    <s v="“Göğüs Hastalıkları Hekimlerinin Kistik Fibrozis Transmembran Düzenleyici (KFTR) Modülatör Tedaviler-İlaç Etkileşimleri Hakkında Bilgi ve Tutumlarının Değerlendirilmesi&quot;"/>
    <m/>
    <m/>
    <m/>
    <m/>
    <m/>
    <m/>
    <m/>
    <m/>
    <m/>
    <m/>
  </r>
  <r>
    <m/>
    <m/>
    <x v="153"/>
    <x v="56"/>
    <m/>
    <s v="Osteogenezis İmperfekta Hastalarında Ağız Diş Sağlığı Durumunun Değerlendirilmesi"/>
    <m/>
    <m/>
    <m/>
    <m/>
    <m/>
    <m/>
    <m/>
    <m/>
    <m/>
    <m/>
  </r>
  <r>
    <m/>
    <m/>
    <x v="153"/>
    <x v="56"/>
    <m/>
    <s v="“Çalışan Kadın Sağlığı: Genel Sağlık, Koruyucu Sağlık Hizmetlerinden Faydalanma ve İş-Yaşam Dengesi Durumları”"/>
    <m/>
    <m/>
    <m/>
    <m/>
    <m/>
    <m/>
    <m/>
    <m/>
    <m/>
    <m/>
  </r>
  <r>
    <m/>
    <m/>
    <x v="153"/>
    <x v="56"/>
    <m/>
    <s v="“65 Yaş ve Üzeri Tip 2 Diabetes Mellituslu Bireylerde İlaç Kullanım Uygunluğunun Retrospektif Değerlendirilmesi”"/>
    <m/>
    <m/>
    <m/>
    <m/>
    <m/>
    <m/>
    <m/>
    <m/>
    <m/>
    <m/>
  </r>
  <r>
    <m/>
    <m/>
    <x v="153"/>
    <x v="56"/>
    <m/>
    <s v="“Hacettepe Üniversitesi Erişkin Hastanesi İç Hastalıkları Servislerinde İstem Dışı Kilo Kaybı Nedeni ile Yatırılmış Hastalarda Tetkik Süreçlerinin ve Etiyoloji Dağılımlarının Retrospektif İncelenmesi”"/>
    <m/>
    <m/>
    <m/>
    <m/>
    <m/>
    <m/>
    <m/>
    <m/>
    <m/>
    <m/>
  </r>
  <r>
    <m/>
    <m/>
    <x v="153"/>
    <x v="56"/>
    <m/>
    <s v="“Akut Lösemi Hastalarında Tanı Öncesi Kan Değerlerinin Etkinliği”"/>
    <m/>
    <m/>
    <m/>
    <m/>
    <m/>
    <m/>
    <m/>
    <m/>
    <m/>
    <m/>
  </r>
  <r>
    <m/>
    <m/>
    <x v="153"/>
    <x v="56"/>
    <m/>
    <s v="“Relaps/ Refrakter Akut Myeloid Lösemi Hastalarında Reindüksiyonda Venetoklaks İçeren Tedavi Rejimlerinin Diğer Tedavilerle Karşılaştırılması”"/>
    <m/>
    <m/>
    <m/>
    <m/>
    <m/>
    <m/>
    <m/>
    <m/>
    <m/>
    <m/>
  </r>
  <r>
    <m/>
    <m/>
    <x v="153"/>
    <x v="56"/>
    <m/>
    <s v="“Distal-Orta Yerleşimli Lokal İleri Evre Rektum Adenokanser Tanılı Hastalarda Radyoterapi Müdahalelerinin Patolojik ve Klinik Tümör Yanıt Oranlarına Etkisinin Araştırılması”"/>
    <m/>
    <m/>
    <m/>
    <m/>
    <m/>
    <m/>
    <m/>
    <m/>
    <m/>
    <m/>
  </r>
  <r>
    <m/>
    <m/>
    <x v="153"/>
    <x v="56"/>
    <m/>
    <s v="''Kawasaki Hastalığı Tanısı Koymaya Yardımcı Yapay Zeka Modeli 'Galadriel'in Tanı Koyma Başarısının Retrospektif Değerlendirilmesi''"/>
    <m/>
    <m/>
    <m/>
    <m/>
    <m/>
    <m/>
    <m/>
    <m/>
    <m/>
    <m/>
  </r>
  <r>
    <m/>
    <m/>
    <x v="153"/>
    <x v="56"/>
    <m/>
    <s v="''Çocukluk Çağı Sistemik Lupus Eritematozus Tanısı Koymaya Yardımcı Yapay Zeka Modeli 'Morgaf''ın Tanı Koyma Başarısının Retrospektif Değerlendirilmesi''"/>
    <m/>
    <m/>
    <m/>
    <m/>
    <m/>
    <m/>
    <m/>
    <m/>
    <m/>
    <m/>
  </r>
  <r>
    <m/>
    <m/>
    <x v="153"/>
    <x v="56"/>
    <m/>
    <s v="“Çocukluk Çağı İnflamatuvar Doku Hastalıkları Tanılı Çocuk ve Ergenlerde Yaşam Kalitesi ve İlişkili Faktörlerin Değerlendirilmesi”"/>
    <m/>
    <m/>
    <m/>
    <m/>
    <m/>
    <m/>
    <m/>
    <m/>
    <m/>
    <m/>
  </r>
  <r>
    <m/>
    <m/>
    <x v="153"/>
    <x v="56"/>
    <m/>
    <s v="“Çocukluk Çağı Otoimmün Romatolojik Hastalıklar Tanılı Çocuk ve Ergenlerde Yaşam Kalitesi ve İlişkili Faktörlerin Değerlendirilmesi”"/>
    <m/>
    <m/>
    <m/>
    <m/>
    <m/>
    <m/>
    <m/>
    <m/>
    <m/>
    <m/>
  </r>
  <r>
    <m/>
    <m/>
    <x v="153"/>
    <x v="56"/>
    <m/>
    <s v="“Ergenlerde Dijital Bağımlılık Düzeyleri ile Yaşam Tarzı İnancı Arasındaki İlişkinin İncelenmesi: Bir Aile Sağlığı Merkezi Örneği”"/>
    <m/>
    <m/>
    <m/>
    <m/>
    <m/>
    <m/>
    <m/>
    <m/>
    <m/>
    <m/>
  </r>
  <r>
    <m/>
    <m/>
    <x v="153"/>
    <x v="56"/>
    <m/>
    <s v="&quot;Referans Merkezi Servikal Distoni Botulinum Toksin Uygulamaları Değerlendirmesi&quot;"/>
    <m/>
    <m/>
    <m/>
    <m/>
    <m/>
    <m/>
    <m/>
    <m/>
    <m/>
    <m/>
  </r>
  <r>
    <m/>
    <m/>
    <x v="153"/>
    <x v="56"/>
    <m/>
    <s v="&quot;Motor İletim Blokları Parametrelerinin Retrospektif Olarak Analizi&quot;"/>
    <m/>
    <m/>
    <m/>
    <m/>
    <m/>
    <m/>
    <m/>
    <m/>
    <m/>
    <m/>
  </r>
  <r>
    <m/>
    <m/>
    <x v="153"/>
    <x v="56"/>
    <m/>
    <s v="“Geriatri Eğitimi, Uzmanlık Alanı ve Sosyo-Demografik Faktörlerin Geriatrik Hasta Yaklaşımına Etkisi:Türkiye'deki Uzman Doktorlar Arasında Çok Yönlü Bir Analiz”"/>
    <m/>
    <m/>
    <m/>
    <m/>
    <m/>
    <m/>
    <m/>
    <m/>
    <m/>
    <m/>
  </r>
  <r>
    <m/>
    <m/>
    <x v="153"/>
    <x v="56"/>
    <m/>
    <s v="“Sınıf II Malokluzyona Sahip Bireylerde Temporomandibular Eklem Bozukluklarının Panoramik Radyografiler Kullanılarak Yapay Zeka ile Teşhisi”"/>
    <m/>
    <m/>
    <m/>
    <m/>
    <m/>
    <m/>
    <m/>
    <m/>
    <m/>
    <m/>
  </r>
  <r>
    <m/>
    <m/>
    <x v="153"/>
    <x v="56"/>
    <m/>
    <s v="“Mesleksel ve Çevresel İç Ortam Hava Kirleticileri ile Akciğer Adenokarsinomu Arasındaki İlişkinin Biyolojik Kanıtlar ile Değerlendirilmesi”"/>
    <m/>
    <m/>
    <m/>
    <m/>
    <m/>
    <m/>
    <m/>
    <m/>
    <m/>
    <m/>
  </r>
  <r>
    <m/>
    <m/>
    <x v="153"/>
    <x v="56"/>
    <m/>
    <s v="“Kronik Karaciğer Hastalarında Sarkopeninin Non-İnvaziv Yöntemlerle Değerlendirilmesi ve Sarkopenin Uzun Dönem Morbidite ve Mortaliteye Etkisi”"/>
    <m/>
    <m/>
    <m/>
    <m/>
    <m/>
    <m/>
    <m/>
    <m/>
    <m/>
    <m/>
  </r>
  <r>
    <m/>
    <m/>
    <x v="153"/>
    <x v="56"/>
    <m/>
    <s v="“Noninvazif Pulmoner Aspergillozis ve Allerjik Bronkopulmoner Aspergillozis Tanılı Kistik Fibrozis Hastalarında Vorikonazol Serum Düzeyi Ölçümünün Tedaviye Katkısı”"/>
    <m/>
    <m/>
    <m/>
    <m/>
    <m/>
    <m/>
    <m/>
    <m/>
    <m/>
    <m/>
  </r>
  <r>
    <m/>
    <m/>
    <x v="153"/>
    <x v="56"/>
    <m/>
    <s v="“Primer İntratorasik Nörojenik Tümörlere Multidisipliner Yaklaşım”"/>
    <m/>
    <m/>
    <m/>
    <m/>
    <m/>
    <m/>
    <m/>
    <m/>
    <m/>
    <m/>
  </r>
  <r>
    <m/>
    <m/>
    <x v="153"/>
    <x v="56"/>
    <m/>
    <s v="“Papiller Tiroid Kanseri Tanısında Prediktif Değeri Olan Moleküllerin Tespit Edilmesi”"/>
    <m/>
    <m/>
    <m/>
    <m/>
    <m/>
    <m/>
    <m/>
    <m/>
    <m/>
    <m/>
  </r>
  <r>
    <m/>
    <m/>
    <x v="153"/>
    <x v="56"/>
    <m/>
    <s v="“Allojenik Kök Hücre Nakli Yapılan Hastalarda Sitomegalovirüs Reaktivasyonu Sıklığının Risk Faktörlerinin ve Sağ Kalıma Etkisinin Retrospektif Değerlendirilmesi”"/>
    <m/>
    <m/>
    <m/>
    <m/>
    <m/>
    <m/>
    <m/>
    <m/>
    <m/>
    <m/>
  </r>
  <r>
    <m/>
    <m/>
    <x v="153"/>
    <x v="56"/>
    <m/>
    <s v="“Hız Temelli Antrenmanın Aktivasyon Sonrası Performans Artışına Etkisinin Sirkadiyen Ritme göre İncelenmesi”"/>
    <m/>
    <m/>
    <m/>
    <m/>
    <m/>
    <m/>
    <m/>
    <m/>
    <m/>
    <m/>
  </r>
  <r>
    <m/>
    <m/>
    <x v="153"/>
    <x v="56"/>
    <m/>
    <s v="“Oral İmmunoglobulin Replasmanı Almış Olan Primer İmmün Yetmezlik Hastalarının Demografik, Klinik ve Laboratuvar Özelliklerinin Değerlendirilmesi”"/>
    <m/>
    <m/>
    <m/>
    <m/>
    <m/>
    <m/>
    <m/>
    <m/>
    <m/>
    <m/>
  </r>
  <r>
    <m/>
    <m/>
    <x v="153"/>
    <x v="56"/>
    <m/>
    <s v="“Antimikrobiyal Dirençle Mücadeleye Yönelik Nanopartiküler Aşı Formülasyonlarının Geliştirilmesi”"/>
    <m/>
    <m/>
    <m/>
    <m/>
    <m/>
    <m/>
    <m/>
    <m/>
    <m/>
    <m/>
  </r>
  <r>
    <m/>
    <m/>
    <x v="153"/>
    <x v="56"/>
    <m/>
    <s v="“Polikistik Over Sendromlu Hastaların Açlık ve Tokluk Durumunda Beyin Fonksiyonel Durum Değişiminin İnkretin Hormonlarla İlişkisinin İncelenmesi ve Sağlıklı Gönüllüler ile Karşılaştırılması”"/>
    <m/>
    <m/>
    <m/>
    <m/>
    <m/>
    <m/>
    <m/>
    <m/>
    <m/>
    <m/>
  </r>
  <r>
    <m/>
    <m/>
    <x v="153"/>
    <x v="56"/>
    <m/>
    <s v="“Kritik Hastalarda Yatak Başında Nabız Basıncı Değerlendirmesi Strok Volümdeki Düşük Değerleri Tespit Edebilir mi veya Değişiklikleri Takip Edebilir mi? Çok Merkezli, Kesitsel, Gözlemsel ANDROMEDA-PEGASUS Çalışması”"/>
    <m/>
    <m/>
    <m/>
    <m/>
    <m/>
    <m/>
    <m/>
    <m/>
    <m/>
    <m/>
  </r>
  <r>
    <m/>
    <m/>
    <x v="153"/>
    <x v="56"/>
    <m/>
    <s v="“Preseptal, Orbital ve Bukkal Sellülit Nedeniyle Hastanede Yatan Çocukların Değerlendirilmesi”"/>
    <m/>
    <m/>
    <m/>
    <m/>
    <m/>
    <m/>
    <m/>
    <m/>
    <m/>
    <m/>
  </r>
  <r>
    <m/>
    <m/>
    <x v="153"/>
    <x v="56"/>
    <m/>
    <s v="“Çocuk Hastalarda Kombine Antibiyotik Tedavilerinin Yan Etkilerinin Retrospektif Olarak İncelenmesi”"/>
    <m/>
    <m/>
    <m/>
    <m/>
    <m/>
    <m/>
    <m/>
    <m/>
    <m/>
    <m/>
  </r>
  <r>
    <m/>
    <m/>
    <x v="153"/>
    <x v="56"/>
    <m/>
    <s v="“Kistik Hava Boşlukları ile İlişkili Akciğer Kanseri: Klinik, RadyolojikVe Patolojik Özellikler”"/>
    <m/>
    <m/>
    <m/>
    <m/>
    <m/>
    <m/>
    <m/>
    <m/>
    <m/>
    <m/>
  </r>
  <r>
    <m/>
    <m/>
    <x v="153"/>
    <x v="56"/>
    <m/>
    <s v="“Artistik Buz Pateninde Başarılı ve Başarısız Salchow Sıçrayışlarının Kinematik Analizi”"/>
    <m/>
    <m/>
    <m/>
    <m/>
    <m/>
    <m/>
    <m/>
    <m/>
    <m/>
    <m/>
  </r>
  <r>
    <m/>
    <m/>
    <x v="153"/>
    <x v="56"/>
    <m/>
    <s v="“Yön Değiştirme Mesafesine Göre 5-0-5 Testinin Geçerliliği ve Alt Ekstremite Kuvveti ile İlişkisi”"/>
    <m/>
    <m/>
    <m/>
    <m/>
    <m/>
    <m/>
    <m/>
    <m/>
    <m/>
    <m/>
  </r>
  <r>
    <m/>
    <m/>
    <x v="153"/>
    <x v="56"/>
    <m/>
    <s v="“Ataksi-Telanjiektazi Hastalığının Patogenezinin Moleküler Boyutta Sistemik Analizi”"/>
    <m/>
    <m/>
    <m/>
    <m/>
    <m/>
    <m/>
    <m/>
    <m/>
    <m/>
    <m/>
  </r>
  <r>
    <m/>
    <m/>
    <x v="153"/>
    <x v="56"/>
    <m/>
    <s v="&quot;Adipozite İlişkili Ateroskleroz Patogenezinde Rol Oynayan Periferik Mononükleer Hücrelerdeki İnflamasyon Yolaklarının Belirlenmesi&quot;"/>
    <m/>
    <m/>
    <m/>
    <m/>
    <m/>
    <m/>
    <m/>
    <m/>
    <m/>
    <m/>
  </r>
  <r>
    <m/>
    <m/>
    <x v="153"/>
    <x v="56"/>
    <m/>
    <s v="“Yenidoğan Yoğun Bakım Ünitesinde Sürekli Elektroensefalografi ile Değerlendirilmiş Olan Kritik Hastaların Sonuçlarının İncelenmesi”"/>
    <m/>
    <m/>
    <m/>
    <m/>
    <m/>
    <m/>
    <m/>
    <m/>
    <m/>
    <m/>
  </r>
  <r>
    <m/>
    <m/>
    <x v="153"/>
    <x v="56"/>
    <m/>
    <s v="“Çocuk Yoğun Bakım Servisinde Sürekli Elektroensefalografi ile Değerlendirilmiş Olan Kritik Hastaların Sonuçlarının İncelenmesi”"/>
    <m/>
    <m/>
    <m/>
    <m/>
    <m/>
    <m/>
    <m/>
    <m/>
    <m/>
    <m/>
  </r>
  <r>
    <m/>
    <m/>
    <x v="153"/>
    <x v="56"/>
    <m/>
    <s v="“Konservatif Tedaviye Dirençli Periartiküler Kas İskelet Sistemi Hastalıklarında Fonksiyon Kısıtlayıcı Semptomların Transarteryal Periartiküler Embolizasyonu (TAPE) Tedavisi Sonrası Yanıt Değerlendirilmesi”"/>
    <m/>
    <m/>
    <m/>
    <m/>
    <m/>
    <m/>
    <m/>
    <m/>
    <m/>
    <m/>
  </r>
  <r>
    <m/>
    <m/>
    <x v="153"/>
    <x v="56"/>
    <m/>
    <s v="“ALL BFM IC 2009 Protokolü ile Tedavi Edilen Akut Lenfoblastik Lösemili Çocuk Hastalarda Yaşam Süresi Analizi&quot;"/>
    <m/>
    <m/>
    <m/>
    <m/>
    <m/>
    <m/>
    <m/>
    <m/>
    <m/>
    <m/>
  </r>
  <r>
    <m/>
    <m/>
    <x v="153"/>
    <x v="56"/>
    <m/>
    <s v="“Yoğun Bakmda Hizmet veren Hekim Hemşire ve Klinik Eczacıların İntravenöz Sıvı Tedavisi Hakkında Bilgi ve Tutumlarının Değerlendirilmesi”"/>
    <m/>
    <m/>
    <m/>
    <m/>
    <m/>
    <m/>
    <m/>
    <m/>
    <m/>
    <m/>
  </r>
  <r>
    <m/>
    <m/>
    <x v="153"/>
    <x v="56"/>
    <m/>
    <s v="“Hastalarda Var Olan Uyku Bozukluklarının Diş Çekimi Sonrası Rahatsızlıklara Olan Etkisinin İncelenmesi”"/>
    <m/>
    <m/>
    <m/>
    <m/>
    <m/>
    <m/>
    <m/>
    <m/>
    <m/>
    <m/>
  </r>
  <r>
    <m/>
    <m/>
    <x v="153"/>
    <x v="56"/>
    <m/>
    <s v="“Ağız, Diş ve Çene Cerrahisi Alanında Yapay Zekâ Destekli Teknolojilere Yönelik Hasta İlgi ve Bilgi Seviyesi: Anket Çalışması”"/>
    <m/>
    <m/>
    <m/>
    <m/>
    <m/>
    <m/>
    <m/>
    <m/>
    <m/>
    <m/>
  </r>
  <r>
    <m/>
    <m/>
    <x v="153"/>
    <x v="56"/>
    <m/>
    <s v="“Demiryolu ile İlişkili Ölümlerin Değerlendirilmesi: Bölgesel Bir Otopsi Çalışması”"/>
    <m/>
    <m/>
    <m/>
    <m/>
    <m/>
    <m/>
    <m/>
    <m/>
    <m/>
    <m/>
  </r>
  <r>
    <m/>
    <m/>
    <x v="153"/>
    <x v="56"/>
    <m/>
    <s v="“Ankara Bölgesinde 2014-2023 Yılları Arasında Otopsisi Yapılmış Elektrik Akımına Bağlı Ölüm Olgularının Değerlendirilmesi”"/>
    <m/>
    <m/>
    <m/>
    <m/>
    <m/>
    <m/>
    <m/>
    <m/>
    <m/>
    <m/>
  </r>
  <r>
    <m/>
    <m/>
    <x v="153"/>
    <x v="56"/>
    <m/>
    <s v="“Ankara Bölgesinde Otopsisi Yapılmış İkili Ölüm Olgularının Değerlendirilmesi”"/>
    <m/>
    <m/>
    <m/>
    <m/>
    <m/>
    <m/>
    <m/>
    <m/>
    <m/>
    <m/>
  </r>
  <r>
    <m/>
    <m/>
    <x v="153"/>
    <x v="56"/>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53"/>
    <x v="56"/>
    <m/>
    <s v="“Teikoplanin Terapötik İlaç Düzey İzlemi: Tek Merkezli Retrospektif Analiz”"/>
    <m/>
    <m/>
    <m/>
    <m/>
    <m/>
    <m/>
    <m/>
    <m/>
    <m/>
    <m/>
  </r>
  <r>
    <m/>
    <m/>
    <x v="153"/>
    <x v="56"/>
    <m/>
    <s v="“Uzun Süren Nötropeniye Bağlı Ciddi Enfeksiyon Olan Hastalarda Granülosit Transfüzyonu Tedavisinin Değerlendirilmesi”"/>
    <m/>
    <m/>
    <m/>
    <m/>
    <m/>
    <m/>
    <m/>
    <m/>
    <m/>
    <m/>
  </r>
  <r>
    <m/>
    <m/>
    <x v="153"/>
    <x v="56"/>
    <m/>
    <s v="“Yetişkin Hemofili A ve B Hastaları ile Aile Üyesi Bakım Verenlerde Yaşam Kalitesi ve Bakım Yükü”"/>
    <m/>
    <m/>
    <m/>
    <m/>
    <m/>
    <m/>
    <m/>
    <m/>
    <m/>
    <m/>
  </r>
  <r>
    <m/>
    <m/>
    <x v="153"/>
    <x v="56"/>
    <m/>
    <s v="“Orak Hücreli Anemi Hastalarının Kanama ve Tromboz Sıklıkları ile Klinik Özelliklerinin ve Tedavi Yöntemlerinin İncelenmesi”"/>
    <m/>
    <m/>
    <m/>
    <m/>
    <m/>
    <m/>
    <m/>
    <m/>
    <m/>
    <m/>
  </r>
  <r>
    <m/>
    <m/>
    <x v="153"/>
    <x v="56"/>
    <m/>
    <s v="“Mitokondriyal Hastalıklarda Mitokondri Fonksiyon Bozukluğunun Çoklu-Omik Platformları ile Değerlendirilmesi ve Girişimsel Olmayan Yeni Tanı ve İzlem Yöntemlerinin Geliştirilmesi”"/>
    <m/>
    <m/>
    <m/>
    <m/>
    <m/>
    <m/>
    <m/>
    <m/>
    <m/>
    <m/>
  </r>
  <r>
    <m/>
    <m/>
    <x v="153"/>
    <x v="56"/>
    <m/>
    <s v="“Mekanik Aort ve Mitral Kapak Protezi Bulunan Hastalarda Ventriküler Taşikardi Ablasyonunda Sol Ventriküle Transapikal ve Trans-Sağ Atriyal Erişimin Etkinliği ve Sonuçları”"/>
    <m/>
    <m/>
    <m/>
    <m/>
    <m/>
    <m/>
    <m/>
    <m/>
    <m/>
    <m/>
  </r>
  <r>
    <m/>
    <m/>
    <x v="153"/>
    <x v="56"/>
    <m/>
    <s v="“Subkortikal Bant Heterotopisi: Klinik Özellikler ve Epilepsi Yükü”"/>
    <m/>
    <m/>
    <m/>
    <m/>
    <m/>
    <m/>
    <m/>
    <m/>
    <m/>
    <m/>
  </r>
  <r>
    <m/>
    <m/>
    <x v="153"/>
    <x v="56"/>
    <m/>
    <s v="“Standart AP ve Lateral Diz Grafilerinin Değerlendirilmesi ve Radyolojik Ölçümlerin Yapay Zeka ile Analizi”"/>
    <m/>
    <m/>
    <m/>
    <m/>
    <m/>
    <m/>
    <m/>
    <m/>
    <m/>
    <m/>
  </r>
  <r>
    <m/>
    <m/>
    <x v="153"/>
    <x v="56"/>
    <m/>
    <s v="“6 Şubat 2023 Depremzedelerinde Uzun Dönemdeki Ruhsal Sorunları Belirleyen Faktörler: Bölge Dışına Göçün Etkileri”"/>
    <m/>
    <m/>
    <m/>
    <m/>
    <m/>
    <m/>
    <m/>
    <m/>
    <m/>
    <m/>
  </r>
  <r>
    <m/>
    <m/>
    <x v="153"/>
    <x v="56"/>
    <m/>
    <s v="“Akromegali Hastalarında Serebral Küçük Damar Hastalığı ve Vasküler Kognitif Bozuklukların Değerlendirilmesi”"/>
    <m/>
    <m/>
    <m/>
    <m/>
    <m/>
    <m/>
    <m/>
    <m/>
    <m/>
    <m/>
  </r>
  <r>
    <m/>
    <m/>
    <x v="153"/>
    <x v="56"/>
    <m/>
    <s v="“Omuz Yaralanması Geçiren Sporcularda Spora Dönüş Evrelerinde Psikolojik Hazıroluşluğun İncelenmesi: Boylamsal Karma Desen Çalışması”"/>
    <m/>
    <m/>
    <m/>
    <m/>
    <m/>
    <m/>
    <m/>
    <m/>
    <m/>
    <m/>
  </r>
  <r>
    <m/>
    <m/>
    <x v="153"/>
    <x v="56"/>
    <m/>
    <s v="“Diyabet Dışı Kronik Böbrek Hastalığında Sodyum-Glukoz Kotransporter 2 İnhibitörünün Proteinüri Üzerine Etkisi”"/>
    <m/>
    <m/>
    <m/>
    <m/>
    <m/>
    <m/>
    <m/>
    <m/>
    <m/>
    <m/>
  </r>
  <r>
    <m/>
    <m/>
    <x v="153"/>
    <x v="56"/>
    <m/>
    <s v="“Gordon Sendromu Tanılı Bir Çocukta Saptanan Yeni WNK1 Varyantının Aile İçi Hastalıkla Segregasyonunun Araştırılması”"/>
    <m/>
    <m/>
    <m/>
    <m/>
    <m/>
    <m/>
    <m/>
    <m/>
    <m/>
    <m/>
  </r>
  <r>
    <m/>
    <m/>
    <x v="153"/>
    <x v="56"/>
    <m/>
    <s v="“Malignite Nedeniyle Yapılan Gastrointestinal Sistem Cerrahisi Sonrası Görülen İntraabdominal Kanamaların Tedavisinde Cerrahi ve Vasküler Girişimsel Radyolojik Yöntem Sonuçlarının Karşılaştırılması”"/>
    <m/>
    <m/>
    <m/>
    <m/>
    <m/>
    <m/>
    <m/>
    <m/>
    <m/>
    <m/>
  </r>
  <r>
    <m/>
    <m/>
    <x v="153"/>
    <x v="56"/>
    <m/>
    <s v="“Konjenital Hipotiroidi İçin Ulusal Ölçekli Yenidoğan Tarama Testi Sonucuyla Çocuk Endokrinoloji Bölümüne Yönlendirilen Olguların Klinik, Laboratuvar, Radyolojik Özelliklerinin İncelenmesi”"/>
    <m/>
    <m/>
    <m/>
    <m/>
    <m/>
    <m/>
    <m/>
    <m/>
    <m/>
    <m/>
  </r>
  <r>
    <m/>
    <m/>
    <x v="153"/>
    <x v="56"/>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53"/>
    <x v="56"/>
    <m/>
    <s v="“Manyetik Rezonans Görüntüleme ile Serebellum, Beyin Sapı, Bazal Gangliyon ve Talamusta Saptanan Insidentalomaların Görüntüleme Bulguları”"/>
    <m/>
    <m/>
    <m/>
    <m/>
    <m/>
    <m/>
    <m/>
    <m/>
    <m/>
    <m/>
  </r>
  <r>
    <m/>
    <m/>
    <x v="153"/>
    <x v="56"/>
    <m/>
    <s v="&quot;Alt Premolar Dişlere Ait Gubernakular Kanalın Konik Işınlı Bilgisayarlı Tomografi Görüntülerinde İncelenmesi&quot;"/>
    <m/>
    <m/>
    <m/>
    <m/>
    <m/>
    <m/>
    <m/>
    <m/>
    <m/>
    <m/>
  </r>
  <r>
    <m/>
    <m/>
    <x v="153"/>
    <x v="56"/>
    <m/>
    <s v="“PIK3CG Eksikliğinin Doğal ve Kazanılmış Bağışıklık Sistemi Üzerindeki Etkilerinin Araştırılması”"/>
    <m/>
    <m/>
    <m/>
    <m/>
    <m/>
    <m/>
    <m/>
    <m/>
    <m/>
    <m/>
  </r>
  <r>
    <m/>
    <m/>
    <x v="153"/>
    <x v="56"/>
    <m/>
    <s v="“GPT-4 ile Patoloji Raporlarında Veri Analizi”"/>
    <m/>
    <m/>
    <m/>
    <m/>
    <m/>
    <m/>
    <m/>
    <m/>
    <m/>
    <m/>
  </r>
  <r>
    <m/>
    <m/>
    <x v="153"/>
    <x v="56"/>
    <m/>
    <s v="“Geçirilmiş Oral Cerrahi İşlemlerin Hastaların Dental Anksiyete ve Ağrı Üzerine Etkisinin Değerlendirilmesi”"/>
    <m/>
    <m/>
    <m/>
    <m/>
    <m/>
    <m/>
    <m/>
    <m/>
    <m/>
    <m/>
  </r>
  <r>
    <m/>
    <m/>
    <x v="153"/>
    <x v="56"/>
    <m/>
    <s v="“Temporomandibular Eklem Bozukluklarında Çene Fonksiyon Kısıtlanmasının ve Yaşam Kalitesinin Değerlendirilmesi”"/>
    <m/>
    <m/>
    <m/>
    <m/>
    <m/>
    <m/>
    <m/>
    <m/>
    <m/>
    <m/>
  </r>
  <r>
    <m/>
    <m/>
    <x v="153"/>
    <x v="56"/>
    <m/>
    <s v="“Endometrium Adenokarsinom Hastalarında Retrospektif Yetersiz ve Negatif Biyopsilerinin Klinikopatolojik Açıdan Değerlendirilmesi”"/>
    <m/>
    <m/>
    <m/>
    <m/>
    <m/>
    <m/>
    <m/>
    <m/>
    <m/>
    <m/>
  </r>
  <r>
    <m/>
    <m/>
    <x v="153"/>
    <x v="56"/>
    <m/>
    <s v="“Çocuk Kalp Cerrahisi Uygulanan Hastalarda Postoperatif İntraabdominal Hipertansiyonun Cerrahi Sonuçlara Etkisinin İncelenmesi”"/>
    <m/>
    <m/>
    <m/>
    <m/>
    <m/>
    <m/>
    <m/>
    <m/>
    <m/>
    <m/>
  </r>
  <r>
    <m/>
    <m/>
    <x v="153"/>
    <x v="56"/>
    <m/>
    <s v="“Aort Kapak Protezi olan Hastalarda Transtorasik Ekokardiyografik ve İnvaziv Ölçümlerle Transvalvüler Aort Gradientlerinin Karşılaştırılması”"/>
    <m/>
    <m/>
    <m/>
    <m/>
    <m/>
    <m/>
    <m/>
    <m/>
    <m/>
    <m/>
  </r>
  <r>
    <m/>
    <m/>
    <x v="153"/>
    <x v="56"/>
    <m/>
    <s v="“Body Roundness Index ve Body Shape Index'in Sarkopenik Obezite ile Yaşayanlarda Geriatrik Sendromlar ve Kognitif Fonksiyonlarla İlişkisi"/>
    <m/>
    <m/>
    <m/>
    <m/>
    <m/>
    <m/>
    <m/>
    <m/>
    <m/>
    <m/>
  </r>
  <r>
    <m/>
    <m/>
    <x v="153"/>
    <x v="56"/>
    <m/>
    <s v="“Primer Dismenoreden Etkilenme Düzeyine Göre Başvurulan Tamamlayıcı ve Alternatif Tedavi Yöntemlerinin Değerlendirilmesi”"/>
    <m/>
    <m/>
    <m/>
    <m/>
    <m/>
    <m/>
    <m/>
    <m/>
    <m/>
    <m/>
  </r>
  <r>
    <m/>
    <m/>
    <x v="153"/>
    <x v="56"/>
    <m/>
    <s v="“Kullanılmayan İlaçların İadesi ve İmhası Anketinin Türkçe Geçerlik ve Güvenirlik Çalışması"/>
    <m/>
    <m/>
    <m/>
    <m/>
    <m/>
    <m/>
    <m/>
    <m/>
    <m/>
    <m/>
  </r>
  <r>
    <m/>
    <m/>
    <x v="153"/>
    <x v="56"/>
    <m/>
    <s v="“Nörofibromatozis Tip 1 Hastalarının Beyin Manyetik Rezonans Görüntüleme Bulgularının Retrospektif Degerlendirilmesi”"/>
    <m/>
    <m/>
    <m/>
    <m/>
    <m/>
    <m/>
    <m/>
    <m/>
    <m/>
    <m/>
  </r>
  <r>
    <m/>
    <m/>
    <x v="153"/>
    <x v="56"/>
    <m/>
    <s v="“Kalıtsal Metabolik Hastalıklar ile ROS-Aracılı Hücresel Stres Arasındaki İlişkinin Metabolizma Açısından Değerlendirilmesi”"/>
    <m/>
    <m/>
    <m/>
    <m/>
    <m/>
    <m/>
    <m/>
    <m/>
    <m/>
    <m/>
  </r>
  <r>
    <m/>
    <m/>
    <x v="153"/>
    <x v="56"/>
    <m/>
    <s v="“İmmün Trombositopeni Hastalarında Splenektomi ile Alternatif Tedaviler Arasında Tedavi Etkinliği ve Trombositk Olay Sıklığının Karşılaştırılması”"/>
    <m/>
    <m/>
    <m/>
    <m/>
    <m/>
    <m/>
    <m/>
    <m/>
    <m/>
    <m/>
  </r>
  <r>
    <m/>
    <m/>
    <x v="153"/>
    <x v="56"/>
    <m/>
    <s v="“İnflamatuar Bağırsak Hastalığında Sarkopeni Değerlendirmesinde Optimal Yönteminin Belirlenmesi ve Nütrisyonel Değerlendirme”"/>
    <m/>
    <m/>
    <m/>
    <m/>
    <m/>
    <m/>
    <m/>
    <m/>
    <m/>
    <m/>
  </r>
  <r>
    <m/>
    <m/>
    <x v="153"/>
    <x v="56"/>
    <m/>
    <s v="“Hipertrofik Kardiyomiyopati Hastalarında Ventriküler Taşikardi Ablasyonunun Etkinliği ve Sonuçları”"/>
    <m/>
    <m/>
    <m/>
    <m/>
    <m/>
    <m/>
    <m/>
    <m/>
    <m/>
    <m/>
  </r>
  <r>
    <m/>
    <m/>
    <x v="153"/>
    <x v="56"/>
    <m/>
    <s v="“Statin Tedavisi Altındaki Pediatrik Hiperlipidemi Hastalarında Glikolizasyon Profili Karşılaştırması”"/>
    <m/>
    <m/>
    <m/>
    <m/>
    <m/>
    <m/>
    <m/>
    <m/>
    <m/>
    <m/>
  </r>
  <r>
    <m/>
    <m/>
    <x v="153"/>
    <x v="56"/>
    <m/>
    <s v="“Gecikmiş Kord Klemplenmesinin Erken Dönem Yenidoğan Komplikasyonları Üzerine Etkisinin Değerlendirilmesi”"/>
    <m/>
    <m/>
    <m/>
    <m/>
    <m/>
    <m/>
    <m/>
    <m/>
    <m/>
    <m/>
  </r>
  <r>
    <m/>
    <m/>
    <x v="153"/>
    <x v="56"/>
    <m/>
    <s v="“Tirozinemi Tip 1 Tanılı Pediatrik Yaş Grubu Hastalarda Metabolomik Profilin Hastalığın Klinik ve Laboratuvar Bulguları ve Tedavisi ile İlişkisinin Değerlendirilmesi”"/>
    <m/>
    <m/>
    <m/>
    <m/>
    <m/>
    <m/>
    <m/>
    <m/>
    <m/>
    <m/>
  </r>
  <r>
    <m/>
    <m/>
    <x v="153"/>
    <x v="56"/>
    <m/>
    <s v="“Amyotrofik Lateral Skleroz Hastalarının MRG ile Degerlendirilmesi”"/>
    <m/>
    <m/>
    <m/>
    <m/>
    <m/>
    <m/>
    <m/>
    <m/>
    <m/>
    <m/>
  </r>
  <r>
    <m/>
    <m/>
    <x v="153"/>
    <x v="56"/>
    <m/>
    <s v="“Benign Paroksizimal Pozisyonel Vertigo Hastalarında Klinik Tecrübemiz”"/>
    <m/>
    <m/>
    <m/>
    <m/>
    <m/>
    <m/>
    <m/>
    <m/>
    <m/>
    <m/>
  </r>
  <r>
    <m/>
    <m/>
    <x v="153"/>
    <x v="56"/>
    <m/>
    <s v="“Acil Servise Başvuran Febril Nötropeni Hastalarında MASCC Skorlaması ile Yapılan Hasta Yönetiminin FRAİL Kırılganlık İndeksi Skorları ile Karşılaştırılması ve Değerlendirilmesi: Gözlemsel Çalışma”"/>
    <m/>
    <m/>
    <m/>
    <m/>
    <m/>
    <m/>
    <m/>
    <m/>
    <m/>
    <m/>
  </r>
  <r>
    <m/>
    <m/>
    <x v="153"/>
    <x v="56"/>
    <m/>
    <s v="“Erişkin Hastalarda Glenoid Versiyonlarının ve Morfolojilerinin Bilgisayarlı Tomografi (BT) ile Değerlendirilmesi”"/>
    <m/>
    <m/>
    <m/>
    <m/>
    <m/>
    <m/>
    <m/>
    <m/>
    <m/>
    <m/>
  </r>
  <r>
    <m/>
    <m/>
    <x v="153"/>
    <x v="56"/>
    <m/>
    <s v="“Dirsek Lateral Epikondilit Tanılı Hastalarda Uyku Kalitesinin Değerlendirilmesi”"/>
    <m/>
    <m/>
    <m/>
    <m/>
    <m/>
    <m/>
    <m/>
    <m/>
    <m/>
    <m/>
  </r>
  <r>
    <m/>
    <m/>
    <x v="153"/>
    <x v="56"/>
    <m/>
    <s v="“Ulusal Kistik Fibrozis Hasta Kayıt Sisteminde Kayıtlı Hastalarda Kistik Fibrozis İlişkili Karaciğer Hastalığının Bağımsız Belirleyicilerinin Saptanması”"/>
    <m/>
    <m/>
    <m/>
    <m/>
    <m/>
    <m/>
    <m/>
    <m/>
    <m/>
    <m/>
  </r>
  <r>
    <m/>
    <m/>
    <x v="153"/>
    <x v="56"/>
    <m/>
    <s v="“Yoğun Bakım Ünitelerinde Endotrakeal Tüp İlişkili Oral Mukoz Membran Basınç Yaralanması: Tek Merkezde Boylamsal Bir Nokta Prevalans Çalışması”"/>
    <m/>
    <m/>
    <m/>
    <m/>
    <m/>
    <m/>
    <m/>
    <m/>
    <m/>
    <m/>
  </r>
  <r>
    <m/>
    <m/>
    <x v="153"/>
    <x v="56"/>
    <m/>
    <s v="“HPV Aşısının Sosyal Medyadaki İnfodemisi: Nitel Çalışma”"/>
    <m/>
    <m/>
    <m/>
    <m/>
    <m/>
    <m/>
    <m/>
    <m/>
    <m/>
    <m/>
  </r>
  <r>
    <m/>
    <m/>
    <x v="153"/>
    <x v="56"/>
    <m/>
    <s v="“X, Y ve Z Kuşağında Beslenme Alışkanlıklarındaki Farklılıkların Araştırılması”"/>
    <m/>
    <m/>
    <m/>
    <m/>
    <m/>
    <m/>
    <m/>
    <m/>
    <m/>
    <m/>
  </r>
  <r>
    <m/>
    <m/>
    <x v="153"/>
    <x v="56"/>
    <m/>
    <s v="“Ameliyathane Dışı İrreversible Elektroporasyon Uygulanan Onkolojik Hastalarda Anestezi Yönetimi ve Komplikasyonların İncelenmesi: Retrospektif Gözlemsel Çalışma”"/>
    <m/>
    <m/>
    <m/>
    <m/>
    <m/>
    <m/>
    <m/>
    <m/>
    <m/>
    <m/>
  </r>
  <r>
    <m/>
    <m/>
    <x v="153"/>
    <x v="56"/>
    <m/>
    <s v="“Kalça Artroplastisinde Constrained Asetabular İnsertlerin Uzun Dönem Sonuçları”"/>
    <m/>
    <m/>
    <m/>
    <m/>
    <m/>
    <m/>
    <m/>
    <m/>
    <m/>
    <m/>
  </r>
  <r>
    <m/>
    <m/>
    <x v="153"/>
    <x v="56"/>
    <m/>
    <s v="“Tıp Fakültesi Öğrencileri İçin Geliştirilen Bir Elektronik Performans Destek Sisteminin Akademik Başarı ve Performansa Etkisi”"/>
    <m/>
    <m/>
    <m/>
    <m/>
    <m/>
    <m/>
    <m/>
    <m/>
    <m/>
    <m/>
  </r>
  <r>
    <m/>
    <m/>
    <x v="153"/>
    <x v="56"/>
    <m/>
    <s v="“Mikozis Fungoides, Psöriasis ve Atopik Dermatit Hastalarında Dermoskopik Bulguların İncelenmesi”"/>
    <m/>
    <m/>
    <m/>
    <m/>
    <m/>
    <m/>
    <m/>
    <m/>
    <m/>
    <m/>
  </r>
  <r>
    <m/>
    <m/>
    <x v="153"/>
    <x v="56"/>
    <m/>
    <s v="“Kistik Nötrofilik Granülomatöz Mastit ve İdiopatik Granülomatöz Mastitin Radyolojik Görüntüleme Bulgularının Klinik ve Patolojik Veriler Eşliğinde Karşılaştırılması”"/>
    <m/>
    <m/>
    <m/>
    <m/>
    <m/>
    <m/>
    <m/>
    <m/>
    <m/>
    <m/>
  </r>
  <r>
    <m/>
    <m/>
    <x v="153"/>
    <x v="56"/>
    <m/>
    <s v="“Baş Boyun Kanserli Olgularda European Organisation for Research and Treatment of Cancer (EORTC) H&amp;N43 Modülünün Türkçe Validasyonu, Kronoradyoterapinin Hayat Kalitesi ve Akut Toksisiteler Üzerine Etkisi”"/>
    <m/>
    <m/>
    <m/>
    <m/>
    <m/>
    <m/>
    <m/>
    <m/>
    <m/>
    <m/>
  </r>
  <r>
    <m/>
    <m/>
    <x v="153"/>
    <x v="56"/>
    <m/>
    <s v="“Tendon Transferi Uygulanan Hastalarda Etiyolojik Faktörlerin Retrospektif Analizi”"/>
    <m/>
    <m/>
    <m/>
    <m/>
    <m/>
    <m/>
    <m/>
    <m/>
    <m/>
    <m/>
  </r>
  <r>
    <m/>
    <m/>
    <x v="153"/>
    <x v="56"/>
    <m/>
    <s v="&quot;Nonsteroid Anti-İnflamatuar İlaçlar ile Alevlenen Hava Yolu Hastalığında Aspirin Kullanımının Kardiyovasküler Olaylar ve Kanama ile İlişkisini Değerlendirmek&quot;"/>
    <m/>
    <m/>
    <m/>
    <m/>
    <m/>
    <m/>
    <m/>
    <m/>
    <m/>
    <m/>
  </r>
  <r>
    <m/>
    <m/>
    <x v="153"/>
    <x v="56"/>
    <m/>
    <s v="&quot;Nonsteroidal Anti-İnflamatuar ilaçlarla Alevlenen Solunum Yolu Hastalığında (N-ERD) Biyolojik ve Aspirin Tedavilerinin Karşılaştırmalı Etkileri &quot;"/>
    <m/>
    <m/>
    <m/>
    <m/>
    <m/>
    <m/>
    <m/>
    <m/>
    <m/>
    <m/>
  </r>
  <r>
    <m/>
    <m/>
    <x v="153"/>
    <x v="56"/>
    <m/>
    <s v="“Proteinüri Nedeniyle Çocuk Nefrolojisi Bilim Dalı'nda Değerlendirilen Diabetes Mellitus Tanılı Çocuk Hastaların Retrospektif Değerlendirilmesi”"/>
    <m/>
    <m/>
    <m/>
    <m/>
    <m/>
    <m/>
    <m/>
    <m/>
    <m/>
    <m/>
  </r>
  <r>
    <m/>
    <m/>
    <x v="153"/>
    <x v="56"/>
    <m/>
    <s v="“Türk Erişkinlerde El Sıkma Kuvveti Referans Değerlerinin Belirlenmesi”"/>
    <m/>
    <m/>
    <m/>
    <m/>
    <m/>
    <m/>
    <m/>
    <m/>
    <m/>
    <m/>
  </r>
  <r>
    <m/>
    <m/>
    <x v="153"/>
    <x v="56"/>
    <m/>
    <s v="“Çocuk ve Adolesan Tüberküloz Vakalarında Göçün Etkisi”"/>
    <m/>
    <m/>
    <m/>
    <m/>
    <m/>
    <m/>
    <m/>
    <m/>
    <m/>
    <m/>
  </r>
  <r>
    <m/>
    <m/>
    <x v="153"/>
    <x v="56"/>
    <m/>
    <s v="“Erişkinlerin Aromaterapi Hakkında Bilgi, Tutum ve Davranışlarının Araştırılması: Kesitsel Çalışma”"/>
    <m/>
    <m/>
    <m/>
    <m/>
    <m/>
    <m/>
    <m/>
    <m/>
    <m/>
    <m/>
  </r>
  <r>
    <m/>
    <m/>
    <x v="153"/>
    <x v="56"/>
    <m/>
    <s v="“Nörofibromatosis Tip 1 Vakalarında Gebelik Öncesi Dönemden Çocukluk Dönemine Çevresel Etkilenimler”"/>
    <m/>
    <m/>
    <m/>
    <m/>
    <m/>
    <m/>
    <m/>
    <m/>
    <m/>
    <m/>
  </r>
  <r>
    <m/>
    <m/>
    <x v="153"/>
    <x v="56"/>
    <m/>
    <s v="“Sıfır Eko Zamanlı Manyetik Rezonans Görüntüleme ile Ölçülen Kritik Omuz Açısının Rotator Kılıf Anormallikleri ve Glenohumeral Osteoartrit ile İlişkisi”"/>
    <m/>
    <m/>
    <m/>
    <m/>
    <m/>
    <m/>
    <m/>
    <m/>
    <m/>
    <m/>
  </r>
  <r>
    <m/>
    <m/>
    <x v="153"/>
    <x v="56"/>
    <m/>
    <s v="“Küçük/Orta Damar Vaskülitli Hastaların Kutanöz Prezentasyonları: Dermoskopik ve Histopatolojik Benzerlik ve Farklılıkların İncelenmesi”"/>
    <m/>
    <m/>
    <m/>
    <m/>
    <m/>
    <m/>
    <m/>
    <m/>
    <m/>
    <m/>
  </r>
  <r>
    <m/>
    <m/>
    <x v="153"/>
    <x v="56"/>
    <m/>
    <s v="“Fonksiyonel Nöbet ve Epilepsi Hastalarında Faillik ve Sahiplik Hissi Parametrelerinin Değerlendirilmesi, Epilepsi Hastalarında Fonksiyonel Nöbet Gelişimini Yordayan Etmenlerin İncelenmesi”"/>
    <m/>
    <m/>
    <m/>
    <m/>
    <m/>
    <m/>
    <m/>
    <m/>
    <m/>
    <m/>
  </r>
  <r>
    <m/>
    <m/>
    <x v="153"/>
    <x v="56"/>
    <m/>
    <s v="“Yoğun Bakımda Takip Edilen Geriatrik Hasta Grubunun Klinik Özellikleri ve Klinik Skorların Yoğun Bakım Sonuçlarına Etkisi: Çok Merkezli Prospektif Çalışma”"/>
    <m/>
    <m/>
    <m/>
    <m/>
    <m/>
    <m/>
    <m/>
    <m/>
    <m/>
    <m/>
  </r>
  <r>
    <m/>
    <m/>
    <x v="153"/>
    <x v="56"/>
    <m/>
    <s v="&quot;Preterm Doğum Öyküsü Olan Çocukların Okula Hazır Bulunuşluklarının Değerlendirilmesi&quot;"/>
    <m/>
    <m/>
    <m/>
    <m/>
    <m/>
    <m/>
    <m/>
    <m/>
    <m/>
    <m/>
  </r>
  <r>
    <m/>
    <m/>
    <x v="153"/>
    <x v="56"/>
    <m/>
    <s v="“Hastaneye Yatan Ergenlerde Hastalıkların Siberkondri Üzerindeki Etkisi”"/>
    <m/>
    <m/>
    <m/>
    <m/>
    <m/>
    <m/>
    <m/>
    <m/>
    <m/>
    <m/>
  </r>
  <r>
    <m/>
    <m/>
    <x v="153"/>
    <x v="56"/>
    <m/>
    <s v="“Türkiye’de Aile Sağlığı Merkezlerinde Yapılan Okul Sağlık Taramalarına Yönelik Öğretmenlerin Farkındalık ve Tutumlarının Araştırılması: Nitel Çalışma”"/>
    <m/>
    <m/>
    <m/>
    <m/>
    <m/>
    <m/>
    <m/>
    <m/>
    <m/>
    <m/>
  </r>
  <r>
    <m/>
    <m/>
    <x v="153"/>
    <x v="56"/>
    <m/>
    <s v="“Bilgisayarlı Tomografi Anjiyografide Hepatik Arter Aterosklerozu Prevalansının Araştırılması”"/>
    <m/>
    <m/>
    <m/>
    <m/>
    <m/>
    <m/>
    <m/>
    <m/>
    <m/>
    <m/>
  </r>
  <r>
    <m/>
    <m/>
    <x v="153"/>
    <x v="56"/>
    <m/>
    <s v="“Farklı Diş Macunları ve Er,Cr:YSGG Lazerin Süt Dişi Remineralizasyonuna Etkisi”"/>
    <m/>
    <m/>
    <m/>
    <m/>
    <m/>
    <m/>
    <m/>
    <m/>
    <m/>
    <m/>
  </r>
  <r>
    <m/>
    <m/>
    <x v="153"/>
    <x v="56"/>
    <m/>
    <s v="“Biyoprostetik Kalp Kapağı İmplantasyonu Geçiren Hastalarda Trombo-profilaksi İçin Warfarin ile Non–Vitamin K Oral Antikoagülanların Karşılaştırılması”"/>
    <m/>
    <m/>
    <m/>
    <m/>
    <m/>
    <m/>
    <m/>
    <m/>
    <m/>
    <m/>
  </r>
  <r>
    <m/>
    <m/>
    <x v="153"/>
    <x v="56"/>
    <m/>
    <s v="“Farklı Miyeloid Neoplazilerde Tanı ve İzlemde İnflamasyon Parametreleri”"/>
    <m/>
    <m/>
    <m/>
    <m/>
    <m/>
    <m/>
    <m/>
    <m/>
    <m/>
    <m/>
  </r>
  <r>
    <m/>
    <m/>
    <x v="153"/>
    <x v="56"/>
    <m/>
    <s v="“Erken Evre Glottik Kanserlerde Radyoterapi Sonuçları ve Ön Komissür Tutulumunun Radyoterapi Tekniği ile İlişkisi”"/>
    <m/>
    <m/>
    <m/>
    <m/>
    <m/>
    <m/>
    <m/>
    <m/>
    <m/>
    <m/>
  </r>
  <r>
    <m/>
    <m/>
    <x v="153"/>
    <x v="56"/>
    <m/>
    <s v="&quot;IKZF1 Gen Varyantı Saptanan Primer İmmün Yetmezlik Hastalarının Demografik, Klinik ve Laboratuvar Özelliklerinin Değerlendirilmesi&quot;"/>
    <m/>
    <m/>
    <m/>
    <m/>
    <m/>
    <m/>
    <m/>
    <m/>
    <m/>
    <m/>
  </r>
  <r>
    <m/>
    <m/>
    <x v="153"/>
    <x v="56"/>
    <m/>
    <s v="“Kardiyopulmoner Bypass Sırasında Hemadsorbsiyon Uygulamasının Pediyatrik Hastaların Mortalite ve Morbiditesi Üzerine Etkileri”"/>
    <m/>
    <m/>
    <m/>
    <m/>
    <m/>
    <m/>
    <m/>
    <m/>
    <m/>
    <m/>
  </r>
  <r>
    <m/>
    <m/>
    <x v="153"/>
    <x v="56"/>
    <m/>
    <s v="“İleri Blefaropitoz Olgularında Yeni Bir Cerrahi Yaklaşım: Kontralateral Corrugatör Supercilii Kas Transpozisyonu ve Topografik-Mikroskopik Analizi”"/>
    <m/>
    <m/>
    <m/>
    <m/>
    <m/>
    <m/>
    <m/>
    <m/>
    <m/>
    <m/>
  </r>
  <r>
    <m/>
    <m/>
    <x v="153"/>
    <x v="56"/>
    <m/>
    <s v="“Kan Akımı Kısıtlanmasına Bağlı Aerobik Egzersizin Metabolik Değişiklikler Üzerindeki Etkisinin Çoklu Omiks Teknikler ile Belirlenmesi”"/>
    <m/>
    <m/>
    <m/>
    <m/>
    <m/>
    <m/>
    <m/>
    <m/>
    <m/>
    <m/>
  </r>
  <r>
    <m/>
    <m/>
    <x v="153"/>
    <x v="56"/>
    <m/>
    <s v="“Toplumda Tarama İçin Risk Aracının (RISC) Hospitalize Yaşlı Hastada Geçerlik ve Güvenirliğinin Değerlendirilmesi”"/>
    <m/>
    <m/>
    <m/>
    <m/>
    <m/>
    <m/>
    <m/>
    <m/>
    <m/>
    <m/>
  </r>
  <r>
    <m/>
    <m/>
    <x v="153"/>
    <x v="56"/>
    <m/>
    <s v="“Osteoporozu Olan Geriatrik Hastalarda Kırık Riskinin FI-Lab Skoru ve Kapsamlı Geriatrik Değerlendirme ile Değerlendirilmesi”"/>
    <m/>
    <m/>
    <m/>
    <m/>
    <m/>
    <m/>
    <m/>
    <m/>
    <m/>
    <m/>
  </r>
  <r>
    <m/>
    <m/>
    <x v="153"/>
    <x v="56"/>
    <m/>
    <s v="&quot;İşitsel Üçlü Sessiz Harf Sıralaması Testi’nin Hafif Bilişsel Bozukluk ve Alzheimer Hastalarında Psikometrik Özelliklerinin Belirlenmesi: Ayırtedicilik, Geçerlik ve Güvenirlik Çalışması”"/>
    <m/>
    <m/>
    <m/>
    <m/>
    <m/>
    <m/>
    <m/>
    <m/>
    <m/>
    <m/>
  </r>
  <r>
    <m/>
    <m/>
    <x v="153"/>
    <x v="56"/>
    <m/>
    <s v="“Çocuk Acil Servise İlaç İntoksikasyonu ile Başvuran ve Çocuk ve Ergen Ruh Sağlığı Tarafından Takip Edilen Bireylerin Geriye Dönük Değerlendirilmesi”"/>
    <m/>
    <m/>
    <m/>
    <m/>
    <m/>
    <m/>
    <m/>
    <m/>
    <m/>
    <m/>
  </r>
  <r>
    <m/>
    <m/>
    <x v="153"/>
    <x v="56"/>
    <m/>
    <s v="“Palyatif Bakım Hastalarına Bakım Verenlerin Deneyimlerinde Cinsiyet Rollerinin Etkilerinin İncelenmesi”"/>
    <m/>
    <m/>
    <m/>
    <m/>
    <m/>
    <m/>
    <m/>
    <m/>
    <m/>
    <m/>
  </r>
  <r>
    <m/>
    <m/>
    <x v="153"/>
    <x v="56"/>
    <m/>
    <s v="“Brakial Pleksus Doğum Paralizisi Olan Hastalarda Gövde ve Alt Ekstremite Dengesinin Değerlendirilmesi”"/>
    <m/>
    <m/>
    <m/>
    <m/>
    <m/>
    <m/>
    <m/>
    <m/>
    <m/>
    <m/>
  </r>
  <r>
    <m/>
    <m/>
    <x v="153"/>
    <x v="56"/>
    <m/>
    <s v="“Ergen ve Genç Yetişkinlerde Menstrüasyon Farkındalığı”"/>
    <m/>
    <m/>
    <m/>
    <m/>
    <m/>
    <m/>
    <m/>
    <m/>
    <m/>
    <m/>
  </r>
  <r>
    <m/>
    <m/>
    <x v="153"/>
    <x v="56"/>
    <m/>
    <s v="“Viral Solunum Yolu Enfeksiyonu Tanısı ile Takip Edilen Çocuk Hastaların Klinik Verilerinin Retrospektif Olarak İncelenmesi”"/>
    <m/>
    <m/>
    <m/>
    <m/>
    <m/>
    <m/>
    <m/>
    <m/>
    <m/>
    <m/>
  </r>
  <r>
    <m/>
    <m/>
    <x v="153"/>
    <x v="56"/>
    <m/>
    <s v="“Astım Tanılı Çocuklarda Çekirdek Aile ve Çekirdek Aile Dışı Akrabalarda Alerjik Hastalık Sıklığının Belirlenmesi&quot;"/>
    <m/>
    <m/>
    <m/>
    <m/>
    <m/>
    <m/>
    <m/>
    <m/>
    <m/>
    <m/>
  </r>
  <r>
    <m/>
    <m/>
    <x v="153"/>
    <x v="56"/>
    <m/>
    <s v="“Proksimal Tibia Rekonstrüksiyonu ile Tedavi Edilen Hastaların Klinik Sonuçları”"/>
    <m/>
    <m/>
    <m/>
    <m/>
    <m/>
    <m/>
    <m/>
    <m/>
    <m/>
    <m/>
  </r>
  <r>
    <m/>
    <m/>
    <x v="153"/>
    <x v="56"/>
    <m/>
    <s v="&quot;Diş Hekimliğinde Yapay Zeka Destekli Teşhis ve Tedavilere Güven: Hasta Perspektifinden Bir Analiz&quot;"/>
    <m/>
    <m/>
    <m/>
    <m/>
    <m/>
    <m/>
    <m/>
    <m/>
    <m/>
    <m/>
  </r>
  <r>
    <m/>
    <m/>
    <x v="153"/>
    <x v="56"/>
    <m/>
    <s v="&quot;Akut Poststreptokoksik Glomerulonefrit Tanılı Hastaların Retrospektif Olarak İncelenmesi&quot;"/>
    <m/>
    <m/>
    <m/>
    <m/>
    <m/>
    <m/>
    <m/>
    <m/>
    <m/>
    <m/>
  </r>
  <r>
    <m/>
    <m/>
    <x v="153"/>
    <x v="56"/>
    <m/>
    <s v="“İnsan Göbek Kordonu Temelli Yapay Timüs Organoidlerinin Geliştirilmesi ve Karakterize Edilmesi”"/>
    <m/>
    <m/>
    <m/>
    <m/>
    <m/>
    <m/>
    <m/>
    <m/>
    <m/>
    <m/>
  </r>
  <r>
    <m/>
    <m/>
    <x v="153"/>
    <x v="56"/>
    <m/>
    <s v="“Wilms Tümörü ve Nefrojenik Artıklardaki Moleküler Değişiklikler”"/>
    <m/>
    <m/>
    <m/>
    <m/>
    <m/>
    <m/>
    <m/>
    <m/>
    <m/>
    <m/>
  </r>
  <r>
    <m/>
    <m/>
    <x v="153"/>
    <x v="56"/>
    <m/>
    <s v="“Erişkin Popülasyonda Ayak Bileği Kırıklarının Deplasman ve Yumuşak Doku Hasarlarının ZTE sekanslı MRG ile Değerlendirilmesi ve BT ile Karşılaştırılması”"/>
    <m/>
    <m/>
    <m/>
    <m/>
    <m/>
    <m/>
    <m/>
    <m/>
    <m/>
    <m/>
  </r>
  <r>
    <m/>
    <m/>
    <x v="153"/>
    <x v="56"/>
    <m/>
    <s v="“Yeni Nesil Antikoagülan İlaçların İlaç Etkileşimleri Hakkında Farkındalık Düzeyinin Ölçülmesi”"/>
    <m/>
    <m/>
    <m/>
    <m/>
    <m/>
    <m/>
    <m/>
    <m/>
    <m/>
    <m/>
  </r>
  <r>
    <m/>
    <m/>
    <x v="153"/>
    <x v="56"/>
    <m/>
    <s v="“Dental Tedavi Sırasında veya Reçetelendirmede Gelişebilecek İlaç Etkileşimleri Hakkında Farkındalık Düzeyinin Ölçülmesi”"/>
    <m/>
    <m/>
    <m/>
    <m/>
    <m/>
    <m/>
    <m/>
    <m/>
    <m/>
    <m/>
  </r>
  <r>
    <m/>
    <m/>
    <x v="153"/>
    <x v="56"/>
    <m/>
    <s v="&quot;İmmünoterapi ile Tedavi Edilen Kanser Hastalarında Tedavi Öncesi Serbest T3/T4 Oranı ile Sağkalım İlişkisi”"/>
    <m/>
    <m/>
    <m/>
    <m/>
    <m/>
    <m/>
    <m/>
    <m/>
    <m/>
    <m/>
  </r>
  <r>
    <m/>
    <m/>
    <x v="153"/>
    <x v="56"/>
    <m/>
    <s v="“Rotasyon Profilli Bilgisayarlı Tomografi Kullanılarak Oluşturulan Parametreler ile Radyografide Proksimal Femur Rotasyonunun Değerlendirilmesi”"/>
    <m/>
    <m/>
    <m/>
    <m/>
    <m/>
    <m/>
    <m/>
    <m/>
    <m/>
    <m/>
  </r>
  <r>
    <m/>
    <m/>
    <x v="153"/>
    <x v="56"/>
    <m/>
    <s v="&quot;Vegan Beslenmenin Oral Mukoza Üzerindeki Sitolojik, Genotoksik ve Antioksidan Etkilerinin İncelenmesi”"/>
    <m/>
    <m/>
    <m/>
    <m/>
    <m/>
    <m/>
    <m/>
    <m/>
    <m/>
    <m/>
  </r>
  <r>
    <m/>
    <m/>
    <x v="153"/>
    <x v="56"/>
    <m/>
    <s v="&quot;Hospitalize Edilen Kanser Hastalarında Mortaliteye ve Hastanede Yeniden Yatışa Etki Eden Klinik Faktörlerin İncelenmesi&quot;"/>
    <m/>
    <m/>
    <m/>
    <m/>
    <m/>
    <m/>
    <m/>
    <m/>
    <m/>
    <m/>
  </r>
  <r>
    <m/>
    <m/>
    <x v="153"/>
    <x v="56"/>
    <m/>
    <s v="&quot;BRCA Mutant Meme ve Over Kanseri Hastaların Birinci Derece Erkek ve Kadın Yakınlarında Genetik Test Oranlarının ve Sonuçlarının Değerlendirilmesi&quot;"/>
    <m/>
    <m/>
    <m/>
    <m/>
    <m/>
    <m/>
    <m/>
    <m/>
    <m/>
    <m/>
  </r>
  <r>
    <m/>
    <m/>
    <x v="153"/>
    <x v="56"/>
    <m/>
    <s v="“Çocuklarda Doğal İmmünite Kaynaklı Santral Sinir Sistemi İnflamasyonunda Beyin Büyümesini ve Sağlığını Haritalama”"/>
    <m/>
    <m/>
    <m/>
    <m/>
    <m/>
    <m/>
    <m/>
    <m/>
    <m/>
    <m/>
  </r>
  <r>
    <m/>
    <m/>
    <x v="153"/>
    <x v="56"/>
    <m/>
    <s v="“Geriatrik Sendromlarla C Reaktif-Albumin-Lenfosit İndeksinin İlişkisinin İncelenmesi”"/>
    <m/>
    <m/>
    <m/>
    <m/>
    <m/>
    <m/>
    <m/>
    <m/>
    <m/>
    <m/>
  </r>
  <r>
    <m/>
    <m/>
    <x v="153"/>
    <x v="56"/>
    <m/>
    <s v="&quot;Kristal Artropatilerde Klinik ve Radyolojik Değerlendirmenin İncelenmesi&quot;"/>
    <m/>
    <m/>
    <m/>
    <m/>
    <m/>
    <m/>
    <m/>
    <m/>
    <m/>
    <m/>
  </r>
  <r>
    <m/>
    <m/>
    <x v="153"/>
    <x v="56"/>
    <m/>
    <s v="&quot;Bakteriyel Enfeksiyon Tanısı ile Yatarak Tedavi Olan Çocuk Hastaların Verilerinin Retrospektif Olarak İncelenmesi&quot;"/>
    <m/>
    <m/>
    <m/>
    <m/>
    <m/>
    <m/>
    <m/>
    <m/>
    <m/>
    <m/>
  </r>
  <r>
    <m/>
    <m/>
    <x v="153"/>
    <x v="56"/>
    <m/>
    <s v="“Genç Yetişkin Erkeklerde Cinsiyet Rolü Gerilimi ve Problemli Kumar Oynama”"/>
    <m/>
    <m/>
    <m/>
    <m/>
    <m/>
    <m/>
    <m/>
    <m/>
    <m/>
    <m/>
  </r>
  <r>
    <m/>
    <m/>
    <x v="153"/>
    <x v="56"/>
    <m/>
    <s v="“Koroner Arter Hastalığı Tanılı Geriatrik Hastalarda Elektif Perkütan Koroner Girişiminin Geriatrik Sendromlarla İlişkisi”"/>
    <m/>
    <m/>
    <m/>
    <m/>
    <m/>
    <m/>
    <m/>
    <m/>
    <m/>
    <m/>
  </r>
  <r>
    <m/>
    <m/>
    <x v="153"/>
    <x v="56"/>
    <m/>
    <s v="“Rinoplasti Ameliyatlarında Piezoelektrik Yardımlı Osteotomi ve Konvansiyonel Osteotomilerin Periorbital Ödem ve Ekimoz Üzerine Etkisi”"/>
    <m/>
    <m/>
    <m/>
    <m/>
    <m/>
    <m/>
    <m/>
    <m/>
    <m/>
    <m/>
  </r>
  <r>
    <m/>
    <m/>
    <x v="153"/>
    <x v="56"/>
    <m/>
    <s v="“Yeme Bozukluğu Olan Ergenlerde Ebeveyn-Ergen Sınırlarının İncelenmesi”"/>
    <m/>
    <m/>
    <m/>
    <m/>
    <m/>
    <m/>
    <m/>
    <m/>
    <m/>
    <m/>
  </r>
  <r>
    <m/>
    <m/>
    <x v="153"/>
    <x v="56"/>
    <m/>
    <s v="“Ciddi Pnömokokkal Enfeksiyon Geçiren Hastaların Retrospektif Olarak İmmün Yetmezlik Açısından Değerlendirilmesi”"/>
    <m/>
    <m/>
    <m/>
    <m/>
    <m/>
    <m/>
    <m/>
    <m/>
    <m/>
    <m/>
  </r>
  <r>
    <m/>
    <m/>
    <x v="153"/>
    <x v="56"/>
    <m/>
    <s v="“Borderline Kişilik Özellikleri ve Çocuklukta Onaylamayan Çevre Arasındaki İlişki: Bir Model Testi”"/>
    <m/>
    <m/>
    <m/>
    <m/>
    <m/>
    <m/>
    <m/>
    <m/>
    <m/>
    <m/>
  </r>
  <r>
    <m/>
    <m/>
    <x v="153"/>
    <x v="56"/>
    <m/>
    <s v="“Serbest Dişeti Grefti Alınan Lateral Damak Bölgesine Farklı Ajanlar Uygulanarak Yara İyileşmesinin Karşılaştırılması”"/>
    <m/>
    <m/>
    <m/>
    <m/>
    <m/>
    <m/>
    <m/>
    <m/>
    <m/>
    <m/>
  </r>
  <r>
    <m/>
    <m/>
    <x v="153"/>
    <x v="56"/>
    <m/>
    <s v="“Heterozigot FMF Hastalarının Tedavi Kesildikten Sonraki İzleminin Değerlendirilmesi”"/>
    <m/>
    <m/>
    <m/>
    <m/>
    <m/>
    <m/>
    <m/>
    <m/>
    <m/>
    <m/>
  </r>
  <r>
    <m/>
    <m/>
    <x v="153"/>
    <x v="56"/>
    <m/>
    <s v="“PFAPA Tanılı Hastalarda Kullanılan Tedavilerin Retrospektif Olarak Değerlendirilmesi”"/>
    <m/>
    <m/>
    <m/>
    <m/>
    <m/>
    <m/>
    <m/>
    <m/>
    <m/>
    <m/>
  </r>
  <r>
    <m/>
    <m/>
    <x v="153"/>
    <x v="56"/>
    <m/>
    <s v="“Geriatrik Popülasyonda Prurigo Nodülaris Hastalarında Etyolojik Faktörlerin Araştırılması”"/>
    <m/>
    <m/>
    <m/>
    <m/>
    <m/>
    <m/>
    <m/>
    <m/>
    <m/>
    <m/>
  </r>
  <r>
    <m/>
    <m/>
    <x v="153"/>
    <x v="56"/>
    <m/>
    <s v="“İntravitreal Enjeksiyon Yapılan Yaşa Bağlı Makula Dejenerasyonuna Sahip Olan Hastalarda Non Kontakt Speküler Konfokal Mikroskopi İle Korneal Parametrelerin Değerlendirilmesi”"/>
    <m/>
    <m/>
    <m/>
    <m/>
    <m/>
    <m/>
    <m/>
    <m/>
    <m/>
    <m/>
  </r>
  <r>
    <m/>
    <m/>
    <x v="153"/>
    <x v="56"/>
    <m/>
    <s v="“Çocuklarda Post Enfeksiyöz Bronşiolitis Obliterans Gelişmesinin Genetik Temellerinin Belirlenmesi”"/>
    <m/>
    <m/>
    <m/>
    <m/>
    <m/>
    <m/>
    <m/>
    <m/>
    <m/>
    <m/>
  </r>
  <r>
    <m/>
    <m/>
    <x v="153"/>
    <x v="56"/>
    <m/>
    <s v="“Kemoterapötik İlaç Hazırlayan ve Uygulayan Hemşirelerde Olası Toksik Etkilerin Değerlendirilmesi”"/>
    <m/>
    <m/>
    <m/>
    <m/>
    <m/>
    <m/>
    <m/>
    <m/>
    <m/>
    <m/>
  </r>
  <r>
    <m/>
    <m/>
    <x v="153"/>
    <x v="56"/>
    <m/>
    <s v="“Metastatik Kolorektal Adenokarsinomunda Karaciğer Metastazektomisi Sonrası Adjuvan Tedavilerin Etkinliğinin Değerlendirilmesi”"/>
    <m/>
    <m/>
    <m/>
    <m/>
    <m/>
    <m/>
    <m/>
    <m/>
    <m/>
    <m/>
  </r>
  <r>
    <m/>
    <m/>
    <x v="153"/>
    <x v="56"/>
    <m/>
    <s v="&quot;Çocukluk Çağı Aşılarına Karşı Antikor Düzeylerinin Değerlendirilmesi&quot;"/>
    <m/>
    <m/>
    <m/>
    <m/>
    <m/>
    <m/>
    <m/>
    <m/>
    <m/>
    <m/>
  </r>
  <r>
    <m/>
    <m/>
    <x v="153"/>
    <x v="56"/>
    <m/>
    <s v="“Pediatrik Ampiyemde Streptococcus Pneumoniae’nin Rolü: Tanıdaki Gelişmeler ve Epidemiyolojik Bulgular”"/>
    <m/>
    <m/>
    <m/>
    <m/>
    <m/>
    <m/>
    <m/>
    <m/>
    <m/>
    <m/>
  </r>
  <r>
    <m/>
    <m/>
    <x v="153"/>
    <x v="56"/>
    <m/>
    <s v="“Superior Mezenter Arter Sendromu Tedavisinde Beslenme Desteği ve Sonuçları”"/>
    <m/>
    <m/>
    <m/>
    <m/>
    <m/>
    <m/>
    <m/>
    <m/>
    <m/>
    <m/>
  </r>
  <r>
    <m/>
    <m/>
    <x v="153"/>
    <x v="56"/>
    <m/>
    <s v="“Eozinofilik Özofajit Gelişen Özofagus Atrezili Olgularda Oral Mikrobiyom ve Metabolomik Profillerinin İncelenmesi”"/>
    <m/>
    <m/>
    <m/>
    <m/>
    <m/>
    <m/>
    <m/>
    <m/>
    <m/>
    <m/>
  </r>
  <r>
    <m/>
    <m/>
    <x v="153"/>
    <x v="56"/>
    <m/>
    <s v="“Septal Perforasyon Onarımı Sonrası Mukosiliyer Klirens değerlendirilmesi: Rinosintigrafi ve Sakkarin Testi ile Karşılaştırmalı Analiz”"/>
    <m/>
    <m/>
    <m/>
    <m/>
    <m/>
    <m/>
    <m/>
    <m/>
    <m/>
    <m/>
  </r>
  <r>
    <m/>
    <m/>
    <x v="153"/>
    <x v="56"/>
    <m/>
    <s v="“Ortognatik Cerrahi Takiplerinde Karşılaşılan Nörosensoriyel Bozuklukların Klinik Testler ile Değerlendirilmesi ve Yaşam Kalitesi Üzerine Etkisi”"/>
    <m/>
    <m/>
    <m/>
    <m/>
    <m/>
    <m/>
    <m/>
    <m/>
    <m/>
    <m/>
  </r>
  <r>
    <m/>
    <m/>
    <x v="153"/>
    <x v="56"/>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53"/>
    <x v="56"/>
    <m/>
    <s v="“Sarkoidoz Hastalarının İmmünolojik Açıdan Değerlendirilmesi”"/>
    <m/>
    <m/>
    <m/>
    <m/>
    <m/>
    <m/>
    <m/>
    <m/>
    <m/>
    <m/>
  </r>
  <r>
    <m/>
    <m/>
    <x v="153"/>
    <x v="56"/>
    <m/>
    <s v="“Rejeneratif Endodontik Tedavide Kullanılan Materyallerin Simüle Dişlerin Kırılma Dayanımına Etkisi: Laboratuvar Çalışması”"/>
    <m/>
    <m/>
    <m/>
    <m/>
    <m/>
    <m/>
    <m/>
    <m/>
    <m/>
    <m/>
  </r>
  <r>
    <m/>
    <m/>
    <x v="153"/>
    <x v="56"/>
    <m/>
    <s v="“Fertil Yaş Grubunda Myomektomi Sonrası Gerçekleşen Gebeliklerin Myomektomi Zamanı ile Gebelik Zamanı Arasında Geçen Sürelerin ve Gebelik Sonuçlarının Retrospektif Olarak Araştırılması”"/>
    <m/>
    <m/>
    <m/>
    <m/>
    <m/>
    <m/>
    <m/>
    <m/>
    <m/>
    <m/>
  </r>
  <r>
    <m/>
    <m/>
    <x v="153"/>
    <x v="56"/>
    <m/>
    <s v="“Titanyum Tabanlı Monolitik Zirkonya Köprülerin Klinik Değerlendirmesi: Bir Retrospektif Takip Çalışması”"/>
    <m/>
    <m/>
    <m/>
    <m/>
    <m/>
    <m/>
    <m/>
    <m/>
    <m/>
    <m/>
  </r>
  <r>
    <m/>
    <m/>
    <x v="153"/>
    <x v="56"/>
    <m/>
    <s v="“Testiküler Germ Hücreli Tümörlerde Tedavi Yanıtı ve Prognoz ile İlişkilendirilebilecek Biyobelirteçlerin Araştırılması”"/>
    <m/>
    <m/>
    <m/>
    <m/>
    <m/>
    <m/>
    <m/>
    <m/>
    <m/>
    <m/>
  </r>
  <r>
    <m/>
    <m/>
    <x v="153"/>
    <x v="56"/>
    <m/>
    <s v="“Anoreksiya Nervoza Hastalarında Solunum Fonksiyonları ile Kas Kalınlığı ve Kuvveti Arasındaki İlişkinin Araştırılması: Vaka-Kontrol ve İzlem Çalışması”"/>
    <m/>
    <m/>
    <m/>
    <m/>
    <m/>
    <m/>
    <m/>
    <m/>
    <m/>
    <m/>
  </r>
  <r>
    <m/>
    <m/>
    <x v="153"/>
    <x v="56"/>
    <m/>
    <s v="“Kalsiyum Silikat ve Kalsiyum Hidroksit Kontaminasyonunun Universal Adezivlerin Dentin Yüzeylerine Bağlanma Dayanımı Üzerindeki Etkisi”"/>
    <m/>
    <m/>
    <m/>
    <m/>
    <m/>
    <m/>
    <m/>
    <m/>
    <m/>
    <m/>
  </r>
  <r>
    <m/>
    <m/>
    <x v="153"/>
    <x v="56"/>
    <m/>
    <s v="“Pediatrik Hiperlipidemi Hastalarında Glikolizasyon Profil  Karşılaştırması”"/>
    <m/>
    <m/>
    <m/>
    <m/>
    <m/>
    <m/>
    <m/>
    <m/>
    <m/>
    <m/>
  </r>
  <r>
    <m/>
    <m/>
    <x v="153"/>
    <x v="56"/>
    <m/>
    <s v="“Türkiye'de Steril Vücut Sıvılarında Streptococcus Pneumoniae Serogruplarının Prevalansı: Çok Merkezli, Prospektif Çalışma”"/>
    <m/>
    <m/>
    <m/>
    <m/>
    <m/>
    <m/>
    <m/>
    <m/>
    <m/>
    <m/>
  </r>
  <r>
    <m/>
    <m/>
    <x v="153"/>
    <x v="56"/>
    <m/>
    <s v="“Kullanılmış İnsülin İğnelerinin İmha Yöntemlerinin Tespiti: Türkiye’de Bir Aile Sağlığı Merkezi’nde Yapılandırılmış Hasta Eğitimi Müdahalesinin Sürdürülebilir Evsel Tıbbi Atık Yönetimine Etkisinin Değerlendirilmesi”"/>
    <m/>
    <m/>
    <m/>
    <m/>
    <m/>
    <m/>
    <m/>
    <m/>
    <m/>
    <m/>
  </r>
  <r>
    <m/>
    <m/>
    <x v="153"/>
    <x v="56"/>
    <m/>
    <s v="“Ambulans Çağrısı Sonrası Hastaneye Nakledilmeyen Hasta Özelliklerinin İncelenmesi ve Alternatif Bakım Önerilerinin Değerlendirilmesi”"/>
    <m/>
    <m/>
    <m/>
    <m/>
    <m/>
    <m/>
    <m/>
    <m/>
    <m/>
    <m/>
  </r>
  <r>
    <m/>
    <m/>
    <x v="153"/>
    <x v="56"/>
    <m/>
    <s v="“Orta Dönemde Bakılan Serum ve İdrar Metal İyon Seviyeleri, Metal-Metal Kalça Artroplastisinin On İki Yıllık Sağkalımım Öngörebilir mi?”"/>
    <m/>
    <m/>
    <m/>
    <m/>
    <m/>
    <m/>
    <m/>
    <m/>
    <m/>
    <m/>
  </r>
  <r>
    <m/>
    <m/>
    <x v="153"/>
    <x v="56"/>
    <m/>
    <s v="&quot;Rekreasyonel Sporcuların Maksimal Oksijen Tüketim Düzeyleri ile Vücut Kompozisyonu Arasındaki İlişkinin Belirlenmesi&quot;"/>
    <m/>
    <m/>
    <m/>
    <m/>
    <m/>
    <m/>
    <m/>
    <m/>
    <m/>
    <m/>
  </r>
  <r>
    <m/>
    <m/>
    <x v="153"/>
    <x v="56"/>
    <m/>
    <s v="“Uyku Sağlığı Okuryazarlığı Ölçeğinin Türkçe Geçerlik ve Güvenirlik Çalışması&quot;"/>
    <m/>
    <m/>
    <m/>
    <m/>
    <m/>
    <m/>
    <m/>
    <m/>
    <m/>
    <m/>
  </r>
  <r>
    <m/>
    <m/>
    <x v="153"/>
    <x v="56"/>
    <m/>
    <s v="“Videoürodinami Tetkiki Öncesi Hastanın Skopi İşlemi Sırasında Maruz Kalacağı Radyasyon Miktarını Öngörücü Faktörlerin ve Videoürodinami Tetkiki ile Kadın İşeme Fonksiyonun Tanımlanması”"/>
    <m/>
    <m/>
    <m/>
    <m/>
    <m/>
    <m/>
    <m/>
    <m/>
    <m/>
    <m/>
  </r>
  <r>
    <m/>
    <m/>
    <x v="153"/>
    <x v="56"/>
    <m/>
    <s v="“Rekürren Glial Tümörlerde Robotik Jiroskopik Lattice Tedavisi ile Reirradyasyon: Klinik Sonuçlar ve Yaşam Kalitesinin Değerlendirilmesi”"/>
    <m/>
    <m/>
    <m/>
    <m/>
    <m/>
    <m/>
    <m/>
    <m/>
    <m/>
    <m/>
  </r>
  <r>
    <m/>
    <m/>
    <x v="153"/>
    <x v="56"/>
    <m/>
    <s v="“Total Kalça Protezi Yapılan Hastalarda Gelişen Periprostetik Kırıkların Uzun Dönem Sonuçları ve Sağkalım Analizi”"/>
    <m/>
    <m/>
    <m/>
    <m/>
    <m/>
    <m/>
    <m/>
    <m/>
    <m/>
    <m/>
  </r>
  <r>
    <m/>
    <m/>
    <x v="153"/>
    <x v="56"/>
    <m/>
    <s v="“Acil Serviste Fraktür Şüphesi Taşıyan Hastalara Çekilen Pelvis Bilgisayarlı              Tomografi Görüntülerinin Yapay Zeka ile Değerlendirilmesi”"/>
    <m/>
    <m/>
    <m/>
    <m/>
    <m/>
    <m/>
    <m/>
    <m/>
    <m/>
    <m/>
  </r>
  <r>
    <m/>
    <m/>
    <x v="153"/>
    <x v="56"/>
    <m/>
    <s v="“Bir Aile Sağlığı Merkezi’ne Başvuran Erişkin Bireylerin Hipnoterapi Konusundaki Bilgi ve Tutumlarının İncelenmesi”"/>
    <m/>
    <m/>
    <m/>
    <m/>
    <m/>
    <m/>
    <m/>
    <m/>
    <m/>
    <m/>
  </r>
  <r>
    <m/>
    <m/>
    <x v="153"/>
    <x v="56"/>
    <m/>
    <s v="“Otoinflamatuvar Hastalıklarda Akciğer Tutulumunun Değerlendirilmesi”"/>
    <m/>
    <m/>
    <m/>
    <m/>
    <m/>
    <m/>
    <m/>
    <m/>
    <m/>
    <m/>
  </r>
  <r>
    <m/>
    <m/>
    <x v="153"/>
    <x v="56"/>
    <m/>
    <s v="“Psöriatik Artrit ve Psöriasis Tanılı Hastaların Tırnak Yatağı Kapilleroskopi Değerlendirmesi”"/>
    <m/>
    <m/>
    <m/>
    <m/>
    <m/>
    <m/>
    <m/>
    <m/>
    <m/>
    <m/>
  </r>
  <r>
    <m/>
    <m/>
    <x v="153"/>
    <x v="56"/>
    <m/>
    <s v="“Otoimmün Hastalıklarda Eşlik Eden Ek Otoimmün Hastalıkların İncelenmesi”"/>
    <m/>
    <m/>
    <m/>
    <m/>
    <m/>
    <m/>
    <m/>
    <m/>
    <m/>
    <m/>
  </r>
  <r>
    <m/>
    <m/>
    <x v="153"/>
    <x v="56"/>
    <m/>
    <s v="“Juvenil İdiyopatik Artritte Hastalık Gidişatının Değerlendirilmesinde Kalprotektinin Yeri”"/>
    <m/>
    <m/>
    <m/>
    <m/>
    <m/>
    <m/>
    <m/>
    <m/>
    <m/>
    <m/>
  </r>
  <r>
    <m/>
    <m/>
    <x v="153"/>
    <x v="56"/>
    <m/>
    <s v="“6-18 Yaş Arası Besin İlişkili IgE Aracılı Reaksiyonu Olan Hastaların Değerlendirilmesi”"/>
    <m/>
    <m/>
    <m/>
    <m/>
    <m/>
    <m/>
    <m/>
    <m/>
    <m/>
    <m/>
  </r>
  <r>
    <m/>
    <m/>
    <x v="153"/>
    <x v="56"/>
    <m/>
    <s v="“Astım Hastalarında Yorgunluk Düzeyinin Astım Kontrol Durumu ile İlişkisinin Değerlendirilmesi”"/>
    <m/>
    <m/>
    <m/>
    <m/>
    <m/>
    <m/>
    <m/>
    <m/>
    <m/>
    <m/>
  </r>
  <r>
    <m/>
    <m/>
    <x v="153"/>
    <x v="56"/>
    <m/>
    <s v="“Antiepileptik İlaç Aşırı Duyarlılık Reaksiyonlarının Klinik ve Laboratuvar Özelliklerinin Risk Analizi ile Değerlendirilmesi”"/>
    <m/>
    <m/>
    <m/>
    <m/>
    <m/>
    <m/>
    <m/>
    <m/>
    <m/>
    <m/>
  </r>
  <r>
    <m/>
    <m/>
    <x v="153"/>
    <x v="56"/>
    <m/>
    <s v="“Çocukluk Çağı IgG4 İlişkili Hastalık: Çok Merkezli Uluslararası Çalışma”"/>
    <m/>
    <m/>
    <m/>
    <m/>
    <m/>
    <m/>
    <m/>
    <m/>
    <m/>
    <m/>
  </r>
  <r>
    <m/>
    <m/>
    <x v="153"/>
    <x v="56"/>
    <m/>
    <s v="“Kronik Böbrek Hastalarında Glisemik Değişkenlik ve Metabolik Profilin İncelenmesi”"/>
    <m/>
    <m/>
    <m/>
    <m/>
    <m/>
    <m/>
    <m/>
    <m/>
    <m/>
    <m/>
  </r>
  <r>
    <m/>
    <m/>
    <x v="153"/>
    <x v="56"/>
    <m/>
    <s v="“Adli Tıp Araştırma Görevlilerinin İstifalarına Yönelik Değerlendirme: Bir Anket Çalışması”"/>
    <m/>
    <m/>
    <m/>
    <m/>
    <m/>
    <m/>
    <m/>
    <m/>
    <m/>
    <m/>
  </r>
  <r>
    <m/>
    <m/>
    <x v="153"/>
    <x v="56"/>
    <m/>
    <s v="“Abdominal ve Torasik Aort Anevrizma Olgularında Endovasküler Onarım Sırasındaki Anestezi Yaklaşımının Klinik Sonuçlar Üzerine Etkilerinin Retrospektif Olarak İncelenmesi”"/>
    <m/>
    <m/>
    <m/>
    <m/>
    <m/>
    <m/>
    <m/>
    <m/>
    <m/>
    <m/>
  </r>
  <r>
    <m/>
    <m/>
    <x v="153"/>
    <x v="56"/>
    <m/>
    <s v="“Ortodontik Tedavi Sürecinin Keratinize Diş Eti Özellikleri Üzerine Etkisinin İncelenmesi”"/>
    <m/>
    <m/>
    <m/>
    <m/>
    <m/>
    <m/>
    <m/>
    <m/>
    <m/>
    <m/>
  </r>
  <r>
    <m/>
    <m/>
    <x v="153"/>
    <x v="56"/>
    <m/>
    <s v="“Ankara’da Çalışan Aile Hekimlerinin Çalıştıkları İlçenin Sosyo-Ekonomik Gelişmişlik Düzeyi ile Tükenmişlik Durumları Arasındaki İlişkinin Değerlendirilmesi”"/>
    <m/>
    <m/>
    <m/>
    <m/>
    <m/>
    <m/>
    <m/>
    <m/>
    <m/>
    <m/>
  </r>
  <r>
    <m/>
    <m/>
    <x v="153"/>
    <x v="56"/>
    <m/>
    <s v="“Ankilozan Spondiliti Olan ve Olmayan Bireylerde Aşil, Plantar Fasya, Supraspinatus Entez Bölgelerinin Shear Wave Elastografi ile Değerlendirilmesi”"/>
    <m/>
    <m/>
    <m/>
    <m/>
    <m/>
    <m/>
    <m/>
    <m/>
    <m/>
    <m/>
  </r>
  <r>
    <m/>
    <m/>
    <x v="153"/>
    <x v="56"/>
    <m/>
    <s v="“Erken Başlangıçlı Skolyozda Tweener Grubunun Cerrahi Tedavisinde Büyüyen Rod Uygulamaları ile Posterior Spinal Füzyonun Orta-Uzun Dönem Sonuçlarının Karşılaştırılması”"/>
    <m/>
    <m/>
    <m/>
    <m/>
    <m/>
    <m/>
    <m/>
    <m/>
    <m/>
    <m/>
  </r>
  <r>
    <m/>
    <m/>
    <x v="153"/>
    <x v="56"/>
    <m/>
    <s v="“Serebral Palsili Çocuklarda Kalça Cerrahisi Sonrası Tekrar Çıkık Gelişimini Etkileyen Faktörler”"/>
    <m/>
    <m/>
    <m/>
    <m/>
    <m/>
    <m/>
    <m/>
    <m/>
    <m/>
    <m/>
  </r>
  <r>
    <m/>
    <m/>
    <x v="153"/>
    <x v="56"/>
    <m/>
    <s v="“Pediatrik Popülasyonda Pelvik BT ile Asetabular Sektör Açıları ve Femoroasetabular Parametreler Arasındaki Korelasyonun Değerlendirilmesi ve Normatif Referans Değerlerin Belirlenmesi”"/>
    <m/>
    <m/>
    <m/>
    <m/>
    <m/>
    <m/>
    <m/>
    <m/>
    <m/>
    <m/>
  </r>
  <r>
    <m/>
    <m/>
    <x v="153"/>
    <x v="56"/>
    <m/>
    <s v="“Panoramik Radyograflarda Derin Öğrenme Yöntemiyle Gelistirilen Yapay Zeka Algoritmasıyla Mandibulada Idiyopatik Osteoskleroz ile Kondensing Osteitisin Tespitinin ve Ayrımının Yapılması”"/>
    <m/>
    <m/>
    <m/>
    <m/>
    <m/>
    <m/>
    <m/>
    <m/>
    <m/>
    <m/>
  </r>
  <r>
    <m/>
    <m/>
    <x v="153"/>
    <x v="56"/>
    <m/>
    <s v="“Geriatrik Jinekolojik Hastalarda Cerrahi Morbiditenin İncelenmesi”"/>
    <m/>
    <m/>
    <m/>
    <m/>
    <m/>
    <m/>
    <m/>
    <m/>
    <m/>
    <m/>
  </r>
  <r>
    <m/>
    <m/>
    <x v="153"/>
    <x v="56"/>
    <m/>
    <s v="“İzole Humerus Kırığı İle Prezente Olan Endometrium Kanseri Vaka Raporu”"/>
    <m/>
    <m/>
    <m/>
    <m/>
    <m/>
    <m/>
    <m/>
    <m/>
    <m/>
    <m/>
  </r>
  <r>
    <m/>
    <m/>
    <x v="153"/>
    <x v="56"/>
    <m/>
    <s v="“Kanıta Dayalı Eğitim Müdahaleleri ile Lipid Profili Test İstemlerinin Optimizasyonu: Kalite Geliştirme Çalışması”"/>
    <m/>
    <m/>
    <m/>
    <m/>
    <m/>
    <m/>
    <m/>
    <m/>
    <m/>
    <m/>
  </r>
  <r>
    <m/>
    <m/>
    <x v="153"/>
    <x v="56"/>
    <m/>
    <s v="“Aile Sağlığı Merkezlerinde Aile Hekimleri Tarafından Yapılacak Bakım Noktası Ultrasonografisi: Erişkin Bireylerin Tutum ve Güveni”"/>
    <m/>
    <m/>
    <m/>
    <m/>
    <m/>
    <m/>
    <m/>
    <m/>
    <m/>
    <m/>
  </r>
  <r>
    <m/>
    <m/>
    <x v="153"/>
    <x v="56"/>
    <m/>
    <s v="“Borderline Over Tümörlerinde Histerektominin Prognoza Etkisi”"/>
    <m/>
    <m/>
    <m/>
    <m/>
    <m/>
    <m/>
    <m/>
    <m/>
    <m/>
    <m/>
  </r>
  <r>
    <m/>
    <m/>
    <x v="153"/>
    <x v="56"/>
    <m/>
    <s v="“IL-23 İnhibitörü Kullanan Hastalarda Üçüncü Ay Yanıtlarının Birinci Yıl Yanıtlarıyla Korelasyonu”"/>
    <m/>
    <m/>
    <m/>
    <m/>
    <m/>
    <m/>
    <m/>
    <m/>
    <m/>
    <m/>
  </r>
  <r>
    <m/>
    <m/>
    <x v="153"/>
    <x v="56"/>
    <m/>
    <s v="“Kol Salınımının Derinlik Sıçraması Optimal Düşüş Yüksekliğine Etkisinin İncelenmesi”"/>
    <m/>
    <m/>
    <m/>
    <m/>
    <m/>
    <m/>
    <m/>
    <m/>
    <m/>
    <m/>
  </r>
  <r>
    <m/>
    <m/>
    <x v="153"/>
    <x v="56"/>
    <m/>
    <s v="“Yardımcı Üreme Tekniklerine Başvuran Kadınlarla Güçlendirme Odaklı Sosyal Hizmet Grup Müdahalesi”"/>
    <m/>
    <m/>
    <m/>
    <m/>
    <m/>
    <m/>
    <m/>
    <m/>
    <m/>
    <m/>
  </r>
  <r>
    <m/>
    <m/>
    <x v="153"/>
    <x v="56"/>
    <m/>
    <s v="“Kalsiyum Silikat Esaslı Kök Kanal Dolgu Maddelerinin Kanal Tedavili Dişlerin Kırılma Dayanımına Etkisinde Kalsiyum Hidroksitin Rolü”"/>
    <m/>
    <m/>
    <m/>
    <m/>
    <m/>
    <m/>
    <m/>
    <m/>
    <m/>
    <m/>
  </r>
  <r>
    <m/>
    <m/>
    <x v="153"/>
    <x v="56"/>
    <m/>
    <s v="“Kök Kanalında Kırılan Farklı Döner Eğelerin Kanaldan Uzaklaştırılması Sırasındaki Dentin Kalınlığındaki Değişimin ve Apikalden Taşan Debrisin Değerlendirilmesi”"/>
    <m/>
    <m/>
    <m/>
    <m/>
    <m/>
    <m/>
    <m/>
    <m/>
    <m/>
    <m/>
  </r>
  <r>
    <m/>
    <m/>
    <x v="153"/>
    <x v="56"/>
    <m/>
    <s v="“Retroperitoneal Fibrozisli IgG4 İlişkili Hastalığı Bulunan Hastaların Romatolojik ve Ürolojik Açıdan Mortalite, Morbitide, Prognozlarının ve Tedavi Yaklaşımlarının Değerlendirilendirilmesi”"/>
    <m/>
    <m/>
    <m/>
    <m/>
    <m/>
    <m/>
    <m/>
    <m/>
    <m/>
    <m/>
  </r>
  <r>
    <m/>
    <m/>
    <x v="153"/>
    <x v="56"/>
    <m/>
    <s v="&quot;Fertilite Koruyucu Tedavi Uygulanan Endometrium Kanseri ve Endometrial İntraepitelyal Neoplazi Tanılı Hastalarda Moleküler Sınıflandırmanın Prognoza Etkisi”"/>
    <m/>
    <m/>
    <m/>
    <m/>
    <m/>
    <m/>
    <m/>
    <m/>
    <m/>
    <m/>
  </r>
  <r>
    <m/>
    <m/>
    <x v="153"/>
    <x v="56"/>
    <m/>
    <s v="“Mandibuler Distraktör Takılan Pediatrik Hastalarda Perioperatif Komlikasyonların Retrospektrif İncelenmesi”"/>
    <m/>
    <m/>
    <m/>
    <m/>
    <m/>
    <m/>
    <m/>
    <m/>
    <m/>
    <m/>
  </r>
  <r>
    <m/>
    <m/>
    <x v="153"/>
    <x v="56"/>
    <m/>
    <s v="“Pnömosistis Jirovecii Pnömonisi Tanısı Koyulan Hastalarda Risk Faktörleri ve Tedavi Yanıtlarının Değerlendirilmesi”"/>
    <m/>
    <m/>
    <m/>
    <m/>
    <m/>
    <m/>
    <m/>
    <m/>
    <m/>
    <m/>
  </r>
  <r>
    <m/>
    <m/>
    <x v="153"/>
    <x v="56"/>
    <m/>
    <s v="“Kök Kanal Tedavili Dişlerin Kırılma Dayanımında Gütaperkanın Tavsiye Edilen Tüketim Tarihinin Rolü”"/>
    <m/>
    <m/>
    <m/>
    <m/>
    <m/>
    <m/>
    <m/>
    <m/>
    <m/>
    <m/>
  </r>
  <r>
    <m/>
    <m/>
    <x v="153"/>
    <x v="56"/>
    <m/>
    <s v="“Cinsel Yolla Bulaşan Enfeksiyonlarda Risk Paternlerinin Veri Odaklı Keşfi: Makine Öğrenimi Yaklaşımı”"/>
    <m/>
    <m/>
    <m/>
    <m/>
    <m/>
    <m/>
    <m/>
    <m/>
    <m/>
    <m/>
  </r>
  <r>
    <m/>
    <m/>
    <x v="153"/>
    <x v="56"/>
    <m/>
    <s v="“Adipozite İndeksleri İle Geriatrik Sendromlar Arasındaki İlişki”"/>
    <m/>
    <m/>
    <m/>
    <m/>
    <m/>
    <m/>
    <m/>
    <m/>
    <m/>
    <m/>
  </r>
  <r>
    <m/>
    <m/>
    <x v="153"/>
    <x v="56"/>
    <m/>
    <s v="“Kişiye Özel İmplantlar İle Yapılan Le Fort 1 Cerrahisinde Maksilla Pozisyonunun Doğruluğunun İncelenmesi”"/>
    <m/>
    <m/>
    <m/>
    <m/>
    <m/>
    <m/>
    <m/>
    <m/>
    <m/>
    <m/>
  </r>
  <r>
    <m/>
    <m/>
    <x v="153"/>
    <x v="56"/>
    <m/>
    <s v="“Migren Tedavisi Optimizasyon Anketi (MTOQ)-4&quot;ün Türkçe Geçerlik ve Güvenirlik Çalışması”"/>
    <m/>
    <m/>
    <m/>
    <m/>
    <m/>
    <m/>
    <m/>
    <m/>
    <m/>
    <m/>
  </r>
  <r>
    <m/>
    <m/>
    <x v="153"/>
    <x v="56"/>
    <m/>
    <s v="“Kronik Hastalıklarda Doktor-Hasta İlişkisi Ölçeği’nin Türkçe Geçerlik ve Güvenirlik Çalışması”"/>
    <m/>
    <m/>
    <m/>
    <m/>
    <m/>
    <m/>
    <m/>
    <m/>
    <m/>
    <m/>
  </r>
  <r>
    <m/>
    <m/>
    <x v="153"/>
    <x v="56"/>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53"/>
    <x v="56"/>
    <m/>
    <s v="“Prostat ve Mesane Kanserlerinde DNA Hasar Yanıtının Hedeflenmesi: Preklinik Modelleme&quot;"/>
    <m/>
    <m/>
    <m/>
    <m/>
    <m/>
    <m/>
    <m/>
    <m/>
    <m/>
    <m/>
  </r>
  <r>
    <m/>
    <m/>
    <x v="153"/>
    <x v="56"/>
    <m/>
    <s v="“Leiomyoma Tanısıyla Opere Edilen Ve Fumarat Hidrataz Eksikliği Saptanan Hastaların Klinik Sonuçlarının Değerlendirilmesi”"/>
    <m/>
    <m/>
    <m/>
    <m/>
    <m/>
    <m/>
    <m/>
    <m/>
    <m/>
    <m/>
  </r>
  <r>
    <m/>
    <m/>
    <x v="153"/>
    <x v="56"/>
    <m/>
    <s v="“Bir Üniversite Hastanesindeki Diş Hekimlerinin Dental Anksiyete Konusundaki Bilgi, Farkındalık ve Yönetim Stratejilerinin Değerlendirilmesi”"/>
    <m/>
    <m/>
    <m/>
    <m/>
    <m/>
    <m/>
    <m/>
    <m/>
    <m/>
    <m/>
  </r>
  <r>
    <m/>
    <m/>
    <x v="153"/>
    <x v="56"/>
    <m/>
    <s v="“Aktive Fosfoinositid 3-Kinaz Delta| Sendromu Tanısında Laboratuvar Testlerinin Karşılaştırılması”"/>
    <m/>
    <m/>
    <m/>
    <m/>
    <m/>
    <m/>
    <m/>
    <m/>
    <m/>
    <m/>
  </r>
  <r>
    <m/>
    <m/>
    <x v="153"/>
    <x v="56"/>
    <m/>
    <s v="“Kistik Fibrozisli Çocuklarda İlk Asemptomatik Metisilin Dirençli Staphylococcus aureus Üremesine Yönelik Antibiyotik Tedavisi Verilmesinin Klinik Duruma Etkisi”"/>
    <m/>
    <m/>
    <m/>
    <m/>
    <m/>
    <m/>
    <m/>
    <m/>
    <m/>
    <m/>
  </r>
  <r>
    <m/>
    <m/>
    <x v="153"/>
    <x v="56"/>
    <m/>
    <s v="“46,XY Cinsiyet Gelişim Bozukluğu Tanılı Hastalarda Moleküler Etiyolojinin Araştırılması”"/>
    <m/>
    <m/>
    <m/>
    <m/>
    <m/>
    <m/>
    <m/>
    <m/>
    <m/>
    <m/>
  </r>
  <r>
    <m/>
    <m/>
    <x v="153"/>
    <x v="56"/>
    <m/>
    <s v="“İnek Sütü Alerjisi Olan Çocuklarda Serum Albümin Duyarlılığı ve Sığır Eti Alerjisi Birlikteliğinin Değerlendirilmesi”"/>
    <m/>
    <m/>
    <m/>
    <m/>
    <m/>
    <m/>
    <m/>
    <m/>
    <m/>
    <m/>
  </r>
  <r>
    <m/>
    <m/>
    <x v="153"/>
    <x v="56"/>
    <m/>
    <s v="“Psödohipoparatiroidizmin Klinik ve Laboratuvar Özellikleri ile Genotip-Fenotip İlişkisi”"/>
    <m/>
    <m/>
    <m/>
    <m/>
    <m/>
    <m/>
    <m/>
    <m/>
    <m/>
    <m/>
  </r>
  <r>
    <m/>
    <m/>
    <x v="153"/>
    <x v="56"/>
    <m/>
    <s v="“Fossa Vermiana’nın Morfolojik ve Morfometrik Olarak İncelenmesi”"/>
    <m/>
    <m/>
    <m/>
    <m/>
    <m/>
    <m/>
    <m/>
    <m/>
    <m/>
    <m/>
  </r>
  <r>
    <m/>
    <m/>
    <x v="153"/>
    <x v="56"/>
    <m/>
    <s v="“Çocukluk Çağında Dirençli Epilepside Uyku Bozuklukları ve Diğer Komorbid Durumların Değerlendirilmesi”"/>
    <m/>
    <m/>
    <m/>
    <m/>
    <m/>
    <m/>
    <m/>
    <m/>
    <m/>
    <m/>
  </r>
  <r>
    <m/>
    <m/>
    <x v="153"/>
    <x v="56"/>
    <m/>
    <s v="“Kornea Endotelini Etkileyen Hastalıklarda İnvivo Konfokal Mikroskopi Görüntülerinin Derin Öğrenme Tabanlı Bilgisayarlı Görü Yöntemleriyle Sınıflandırılması”"/>
    <m/>
    <m/>
    <m/>
    <m/>
    <m/>
    <m/>
    <m/>
    <m/>
    <m/>
    <m/>
  </r>
  <r>
    <m/>
    <m/>
    <x v="153"/>
    <x v="56"/>
    <m/>
    <s v="“Yaşlı Bireylerde Farklı Formüllerle Hesaplanan Glomerüler Filtrasyon Hızı ile Kognitif Fonksiyonların ilişkisi”"/>
    <m/>
    <m/>
    <m/>
    <m/>
    <m/>
    <m/>
    <m/>
    <m/>
    <m/>
    <m/>
  </r>
  <r>
    <m/>
    <m/>
    <x v="153"/>
    <x v="56"/>
    <m/>
    <s v="“Kök Kanalında Farklı Uzunluklarda Kırılan Nikel-Titanyum Eğelerin Farklı Yöntemler ile Uzaklaştırılmasının Apikalden Taşan Debrise Etkisi”"/>
    <m/>
    <m/>
    <m/>
    <m/>
    <m/>
    <m/>
    <m/>
    <m/>
    <m/>
    <m/>
  </r>
  <r>
    <m/>
    <m/>
    <x v="153"/>
    <x v="56"/>
    <m/>
    <s v="“Türkiye 65 Yaş Üstü Popülasyonunda Yaşa ve Cinsiyete Göre Baldır Çevresi Persentil Eğrilerinin Oluşturulması: Tek Merkezli Kesitsel Bir Çalışma”"/>
    <m/>
    <m/>
    <m/>
    <m/>
    <m/>
    <m/>
    <m/>
    <m/>
    <m/>
    <m/>
  </r>
  <r>
    <m/>
    <m/>
    <x v="153"/>
    <x v="56"/>
    <m/>
    <s v="“Kartilaj Slop ve Ön Çapraz Bağı Rüptürü Risk Faktörlerinin Merge MRG ile Değerlendirilmesi”"/>
    <m/>
    <m/>
    <m/>
    <m/>
    <m/>
    <m/>
    <m/>
    <m/>
    <m/>
    <m/>
  </r>
  <r>
    <m/>
    <m/>
    <x v="153"/>
    <x v="56"/>
    <m/>
    <s v="“Sigara İçen ve İçmeyen Bireylerde D Vitamini Seviyeleri ile İnflamatuar Biyobelirteçler (CRP, IL-17, IL-19) Arasındaki İlişkinin Değerlendirilmesi”"/>
    <m/>
    <m/>
    <m/>
    <m/>
    <m/>
    <m/>
    <m/>
    <m/>
    <m/>
    <m/>
  </r>
  <r>
    <m/>
    <m/>
    <x v="153"/>
    <x v="56"/>
    <m/>
    <s v="“Farklı Konsantrasyonlarda ve Taşıyıcılarla Hazırlanan Kalsiyum Hidroksitin Apikalden Taşma Miktarının İn Vitro Değerlendirilmesi”"/>
    <m/>
    <m/>
    <m/>
    <m/>
    <m/>
    <m/>
    <m/>
    <m/>
    <m/>
    <m/>
  </r>
  <r>
    <m/>
    <m/>
    <x v="153"/>
    <x v="56"/>
    <m/>
    <s v="“Çocuklarda Duodenogastrik Reflü Hastalığı: Bu Bir Fonksiyonel Gastrointestinal Hastalık mıdır?”"/>
    <m/>
    <m/>
    <m/>
    <m/>
    <m/>
    <m/>
    <m/>
    <m/>
    <m/>
    <m/>
  </r>
  <r>
    <m/>
    <m/>
    <x v="153"/>
    <x v="56"/>
    <m/>
    <s v="“AtopikDermatit Tanılı Adölesan Hastalarda Uyku ve Yasam Kalitesinin Değerlendirilmesi”"/>
    <m/>
    <m/>
    <m/>
    <m/>
    <m/>
    <m/>
    <m/>
    <m/>
    <m/>
    <m/>
  </r>
  <r>
    <m/>
    <m/>
    <x v="153"/>
    <x v="56"/>
    <m/>
    <s v="“Schwartz Jampel Sendromunda Metabolik Yolakların Araştırılması ve Terapötik Yaklaşım Hedefleri”"/>
    <m/>
    <m/>
    <m/>
    <m/>
    <m/>
    <m/>
    <m/>
    <m/>
    <m/>
    <m/>
  </r>
  <r>
    <m/>
    <m/>
    <x v="153"/>
    <x v="56"/>
    <m/>
    <s v="&quot;Erişkinlerde Yaş Tayini İçin Pulpanın Radyolojik Değişikliklerinin İncelendiği Yeni Bir Yöntemin Değerlendirilmesi&quot;"/>
    <m/>
    <m/>
    <m/>
    <m/>
    <m/>
    <m/>
    <m/>
    <m/>
    <m/>
    <m/>
  </r>
  <r>
    <m/>
    <m/>
    <x v="153"/>
    <x v="56"/>
    <m/>
    <s v="“Elektrofizyoloji Laboratuvarında Miyotonik Boşalımlar: Tanı, Klinik ve Elektrofizyoloji”"/>
    <m/>
    <m/>
    <m/>
    <m/>
    <m/>
    <m/>
    <m/>
    <m/>
    <m/>
    <m/>
  </r>
  <r>
    <m/>
    <m/>
    <x v="153"/>
    <x v="56"/>
    <m/>
    <s v="“Herediter Miyelin Hastalıklarında Periferik Sinir Sistemi Tutulumunun Elektrofizyolojik Özellikleri”"/>
    <m/>
    <m/>
    <m/>
    <m/>
    <m/>
    <m/>
    <m/>
    <m/>
    <m/>
    <m/>
  </r>
  <r>
    <m/>
    <m/>
    <x v="153"/>
    <x v="56"/>
    <m/>
    <s v="“Dudak Damak Yarığı Hastalarında Temporomandibuler Eklem Patolojilerinin Konik Işınlı Bilgisayarlı Tomografi (KIBT) Görüntüleri Üzerinden Araştırılması”"/>
    <m/>
    <m/>
    <m/>
    <m/>
    <m/>
    <m/>
    <m/>
    <m/>
    <m/>
    <m/>
  </r>
  <r>
    <m/>
    <m/>
    <x v="153"/>
    <x v="56"/>
    <m/>
    <s v="“Baş Boyun Yassı Hücreli Kanserlerinde DNA Metilasyonunun Gen Ekspresyonu Üzerinden Prognoza Etkisi”"/>
    <m/>
    <m/>
    <m/>
    <m/>
    <m/>
    <m/>
    <m/>
    <m/>
    <m/>
    <m/>
  </r>
  <r>
    <m/>
    <m/>
    <x v="153"/>
    <x v="56"/>
    <m/>
    <s v="“Radyasyon Yönetim Sistemleri ile Bilgisayarlı Tomografi Tetkiklerinin Lokal Tanısal Referans Seviyelerinin Belirlenmesi”"/>
    <m/>
    <m/>
    <m/>
    <m/>
    <m/>
    <m/>
    <m/>
    <m/>
    <m/>
    <m/>
  </r>
  <r>
    <m/>
    <m/>
    <x v="153"/>
    <x v="56"/>
    <m/>
    <s v="“Primer Hiperparatiroidi Hastalarında Cerrahi Tedavi ile Sağlanan Kürün Miyokin Profili Üzerindeki Etkilerinin İncelenmesi”"/>
    <m/>
    <m/>
    <m/>
    <m/>
    <m/>
    <m/>
    <m/>
    <m/>
    <m/>
    <m/>
  </r>
  <r>
    <m/>
    <m/>
    <x v="153"/>
    <x v="56"/>
    <m/>
    <s v="“Lateral Epikondilit Tedavisinde Steroid Enjeksiyonu ile Kombine Lateral Antebrakial Kutanöz Sinir Pulsed Radyofrekans Tedavisinin Etkinliğinin Değerlendirilmesi”"/>
    <m/>
    <m/>
    <m/>
    <m/>
    <m/>
    <m/>
    <m/>
    <m/>
    <m/>
    <m/>
  </r>
  <r>
    <m/>
    <m/>
    <x v="153"/>
    <x v="56"/>
    <m/>
    <s v="“Medial Diz Ağrısı Olan Diz Osteoartritli Hastalarda Safen ve Medial Geniküler Sinirlerin Pulsed Radyofrekans Tedavilerinin Etkinliklerinin Karşılaştırılması”"/>
    <m/>
    <m/>
    <m/>
    <m/>
    <m/>
    <m/>
    <m/>
    <m/>
    <m/>
    <m/>
  </r>
  <r>
    <m/>
    <m/>
    <x v="153"/>
    <x v="56"/>
    <m/>
    <s v="“Küresel Bir Halk Sağlığı Problemi Olan Antibiyotik Direncini Aşmak için Antisense Oligonükleotit Temelli Yenilikçi Formülasyonların Geliştirilmesi ve Değerlendirilmesi”"/>
    <m/>
    <m/>
    <m/>
    <m/>
    <m/>
    <m/>
    <m/>
    <m/>
    <m/>
    <m/>
  </r>
  <r>
    <m/>
    <m/>
    <x v="153"/>
    <x v="56"/>
    <m/>
    <s v="“Multiple Miyelom Etiyolojisinde Kopya Sayısı Değişikliklerinin Dijital Multipleks Ligasyon Bağımlı Prob Amplifikasyonu (MLPA) ile Araştırılması”"/>
    <m/>
    <m/>
    <m/>
    <m/>
    <m/>
    <m/>
    <m/>
    <m/>
    <m/>
    <m/>
  </r>
  <r>
    <m/>
    <m/>
    <x v="153"/>
    <x v="56"/>
    <m/>
    <s v="“Çocuklarda Laparoskopik Kolesistektomilerde İndosiyaninyeşil (ICG) destekli Floresan Görüntülemenin Cerrahi Sonuçlara Etkisinin Belirlenmesi”"/>
    <m/>
    <m/>
    <m/>
    <m/>
    <m/>
    <m/>
    <m/>
    <m/>
    <m/>
    <m/>
  </r>
  <r>
    <m/>
    <m/>
    <x v="153"/>
    <x v="56"/>
    <m/>
    <s v="“Maksiller Darlığa Sahip İleri Sutural Maturasyon Evresinde Olan Hastalarda Modifiye Glassman Tekniği ile Cortico-Puncture Tekniği Uygulanarak Yapılan Mini Vida Destekli Genişletme Tedavisinin Etkilerinin Karşılaştırılması”"/>
    <m/>
    <m/>
    <m/>
    <m/>
    <m/>
    <m/>
    <m/>
    <m/>
    <m/>
    <m/>
  </r>
  <r>
    <m/>
    <m/>
    <x v="153"/>
    <x v="56"/>
    <m/>
    <s v="&quot;İntraoküler Retinoblastomun Geç Nükslerinin Retrospektif Olarak Değerlendirilmesi&quot;"/>
    <m/>
    <m/>
    <m/>
    <m/>
    <m/>
    <m/>
    <m/>
    <m/>
    <m/>
    <m/>
  </r>
  <r>
    <m/>
    <m/>
    <x v="153"/>
    <x v="56"/>
    <m/>
    <s v="“Temporomandibular Eklem Bozukluklarında Ağız Açma Sırasında Disk Morfolojisinde Meydana Gelen Pozisyonel Transformasyonun Klinik Bulgular ve Manyetik Rezonans Görüntüleme Parametreleri ile İlişkisinin Değerlendirilmesi”"/>
    <m/>
    <m/>
    <m/>
    <m/>
    <m/>
    <m/>
    <m/>
    <m/>
    <m/>
    <m/>
  </r>
  <r>
    <m/>
    <m/>
    <x v="153"/>
    <x v="56"/>
    <m/>
    <s v="“Nörodejeneratif Hastalıkların Erken Tanısında Göz Hareketleri Kullanılabilir mi?: Yapay Zeka Aracılıklı Vaka-Kontrol Çalışması”"/>
    <m/>
    <m/>
    <m/>
    <m/>
    <m/>
    <m/>
    <m/>
    <m/>
    <m/>
    <m/>
  </r>
  <r>
    <m/>
    <m/>
    <x v="153"/>
    <x v="56"/>
    <m/>
    <s v="“Kritik Hastalarda Rutin Mikrodolaşım Değerlendirmesinin Şok Erken Tanısına Etkisi”"/>
    <m/>
    <m/>
    <m/>
    <m/>
    <m/>
    <m/>
    <m/>
    <m/>
    <m/>
    <m/>
  </r>
  <r>
    <m/>
    <m/>
    <x v="153"/>
    <x v="56"/>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53"/>
    <x v="56"/>
    <m/>
    <s v="“Şiddetli Ülseratif Kolit Hastalarında Aleksitimi Varlığının Değerlendirilmesi”"/>
    <m/>
    <m/>
    <m/>
    <m/>
    <m/>
    <m/>
    <m/>
    <m/>
    <m/>
    <m/>
  </r>
  <r>
    <m/>
    <m/>
    <x v="153"/>
    <x v="56"/>
    <m/>
    <s v="“İnflamatuar Bağırsak Hastalıklarında Kullanılan Biyolojik Ajanlarda Tedavi Persistensinin Değerlendirilmesi ”"/>
    <m/>
    <m/>
    <m/>
    <m/>
    <m/>
    <m/>
    <m/>
    <m/>
    <m/>
    <m/>
  </r>
  <r>
    <m/>
    <m/>
    <x v="153"/>
    <x v="56"/>
    <m/>
    <s v="“Meme Kanseri Hastalarında Gustave Roussy İmmün Skorunun Sağ Kalım ile İlişkisi”"/>
    <m/>
    <m/>
    <m/>
    <m/>
    <m/>
    <m/>
    <m/>
    <m/>
    <m/>
    <m/>
  </r>
  <r>
    <m/>
    <m/>
    <x v="153"/>
    <x v="56"/>
    <m/>
    <s v="“Endometrioma Nedeniyle Skleroterapi Uygulanan Hastalarda Over Rezervi, Fertilite, Gebelik Sonuçları ve Endometrioma Prognozu Üzerine Etkisinin Retrospektif Analizi”"/>
    <m/>
    <m/>
    <m/>
    <m/>
    <m/>
    <m/>
    <m/>
    <m/>
    <m/>
    <m/>
  </r>
  <r>
    <m/>
    <m/>
    <x v="153"/>
    <x v="56"/>
    <m/>
    <s v="&quot;Steroid Olmayan Anti-İnflamatuar İlaçlarla Alevlenen Hava Yolu Hastalığı (NERD) Hastalarında Aspirin Desensitizasyonu Sonrası Düzenli Aspirin Tedavisinin (ATAD) Serum Lipit Mediyatörleri Üzerine Etkilerinin Araştırılması&quot;"/>
    <m/>
    <m/>
    <m/>
    <m/>
    <m/>
    <m/>
    <m/>
    <m/>
    <m/>
    <m/>
  </r>
  <r>
    <m/>
    <m/>
    <x v="153"/>
    <x v="56"/>
    <m/>
    <s v="“Keratokonus Evresi ile Retina Sinir Lifi Tabakası, Makula Kalınlığı, Ganglion Hücre Tabakası Parametrelerindeki Değişikliklerin İlişkisinin Optik Koherens Tomografi Kullanarak İncelenmesi”"/>
    <m/>
    <m/>
    <m/>
    <m/>
    <m/>
    <m/>
    <m/>
    <m/>
    <m/>
    <m/>
  </r>
  <r>
    <m/>
    <m/>
    <x v="153"/>
    <x v="56"/>
    <m/>
    <s v="“Yeni Hepatit B Biyobelirteçlerinin Kronik Hepatit B Hastalığının Fazlarındaki Değişiminin İncelenmesi”"/>
    <m/>
    <m/>
    <m/>
    <m/>
    <m/>
    <m/>
    <m/>
    <m/>
    <m/>
    <m/>
  </r>
  <r>
    <m/>
    <m/>
    <x v="153"/>
    <x v="56"/>
    <m/>
    <s v="“Rekreasyonel ve Elit Kadın Sporcularda İnkontinans Sıklığının ve Etiyolojisinin Belirlenmesi”"/>
    <m/>
    <m/>
    <m/>
    <m/>
    <m/>
    <m/>
    <m/>
    <m/>
    <m/>
    <m/>
  </r>
  <r>
    <m/>
    <m/>
    <x v="153"/>
    <x v="56"/>
    <m/>
    <s v="“Eklem İçi Ortobiyolojik Uygulanmış Diz Osteoartritli Hastaların Hareket Analizi”"/>
    <m/>
    <m/>
    <m/>
    <m/>
    <m/>
    <m/>
    <m/>
    <m/>
    <m/>
    <m/>
  </r>
  <r>
    <m/>
    <m/>
    <x v="153"/>
    <x v="56"/>
    <m/>
    <s v="''Tam Çift Sistemler İçin Yapılan Üst Kutuplu Heminefrektomi Sonrası Hasta Takiplerinde Alt Üriner Sistem Cerrahisi Gerekliliğinin Değerlendirilmesi”"/>
    <m/>
    <m/>
    <m/>
    <m/>
    <m/>
    <m/>
    <m/>
    <m/>
    <m/>
    <m/>
  </r>
  <r>
    <m/>
    <m/>
    <x v="153"/>
    <x v="56"/>
    <m/>
    <s v="“Farklı Cinsteki Üriner Sistem Taşlarının Evriminin Cerrahi Bulgular ve Laboratuar Tetkikleri ile Araştırılması”"/>
    <m/>
    <m/>
    <m/>
    <m/>
    <m/>
    <m/>
    <m/>
    <m/>
    <m/>
    <m/>
  </r>
  <r>
    <m/>
    <m/>
    <x v="153"/>
    <x v="56"/>
    <m/>
    <s v="“Post-travmatik Epilepsi: Hastaların Klinik Özellikleri, MRGve EEG Bulgularının Prognozla İlişkisi”"/>
    <m/>
    <m/>
    <m/>
    <m/>
    <m/>
    <m/>
    <m/>
    <m/>
    <m/>
    <m/>
  </r>
  <r>
    <m/>
    <m/>
    <x v="153"/>
    <x v="56"/>
    <m/>
    <s v="“Mikrosatellit İnstabilitesi Yüksek Olan Mide Kanseri Olgularında Tedavi Yaklaşımı ve Prognoz İncelenmesi”"/>
    <m/>
    <m/>
    <m/>
    <m/>
    <m/>
    <m/>
    <m/>
    <m/>
    <m/>
    <m/>
  </r>
  <r>
    <m/>
    <m/>
    <x v="153"/>
    <x v="56"/>
    <m/>
    <s v="“Elektrofizyoloji Laboratuvannda Pleksus Hasarı Tanısı”"/>
    <m/>
    <m/>
    <m/>
    <m/>
    <m/>
    <m/>
    <m/>
    <m/>
    <m/>
    <m/>
  </r>
  <r>
    <m/>
    <m/>
    <x v="153"/>
    <x v="56"/>
    <m/>
    <s v="“Yoğun Bakım Hastalarında Vücut Yağ ve Kas Dağılımının Organ Sonlanımı ve Mortaliteye Etkisi”"/>
    <m/>
    <m/>
    <m/>
    <m/>
    <m/>
    <m/>
    <m/>
    <m/>
    <m/>
    <m/>
  </r>
  <r>
    <m/>
    <m/>
    <x v="153"/>
    <x v="56"/>
    <m/>
    <s v="“Kalıtsal Kanser Sendromlarında Gelişmiş Genomik Yaklaşımlarla Yeni Genetik Faktörlerin Tanımlanması”"/>
    <m/>
    <m/>
    <m/>
    <m/>
    <m/>
    <m/>
    <m/>
    <m/>
    <m/>
    <m/>
  </r>
  <r>
    <m/>
    <m/>
    <x v="153"/>
    <x v="56"/>
    <m/>
    <s v="“Opere Temporal Lob Epilepsili Hastalarda Jeneralize İnteriktal Epileptiform Deşarj Varlığı ve Önemi”"/>
    <m/>
    <m/>
    <m/>
    <m/>
    <m/>
    <m/>
    <m/>
    <m/>
    <m/>
    <m/>
  </r>
  <r>
    <m/>
    <m/>
    <x v="153"/>
    <x v="56"/>
    <m/>
    <s v="&quot;Üniversite Öğrencileri Arasında Sosyal Medyada Karşılaştıkları Beslenme ve Gıda ile İlgili İçeriklerin Öğrencilerin Beslenme Davranışlarını Etkileme Durumlarına İlişkin Görüşlerinin Belirlenmesi&quot;"/>
    <m/>
    <m/>
    <m/>
    <m/>
    <m/>
    <m/>
    <m/>
    <m/>
    <m/>
    <m/>
  </r>
  <r>
    <m/>
    <m/>
    <x v="153"/>
    <x v="56"/>
    <m/>
    <s v="“Üçüncü Molar Dişlerle İlişkili Perikoronal Foliküllerin Radyografik ve Patolojik Özelliklerinin Retrospektif İncelenmesi”"/>
    <m/>
    <m/>
    <m/>
    <m/>
    <m/>
    <m/>
    <m/>
    <m/>
    <m/>
    <m/>
  </r>
  <r>
    <m/>
    <m/>
    <x v="153"/>
    <x v="56"/>
    <m/>
    <s v="“İç Hastalıkları Uzmanları ve Araştırma Görevlilerinde Obezite Farkındalığı ve Bilgi Düzeyi ile Eğitim İhtiyacının Belirlenmesi”"/>
    <m/>
    <m/>
    <m/>
    <m/>
    <m/>
    <m/>
    <m/>
    <m/>
    <m/>
    <m/>
  </r>
  <r>
    <m/>
    <m/>
    <x v="153"/>
    <x v="56"/>
    <m/>
    <s v="“Mitral Anüler Disjunction Saptanan Hastalarda Genetik Etiyolojinin Araştırılması ”"/>
    <m/>
    <m/>
    <m/>
    <m/>
    <m/>
    <m/>
    <m/>
    <m/>
    <m/>
    <m/>
  </r>
  <r>
    <m/>
    <m/>
    <x v="153"/>
    <x v="56"/>
    <m/>
    <s v="“POS-VAP: Sürekli Gözlemsel Çalışma- Ventilatör İlişkili Pnömoni”"/>
    <m/>
    <m/>
    <m/>
    <m/>
    <m/>
    <m/>
    <m/>
    <m/>
    <m/>
    <m/>
  </r>
  <r>
    <m/>
    <m/>
    <x v="153"/>
    <x v="56"/>
    <m/>
    <s v="“Dahiliye Servislerinde İlaç Uygulama Zamanlarının Değerlendirilmesi ve Klinik Eczacının Rolü”"/>
    <m/>
    <m/>
    <m/>
    <m/>
    <m/>
    <m/>
    <m/>
    <m/>
    <m/>
    <m/>
  </r>
  <r>
    <m/>
    <m/>
    <x v="153"/>
    <x v="56"/>
    <m/>
    <s v="“Kalça Osteoartritli Hastalarda Floroskopi ve Ultrasonografi Kılavuzluğunda İntraartiküler Kalça Enjeksiyonlarının Etkinliklerinin Karşılaştırılması”"/>
    <m/>
    <m/>
    <m/>
    <m/>
    <m/>
    <m/>
    <m/>
    <m/>
    <m/>
    <m/>
  </r>
  <r>
    <m/>
    <m/>
    <x v="153"/>
    <x v="56"/>
    <m/>
    <s v="“Diz Osteoartritli Hastalarda Floroskopi ve Ultrasonografi Kılavuzluğunda İntraartiküler Diz Enjeksiyonlarının Etkinliklerinin Karşılaştırılması&quot;"/>
    <m/>
    <m/>
    <m/>
    <m/>
    <m/>
    <m/>
    <m/>
    <m/>
    <m/>
    <m/>
  </r>
  <r>
    <m/>
    <m/>
    <x v="153"/>
    <x v="56"/>
    <m/>
    <s v="“Laringotrakeal Stenoz Cerrahi Tedavisinde Uzun Dönem Sonuçlarımız: 15 Yıllık Hacettepe Tecrübesi”"/>
    <m/>
    <m/>
    <m/>
    <m/>
    <m/>
    <m/>
    <m/>
    <m/>
    <m/>
    <m/>
  </r>
  <r>
    <m/>
    <m/>
    <x v="153"/>
    <x v="56"/>
    <m/>
    <s v="“Soliter Fibröz Tümör/Hemanjioperisitoma Tanılı Hastaların Demografik, Klinikopatolojik, Prognostik Özelliklerinin ve Tedavi Yanıtlarının Değerlendirilmesi”"/>
    <m/>
    <m/>
    <m/>
    <m/>
    <m/>
    <m/>
    <m/>
    <m/>
    <m/>
    <m/>
  </r>
  <r>
    <m/>
    <m/>
    <x v="153"/>
    <x v="56"/>
    <m/>
    <s v="“B12 Vitamini Eksikliği Tedavisinin Kılavuza Uygunluğunun Değerlendirilmes”"/>
    <m/>
    <m/>
    <m/>
    <m/>
    <m/>
    <m/>
    <m/>
    <m/>
    <m/>
    <m/>
  </r>
  <r>
    <m/>
    <m/>
    <x v="153"/>
    <x v="56"/>
    <m/>
    <s v="“Obez Hastalarda Meropenem ve Vankomisin Terapötik İlaç Düzeyi İzlemi: Retrospektif Bir Kohort Çalışması”"/>
    <m/>
    <m/>
    <m/>
    <m/>
    <m/>
    <m/>
    <m/>
    <m/>
    <m/>
    <m/>
  </r>
  <r>
    <m/>
    <m/>
    <x v="153"/>
    <x v="56"/>
    <m/>
    <s v="“İlaca Dirençli Fokal Epilepsili Çocuklarda İktal Otonomik Bulguların Değerlendirilmesi”"/>
    <m/>
    <m/>
    <m/>
    <m/>
    <m/>
    <m/>
    <m/>
    <m/>
    <m/>
    <m/>
  </r>
  <r>
    <m/>
    <m/>
    <x v="153"/>
    <x v="56"/>
    <m/>
    <s v="“Türkiye’de Deri ve Zührevi Hastalıklar Uzmanları ve Uzmanlık Öğrencilerinin Hekimlik Uygulamalarında Chat GPT Kullanımını ve Bu Uygulamaya Güvenini Değerlendiren Anket Çalışması”"/>
    <m/>
    <m/>
    <m/>
    <m/>
    <m/>
    <m/>
    <m/>
    <m/>
    <m/>
    <m/>
  </r>
  <r>
    <m/>
    <m/>
    <x v="153"/>
    <x v="56"/>
    <m/>
    <s v="&quot;Biyolojik Tedavilerin Otoenjektor ve Kullanıma Hazır Enjektörler Formlarının Evde Kullanımının Degerlendirilmesi&quot;"/>
    <m/>
    <m/>
    <m/>
    <m/>
    <m/>
    <m/>
    <m/>
    <m/>
    <m/>
    <m/>
  </r>
  <r>
    <m/>
    <m/>
    <x v="153"/>
    <x v="56"/>
    <m/>
    <s v="“Paranazal Sinüs Pnömotizasyonu ile Nazal Muayene Bulguları ve Rinomanometrik Parametreler Arasındaki İlişkinin Değerlendirilmesi”"/>
    <m/>
    <m/>
    <m/>
    <m/>
    <m/>
    <m/>
    <m/>
    <m/>
    <m/>
    <m/>
  </r>
  <r>
    <m/>
    <m/>
    <x v="153"/>
    <x v="56"/>
    <m/>
    <s v="“Ortognatik Cerrahide ERAS Yaklaşımının Operatif Parametreler ve Nörosensoryel İyileşmeye Etkisi”"/>
    <m/>
    <m/>
    <m/>
    <m/>
    <m/>
    <m/>
    <m/>
    <m/>
    <m/>
    <m/>
  </r>
  <r>
    <m/>
    <m/>
    <x v="153"/>
    <x v="56"/>
    <m/>
    <s v="“Tıp Fakültesi Öğrencilerinin Zona Hastalığı ve Zona Aşısıyla İlgili Bilgi Düzeyinin Değerlendirilmesi: Tanımlayıcı Kesitsel Çalışma”"/>
    <m/>
    <m/>
    <m/>
    <m/>
    <m/>
    <m/>
    <m/>
    <m/>
    <m/>
    <m/>
  </r>
  <r>
    <m/>
    <m/>
    <x v="153"/>
    <x v="56"/>
    <m/>
    <s v="“Yumurta Alerjisi Olan Çocuk Hastalarda Yumurta Merdiveninin Güvenlik ve Etkinliğinin Değerlendirilmesi”"/>
    <m/>
    <m/>
    <m/>
    <m/>
    <m/>
    <m/>
    <m/>
    <m/>
    <m/>
    <m/>
  </r>
  <r>
    <m/>
    <m/>
    <x v="153"/>
    <x v="56"/>
    <m/>
    <s v="“Ön Çapraz Bağ Rekonstrüksiyonu Yapılan Hastalarda Kemik Tünel Genişliklerinin Zero Time Echo Sekans Manyetik Rezonans Görüntülemeve Bilgisayarlı Tomografi ile Karşılaştırılması”"/>
    <m/>
    <m/>
    <m/>
    <m/>
    <m/>
    <m/>
    <m/>
    <m/>
    <m/>
    <m/>
  </r>
  <r>
    <m/>
    <m/>
    <x v="153"/>
    <x v="56"/>
    <m/>
    <s v="“Aril Hidrokarbon Reseptör (AhR) Yolağının Mezenkimal Kök Hücreden İn Vitro Adiposit Farklılaşmasındaki ve Olgun Adipositlerdeki Rolünün İncelenmesi”"/>
    <m/>
    <m/>
    <m/>
    <m/>
    <m/>
    <m/>
    <m/>
    <m/>
    <m/>
    <m/>
  </r>
  <r>
    <m/>
    <m/>
    <x v="153"/>
    <x v="56"/>
    <m/>
    <s v="“Metabolik Disfonsiyon ile İlişkili Steatotik Karaciğer Hastalığında Serum ve İdrar Uromodulin Düzeylerinin Böbrek Fonksiyonlarıyla İlişkisi”"/>
    <m/>
    <m/>
    <m/>
    <m/>
    <m/>
    <m/>
    <m/>
    <m/>
    <m/>
    <m/>
  </r>
  <r>
    <m/>
    <m/>
    <x v="153"/>
    <x v="56"/>
    <m/>
    <s v="“Kırım- Kongo Kanamalı Ateşi Olan Çocuk Hastaların Klinik Verilerinin Retrospektif Değerlendirilmesi”"/>
    <m/>
    <m/>
    <m/>
    <m/>
    <m/>
    <m/>
    <m/>
    <m/>
    <m/>
    <m/>
  </r>
  <r>
    <m/>
    <m/>
    <x v="153"/>
    <x v="56"/>
    <m/>
    <s v="“Kalıcı Kalp Pili İmplantasyonunda Venöz Oklüzyon İzlenen Hastalarda Venoplasti Sonuçlarının Değerlendirilmesi”"/>
    <m/>
    <m/>
    <m/>
    <m/>
    <m/>
    <m/>
    <m/>
    <m/>
    <m/>
    <m/>
  </r>
  <r>
    <m/>
    <m/>
    <x v="153"/>
    <x v="56"/>
    <m/>
    <s v="“Transfemoral Yol ile Yapılan Girişimsel İşlemlerde Yüzeyel Ultrasonografinin Prognoz ve Mortaliteye Etkisinin Değerlendirilmesi”"/>
    <m/>
    <m/>
    <m/>
    <m/>
    <m/>
    <m/>
    <m/>
    <m/>
    <m/>
    <m/>
  </r>
  <r>
    <m/>
    <m/>
    <x v="153"/>
    <x v="56"/>
    <m/>
    <s v="“Yapay Zekanın Ventriküler Ekstrasistollerin Elektrokardiyografik Özelliklerine Göre Anatomik Lokalizasyonlarının Değerlendirilmesindeki Rolünün İncelenmesi”"/>
    <m/>
    <m/>
    <m/>
    <m/>
    <m/>
    <m/>
    <m/>
    <m/>
    <m/>
    <m/>
  </r>
  <r>
    <m/>
    <m/>
    <x v="153"/>
    <x v="56"/>
    <m/>
    <s v="“Hastanede Yatan 65 Yaş ve Üstü Bireylerde Sosyal Kırılganlığın Değerlendirilmesi ve Geriatrik Sendromlarla İlişkisi”"/>
    <m/>
    <m/>
    <m/>
    <m/>
    <m/>
    <m/>
    <m/>
    <m/>
    <m/>
    <m/>
  </r>
  <r>
    <m/>
    <m/>
    <x v="153"/>
    <x v="56"/>
    <m/>
    <s v="“Polikistik Over Sendromuna İlişkin Bilgi ve Algının Çok Dilli Video Tabanlı Eğitim ile Değerlendirilmesi”"/>
    <m/>
    <m/>
    <m/>
    <m/>
    <m/>
    <m/>
    <m/>
    <m/>
    <m/>
    <m/>
  </r>
  <r>
    <m/>
    <m/>
    <x v="153"/>
    <x v="56"/>
    <m/>
    <s v="“Periapikal Patolojisi Bulunan Dişlerde Primer Endodontik Tedavinin Başarısızlık Nedenlerinin İncelenmesi”"/>
    <m/>
    <m/>
    <m/>
    <m/>
    <m/>
    <m/>
    <m/>
    <m/>
    <m/>
    <m/>
  </r>
  <r>
    <m/>
    <m/>
    <x v="153"/>
    <x v="56"/>
    <m/>
    <s v="“Morganellaceae Ailesinde Antibiyotik Direnç Mekanizmalarının ve Virülans Faktörlerinin Fenotipik ve Genotipik Yöntemlerle İncelenmesi”"/>
    <m/>
    <m/>
    <m/>
    <m/>
    <m/>
    <m/>
    <m/>
    <m/>
    <m/>
    <m/>
  </r>
  <r>
    <m/>
    <m/>
    <x v="153"/>
    <x v="56"/>
    <m/>
    <s v="“Güncel Üniversal Kompozit Rezinlerin Polimerizasyon Büzülmesi ve Mikrosızıntı Açısından Karşılaştırılması”"/>
    <m/>
    <m/>
    <m/>
    <m/>
    <m/>
    <m/>
    <m/>
    <m/>
    <m/>
    <m/>
  </r>
  <r>
    <m/>
    <m/>
    <x v="153"/>
    <x v="56"/>
    <m/>
    <s v="“Peri-implantitis ve Periodontitiste İnflamatuvar ve Koruyucu Yanıt: Dişeti Islaklığı, Dişeti Oluğu Sıvısı ve Peri-implant Oluk Sıvısının TNF-α, IL-10, MUC4 Düzeylerinin İncelenmesi”"/>
    <m/>
    <m/>
    <m/>
    <m/>
    <m/>
    <m/>
    <m/>
    <m/>
    <m/>
    <m/>
  </r>
  <r>
    <m/>
    <m/>
    <x v="153"/>
    <x v="56"/>
    <m/>
    <s v="“Fasiyal Reanimasyonda Yeni Bir Donör Sinir: Servikal Sinirin Topografik ve Mikroanatomik Özelliklerinin İncelenmesi, Kadavra Çalışması”"/>
    <m/>
    <m/>
    <m/>
    <m/>
    <m/>
    <m/>
    <m/>
    <m/>
    <m/>
    <m/>
  </r>
  <r>
    <m/>
    <m/>
    <x v="153"/>
    <x v="56"/>
    <m/>
    <s v="“Sezon Öncesi Antrenman Yükü, Kuvvet Parametreleri ve Performans İlişkisinin Antrenman Takibi Yöntemleri ile Değerlendirmesi”"/>
    <m/>
    <m/>
    <m/>
    <m/>
    <m/>
    <m/>
    <m/>
    <m/>
    <m/>
    <m/>
  </r>
  <r>
    <m/>
    <m/>
    <x v="153"/>
    <x v="56"/>
    <m/>
    <s v="“Multipıl Skleroz Hastalarındaki Demiyelinizan Lezyonların, Non-demiyelinizan Lezyonlardan Duyarlılık Ağırlıklı MR Görüntüleme ile Ayrımı”"/>
    <m/>
    <m/>
    <m/>
    <m/>
    <m/>
    <m/>
    <m/>
    <m/>
    <m/>
    <m/>
  </r>
  <r>
    <m/>
    <m/>
    <x v="153"/>
    <x v="56"/>
    <m/>
    <s v="&quot;Santral Sinir Sistemi’nde T Hücreli Lenfomaların Görüntüleme Bulguları&quot;"/>
    <m/>
    <m/>
    <m/>
    <m/>
    <m/>
    <m/>
    <m/>
    <m/>
    <m/>
    <m/>
  </r>
  <r>
    <m/>
    <m/>
    <x v="153"/>
    <x v="56"/>
    <m/>
    <s v="“Torasik Outlet Sendromu Hastalarında Stellat Ganglion Bloğu ile Torasik Sempatik Bloğun Ağrı Yönetimindeki Etkinliğinin Karşılaştırılması”"/>
    <m/>
    <m/>
    <m/>
    <m/>
    <m/>
    <m/>
    <m/>
    <m/>
    <m/>
    <m/>
  </r>
  <r>
    <m/>
    <m/>
    <x v="153"/>
    <x v="56"/>
    <m/>
    <s v="“Türkiye'de Aile Hekimlerinin Kronik Ağrısı Olan Hastalara Yaklaşımı: Tanımlayıcı Çalışma”"/>
    <m/>
    <m/>
    <m/>
    <m/>
    <m/>
    <m/>
    <m/>
    <m/>
    <m/>
    <m/>
  </r>
  <r>
    <m/>
    <m/>
    <x v="153"/>
    <x v="56"/>
    <m/>
    <s v="“Koroner Arteriovenöz Fistül Hastalarının Tanı, Tedavi ve Takip Süreçlerinin Retrospektif Değerlendirilmesi”"/>
    <m/>
    <m/>
    <m/>
    <m/>
    <m/>
    <m/>
    <m/>
    <m/>
    <m/>
    <m/>
  </r>
  <r>
    <m/>
    <m/>
    <x v="153"/>
    <x v="56"/>
    <m/>
    <s v="“Yaş ve Cinsiyete Özgü Baldır Çevresi Persentilleri ile Geriatri Polikliniği Hastalarında Olası Sarkopeni Arasındaki İlişki”"/>
    <m/>
    <m/>
    <m/>
    <m/>
    <m/>
    <m/>
    <m/>
    <m/>
    <m/>
    <m/>
  </r>
  <r>
    <m/>
    <m/>
    <x v="153"/>
    <x v="56"/>
    <m/>
    <s v="“Aril Hidrokarbon Reseptörü İnhibisyonunun Kemik İliği Yağ Mezenkimal Kök Hücreleri Kaynaklı Ekstraselüler Veziküller Aracılığıyla Kemik İliği Nişine Olan Etkilerinin Araştırılması”"/>
    <m/>
    <m/>
    <m/>
    <m/>
    <m/>
    <m/>
    <m/>
    <m/>
    <m/>
    <m/>
  </r>
  <r>
    <m/>
    <m/>
    <x v="153"/>
    <x v="56"/>
    <m/>
    <s v="“Femoral ve Karotis Plak Yükünün Uzun Dönem Takipte Aterosklerotik Vasküler Olaylar ile İlişkisinin Değerlendirilmesi”"/>
    <m/>
    <m/>
    <m/>
    <m/>
    <m/>
    <m/>
    <m/>
    <m/>
    <m/>
    <m/>
  </r>
  <r>
    <m/>
    <m/>
    <x v="153"/>
    <x v="56"/>
    <m/>
    <s v="“Düşük İmmün Reaktif Tripsinojen (IRT) Değerleri Nedeniyle Yenidoğan Taramasından Kaçan Kistik Fibrozisli Çocukların Özellikleri ve Taramada Yakalanan Hasta Grubu ile Karşılaştırılması”"/>
    <m/>
    <m/>
    <m/>
    <m/>
    <m/>
    <m/>
    <m/>
    <m/>
    <m/>
    <m/>
  </r>
  <r>
    <m/>
    <m/>
    <x v="153"/>
    <x v="56"/>
    <m/>
    <s v="“Kafein ve L-Karnitin Takviyesinin Koşucularda Substrat Oksidasyonu ve Solunumsal Eşik Şiddeti Üzerindeki Koşu Performansýna Etkisi”"/>
    <m/>
    <m/>
    <m/>
    <m/>
    <m/>
    <m/>
    <m/>
    <m/>
    <m/>
    <m/>
  </r>
  <r>
    <m/>
    <m/>
    <x v="153"/>
    <x v="56"/>
    <m/>
    <s v="“Psöriazis Tanılı Biyolojik Tedavi Alan Kronik Hepatit B Enfeksiyonu Olan Hastalarda Hepatik Fibrozisin Transient Elastografi ile Değerlendirilmesi”"/>
    <m/>
    <m/>
    <m/>
    <m/>
    <m/>
    <m/>
    <m/>
    <m/>
    <m/>
    <m/>
  </r>
  <r>
    <m/>
    <m/>
    <x v="153"/>
    <x v="56"/>
    <m/>
    <s v="“Kolşisin Dirençli Ailevi Akdeniz Ateşinin Yönetiminde Klinisyen Yaklaşımlarının Anket ile Araştırılması”"/>
    <m/>
    <m/>
    <m/>
    <m/>
    <m/>
    <m/>
    <m/>
    <m/>
    <m/>
    <m/>
  </r>
  <r>
    <m/>
    <m/>
    <x v="153"/>
    <x v="56"/>
    <m/>
    <s v="&quot;Ankilozan Spondiliti Olan ve Olmayan Bireylerde Asil ve Supraspinatus Entez Bölgelerinin Karşılaştırılması ve Ankilozan Spondilit Hastalik Aktivitesi ve Fonksiyonel Durumu ile İlişkilendirilmesi&quot;"/>
    <m/>
    <m/>
    <m/>
    <m/>
    <m/>
    <m/>
    <m/>
    <m/>
    <m/>
    <m/>
  </r>
  <r>
    <m/>
    <m/>
    <x v="153"/>
    <x v="56"/>
    <m/>
    <s v="“Juvenil Skleroderma Tanılı Hastaların Özelliklerinin Belirlenmesi”"/>
    <m/>
    <m/>
    <m/>
    <m/>
    <m/>
    <m/>
    <m/>
    <m/>
    <m/>
    <m/>
  </r>
  <r>
    <m/>
    <m/>
    <x v="153"/>
    <x v="56"/>
    <m/>
    <s v="“Major Depresyon Bozukluğunda SSRI Tedavisinin Başarısını Öngören, Emosyonel EEG Tabanlı, Çizge Kuramsal ve Nedensel Bir Prognostik Belirteç Araştırması”"/>
    <m/>
    <m/>
    <m/>
    <m/>
    <m/>
    <m/>
    <m/>
    <m/>
    <m/>
    <m/>
  </r>
  <r>
    <m/>
    <m/>
    <x v="153"/>
    <x v="56"/>
    <m/>
    <s v="“İskelet Displazili Çocuklarda Geçici Hemiepifizyodez Cerrahisi Sonrası Radyolojik Sonuçlar ve Rekürrens Eğilimleri”"/>
    <m/>
    <m/>
    <m/>
    <m/>
    <m/>
    <m/>
    <m/>
    <m/>
    <m/>
    <m/>
  </r>
  <r>
    <m/>
    <m/>
    <x v="153"/>
    <x v="56"/>
    <m/>
    <s v="“Pierre Robin Sekanslı Hastalarda Distraksiyon Osteogenezis Uygulamasının Dentofasiyal Yapılara Uzun Dönemdeki Etkisi”"/>
    <m/>
    <m/>
    <m/>
    <m/>
    <m/>
    <m/>
    <m/>
    <m/>
    <m/>
    <m/>
  </r>
  <r>
    <m/>
    <m/>
    <x v="153"/>
    <x v="56"/>
    <m/>
    <s v="&quot;Şeffaf Plak Tedavilerinde Kullanılan Ataşmanların Hastaların Estetik ve Fonksiyon Algılarının Üzerine Etkisinin Değerlendirilmesi&quot;"/>
    <m/>
    <m/>
    <m/>
    <m/>
    <m/>
    <m/>
    <m/>
    <m/>
    <m/>
    <m/>
  </r>
  <r>
    <m/>
    <m/>
    <x v="153"/>
    <x v="56"/>
    <m/>
    <s v="&quot;Yüz Dikey Yüksekliği Farklı Olan Kadınlarda Degişen Üst Lateral Diş Boyutlarınım Gülümseme Estetiğine Etkisi”"/>
    <m/>
    <m/>
    <m/>
    <m/>
    <m/>
    <m/>
    <m/>
    <m/>
    <m/>
    <m/>
  </r>
  <r>
    <m/>
    <m/>
    <x v="153"/>
    <x v="56"/>
    <m/>
    <s v="“Neoadjuvan Kemoterapi, Cerrahi ve Adjuvan Radyoterapi Uygulanan Meme Kanserli Olgularda HER2- Düzeyi ile Sağkalım İlişkisi ”"/>
    <m/>
    <m/>
    <m/>
    <m/>
    <m/>
    <m/>
    <m/>
    <m/>
    <m/>
    <m/>
  </r>
  <r>
    <m/>
    <m/>
    <x v="153"/>
    <x v="56"/>
    <m/>
    <s v="“İnvaziv Lobüler Meme Kanserinde Pozitron Emisyon Tomografisi / Bilgisayarlı Tomografi Görüntüleme Yöntemi ile Hastalık Heterojenitesinin Değerlendirmesi”"/>
    <m/>
    <m/>
    <m/>
    <m/>
    <m/>
    <m/>
    <m/>
    <m/>
    <m/>
    <m/>
  </r>
  <r>
    <m/>
    <m/>
    <x v="153"/>
    <x v="56"/>
    <m/>
    <s v="“Cerrahi Olarak Tedavi Edilen Pelvik Fragilite Kırığı Olan Hastaların Retrospektif Olarak Değerlendirilmesi: Fonksiyonel ve Radyolojik Bulgular”"/>
    <m/>
    <m/>
    <m/>
    <m/>
    <m/>
    <m/>
    <m/>
    <m/>
    <m/>
    <m/>
  </r>
  <r>
    <m/>
    <m/>
    <x v="153"/>
    <x v="56"/>
    <m/>
    <s v="“ICIQ-FLUTS ve ICIQ-MLUTS Skorlarının Ürodinamik Tanılarla İlişkisi: Retrospektif Bir Analiz”"/>
    <m/>
    <m/>
    <m/>
    <m/>
    <m/>
    <m/>
    <m/>
    <m/>
    <m/>
    <m/>
  </r>
  <r>
    <m/>
    <m/>
    <x v="153"/>
    <x v="56"/>
    <m/>
    <s v="“Nöroloji ve Çocuk Nöroloji Bölümlerinden Çocuk İmmünoloji Bölümüne Konsulte Edilen ve Primer İmmün Yetmezlik Tanısı Konulan Hastaların İncelenmesi”"/>
    <m/>
    <m/>
    <m/>
    <m/>
    <m/>
    <m/>
    <m/>
    <m/>
    <m/>
    <m/>
  </r>
  <r>
    <m/>
    <m/>
    <x v="153"/>
    <x v="56"/>
    <m/>
    <s v="“2500 Hastalık Vaka Serisiyle Primer Dudak ve Damak Yarıkları: Epidemiyolojik, Cerrahi ve Postoperatif Komplikasyonların Erken ve Geç Dönem İlişkisinin Analizi”"/>
    <m/>
    <m/>
    <m/>
    <m/>
    <m/>
    <m/>
    <m/>
    <m/>
    <m/>
    <m/>
  </r>
  <r>
    <m/>
    <m/>
    <x v="153"/>
    <x v="56"/>
    <m/>
    <s v="&quot;Manyetik Rezonans Görüntülemede Difüzyon Ağırlıklı Görüntüleme Ovaryan ve Adneksal Lezyonları Raporlama ve Veri Sistemi– Manyetik Rezonans Skorlama Skalasının İsabetine Katkısı&quot;"/>
    <m/>
    <m/>
    <m/>
    <m/>
    <m/>
    <m/>
    <m/>
    <m/>
    <m/>
    <m/>
  </r>
  <r>
    <m/>
    <m/>
    <x v="153"/>
    <x v="56"/>
    <m/>
    <s v="“Yenidoğan Taraması ile Tanı Alan Spinal Musküler Atrofili Çocukların Tedavi Altında +2. Yıl Fonksiyonel İzlem Sonuçları: Hacettepe Örneği”"/>
    <m/>
    <m/>
    <m/>
    <m/>
    <m/>
    <m/>
    <m/>
    <m/>
    <m/>
    <m/>
  </r>
  <r>
    <m/>
    <m/>
    <x v="153"/>
    <x v="56"/>
    <m/>
    <s v="“Çocukluk Çağı Tümörleri İlişkili Trombüslerde Cerrahi Tedavi Yöntemleri”"/>
    <m/>
    <m/>
    <m/>
    <m/>
    <m/>
    <m/>
    <m/>
    <m/>
    <m/>
    <m/>
  </r>
  <r>
    <m/>
    <m/>
    <x v="153"/>
    <x v="56"/>
    <m/>
    <s v="“Çocuk Hastalarda Ekstragonadal Germ Hücreli Tümörlerin Klinik, Patolojik Özellikleri ve LIN28 ile İmmunohistokimyasal Analizi”"/>
    <m/>
    <m/>
    <m/>
    <m/>
    <m/>
    <m/>
    <m/>
    <m/>
    <m/>
    <m/>
  </r>
  <r>
    <m/>
    <m/>
    <x v="153"/>
    <x v="56"/>
    <m/>
    <s v="“Primer Dudak Damak Yarıklı Hastalarda Eşlik Eden Anomalilerin Operasyon Yaşı ve Erken Dönem Postoperatif Komplikasyonlarla İlişkisi"/>
    <m/>
    <m/>
    <m/>
    <m/>
    <m/>
    <m/>
    <m/>
    <m/>
    <m/>
    <m/>
  </r>
  <r>
    <m/>
    <m/>
    <x v="153"/>
    <x v="56"/>
    <m/>
    <s v="“Erişkin Kistik Fibrozis Hastalarında Genotiplere Göre Modülatör Tedavi Etkinliğinin Değerlendirilmesi”"/>
    <m/>
    <m/>
    <m/>
    <m/>
    <m/>
    <m/>
    <m/>
    <m/>
    <m/>
    <m/>
  </r>
  <r>
    <m/>
    <m/>
    <x v="153"/>
    <x v="56"/>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53"/>
    <x v="56"/>
    <m/>
    <s v="“Pediatrik Wilson Hastalarında Nörotoksisitenin Değerlendirilmesi”"/>
    <m/>
    <m/>
    <m/>
    <m/>
    <m/>
    <m/>
    <m/>
    <m/>
    <m/>
    <m/>
  </r>
  <r>
    <m/>
    <m/>
    <x v="153"/>
    <x v="56"/>
    <m/>
    <s v="“Abdominal Patolojilerin Radyolojik Tanısına Yönelik Derin Öğrenme Modeli Geliştirilmesi.”"/>
    <m/>
    <m/>
    <m/>
    <m/>
    <m/>
    <m/>
    <m/>
    <m/>
    <m/>
    <m/>
  </r>
  <r>
    <m/>
    <m/>
    <x v="153"/>
    <x v="56"/>
    <m/>
    <s v="“Çocukluk Çağında Pankreatit”"/>
    <m/>
    <m/>
    <m/>
    <m/>
    <m/>
    <m/>
    <m/>
    <m/>
    <m/>
    <m/>
  </r>
  <r>
    <m/>
    <m/>
    <x v="153"/>
    <x v="56"/>
    <m/>
    <s v="“Farklı Materyaller ve Kalınlıklar ile Taklit Edilen Periodontal Ligamentin Kök Kanal Tedavili Dişlerde Kırılma Dayanımı Üzerindeki Etkisi: İn Vitro Çalışma”"/>
    <m/>
    <m/>
    <m/>
    <m/>
    <m/>
    <m/>
    <m/>
    <m/>
    <m/>
    <m/>
  </r>
  <r>
    <m/>
    <m/>
    <x v="153"/>
    <x v="56"/>
    <m/>
    <s v="“İmmünoterapi Alan Hastalarda İmmün Yan Etki Gelişimini Predikte Eden Klinik ve Genetik Belirteçler”"/>
    <m/>
    <m/>
    <m/>
    <m/>
    <m/>
    <m/>
    <m/>
    <m/>
    <m/>
    <m/>
  </r>
  <r>
    <m/>
    <m/>
    <x v="153"/>
    <x v="56"/>
    <m/>
    <s v="“Üst Aerodigestif Sistem Mukozal Lezyonların Analizinde Dar Bant Görüntülemenin Yeri, Verilerin Histopatolojik İnceleme ile Karşılaştırılması”"/>
    <m/>
    <m/>
    <m/>
    <m/>
    <m/>
    <m/>
    <m/>
    <m/>
    <m/>
    <m/>
  </r>
  <r>
    <m/>
    <m/>
    <x v="153"/>
    <x v="56"/>
    <m/>
    <s v="“Çocuklarda Cerrahi Sonrası Geliştirilmiş İyileştirme (Enhanced Recovery After Surgery: ERAS) Programı Uygulamaları”"/>
    <m/>
    <m/>
    <m/>
    <m/>
    <m/>
    <m/>
    <m/>
    <m/>
    <m/>
    <m/>
  </r>
  <r>
    <m/>
    <m/>
    <x v="153"/>
    <x v="56"/>
    <m/>
    <s v="“Kırım- Kongo Kanamalı Ateşi Tanılı Çocuk ve Erişkin Hastaların Sitokin ve Kemokin Yanıtlarının Değerlendirilmesi”"/>
    <m/>
    <m/>
    <m/>
    <m/>
    <m/>
    <m/>
    <m/>
    <m/>
    <m/>
    <m/>
  </r>
  <r>
    <m/>
    <m/>
    <x v="153"/>
    <x v="56"/>
    <m/>
    <s v="“Toraks BT Görüntülerinde İnterstisyel Akciğer Hastalığı Tespiti Amacıyla Akciğer Desen Analizine Yönelik Yapay Zeka Uygulaması”"/>
    <m/>
    <m/>
    <m/>
    <m/>
    <m/>
    <m/>
    <m/>
    <m/>
    <m/>
    <m/>
  </r>
  <r>
    <m/>
    <m/>
    <x v="153"/>
    <x v="56"/>
    <m/>
    <s v="'Mitral Kapak Replasmanı Sonrası Postoperatif Mitral Gradient ile Kapak Boyutu, Vücut Kitle İndeksi ve Sol Atrium Çapı Arasındakı İlişkinin Retrospektif Analizi''"/>
    <m/>
    <m/>
    <m/>
    <m/>
    <m/>
    <m/>
    <m/>
    <m/>
    <m/>
    <m/>
  </r>
  <r>
    <m/>
    <m/>
    <x v="153"/>
    <x v="56"/>
    <m/>
    <s v="“Preoperatif Uyku Kalitesinin Mandibular Gömülü Üçüncü Molar Diş Çekimi Sonrası Ağrı ve Ödem Üzerine Etkisi”"/>
    <m/>
    <m/>
    <m/>
    <m/>
    <m/>
    <m/>
    <m/>
    <m/>
    <m/>
    <m/>
  </r>
  <r>
    <m/>
    <m/>
    <x v="153"/>
    <x v="56"/>
    <m/>
    <s v="“Aile Hekimliği Uzmanlık Öğrencileri İçin EASM Rotasyonu Öncesi Çevrimiçi Bir Oryantasyon Eğitimi Programının Geliştirilmesi ve Etkinliğinin Değerlendirilmesi”"/>
    <m/>
    <m/>
    <m/>
    <m/>
    <m/>
    <m/>
    <m/>
    <m/>
    <m/>
    <m/>
  </r>
  <r>
    <m/>
    <m/>
    <x v="153"/>
    <x v="56"/>
    <m/>
    <s v="“Nemalin Miyopatisi Olan Hastalar için Çok Merkezli, Prospektif, Uzunlamasına ve Gözlemsel Bir Doğal Seyir Çalışması”"/>
    <m/>
    <m/>
    <m/>
    <m/>
    <m/>
    <m/>
    <m/>
    <m/>
    <m/>
    <m/>
  </r>
  <r>
    <m/>
    <m/>
    <x v="153"/>
    <x v="56"/>
    <m/>
    <s v="“Femur Başı Avasküler Nekrozu Olan Hastalarda Tedavi Modalitelerinin ve Sağkalımın Retrospektif Olarak Değerlendirilmesi”"/>
    <m/>
    <m/>
    <m/>
    <m/>
    <m/>
    <m/>
    <m/>
    <m/>
    <m/>
    <m/>
  </r>
  <r>
    <m/>
    <m/>
    <x v="153"/>
    <x v="56"/>
    <m/>
    <s v="“Çocukluk Çağında Nintedanib Kullanımı: Tek Merkez Deneyimi”"/>
    <m/>
    <m/>
    <m/>
    <m/>
    <m/>
    <m/>
    <m/>
    <m/>
    <m/>
    <m/>
  </r>
  <r>
    <m/>
    <m/>
    <x v="153"/>
    <x v="56"/>
    <m/>
    <s v="“Emzirme Danışmanlığı Merkezi’ne Başvuran Ebeveynlerde Postpartum Depresyon Saptanma Durumunun ve İlişkili Faktörlerin Değerlendirilmesi: Retrospektif Kohort Çalışması”"/>
    <m/>
    <m/>
    <m/>
    <m/>
    <m/>
    <m/>
    <m/>
    <m/>
    <m/>
    <m/>
  </r>
  <r>
    <m/>
    <m/>
    <x v="153"/>
    <x v="56"/>
    <m/>
    <s v="“Tıp Fakültesi ve Beslenme ve Diyetetik Bölümü Öğrencilerinin Hasta Güvenliği ve Mesleklerarası İşbirliği Programına Yönelik Görüşleri”"/>
    <m/>
    <m/>
    <m/>
    <m/>
    <m/>
    <m/>
    <m/>
    <m/>
    <m/>
    <m/>
  </r>
  <r>
    <m/>
    <m/>
    <x v="153"/>
    <x v="56"/>
    <m/>
    <s v="“Çocukluk Çağı Akut Arteriyel İskemik İnme Tanısı Alan Hastalarda Etiyoloji, Tedavi Yaklaşımı ve Nörolojik Sonuçlarının Değerlendirilmesi”"/>
    <m/>
    <m/>
    <m/>
    <m/>
    <m/>
    <m/>
    <m/>
    <m/>
    <m/>
    <m/>
  </r>
  <r>
    <m/>
    <m/>
    <x v="153"/>
    <x v="56"/>
    <m/>
    <s v="“18-49 Yaş Arası Kadınların Birinci Basamakta Yapılan Jinekolojik Muayene Hakkındaki Görüş ve Deneyimleri”"/>
    <m/>
    <m/>
    <m/>
    <m/>
    <m/>
    <m/>
    <m/>
    <m/>
    <m/>
    <m/>
  </r>
  <r>
    <m/>
    <m/>
    <x v="153"/>
    <x v="56"/>
    <m/>
    <s v="“Mesleklerarası İşbirliği Programına Yönelik Öğrenci ve Eğitici Görüşleri: Program Değerlendirme Çalışması”"/>
    <m/>
    <m/>
    <m/>
    <m/>
    <m/>
    <m/>
    <m/>
    <m/>
    <m/>
    <m/>
  </r>
  <r>
    <m/>
    <m/>
    <x v="153"/>
    <x v="56"/>
    <m/>
    <s v="“Asitretin Tedavisi Almış Psoriazis Vulgaris Tanılı Hastalarda FIB-4 Skorunun Retrospektif Değerlendirilmesi”"/>
    <m/>
    <m/>
    <m/>
    <m/>
    <m/>
    <m/>
    <m/>
    <m/>
    <m/>
    <m/>
  </r>
  <r>
    <m/>
    <m/>
    <x v="153"/>
    <x v="56"/>
    <m/>
    <s v="“Klinik Nütrisyon Tedavisinde Hedefe Ulaşmada Önemli Bir Bariyer: Refeedin Sendromu”"/>
    <m/>
    <m/>
    <m/>
    <m/>
    <m/>
    <m/>
    <m/>
    <m/>
    <m/>
    <m/>
  </r>
  <r>
    <m/>
    <m/>
    <x v="153"/>
    <x v="56"/>
    <m/>
    <s v="&quot;İleri Yaşlı Bireylerde Trombosit Lenfosit Oranı ile Disfaji Arasındaki İlişki”"/>
    <m/>
    <m/>
    <m/>
    <m/>
    <m/>
    <m/>
    <m/>
    <m/>
    <m/>
    <m/>
  </r>
  <r>
    <m/>
    <m/>
    <x v="153"/>
    <x v="56"/>
    <m/>
    <s v="“Bruselloz Tanılı Çocukların Sitokin ve Kemokin Yanıtlarının Değerlendirilmesi”"/>
    <m/>
    <m/>
    <m/>
    <m/>
    <m/>
    <m/>
    <m/>
    <m/>
    <m/>
    <m/>
  </r>
  <r>
    <m/>
    <m/>
    <x v="153"/>
    <x v="56"/>
    <m/>
    <s v="“Acil İstenen EEG’lerin Tanısal Değeri ve Tedaviye Katkısı”"/>
    <m/>
    <m/>
    <m/>
    <m/>
    <m/>
    <m/>
    <m/>
    <m/>
    <m/>
    <m/>
  </r>
  <r>
    <m/>
    <m/>
    <x v="153"/>
    <x v="56"/>
    <m/>
    <s v="“Anne Adaylarının İşitme Kaybı Risk Faktörleri ve Erken Korunma Hakkındaki Farkındalıklarının Belirlenmesi ve Eğitimi”"/>
    <m/>
    <m/>
    <m/>
    <m/>
    <m/>
    <m/>
    <m/>
    <m/>
    <m/>
    <m/>
  </r>
  <r>
    <m/>
    <m/>
    <x v="153"/>
    <x v="56"/>
    <m/>
    <s v="“Ekran Maruziyetinin Çocukların İşitme, Konuşma ve Dil Becerilerine Etkisi Konusunda Ebeveyn Farkındalığının İncelenmesi ve Bilgilendirilmesi”"/>
    <m/>
    <m/>
    <m/>
    <m/>
    <m/>
    <m/>
    <m/>
    <m/>
    <m/>
    <m/>
  </r>
  <r>
    <m/>
    <m/>
    <x v="153"/>
    <x v="56"/>
    <m/>
    <s v="“Panoramik Radyografik Görüntüler Kullanılarak Angle Sınıf I, II ve III Malokluzyona Sahip Hastalarda Mandibular Kemik Dansite ve Morfolojisinin Karşılaştırılması”"/>
    <m/>
    <m/>
    <m/>
    <m/>
    <m/>
    <m/>
    <m/>
    <m/>
    <m/>
    <m/>
  </r>
  <r>
    <m/>
    <m/>
    <x v="153"/>
    <x v="56"/>
    <m/>
    <s v="“Uyku Apnesinde Cerrahi Tedavi Olan ve  Pozitif Havayolu Basıncı(CPAP) Cihazı Kullanan Hastalarla, Amelyat Olmadan CPAP Tedavisi Kullanan Hastaların CPAP Basınç ve Titrasyon  Farklılıklarının Saptanması”"/>
    <m/>
    <m/>
    <m/>
    <m/>
    <m/>
    <m/>
    <m/>
    <m/>
    <m/>
    <m/>
  </r>
  <r>
    <m/>
    <m/>
    <x v="153"/>
    <x v="56"/>
    <m/>
    <s v="“Kurtarıcı Kardeş Uygulamasının Etik Boyutları: Uzman Hekimlerin Yaklaşımları”"/>
    <m/>
    <m/>
    <m/>
    <m/>
    <m/>
    <m/>
    <m/>
    <m/>
    <m/>
    <m/>
  </r>
  <r>
    <m/>
    <m/>
    <x v="153"/>
    <x v="56"/>
    <m/>
    <s v="“Membranöz Nefropati Hastalarında Tiroid Kanseri Taramasının Önemi”"/>
    <m/>
    <m/>
    <m/>
    <m/>
    <m/>
    <m/>
    <m/>
    <m/>
    <m/>
    <m/>
  </r>
  <r>
    <m/>
    <m/>
    <x v="153"/>
    <x v="56"/>
    <m/>
    <s v="“Pediatrik Nöroloji Polikliniğinde Nörogenetik Hastalıkların Dağılımı”"/>
    <m/>
    <m/>
    <m/>
    <m/>
    <m/>
    <m/>
    <m/>
    <m/>
    <m/>
    <m/>
  </r>
  <r>
    <m/>
    <m/>
    <x v="153"/>
    <x v="56"/>
    <m/>
    <s v="“ Santral Sinir Sistemi Atipik Demiyelinizan Olgularında Klinik, Radyolojik ve Patolojik Değerlendirme ”"/>
    <m/>
    <m/>
    <m/>
    <m/>
    <m/>
    <m/>
    <m/>
    <m/>
    <m/>
    <m/>
  </r>
  <r>
    <m/>
    <m/>
    <x v="153"/>
    <x v="56"/>
    <m/>
    <s v="&quot;Zigomatikomaksiller Kompleks Fraktürlerinde 2 Nokta ve 3 Nokta Fiksasyonunun Uzun Dönem Stabilite ve Orbital Hacim Açısından Kraniyometrik Analizi&quot;"/>
    <m/>
    <m/>
    <m/>
    <m/>
    <m/>
    <m/>
    <m/>
    <m/>
    <m/>
    <m/>
  </r>
  <r>
    <m/>
    <m/>
    <x v="153"/>
    <x v="56"/>
    <m/>
    <s v="“Kistik Fibrozis Yenidoğan Tarama Programı: 10 Yıllık Retrospektif Analiz ve Tanısal Değerlendirme”"/>
    <m/>
    <m/>
    <m/>
    <m/>
    <m/>
    <m/>
    <m/>
    <m/>
    <m/>
    <m/>
  </r>
  <r>
    <m/>
    <m/>
    <x v="153"/>
    <x v="56"/>
    <m/>
    <s v="“Arttırılmış Eksantrik Yük Uygulamasının Derinlik Sıçraması Üzerine Akut Etkisinin İncelenmesi”"/>
    <m/>
    <m/>
    <m/>
    <m/>
    <m/>
    <m/>
    <m/>
    <m/>
    <m/>
    <m/>
  </r>
  <r>
    <m/>
    <m/>
    <x v="153"/>
    <x v="56"/>
    <m/>
    <s v="“Atopik Dermatit Tanılı Adölesan Hastalarda Menstrüasyon Siklusun Hastalık Aktivitesi Üzerine Etkisi”"/>
    <m/>
    <m/>
    <m/>
    <m/>
    <m/>
    <m/>
    <m/>
    <m/>
    <m/>
    <m/>
  </r>
  <r>
    <m/>
    <m/>
    <x v="153"/>
    <x v="56"/>
    <m/>
    <s v="“Duygusal Zekâ Temelli Etkinliklerin Konuşma Akıcılığına, Duygusal Zekâya ve Beyin Bağlantısallık Ağlarına Etkisi”"/>
    <m/>
    <m/>
    <m/>
    <m/>
    <m/>
    <m/>
    <m/>
    <m/>
    <m/>
    <m/>
  </r>
  <r>
    <m/>
    <m/>
    <x v="153"/>
    <x v="56"/>
    <m/>
    <s v="“Tıp Fakültesi Öğrencilerinin Anatomi Eğitiminde Kullandıkları Yapay Zeka Araçları Hakkındaki Tutum ve Görüşleri”"/>
    <m/>
    <m/>
    <m/>
    <m/>
    <m/>
    <m/>
    <m/>
    <m/>
    <m/>
    <m/>
  </r>
  <r>
    <m/>
    <m/>
    <x v="153"/>
    <x v="56"/>
    <m/>
    <s v="“Erişkin Özofagus Atrezilere Özgü Hayat Kalitesi Anketi”"/>
    <m/>
    <m/>
    <m/>
    <m/>
    <m/>
    <m/>
    <m/>
    <m/>
    <m/>
    <m/>
  </r>
  <r>
    <m/>
    <m/>
    <x v="153"/>
    <x v="56"/>
    <m/>
    <s v="“Atipik Alzheimer Varyantlarında Glimfatik Sistem, Serebral Perfüzyon ve APOE Genotipinin Bütüncül Değerlendirmesi: Pilot Nörogörüntüleme ve Genetik Çalışma”"/>
    <m/>
    <m/>
    <m/>
    <m/>
    <m/>
    <m/>
    <m/>
    <m/>
    <m/>
    <m/>
  </r>
  <r>
    <m/>
    <m/>
    <x v="153"/>
    <x v="56"/>
    <m/>
    <s v="“Özofagus Atrezili Çocuklarda Tekrarlayan Trakeoözofageal Fistüllerin Yönetimi”"/>
    <m/>
    <m/>
    <m/>
    <m/>
    <m/>
    <m/>
    <m/>
    <m/>
    <m/>
    <m/>
  </r>
  <r>
    <m/>
    <m/>
    <x v="153"/>
    <x v="56"/>
    <m/>
    <s v="“Ağır Akciğer Hastalığı Olan Kistik Fibrozis Hastalarında Modulatör Tedavinin Akciğer Nakil Gereksinimine Etkisi: Ulusal Kistik Fibrozis Kayıt Sistemi Verilerinin İncelenmesi”"/>
    <m/>
    <m/>
    <m/>
    <m/>
    <m/>
    <m/>
    <m/>
    <m/>
    <m/>
    <m/>
  </r>
  <r>
    <m/>
    <m/>
    <x v="153"/>
    <x v="56"/>
    <m/>
    <s v="“Tiroid Göz Hastalığında Hastalık Şiddetinin Oftalmolojik ve Ortoptik Klinik Bulgular ile Korelasyonu”"/>
    <m/>
    <m/>
    <m/>
    <m/>
    <m/>
    <m/>
    <m/>
    <m/>
    <m/>
    <m/>
  </r>
  <r>
    <m/>
    <m/>
    <x v="153"/>
    <x v="56"/>
    <m/>
    <s v="“Kemik Tümörleri Nedeniyle Yapılan Segmental Kemik Rezeksiyonları Sonrası Oluşan Defektlerin Otogreft ve Tümör Protezi Yöntemleriyle Rekonstrüksiyonlarının Karşılaştırılması”"/>
    <m/>
    <m/>
    <m/>
    <m/>
    <m/>
    <m/>
    <m/>
    <m/>
    <m/>
    <m/>
  </r>
  <r>
    <m/>
    <m/>
    <x v="153"/>
    <x v="56"/>
    <m/>
    <s v="“5 Yaş Altı Hastalarda İstismar ve İhmal Değerlendirilmesi, Sandığımız Kadar Nadir Mi?”"/>
    <m/>
    <m/>
    <m/>
    <m/>
    <m/>
    <m/>
    <m/>
    <m/>
    <m/>
    <m/>
  </r>
  <r>
    <m/>
    <m/>
    <x v="153"/>
    <x v="56"/>
    <m/>
    <s v="“Konjenital Tibia Psödoartrozunda Ilizarov Tekniği ile Vaskülarize Fibula Grefti Kombinasyonunun Cerrahi Sonuçlarının Değerlendirilmesi”"/>
    <m/>
    <m/>
    <m/>
    <m/>
    <m/>
    <m/>
    <m/>
    <m/>
    <m/>
    <m/>
  </r>
  <r>
    <m/>
    <m/>
    <x v="153"/>
    <x v="56"/>
    <m/>
    <s v="“Geriatrik Popülasyonda Uykusuzluğu Ölçmeye Yönelik Bergen Uykusuzluk Ölçeğinin Türkçe Geçerlik ve Güvenirlik Çalışması”"/>
    <m/>
    <m/>
    <m/>
    <m/>
    <m/>
    <m/>
    <m/>
    <m/>
    <m/>
    <m/>
  </r>
  <r>
    <m/>
    <m/>
    <x v="153"/>
    <x v="56"/>
    <m/>
    <s v="“Legg-Calve-Perthes Hastalığı Olan Çocukların Kalça Eklem Sıvısından Alınan Örneklerinde Mikroorganizma Araştırılması: Karşılaştırmalı Prospektif Çalışma”"/>
    <m/>
    <m/>
    <m/>
    <m/>
    <m/>
    <m/>
    <m/>
    <m/>
    <m/>
    <m/>
  </r>
  <r>
    <m/>
    <m/>
    <x v="153"/>
    <x v="56"/>
    <m/>
    <s v="“Sarkopenik Obezite ile Serum İlişkili İnflamasyon Belirteçlerin İlişkisinin İncelenmesi”"/>
    <m/>
    <m/>
    <m/>
    <m/>
    <m/>
    <m/>
    <m/>
    <m/>
    <m/>
    <m/>
  </r>
  <r>
    <m/>
    <m/>
    <x v="153"/>
    <x v="56"/>
    <m/>
    <s v="“Psoriatik Tırnak ve Onikomikozda Klinik ve Dermoskopik Özelliklerin Karşılaştırılması”"/>
    <m/>
    <m/>
    <m/>
    <m/>
    <m/>
    <m/>
    <m/>
    <m/>
    <m/>
    <m/>
  </r>
  <r>
    <m/>
    <m/>
    <x v="153"/>
    <x v="56"/>
    <m/>
    <s v="“Alerjik ve Alerjik Olmayan Astımlı Çocuklardan İzole Edilen Eozinofillerde Oksidatif Stres Cevap Mekanizmalarının Araştırılması”"/>
    <m/>
    <m/>
    <m/>
    <m/>
    <m/>
    <m/>
    <m/>
    <m/>
    <m/>
    <m/>
  </r>
  <r>
    <m/>
    <m/>
    <x v="153"/>
    <x v="56"/>
    <m/>
    <s v="“İşitme Kayıplı Hastalarda Multidisipliner İmplant Konseyi Kararları ile ChatGPT Yanıtlarının Karşılaştırılması”"/>
    <m/>
    <m/>
    <m/>
    <m/>
    <m/>
    <m/>
    <m/>
    <m/>
    <m/>
    <m/>
  </r>
  <r>
    <m/>
    <m/>
    <x v="153"/>
    <x v="56"/>
    <m/>
    <s v="“Fetal Anemi Nedeniyle İntrauterin Kan Transfüzyonu Yapılan Bebeklerin Kısa ve Uzun Dönem Nörolojik Sonuçlarının Değerlendirmesi”"/>
    <m/>
    <m/>
    <m/>
    <m/>
    <m/>
    <m/>
    <m/>
    <m/>
    <m/>
    <m/>
  </r>
  <r>
    <m/>
    <m/>
    <x v="153"/>
    <x v="56"/>
    <m/>
    <s v="“Pre-menopozal ve Post-menopozal Kadınlarda Odyolojik ve Vestibüler Fonksiyonların Karşılaştırılması”"/>
    <m/>
    <m/>
    <m/>
    <m/>
    <m/>
    <m/>
    <m/>
    <m/>
    <m/>
    <m/>
  </r>
  <r>
    <m/>
    <m/>
    <x v="153"/>
    <x v="56"/>
    <m/>
    <s v="&quot;Serviks Kanserinde Kemoradyoterapi Öncesi ve Sürecindeki Sarkopeni ve Klinik Önemi&quot;"/>
    <m/>
    <m/>
    <m/>
    <m/>
    <m/>
    <m/>
    <m/>
    <m/>
    <m/>
    <m/>
  </r>
  <r>
    <m/>
    <m/>
    <x v="153"/>
    <x v="56"/>
    <m/>
    <s v="“İç Hastalıkları Servislerinde İntravenöz Diüretik Tedavisi Amacıyla Yatan Hipervolemik Hastaların Diüretik Doz Etkinliğinin İdrar Sodyumu İle Değerlendirilmesi”"/>
    <m/>
    <m/>
    <m/>
    <m/>
    <m/>
    <m/>
    <m/>
    <m/>
    <m/>
    <m/>
  </r>
  <r>
    <m/>
    <m/>
    <x v="153"/>
    <x v="56"/>
    <m/>
    <s v="“Yoğun Bakım Ünitesinde İntravenöz Sıvı Kullanımının Değerlendirilmesi”"/>
    <m/>
    <m/>
    <m/>
    <m/>
    <m/>
    <m/>
    <m/>
    <m/>
    <m/>
    <m/>
  </r>
  <r>
    <m/>
    <m/>
    <x v="153"/>
    <x v="56"/>
    <m/>
    <s v="“Konservatif Tedaviye Dirençli Periartiküler Kas İskelet Sistemi Hastalıklarında Fonksiyon Kısıtlayıcı Semptomların Transarteriyel Periartiküler Embolizasyon (TAPE) Tedavisi Sonrası Yanıt Değerlendirilemesi ”"/>
    <m/>
    <m/>
    <m/>
    <m/>
    <m/>
    <m/>
    <m/>
    <m/>
    <m/>
    <m/>
  </r>
  <r>
    <m/>
    <m/>
    <x v="153"/>
    <x v="56"/>
    <m/>
    <s v="“Klasik Hodgkin Lenfoma Hastalarında İlk Basamak ve Kurtarma Tedavilerinin Karşılaştırılması”"/>
    <m/>
    <m/>
    <m/>
    <m/>
    <m/>
    <m/>
    <m/>
    <m/>
    <m/>
    <m/>
  </r>
  <r>
    <m/>
    <m/>
    <x v="153"/>
    <x v="56"/>
    <m/>
    <s v="''Pulmoner Kapak Replasmanı Yapılan Hastaların Uzun Dönem Sonuçlarının İzlenmesi ve Bunların Maliyet Analizi Sonuçlarının Araştırılması''"/>
    <m/>
    <m/>
    <m/>
    <m/>
    <m/>
    <m/>
    <m/>
    <m/>
    <m/>
    <m/>
  </r>
  <r>
    <m/>
    <m/>
    <x v="153"/>
    <x v="56"/>
    <m/>
    <s v="“Klozapinle İlişkili Nötropeni İçin Aday İmmun Biyobelirteçlerin Araştırılması”"/>
    <m/>
    <m/>
    <m/>
    <m/>
    <m/>
    <m/>
    <m/>
    <m/>
    <m/>
    <m/>
  </r>
  <r>
    <m/>
    <m/>
    <x v="153"/>
    <x v="56"/>
    <m/>
    <s v="“Kronik Plak Tip Psöriazis Vulgaris Tanılı Çoklu Biyolojik Tedavi Dirençli Hastaların Demografik Özellikleri, Klinik Özellikleri ve Komorbiditelerinin İncelenmesinın”"/>
    <m/>
    <m/>
    <m/>
    <m/>
    <m/>
    <m/>
    <m/>
    <m/>
    <m/>
    <m/>
  </r>
  <r>
    <m/>
    <m/>
    <x v="153"/>
    <x v="56"/>
    <m/>
    <s v="“Mylohyoid Kas Transpozisyonunun Fasial Reanimasyondaki Potansiyeli: Kadavra Çalışması”"/>
    <m/>
    <m/>
    <m/>
    <m/>
    <m/>
    <m/>
    <m/>
    <m/>
    <m/>
    <m/>
  </r>
  <r>
    <m/>
    <m/>
    <x v="153"/>
    <x v="56"/>
    <m/>
    <s v="“Superior ve İnferior Labial Arterlerin Vermilion Sınırındaki Derinliklerinin ve Konumunun Ölçümü: Kadavra Çalışması”"/>
    <m/>
    <m/>
    <m/>
    <m/>
    <m/>
    <m/>
    <m/>
    <m/>
    <m/>
    <m/>
  </r>
  <r>
    <m/>
    <m/>
    <x v="153"/>
    <x v="56"/>
    <m/>
    <s v="“İmmünsüpresif Tedavi Öncesi HBV Serolojik Durumuna Göre Alınan Klinik Kararların ve Antiviral Kullanımının Uluslararası ve Ulusal Rehberlerle Uyumu: Tek Merkez Gerçek Yaşam Verilerinin Analizi”"/>
    <m/>
    <m/>
    <m/>
    <m/>
    <m/>
    <m/>
    <m/>
    <m/>
    <m/>
    <m/>
  </r>
  <r>
    <m/>
    <m/>
    <x v="153"/>
    <x v="56"/>
    <m/>
    <s v="&quot;Astımlı Hastalarda Otonom Disfonksiyon ve Termoregülasyon Bozukluklarının Klinik ve Proteomik Etkileri”"/>
    <m/>
    <m/>
    <m/>
    <m/>
    <m/>
    <m/>
    <m/>
    <m/>
    <m/>
    <m/>
  </r>
  <r>
    <m/>
    <m/>
    <x v="153"/>
    <x v="56"/>
    <m/>
    <s v="“Over Kanseri Hastalarında Primer Debulking Cerrahisi Yapılan ve Neoadjuvan Kemoterapi Alanlarda Gelişen Venöz Tromboembolik Olaylar, Risk Faktörleri, Sağkalım ve Profilaksi Uygulamalarının Retrospektif Olarak Araştırılması”"/>
    <m/>
    <m/>
    <m/>
    <m/>
    <m/>
    <m/>
    <m/>
    <m/>
    <m/>
    <m/>
  </r>
  <r>
    <m/>
    <m/>
    <x v="153"/>
    <x v="56"/>
    <m/>
    <s v="“Kistik Fibrozis Hastalarında Balgam Kültüründe Kronik Candida Kolonizasyonunun Solunum Fonksiyonları, Klinik ve Laboratuar Parametreleri Üzerine Olan Etkilerinin Değerlendirilmesi”"/>
    <m/>
    <m/>
    <m/>
    <m/>
    <m/>
    <m/>
    <m/>
    <m/>
    <m/>
    <m/>
  </r>
  <r>
    <m/>
    <m/>
    <x v="153"/>
    <x v="56"/>
    <m/>
    <s v="“İleri Evre Over Kanserinde Pelvik Sitoredüksiyon için Pelvik Peritonektomi Yapılan Hastalar ile Rektosigmoid Rezeksiyon Yapılan Hastalar Arasındaki Pelvik Nüks ve Sağ Kalım Oranlarının Karşılaştırılması”"/>
    <m/>
    <m/>
    <m/>
    <m/>
    <m/>
    <m/>
    <m/>
    <m/>
    <m/>
    <m/>
  </r>
  <r>
    <m/>
    <m/>
    <x v="153"/>
    <x v="56"/>
    <m/>
    <s v="“Obezite Hastalığının Oküler Yüzey Üzerindeki Etkilerinin Değerlendirilmesi”"/>
    <m/>
    <m/>
    <m/>
    <m/>
    <m/>
    <m/>
    <m/>
    <m/>
    <m/>
    <m/>
  </r>
  <r>
    <m/>
    <m/>
    <x v="153"/>
    <x v="56"/>
    <m/>
    <s v="“Ergenlerde Dayanıklılık ile İlişkili Etkenlerin İncelenmesi”"/>
    <m/>
    <m/>
    <m/>
    <m/>
    <m/>
    <m/>
    <m/>
    <m/>
    <m/>
    <m/>
  </r>
  <r>
    <m/>
    <m/>
    <x v="153"/>
    <x v="56"/>
    <m/>
    <s v="“Renal Amiloidozda Prognozu Etkileyen Faktörler: 25 Yıllık Tek Merkez Deneyimi”"/>
    <m/>
    <m/>
    <m/>
    <m/>
    <m/>
    <m/>
    <m/>
    <m/>
    <m/>
    <m/>
  </r>
  <r>
    <m/>
    <m/>
    <x v="153"/>
    <x v="56"/>
    <m/>
    <s v="“Glomerulonefritlerin Gebelik Süreci, Maternal ve Fetal Sonlanıma Etkisi”"/>
    <m/>
    <m/>
    <m/>
    <m/>
    <m/>
    <m/>
    <m/>
    <m/>
    <m/>
    <m/>
  </r>
  <r>
    <m/>
    <m/>
    <x v="153"/>
    <x v="56"/>
    <m/>
    <s v="“Serbest Diş Eti Grefti Alınan Lateral Damak Bölgesine Farklı Ajanlar Uygulanmış Hastaların Verilerinin Karşılaştırılmalı Olarak İncelenmesi”"/>
    <m/>
    <m/>
    <m/>
    <m/>
    <m/>
    <m/>
    <m/>
    <m/>
    <m/>
    <m/>
  </r>
  <r>
    <m/>
    <m/>
    <x v="153"/>
    <x v="56"/>
    <m/>
    <s v="“Klozapine Yanıt ile Yan Etkiler Arasındaki İlişkinin İncelenmesi: Geriye Dönük Bir Çalışma”"/>
    <m/>
    <m/>
    <m/>
    <m/>
    <m/>
    <m/>
    <m/>
    <m/>
    <m/>
    <m/>
  </r>
  <r>
    <m/>
    <m/>
    <x v="153"/>
    <x v="56"/>
    <m/>
    <s v="“Metabolik Disfonksiyonla İlişkili Steatotik Karaciğer Hastalığı (MASLD) Etiyopatogenezinde Safra Asidi Metabolitleri ve Metabolomik Analizi”"/>
    <m/>
    <m/>
    <m/>
    <m/>
    <m/>
    <m/>
    <m/>
    <m/>
    <m/>
    <m/>
  </r>
  <r>
    <m/>
    <m/>
    <x v="153"/>
    <x v="56"/>
    <m/>
    <s v="&quot;U14 Su Topu Oyuncularında Enerji Dengesi ve Bazı Performans Parametrelerinin Belirlenmesi&quot;"/>
    <m/>
    <m/>
    <m/>
    <m/>
    <m/>
    <m/>
    <m/>
    <m/>
    <m/>
    <m/>
  </r>
  <r>
    <m/>
    <m/>
    <x v="153"/>
    <x v="56"/>
    <m/>
    <s v="“Gıda Sağlığı ile İlgili Olan Profesyonellerin Gıda İnfodemisi Hakkındaki Görüş ve Deneyimleri: Niteliksel Bir Çalışma”"/>
    <m/>
    <m/>
    <m/>
    <m/>
    <m/>
    <m/>
    <m/>
    <m/>
    <m/>
    <m/>
  </r>
  <r>
    <m/>
    <m/>
    <x v="153"/>
    <x v="56"/>
    <m/>
    <s v="“Larinks Patolojilerinin Malignleşme Sürecinde SERPİNE1'in Rolü”"/>
    <m/>
    <m/>
    <m/>
    <m/>
    <m/>
    <m/>
    <m/>
    <m/>
    <m/>
    <m/>
  </r>
  <r>
    <m/>
    <m/>
    <x v="153"/>
    <x v="56"/>
    <m/>
    <s v="“Kalsiyum (Ca2+) ve Magnezyum (Mg2+) İlişkili İmmün Yetmezliklerde Fonksiyonel ve Klinik Özellikler”"/>
    <m/>
    <m/>
    <m/>
    <m/>
    <m/>
    <m/>
    <m/>
    <m/>
    <m/>
    <m/>
  </r>
  <r>
    <m/>
    <m/>
    <x v="153"/>
    <x v="56"/>
    <m/>
    <s v="“SCN5A Varyantı Saptanan Hastaların Klinik ve Moleküler Bulgularının Değerlendirilmesi”"/>
    <m/>
    <m/>
    <m/>
    <m/>
    <m/>
    <m/>
    <m/>
    <m/>
    <m/>
    <m/>
  </r>
  <r>
    <m/>
    <m/>
    <x v="153"/>
    <x v="56"/>
    <m/>
    <s v="“Gelişimsel Açıdan Riskli Çocuklarda 4–6 Yaş Arasında Öğrenme Güçlüğü Belirtilerinin Taranması ve Risk Etkenleriyle İlişkisinin Belirlenmesi”"/>
    <m/>
    <m/>
    <m/>
    <m/>
    <m/>
    <m/>
    <m/>
    <m/>
    <m/>
    <m/>
  </r>
  <r>
    <m/>
    <m/>
    <x v="153"/>
    <x v="56"/>
    <m/>
    <s v="“Akondroplazili Çocuk Hastalarda Uyku ile İlişkili Solunum Bozukluklarının ve Polisomnografi Bulgularının Değerlendirilmesi”"/>
    <m/>
    <m/>
    <m/>
    <m/>
    <m/>
    <m/>
    <m/>
    <m/>
    <m/>
    <m/>
  </r>
  <r>
    <m/>
    <m/>
    <x v="153"/>
    <x v="56"/>
    <m/>
    <s v="“Skleroderma Tanılı Olgu ve Bireylerin Biyopsikososyal Durumları ile Çiğneme-Yutma Performansları Arasındaki İlişkinin Araştırılması”"/>
    <m/>
    <m/>
    <m/>
    <m/>
    <m/>
    <m/>
    <m/>
    <m/>
    <m/>
    <m/>
  </r>
  <r>
    <m/>
    <m/>
    <x v="153"/>
    <x v="56"/>
    <m/>
    <s v="“Skleroderma Tanılı Olgu ve Bireylerin Biyopsikososyal Durumları ile Fiziksel Performans ve Fonksiyonellikleri Arasındaki İlişkinin Araştırılması”"/>
    <m/>
    <m/>
    <m/>
    <m/>
    <m/>
    <m/>
    <m/>
    <m/>
    <m/>
    <m/>
  </r>
  <r>
    <m/>
    <m/>
    <x v="153"/>
    <x v="56"/>
    <m/>
    <s v="“JİA Tanılı Olgularda Ebeveynlerin Bildirdiği Ağrıyı Felaketleştirme Durumuna Göre Biyopsikososyal Özelliklerin İncelenmesi”"/>
    <m/>
    <m/>
    <m/>
    <m/>
    <m/>
    <m/>
    <m/>
    <m/>
    <m/>
    <m/>
  </r>
  <r>
    <m/>
    <m/>
    <x v="153"/>
    <x v="56"/>
    <m/>
    <s v="“Üst Ekstremite Deri Kalınlığının Hasta Tarafından Kendi Kendine Değerlendirilmesi Anketinin Türkçe Versiyonunun Kültürel Adaptasyonu, Geçerliği ve Güvenirliğinin İncelenmesi”"/>
    <m/>
    <m/>
    <m/>
    <m/>
    <m/>
    <m/>
    <m/>
    <m/>
    <m/>
    <m/>
  </r>
  <r>
    <m/>
    <m/>
    <x v="153"/>
    <x v="56"/>
    <m/>
    <s v="“Nazal Septal Perforasyon Onarımının Hastaların Nazal Hava Akımı ve Yaşam Kalitesi Üzerine Olan Etkisinin Değerlendirilmesi”"/>
    <m/>
    <m/>
    <m/>
    <m/>
    <m/>
    <m/>
    <m/>
    <m/>
    <m/>
    <m/>
  </r>
  <r>
    <m/>
    <m/>
    <x v="153"/>
    <x v="56"/>
    <m/>
    <s v="“Kistik Fibrozis Transmembran Regülatör Protein-İlişkili Hastalık Tanılı Çocuk Hastalarımızın Klinik ve Radyolojik Özellikleri”"/>
    <m/>
    <m/>
    <m/>
    <m/>
    <m/>
    <m/>
    <m/>
    <m/>
    <m/>
    <m/>
  </r>
  <r>
    <m/>
    <m/>
    <x v="153"/>
    <x v="56"/>
    <m/>
    <s v="“Çocukluk Çağı Sinoviyal Sarkom Olgularının Retrospektif Değerlendrilmesi”"/>
    <m/>
    <m/>
    <m/>
    <m/>
    <m/>
    <m/>
    <m/>
    <m/>
    <m/>
    <m/>
  </r>
  <r>
    <m/>
    <m/>
    <x v="153"/>
    <x v="56"/>
    <m/>
    <s v="“Spinal Musküler Atrofi Tanılı Hastalarda Kemik Sağlığının Retrospektif Olarak Değerlendirilmesi”"/>
    <m/>
    <m/>
    <m/>
    <m/>
    <m/>
    <m/>
    <m/>
    <m/>
    <m/>
    <m/>
  </r>
  <r>
    <m/>
    <m/>
    <x v="153"/>
    <x v="56"/>
    <m/>
    <s v="“Griscelli Sendromu Tanısı Alan Hastaların Klinik ve Laboratuvar Özelliklerinin Değerelnedirilmesi”"/>
    <m/>
    <m/>
    <m/>
    <m/>
    <m/>
    <m/>
    <m/>
    <m/>
    <m/>
    <m/>
  </r>
  <r>
    <m/>
    <m/>
    <x v="153"/>
    <x v="56"/>
    <m/>
    <s v="“Stres, Cinsiyet ve Menstrual Döngünün, Tıkınırcasına Yeme Bozukluğu ve Uyku Kalitesi ile İlişkisinin İncelenmesi”"/>
    <m/>
    <m/>
    <m/>
    <m/>
    <m/>
    <m/>
    <m/>
    <m/>
    <m/>
    <m/>
  </r>
  <r>
    <m/>
    <m/>
    <x v="153"/>
    <x v="56"/>
    <m/>
    <s v="“Otizm Tanılı Ergenlerin Ebeveynlerinin Tükenmişlik ve Damgalanma Algısının Bilinçli Farkındalık Aracılığıyla Ergenlerin Psikososyal İyilik Hali Üzerine Etkisi”"/>
    <m/>
    <m/>
    <m/>
    <m/>
    <m/>
    <m/>
    <m/>
    <m/>
    <m/>
    <m/>
  </r>
  <r>
    <m/>
    <m/>
    <x v="153"/>
    <x v="56"/>
    <m/>
    <s v="“LeFort I Cerrahisi Uygulanan Hastalarda Maksiller Sinüs Membran Kalınlığı ve Sinüs Sağlığının Değerlendirilmesi”"/>
    <m/>
    <m/>
    <m/>
    <m/>
    <m/>
    <m/>
    <m/>
    <m/>
    <m/>
    <m/>
  </r>
  <r>
    <m/>
    <m/>
    <x v="153"/>
    <x v="56"/>
    <m/>
    <s v="&quot;Tiroid İnce İğne Aspirasyon Sitolojisinde Dijital Sitopatoloji ile Konvansiyonel Işık Mikroskobu Değerlendirmesinin Karşılaştırmalı Analizi: Belirsiz Kategorilere Odaklanarak&quot;"/>
    <m/>
    <m/>
    <m/>
    <m/>
    <m/>
    <m/>
    <m/>
    <m/>
    <m/>
    <m/>
  </r>
  <r>
    <m/>
    <m/>
    <x v="153"/>
    <x v="56"/>
    <m/>
    <s v="&quot;Yoğun Bakım Sonrası İzlem Polikliniğinde Takip Edilen Hastaların Demografik ve Klinik Özelliklerinin İncelenmesi &quot;"/>
    <m/>
    <m/>
    <m/>
    <m/>
    <m/>
    <m/>
    <m/>
    <m/>
    <m/>
    <m/>
  </r>
  <r>
    <m/>
    <m/>
    <x v="153"/>
    <x v="56"/>
    <m/>
    <s v="“Benign Histerektomi Öncesi Video Bilgilendirmesinin Anksiyete Düzeyine Etkisi”"/>
    <m/>
    <m/>
    <m/>
    <m/>
    <m/>
    <m/>
    <m/>
    <m/>
    <m/>
    <m/>
  </r>
  <r>
    <m/>
    <m/>
    <x v="153"/>
    <x v="56"/>
    <m/>
    <s v="“Ankara, Türkiye'deki Sahra Altı Afrikalı Üniversite Öğrencileri Arasında Sağlık Durumu, Sağlık Hizmetlerine Erişim, Sağlık Okuryazarlığı Düzeyi ve İlişkili Faktörlerin Belirlenmesi Araştırması”"/>
    <m/>
    <m/>
    <m/>
    <m/>
    <m/>
    <m/>
    <m/>
    <m/>
    <m/>
    <m/>
  </r>
  <r>
    <m/>
    <m/>
    <x v="153"/>
    <x v="56"/>
    <m/>
    <s v="“PIDCAP Skorlama Sisteminin Kronik Granülomatöz Hastalık Tanısı Olan Hastalarda Değerlendirilmesi”"/>
    <m/>
    <m/>
    <m/>
    <m/>
    <m/>
    <m/>
    <m/>
    <m/>
    <m/>
    <m/>
  </r>
  <r>
    <m/>
    <m/>
    <x v="153"/>
    <x v="56"/>
    <m/>
    <s v="“İmmünoterapilere Bağlı Endokrin Yan Etkiler ve Endokrinolojiye Yönlendirme Pratiklerinin Değerlendirilmesi”"/>
    <m/>
    <m/>
    <m/>
    <m/>
    <m/>
    <m/>
    <m/>
    <m/>
    <m/>
    <m/>
  </r>
  <r>
    <m/>
    <m/>
    <x v="153"/>
    <x v="56"/>
    <m/>
    <s v="“Yeme Bozukluğu Olan Ergende Tütün, Alkol ve Madde Kullanım Sıklığı ile Hastalık Şiddeti Arasındaki İlişkinin İncelenmesi”"/>
    <m/>
    <m/>
    <m/>
    <m/>
    <m/>
    <m/>
    <m/>
    <m/>
    <m/>
    <m/>
  </r>
  <r>
    <m/>
    <m/>
    <x v="153"/>
    <x v="56"/>
    <m/>
    <s v="“Uterin Serviksin İnvaziv Stratifiye Müsin Üreten Karsinomu: Klinikopatolojik Bulguların ve Prognostik Faktörlerin Değerlendirilmesi”"/>
    <m/>
    <m/>
    <m/>
    <m/>
    <m/>
    <m/>
    <m/>
    <m/>
    <m/>
    <m/>
  </r>
  <r>
    <m/>
    <m/>
    <x v="153"/>
    <x v="56"/>
    <m/>
    <s v="“Uluslararası İnkontinans Konsültasyonu– Az Aktif Mesane Anketi’nin Türkçe Geçerlik ve Güvenirlik Çalışması”"/>
    <m/>
    <m/>
    <m/>
    <m/>
    <m/>
    <m/>
    <m/>
    <m/>
    <m/>
    <m/>
  </r>
  <r>
    <m/>
    <m/>
    <x v="153"/>
    <x v="56"/>
    <m/>
    <s v="“Böbrek Biyopsilerinde Lupus Nefriti NIH Skorlamasının Dil Modeli ile Otomatikleştirilmesi ve Patolog Değerlendirmesi ile Karşılaştırılması”"/>
    <m/>
    <m/>
    <m/>
    <m/>
    <m/>
    <m/>
    <m/>
    <m/>
    <m/>
    <m/>
  </r>
  <r>
    <m/>
    <m/>
    <x v="153"/>
    <x v="56"/>
    <m/>
    <s v="“Şeffaf Plak Tedavilerinde Refinement Aşamasında Tekrarlayan Ataşman Debonding İşleminin Mine Yüzeyine Etkilerinin 3 Boyutlu Olarak İncelenmesi: In-Vitro Çalışma”"/>
    <m/>
    <m/>
    <m/>
    <m/>
    <m/>
    <m/>
    <m/>
    <m/>
    <m/>
    <m/>
  </r>
  <r>
    <m/>
    <m/>
    <x v="153"/>
    <x v="56"/>
    <m/>
    <s v="“Kistik Fibrozis, Primer Siliyer Diskinezi ve Astım Tanılı Çocukların Solunum Fonksiyon Testlerinin; Spirometri, Akciğer Temizleme İndeksi ve İmpuls Osilometri ile Değerlendirilmesi ve Parametreler Arasındaki İlişkilerin İncelenmesi”"/>
    <m/>
    <m/>
    <m/>
    <m/>
    <m/>
    <m/>
    <m/>
    <m/>
    <m/>
    <m/>
  </r>
  <r>
    <m/>
    <m/>
    <x v="153"/>
    <x v="56"/>
    <m/>
    <s v="“IgA Nefropatisi Oxford (MEST-C) Skorlamasında Dil Modeli Çıktılarının Patolog Değerlendirmeleriyle Karşılaştırılması ve Standardizasyona Yönelik Potansiyelinin Araştırılması”"/>
    <m/>
    <m/>
    <m/>
    <m/>
    <m/>
    <m/>
    <m/>
    <m/>
    <m/>
    <m/>
  </r>
  <r>
    <m/>
    <m/>
    <x v="153"/>
    <x v="56"/>
    <m/>
    <s v="“Üst Aerodigestif Sistem Mukozal Lezyonların Analizinde Dar Bant Görüntülemenin Yeri, Verilerin Histopatolojik İnceleme ile Karşılaştırılması”"/>
    <m/>
    <m/>
    <m/>
    <m/>
    <m/>
    <m/>
    <m/>
    <m/>
    <m/>
    <m/>
  </r>
  <r>
    <m/>
    <m/>
    <x v="153"/>
    <x v="56"/>
    <m/>
    <s v="“Fetal Kardiyak Girişim Yapılan Fetuslarda Prenatal Dönemde Yapılan Ekstremite Dopplerlerinin Longitudinal İzlemi ve Perinatal Sonuçlarla İlişkisi”"/>
    <m/>
    <m/>
    <m/>
    <m/>
    <m/>
    <m/>
    <m/>
    <m/>
    <m/>
    <m/>
  </r>
  <r>
    <m/>
    <m/>
    <x v="153"/>
    <x v="56"/>
    <m/>
    <s v="“Anti-TNF Tedavi Sürecinde Çekilen Akciğer Grafilerinin Yapay Zeka Destekli Değerlendirmesinin, Klinisyen Değerlendirmesi ile Karşılaştırması ve Klinik Uygulamalara Entegrasyonunun İncelenmesi”"/>
    <m/>
    <m/>
    <m/>
    <m/>
    <m/>
    <m/>
    <m/>
    <m/>
    <m/>
    <m/>
  </r>
  <r>
    <m/>
    <m/>
    <x v="153"/>
    <x v="56"/>
    <m/>
    <s v="“Küçük Hücreli Akciğer Karsinomunda Moleküler Alt Tiplerin ASCL1, NEUROD1, POU2F3 ve YAP1 İmmünohistokimyasal Ekspresyonuna Göre Sınıflandırılması ve Klinik Önemi”"/>
    <m/>
    <m/>
    <m/>
    <m/>
    <m/>
    <m/>
    <m/>
    <m/>
    <m/>
    <m/>
  </r>
  <r>
    <m/>
    <m/>
    <x v="153"/>
    <x v="56"/>
    <m/>
    <s v="“Multipl Sklerozda Telomer Uzunluğu, p16INK4a İfadesi ve İleri Beyin MR Görüntülemeleri ile Hastalık Progresyonu Arasındaki İlişkinin Prospektif İncelenmesi”"/>
    <m/>
    <m/>
    <m/>
    <m/>
    <m/>
    <m/>
    <m/>
    <m/>
    <m/>
    <m/>
  </r>
  <r>
    <m/>
    <m/>
    <x v="153"/>
    <x v="56"/>
    <m/>
    <s v="“Türkiye’deki Çocukluk Çağı İnterstisiyel Akciğer Hastalığı Tanısıyla İzlenen Hastaların Demografik ve Klinik Özelliklerinin REDCap Veri Tabanına Kaydedilmesi (chILD Türkiye) ve Verilerin Değerlendirilmesi”"/>
    <m/>
    <m/>
    <m/>
    <m/>
    <m/>
    <m/>
    <m/>
    <m/>
    <m/>
    <m/>
  </r>
  <r>
    <m/>
    <m/>
    <x v="153"/>
    <x v="56"/>
    <m/>
    <s v="“Taburculuk Sonrası Bakım Geçiş Kalitesinin Değerlendirilmesi: Çok Boyutlu Bir Ölçüm Yaklaşımı”"/>
    <m/>
    <m/>
    <m/>
    <m/>
    <m/>
    <m/>
    <m/>
    <m/>
    <m/>
    <m/>
  </r>
  <r>
    <m/>
    <m/>
    <x v="153"/>
    <x v="56"/>
    <m/>
    <s v="“Geç Preterm Gebeliklerde Antenatal Kortikosteroid Uygulamasının Neonatal Hipoglisemi ve Klinik Sonuçlara Etkisi”"/>
    <m/>
    <m/>
    <m/>
    <m/>
    <m/>
    <m/>
    <m/>
    <m/>
    <m/>
    <m/>
  </r>
  <r>
    <m/>
    <m/>
    <x v="153"/>
    <x v="56"/>
    <m/>
    <s v="“Oral Biyopsi Uygulanan Hastalarda Anksiyete ve Ağrı Düzeylerinin Değerlendirilmesi”"/>
    <m/>
    <m/>
    <m/>
    <m/>
    <m/>
    <m/>
    <m/>
    <m/>
    <m/>
    <m/>
  </r>
  <r>
    <m/>
    <m/>
    <x v="153"/>
    <x v="56"/>
    <m/>
    <s v="“İdiopatik İzole Ekstrakraniyal İnternal Karotis Arter Vazospazmında Tedavi Seçenekleri ve Prognoza Etkileri”"/>
    <m/>
    <m/>
    <m/>
    <m/>
    <m/>
    <m/>
    <m/>
    <m/>
    <m/>
    <m/>
  </r>
  <r>
    <m/>
    <m/>
    <x v="153"/>
    <x v="56"/>
    <m/>
    <s v="“Yüzücülerde Ultrason ve Güç Ölçümleri ile Omuz Yaralanma Profili Çıkarılması”"/>
    <m/>
    <m/>
    <m/>
    <m/>
    <m/>
    <m/>
    <m/>
    <m/>
    <m/>
    <m/>
  </r>
  <r>
    <m/>
    <m/>
    <x v="153"/>
    <x v="56"/>
    <m/>
    <s v="“Seçilmiş Nöroloji Olgularının Klinik Seyir ve Tedavi-Prognozuna Yönelik Olgu Temelli Derlemesi”"/>
    <m/>
    <m/>
    <m/>
    <m/>
    <m/>
    <m/>
    <m/>
    <m/>
    <m/>
    <m/>
  </r>
  <r>
    <m/>
    <m/>
    <x v="153"/>
    <x v="56"/>
    <m/>
    <s v="“Büllöz Pemfigoid Tanılı Hastalarda Omalizumab Tedavisinin Yanıtlarının Değerlendirilmesi&quot;"/>
    <m/>
    <m/>
    <m/>
    <m/>
    <m/>
    <m/>
    <m/>
    <m/>
    <m/>
    <m/>
  </r>
  <r>
    <m/>
    <m/>
    <x v="153"/>
    <x v="56"/>
    <m/>
    <s v="&quot;Çocukluk Çağında Matür T/NK Hücreli Lenfomalar : Hacettepe Deneyimi&quot;"/>
    <m/>
    <m/>
    <m/>
    <m/>
    <m/>
    <m/>
    <m/>
    <m/>
    <m/>
    <m/>
  </r>
  <r>
    <m/>
    <m/>
    <x v="153"/>
    <x v="56"/>
    <m/>
    <s v="“Kronik Miyeloid Lösemi Hastalarında Tirozin Kinaz Kullanımı İlişkili Proteinüri Gelişimini Etkileyen Faktörlerin İncelenmesi”"/>
    <m/>
    <m/>
    <m/>
    <m/>
    <m/>
    <m/>
    <m/>
    <m/>
    <m/>
    <m/>
  </r>
  <r>
    <m/>
    <m/>
    <x v="153"/>
    <x v="56"/>
    <m/>
    <s v="“Stajyer Diş Hekimlerinde Maket Üzerinde Sütur Eğitiminin Etkinliği ve Memnuniyetinin Değerlendirilmesi&quot;"/>
    <m/>
    <m/>
    <m/>
    <m/>
    <m/>
    <m/>
    <m/>
    <m/>
    <m/>
    <m/>
  </r>
  <r>
    <m/>
    <m/>
    <x v="153"/>
    <x v="56"/>
    <m/>
    <s v="“Preklinik Endodonti Eğitiminde 3D Baskılı Modeller: Öğrenci Perspektifinden Bir Değerlendirme”"/>
    <m/>
    <m/>
    <m/>
    <m/>
    <m/>
    <m/>
    <m/>
    <m/>
    <m/>
    <m/>
  </r>
  <r>
    <m/>
    <m/>
    <x v="153"/>
    <x v="56"/>
    <m/>
    <s v="“Koklear İmplant ile İlgili Tüm Soruların ChatGPT Yanıtlarının Kulak Burun Boğaz Uzmanları Tarafından Değerlendirilmesi”"/>
    <m/>
    <m/>
    <m/>
    <m/>
    <m/>
    <m/>
    <m/>
    <m/>
    <m/>
    <m/>
  </r>
  <r>
    <m/>
    <m/>
    <x v="153"/>
    <x v="56"/>
    <m/>
    <s v="“Susam Alerjisi Olan Çocuklarda Oral İmmünoterapinin Güvenliği ve Yaşam Kalitesi Üzerine Etkilerinin Değerlendirilmesi''"/>
    <m/>
    <m/>
    <m/>
    <m/>
    <m/>
    <m/>
    <m/>
    <m/>
    <m/>
    <m/>
  </r>
  <r>
    <m/>
    <m/>
    <x v="153"/>
    <x v="56"/>
    <m/>
    <s v="“Çocukluk Çağı Over Kistadenomları: Hacettepe Deneyimi”"/>
    <m/>
    <m/>
    <m/>
    <m/>
    <m/>
    <m/>
    <m/>
    <m/>
    <m/>
    <m/>
  </r>
  <r>
    <m/>
    <m/>
    <x v="153"/>
    <x v="56"/>
    <m/>
    <s v="“Sigara İçen Bireylerde Fonksiyonel Yakın Kızılötesi Spektroskopisi Kullanılarak Fonksiyonel Bağlantısallığın ve Kalp Hızı Değişkenliğinin İncelenmesi”"/>
    <m/>
    <m/>
    <m/>
    <m/>
    <m/>
    <m/>
    <m/>
    <m/>
    <m/>
    <m/>
  </r>
  <r>
    <m/>
    <m/>
    <x v="153"/>
    <x v="56"/>
    <m/>
    <s v="“Malignite Tanısı Alan Primer İmmün Yetmezlikli Hastaların Klinik ve Laboratuvar Özelliklerinin Değerlendirilmesi ”"/>
    <m/>
    <m/>
    <m/>
    <m/>
    <m/>
    <m/>
    <m/>
    <m/>
    <m/>
    <m/>
  </r>
  <r>
    <m/>
    <m/>
    <x v="153"/>
    <x v="56"/>
    <m/>
    <s v="“Çene Bölgesi Patolojik Lezyonların CBCT Görüntülerinde Yapay Zeka Tabanlı Otomatik Tanısı: Derin Öğrenme Yaklaşımı”"/>
    <m/>
    <m/>
    <m/>
    <m/>
    <m/>
    <m/>
    <m/>
    <m/>
    <m/>
    <m/>
  </r>
  <r>
    <m/>
    <m/>
    <x v="153"/>
    <x v="56"/>
    <m/>
    <s v="“Endoskopik Endonazal ya da Transkonjonktival Yaklaşımla Optik Sinir Dekompresyonu ve/veya Optik Sinir Kılıf Fenestrasyonu Yapılan Olgularda Sonuçların Karşılaştırılması”"/>
    <m/>
    <m/>
    <m/>
    <m/>
    <m/>
    <m/>
    <m/>
    <m/>
    <m/>
    <m/>
  </r>
  <r>
    <m/>
    <m/>
    <x v="153"/>
    <x v="56"/>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53"/>
    <x v="56"/>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53"/>
    <x v="56"/>
    <m/>
    <s v="“Dijital Fotoğraf Tabanlı Renk Analizi ile Gingival İndeksin Belirlenmesi: Klinik Sağlık, Gingivitis ve Periodontitis Vakalarının Karşılaştırılması”"/>
    <m/>
    <m/>
    <m/>
    <m/>
    <m/>
    <m/>
    <m/>
    <m/>
    <m/>
    <m/>
  </r>
  <r>
    <m/>
    <m/>
    <x v="153"/>
    <x v="56"/>
    <m/>
    <s v="“İnme Hastalarında Kardiyak Risk Faktörleri: Sol Atriyum Morfolojisi, Koroner Kalsifikasyon Skoru ve Mitral Kazeöz Kalsifikasyonun Kardiyak Bilgisayarlı Tomografi ile Değerlendirilmesi”"/>
    <m/>
    <m/>
    <m/>
    <m/>
    <m/>
    <m/>
    <m/>
    <m/>
    <m/>
    <m/>
  </r>
  <r>
    <m/>
    <m/>
    <x v="153"/>
    <x v="56"/>
    <m/>
    <s v="“Pediatrik Popülasyonda Yaşla Değişen Alerjene Özgü Duyarlanma Dinamikleri"/>
    <m/>
    <m/>
    <m/>
    <m/>
    <m/>
    <m/>
    <m/>
    <m/>
    <m/>
    <m/>
  </r>
  <r>
    <m/>
    <m/>
    <x v="153"/>
    <x v="56"/>
    <m/>
    <s v="“Minimal İnvaziv Kardiyak Cerrahide Anestezi Yönetimi Deneyimimiz Tek Merkezli Gözlemsel Çalışma-Bireysel Araştırma”"/>
    <m/>
    <m/>
    <m/>
    <m/>
    <m/>
    <m/>
    <m/>
    <m/>
    <m/>
    <m/>
  </r>
  <r>
    <m/>
    <m/>
    <x v="153"/>
    <x v="56"/>
    <m/>
    <s v="“Primer Hiperparatiroidi Tanılı Hastaların Demografik, Klinik, Biyokimyasal ve Görüntüleme Bulgularının Değerlendirilmesi”"/>
    <m/>
    <m/>
    <m/>
    <m/>
    <m/>
    <m/>
    <m/>
    <m/>
    <m/>
    <m/>
  </r>
  <r>
    <m/>
    <m/>
    <x v="153"/>
    <x v="56"/>
    <m/>
    <s v="“.Yüksek Dereceli Majör Tükürük Bezleri Malignitelerinin Sonuçlarının Retrospektif İncelenmesi: Uluslararası Çok Merkezli Bir Çalışma”"/>
    <m/>
    <m/>
    <m/>
    <m/>
    <m/>
    <m/>
    <m/>
    <m/>
    <m/>
    <m/>
  </r>
  <r>
    <m/>
    <m/>
    <x v="153"/>
    <x v="56"/>
    <m/>
    <s v="“Prostat Kanserinde Sistemik Tedavi Yanıt Değerlendirilmesinde Ga-68 İşaretli PSMA PET-BT ile Biyokimyasal Belirteçlerin Rolü ve Prognostik Önemi”"/>
    <m/>
    <m/>
    <m/>
    <m/>
    <m/>
    <m/>
    <m/>
    <m/>
    <m/>
    <m/>
  </r>
  <r>
    <m/>
    <m/>
    <x v="153"/>
    <x v="56"/>
    <m/>
    <s v="“Metastatik Prostat Kanseri Olan Hastalarda Androjen Reseptör Yolak İnhibitörlerinin Etkinliğini Tahmin Etmede Klinik-Biyokimyasal ve Moleküler Görüntüleme Parametrelerinin Rolü”"/>
    <m/>
    <m/>
    <m/>
    <m/>
    <m/>
    <m/>
    <m/>
    <m/>
    <m/>
    <m/>
  </r>
  <r>
    <m/>
    <m/>
    <x v="153"/>
    <x v="56"/>
    <m/>
    <s v="“Nöromusküler Hastalıklarda Tüm Ekzom Dizileme Yöntemi ile Genetik Etyolojinin Belirlenmesi”"/>
    <m/>
    <m/>
    <m/>
    <m/>
    <m/>
    <m/>
    <m/>
    <m/>
    <m/>
    <m/>
  </r>
  <r>
    <m/>
    <m/>
    <x v="153"/>
    <x v="56"/>
    <m/>
    <s v="“Örgün ve Mesleki Öğretimde Olmayan veya Çalışmayan (NEET) Gençlerin Ruh Sağlığının Sosyal Eşitsizlikler Açısından İncelenmesi: Nitel ve Nicel bir Derleme”"/>
    <m/>
    <m/>
    <m/>
    <m/>
    <m/>
    <m/>
    <m/>
    <m/>
    <m/>
    <m/>
  </r>
  <r>
    <m/>
    <m/>
    <x v="153"/>
    <x v="56"/>
    <m/>
    <s v="“Pseudo-Bartter Sendromu Olan Kistik Fibrozis Transmembran Regülatör-İlişkili Hastalık Tanılı Çocuklarda Epitel İyon Kanallarının İfade Analizi”"/>
    <m/>
    <m/>
    <m/>
    <m/>
    <m/>
    <m/>
    <m/>
    <m/>
    <m/>
    <m/>
  </r>
  <r>
    <m/>
    <m/>
    <x v="153"/>
    <x v="56"/>
    <m/>
    <s v="“Anaplastik Tiroid Kanserli Olguların Tanı, Tedavi ve Takip Açısından Retrospektif Değerlendirilmesi”"/>
    <m/>
    <m/>
    <m/>
    <m/>
    <m/>
    <m/>
    <m/>
    <m/>
    <m/>
    <m/>
  </r>
  <r>
    <m/>
    <m/>
    <x v="153"/>
    <x v="56"/>
    <m/>
    <s v="“Yeni Bir İrrigasyon Solüsyonu Triton’un Epoksi Rezin ve Kalsiyum Silikat Esaslı Kök Kanal Dolgu Materyallerinin İtme Bağlanma Dayanımına Etkisi”"/>
    <m/>
    <m/>
    <m/>
    <m/>
    <m/>
    <m/>
    <m/>
    <m/>
    <m/>
    <m/>
  </r>
  <r>
    <m/>
    <m/>
    <x v="153"/>
    <x v="56"/>
    <m/>
    <s v="“Pitoz Cerrahisinde Yeni Bir Teknik: Procerus Kas Transferi ile Üst Göz Kapağının Dinamik Reanimasyonu, Kadavra Çalışması”"/>
    <m/>
    <m/>
    <m/>
    <m/>
    <m/>
    <m/>
    <m/>
    <m/>
    <m/>
    <m/>
  </r>
  <r>
    <m/>
    <m/>
    <x v="153"/>
    <x v="56"/>
    <m/>
    <s v="“Türkiye'de Konjenital Miyastenik Sendromların Genetik Profili: Yeni Mutasyonlar ve Klinik Perspektifler”"/>
    <m/>
    <m/>
    <m/>
    <m/>
    <m/>
    <m/>
    <m/>
    <m/>
    <m/>
    <m/>
  </r>
  <r>
    <m/>
    <m/>
    <x v="153"/>
    <x v="56"/>
    <m/>
    <s v="“Menstrüel Kanama Dışı Risk Faktörü Olmayan Genç Kadınlarda Demir Eksikliği ile Menstrüel Kanama Özellikleri Arasındaki İlişkinin Değerlendirilmesi”"/>
    <m/>
    <m/>
    <m/>
    <m/>
    <m/>
    <m/>
    <m/>
    <m/>
    <m/>
    <m/>
  </r>
  <r>
    <m/>
    <m/>
    <x v="153"/>
    <x v="56"/>
    <m/>
    <s v="“Yakınını Kaybetmiş Yaşlılarda Uzamış Yas Belirtilerini Yordayan Faktörler”"/>
    <m/>
    <m/>
    <m/>
    <m/>
    <m/>
    <m/>
    <m/>
    <m/>
    <m/>
    <m/>
  </r>
  <r>
    <m/>
    <m/>
    <x v="153"/>
    <x v="56"/>
    <m/>
    <s v="“Gonadotropin Salgılatıcı Hormon Analoglarının Endometriyal İntraepitelyal Neoplazi ve Erken Evre Endometrium Kanserinde Fertilite Koruyucu Tedaviye Etkisi”"/>
    <m/>
    <m/>
    <m/>
    <m/>
    <m/>
    <m/>
    <m/>
    <m/>
    <m/>
    <m/>
  </r>
  <r>
    <m/>
    <m/>
    <x v="153"/>
    <x v="56"/>
    <m/>
    <s v="“Teikoplanin ile Tedavi Edilen Hastalarda Terapötik İlaç Düzey İzlemi: Retrospektif Bir Analiz”"/>
    <m/>
    <m/>
    <m/>
    <m/>
    <m/>
    <m/>
    <m/>
    <m/>
    <m/>
    <m/>
  </r>
  <r>
    <m/>
    <m/>
    <x v="153"/>
    <x v="56"/>
    <m/>
    <s v="“Vorikonazol Serum Düzeyi İzlemi Yapılan Hastalarda Terapötik Aralığı Etkileyen Faktörlerin Retrospektif Değerlendirilmesi ve Klinik Bir Skorlama Modelinin Geliştirilmesi”"/>
    <m/>
    <m/>
    <m/>
    <m/>
    <m/>
    <m/>
    <m/>
    <m/>
    <m/>
    <m/>
  </r>
  <r>
    <m/>
    <m/>
    <x v="153"/>
    <x v="56"/>
    <m/>
    <s v="“Periventriküler Nodüler Heterotopi İlişkili Epilepside Klinik Özellikler”"/>
    <m/>
    <m/>
    <m/>
    <m/>
    <m/>
    <m/>
    <m/>
    <m/>
    <m/>
    <m/>
  </r>
  <r>
    <m/>
    <m/>
    <x v="153"/>
    <x v="56"/>
    <m/>
    <s v="“Polimikrogiri İlişkili Epilepsi Hastalarında Klinik ve Laboratuvar Bulgular: Tek Merkez Deneyimi”"/>
    <m/>
    <m/>
    <m/>
    <m/>
    <m/>
    <m/>
    <m/>
    <m/>
    <m/>
    <m/>
  </r>
  <r>
    <m/>
    <m/>
    <x v="153"/>
    <x v="56"/>
    <m/>
    <s v="“Diş Hekimliği Fakültesine Başvuran Çocukların Ebeveynlerinin Ağız Sağlığı Okuryazarlık Durumlarının Değerlendirilmesi”"/>
    <m/>
    <m/>
    <m/>
    <m/>
    <m/>
    <m/>
    <m/>
    <m/>
    <m/>
    <m/>
  </r>
  <r>
    <m/>
    <m/>
    <x v="153"/>
    <x v="56"/>
    <m/>
    <s v="“Bronkopulmoner Displazi Tanılı Hastaların İzleminde Akciğer Ultrasonografisinin Yeri”"/>
    <m/>
    <m/>
    <m/>
    <m/>
    <m/>
    <m/>
    <m/>
    <m/>
    <m/>
    <m/>
  </r>
  <r>
    <m/>
    <m/>
    <x v="153"/>
    <x v="56"/>
    <m/>
    <s v="“Ara Değer Ter Testi Olan Kistik Fibrozisli Çocukların Klinik Özellikleri”"/>
    <m/>
    <m/>
    <m/>
    <m/>
    <m/>
    <m/>
    <m/>
    <m/>
    <m/>
    <m/>
  </r>
  <r>
    <m/>
    <m/>
    <x v="153"/>
    <x v="56"/>
    <m/>
    <s v="“Multipl Myelomda Fonksiyonel Görüntüleme: MRG ve PET-BT Yöntemlerinin Karşılaştırılması”"/>
    <m/>
    <m/>
    <m/>
    <m/>
    <m/>
    <m/>
    <m/>
    <m/>
    <m/>
    <m/>
  </r>
  <r>
    <m/>
    <m/>
    <x v="153"/>
    <x v="56"/>
    <m/>
    <s v="“Wolfram Sendromlu ve Midline Anomalili Hastaların Klinik Özelliklerinin Retrospektif Değerlendirilmesi”"/>
    <m/>
    <m/>
    <m/>
    <m/>
    <m/>
    <m/>
    <m/>
    <m/>
    <m/>
    <m/>
  </r>
  <r>
    <m/>
    <m/>
    <x v="153"/>
    <x v="56"/>
    <m/>
    <s v="“MEN1 ve MEN4 Sendromlu Hastaların Klinik Özelliklerinin Retrospektif Değerlendirilmesi”"/>
    <m/>
    <m/>
    <m/>
    <m/>
    <m/>
    <m/>
    <m/>
    <m/>
    <m/>
    <m/>
  </r>
  <r>
    <m/>
    <m/>
    <x v="153"/>
    <x v="56"/>
    <m/>
    <s v="“Yetişkin Bireylerde Sedanter Davranışın Kesintiye Uğratma Sıklığı, Fiziksel Aktivite ve Sedanter Davranış Sürelerinin İncelenmesi”"/>
    <m/>
    <m/>
    <m/>
    <m/>
    <m/>
    <m/>
    <m/>
    <m/>
    <m/>
    <m/>
  </r>
  <r>
    <m/>
    <m/>
    <x v="153"/>
    <x v="56"/>
    <m/>
    <s v="“Clavicula'nin Morfometrik Analizi ve Ortopedik İmplant Planlamasina Yönelik Katkıları”"/>
    <m/>
    <m/>
    <m/>
    <m/>
    <m/>
    <m/>
    <m/>
    <m/>
    <m/>
    <m/>
  </r>
  <r>
    <m/>
    <m/>
    <x v="153"/>
    <x v="56"/>
    <m/>
    <s v="“KBB Hastalarında Farklı Yapay Zekâ Modellerinin Tanı ve Tedavi Önerilerinin Değerlendirip Karşılaştırılması”"/>
    <m/>
    <m/>
    <m/>
    <m/>
    <m/>
    <m/>
    <m/>
    <m/>
    <m/>
    <m/>
  </r>
  <r>
    <m/>
    <m/>
    <x v="153"/>
    <x v="56"/>
    <m/>
    <s v="“Papiller Tiroid Kanserinin Tükürükteki Moleküler Belirteçler ile Tanısı”"/>
    <m/>
    <m/>
    <m/>
    <m/>
    <m/>
    <m/>
    <m/>
    <m/>
    <m/>
    <m/>
  </r>
  <r>
    <m/>
    <m/>
    <x v="153"/>
    <x v="56"/>
    <m/>
    <s v="&quot;Diş Hekimliği Fakültesine Konsülte Edilen Hastalarda Konik Işınlı Bilgisayarlı Tomografi Endikasyonları ve Saptanan Bulgular&quot;"/>
    <m/>
    <m/>
    <m/>
    <m/>
    <m/>
    <m/>
    <m/>
    <m/>
    <m/>
    <m/>
  </r>
  <r>
    <m/>
    <m/>
    <x v="153"/>
    <x v="56"/>
    <m/>
    <s v="&quot;Kadınlarda Spor Türü ve Yaşın Alt Ekstremite de Mekanik Sertlik Üzerine Etkisi: İki Farklı Sıçrama Türü için Karşılaştırmalı Bir Analiz&quot;"/>
    <m/>
    <m/>
    <m/>
    <m/>
    <m/>
    <m/>
    <m/>
    <m/>
    <m/>
    <m/>
  </r>
  <r>
    <m/>
    <m/>
    <x v="153"/>
    <x v="56"/>
    <m/>
    <s v="&quot;Serum Triptaz Düzeyinin Mast Hücre İlişkili Hastalıklardaki Rolünün Retrospektif Olarak Değerlendirilmesi&quot;"/>
    <m/>
    <m/>
    <m/>
    <m/>
    <m/>
    <m/>
    <m/>
    <m/>
    <m/>
    <m/>
  </r>
  <r>
    <m/>
    <m/>
    <x v="153"/>
    <x v="56"/>
    <m/>
    <s v="“Behçet Hastalarının Serum Nörofilaman Seviyelerinin Belirlenmesi”"/>
    <m/>
    <m/>
    <m/>
    <m/>
    <m/>
    <m/>
    <m/>
    <m/>
    <m/>
    <m/>
  </r>
  <r>
    <m/>
    <m/>
    <x v="153"/>
    <x v="56"/>
    <m/>
    <s v="“Topikal Ürünlerde Mikroyapı Benzerliğini Aydınlatmaya Yönelik In Vitro Permeasyon Çalışması”"/>
    <m/>
    <m/>
    <m/>
    <m/>
    <m/>
    <m/>
    <m/>
    <m/>
    <m/>
    <m/>
  </r>
  <r>
    <m/>
    <m/>
    <x v="153"/>
    <x v="56"/>
    <m/>
    <s v="“Bronkopulmoner Displazili Çocuklarda Solunum Fonksiyonlarının Değerlendirilmesinde İmpuls Osilometri ve Spirometrinin Karşılaştırılması”"/>
    <m/>
    <m/>
    <m/>
    <m/>
    <m/>
    <m/>
    <m/>
    <m/>
    <m/>
    <m/>
  </r>
  <r>
    <m/>
    <m/>
    <x v="153"/>
    <x v="56"/>
    <m/>
    <s v="“Metilmalonik Asidemi ve Propiyonik Asidemide Akut Metabolik Dekompanzasyonun Acil Tanı ve Tedavisi”"/>
    <m/>
    <m/>
    <m/>
    <m/>
    <m/>
    <m/>
    <m/>
    <m/>
    <m/>
    <m/>
  </r>
  <r>
    <m/>
    <m/>
    <x v="153"/>
    <x v="56"/>
    <m/>
    <s v="“Pediatrik Proksimal Humerus Kırıklarında Konservatif ve Cerrahi Tedavinin Uzun Dönem Sonuçları”"/>
    <m/>
    <m/>
    <m/>
    <m/>
    <m/>
    <m/>
    <m/>
    <m/>
    <m/>
    <m/>
  </r>
  <r>
    <m/>
    <m/>
    <x v="153"/>
    <x v="56"/>
    <m/>
    <s v="“Yeni Terapötiklerin ve Biyobelirteçlerin Keşfi İçin Metabolik Fonksiyon Bozukluğu ile İlişkili Steatotik Karaciğer Hastalığının (MASLD) Patobiyolojisinin Açığa Çıkarılması(UNMASK- EP PerMed Horizon 2020 Projesi)”"/>
    <m/>
    <m/>
    <m/>
    <m/>
    <m/>
    <m/>
    <m/>
    <m/>
    <m/>
    <m/>
  </r>
  <r>
    <m/>
    <m/>
    <x v="153"/>
    <x v="56"/>
    <m/>
    <s v="“Adölesan Nöromüsküler Kalça Displazisi için Asetabuloplasti ile Kombine Üçlü Pelvik Osteotominin Güvenliği ve Uygulanabilirliği&quot;"/>
    <m/>
    <m/>
    <m/>
    <m/>
    <m/>
    <m/>
    <m/>
    <m/>
    <m/>
    <m/>
  </r>
  <r>
    <m/>
    <m/>
    <x v="153"/>
    <x v="56"/>
    <m/>
    <s v="“Polikistik Böbrek Hastalığı Olan Renal Transplant Alıcılarında Postoperatif Sağkalım ve Komplikasyonların Değerlendirilmesi''"/>
    <m/>
    <m/>
    <m/>
    <m/>
    <m/>
    <m/>
    <m/>
    <m/>
    <m/>
    <m/>
  </r>
  <r>
    <m/>
    <m/>
    <x v="153"/>
    <x v="56"/>
    <m/>
    <s v="“Jüvenil Sistemik Skleroz için Uluslararası Başlangıç Kohortu”"/>
    <m/>
    <m/>
    <m/>
    <m/>
    <m/>
    <m/>
    <m/>
    <m/>
    <m/>
    <m/>
  </r>
  <r>
    <m/>
    <m/>
    <x v="153"/>
    <x v="56"/>
    <m/>
    <s v="“Tiroid Kanserinde Metabolik Çeşitliliğin Açığa Çıkarılması: Fiber Tabanlı, İşaretsiz Orta Dalgaboylu Kızılötesi Optoakustik Prob Teknolojisinin Geliştirilmesi”"/>
    <m/>
    <m/>
    <m/>
    <m/>
    <m/>
    <m/>
    <m/>
    <m/>
    <m/>
    <m/>
  </r>
  <r>
    <m/>
    <m/>
    <x v="153"/>
    <x v="56"/>
    <m/>
    <s v="“Çocuk Kardiyoloji ÜnitesiTransvenöz Lead Çıkarılması Deneyimlerinin Retrospektif Değerlendirilmesi”"/>
    <m/>
    <m/>
    <m/>
    <m/>
    <m/>
    <m/>
    <m/>
    <m/>
    <m/>
    <m/>
  </r>
  <r>
    <m/>
    <m/>
    <x v="153"/>
    <x v="56"/>
    <m/>
    <s v="“Çocuk Acile Başvuran Kritik HastalardaHiperglisemi Sıklığı, Hastalıklara Göre Dağılımı ve Hasta Sonuçlarına Etkisi”"/>
    <m/>
    <m/>
    <m/>
    <m/>
    <m/>
    <m/>
    <m/>
    <m/>
    <m/>
    <m/>
  </r>
  <r>
    <m/>
    <m/>
    <x v="153"/>
    <x v="56"/>
    <m/>
    <s v="“Farklı Branşlardaki Erkek Sporcularda DXA ile Değerlendirilen Vücut Kompozisyonu İndekslerinin Karşılaştırılması”"/>
    <m/>
    <m/>
    <m/>
    <m/>
    <m/>
    <m/>
    <m/>
    <m/>
    <m/>
    <m/>
  </r>
  <r>
    <m/>
    <m/>
    <x v="153"/>
    <x v="56"/>
    <m/>
    <s v="“Melazma Hastalarında Vasküler Endotelyal Büyüme Faktörü Polimorfizminin Değerlendirilmesi”"/>
    <m/>
    <m/>
    <m/>
    <m/>
    <m/>
    <m/>
    <m/>
    <m/>
    <m/>
    <m/>
  </r>
  <r>
    <m/>
    <m/>
    <x v="153"/>
    <x v="56"/>
    <m/>
    <s v="“Platisma KasTranspozisyonunun Fonksiyonel ve Rekonstrüktif Kullanımı: Kadavra Çalışması”"/>
    <m/>
    <m/>
    <m/>
    <m/>
    <m/>
    <m/>
    <m/>
    <m/>
    <m/>
    <m/>
  </r>
  <r>
    <m/>
    <m/>
    <x v="153"/>
    <x v="56"/>
    <m/>
    <s v="“Doğumsal Brakiyal Pleksus Yaralanmalarında Önkol Cerrahi Sonrası Fonksiyonel Başarıyı Etkileyen Radyolojik Parametreler: Radius Anatomisinin Rolü”"/>
    <m/>
    <m/>
    <m/>
    <m/>
    <m/>
    <m/>
    <m/>
    <m/>
    <m/>
    <m/>
  </r>
  <r>
    <m/>
    <m/>
    <x v="153"/>
    <x v="56"/>
    <m/>
    <s v="“Gerçek Yaşam Verileriyle Romatoid Artritli Hastalarda Hedefe Yönelik Tedavi Zamanlaması ve Diz-Kalça Protez Cerrahisi İlişkisi”"/>
    <m/>
    <m/>
    <m/>
    <m/>
    <m/>
    <m/>
    <m/>
    <m/>
    <m/>
    <m/>
  </r>
  <r>
    <m/>
    <m/>
    <x v="153"/>
    <x v="56"/>
    <m/>
    <s v="“Kronik Böbrek Hastalığı İlişkili Bilişsel Bozukluk Patofizyolojisinin Radyolojik, Biyokimyasal ve Metabolomik Biyobelirteçler Işığında Karşılaştırmalı Bir Sistem Biyolojisi Analizi”"/>
    <m/>
    <m/>
    <m/>
    <m/>
    <m/>
    <m/>
    <m/>
    <m/>
    <m/>
    <m/>
  </r>
  <r>
    <m/>
    <m/>
    <x v="153"/>
    <x v="56"/>
    <m/>
    <s v="“Şeffaf Plak Tedavilerinde Kullanılan Ataşmanların Bağlanma ve Uzaklaştırılma Yöntemlerinin Diş Rengi Üzerine Etkileri”"/>
    <m/>
    <m/>
    <m/>
    <m/>
    <m/>
    <m/>
    <m/>
    <m/>
    <m/>
    <m/>
  </r>
  <r>
    <m/>
    <m/>
    <x v="153"/>
    <x v="56"/>
    <m/>
    <s v="“Ottawa Kriz Kaynak Yönetimi Küresel Değerlendirme Ölçeği ve Ottawa Kriz Kaynak Yönetimi Becerileri Kontrol Listesinin Türkçeye Uyarlanması”"/>
    <m/>
    <m/>
    <m/>
    <m/>
    <m/>
    <m/>
    <m/>
    <m/>
    <m/>
    <m/>
  </r>
  <r>
    <m/>
    <m/>
    <x v="153"/>
    <x v="56"/>
    <m/>
    <s v="“Polimiksin Nefrotoksisitesi için Makine Öğrenme Tabanlı Prediktif Skor Geliştirilmesi”"/>
    <m/>
    <m/>
    <m/>
    <m/>
    <m/>
    <m/>
    <m/>
    <m/>
    <m/>
    <m/>
  </r>
  <r>
    <m/>
    <m/>
    <x v="153"/>
    <x v="56"/>
    <m/>
    <s v="“Antrenman Maskesi ile Uygulanan Dar Alan Oyunlarına Verilen İç ve Dış Yük Yanıtlar&quot;"/>
    <m/>
    <m/>
    <m/>
    <m/>
    <m/>
    <m/>
    <m/>
    <m/>
    <m/>
    <m/>
  </r>
  <r>
    <m/>
    <m/>
    <x v="153"/>
    <x v="56"/>
    <m/>
    <s v="“Yorgunluğun Farklı Açısal Hızlarda Alt Ekstremite İzokinetik Kas Kuvvet Çıktıları Üzerine Etkisi”"/>
    <m/>
    <m/>
    <m/>
    <m/>
    <m/>
    <m/>
    <m/>
    <m/>
    <m/>
    <m/>
  </r>
  <r>
    <m/>
    <m/>
    <x v="153"/>
    <x v="56"/>
    <m/>
    <s v="“İç Hastalıkları Servislerinde Yatan ve Eksizyonel Lenf Nodu Biyopsisi Yapılan Hastaların Klinik, Laboratuvar ve Radyolojik Görüntülemelerinin Tanı Süreci ile İlişkili Analizi ve Prediktörlerin Belirlenmesi”"/>
    <m/>
    <m/>
    <m/>
    <m/>
    <m/>
    <m/>
    <m/>
    <m/>
    <m/>
    <m/>
  </r>
  <r>
    <m/>
    <m/>
    <x v="153"/>
    <x v="56"/>
    <m/>
    <s v="“Os Parietale Kalınlığının Bölgesel Değişkenliğinin Analizi ve Klinik Önemi”"/>
    <m/>
    <m/>
    <m/>
    <m/>
    <m/>
    <m/>
    <m/>
    <m/>
    <m/>
    <m/>
  </r>
  <r>
    <m/>
    <m/>
    <x v="153"/>
    <x v="56"/>
    <m/>
    <s v="“Hacettepe Üniversitesi Hastanesinde Solid Tümörlü Kanser Hastalarının Tedaviye Ulaşmak İçin Geçirdikleri Sürenin ve Zaman Toksisitesinin Değerlendirilmesi”"/>
    <m/>
    <m/>
    <m/>
    <m/>
    <m/>
    <m/>
    <m/>
    <m/>
    <m/>
    <m/>
  </r>
  <r>
    <m/>
    <m/>
    <x v="153"/>
    <x v="56"/>
    <m/>
    <s v="“İntihar Davranışı Ayrımı: Ası Vakalarında Proteomik Analiz ve İmmünflöresan İnceleme ile Nörobiyolojik Belirteç Belirlenmesi”"/>
    <m/>
    <m/>
    <m/>
    <m/>
    <m/>
    <m/>
    <m/>
    <m/>
    <m/>
    <m/>
  </r>
  <r>
    <m/>
    <m/>
    <x v="153"/>
    <x v="56"/>
    <m/>
    <s v="“Hücresizleştirilmiş İnsan Amniyotik Membran Temelli Küçük Çaplı Vasküler Greft Geliştirilmesi ve Cerrahi Anastomoz Uygulamalarında Değerlendirilmesi”"/>
    <m/>
    <m/>
    <m/>
    <m/>
    <m/>
    <m/>
    <m/>
    <m/>
    <m/>
    <m/>
  </r>
  <r>
    <m/>
    <m/>
    <x v="153"/>
    <x v="56"/>
    <m/>
    <s v="“Farklı Elektrikli Testere Sistemlerinin Cerrahi Verimlilik, Termal Etki ve Kullanıcı Deneyimi Açısından Kemik Modelinde Karşılaştırılması”"/>
    <m/>
    <m/>
    <m/>
    <m/>
    <m/>
    <m/>
    <m/>
    <m/>
    <m/>
    <m/>
  </r>
  <r>
    <m/>
    <m/>
    <x v="153"/>
    <x v="56"/>
    <m/>
    <s v="“İlaca Dirençli Ekstratemporal Lob Epilepsisi Cerrahisi Geçiren Hastalarda Cerrahi Sonuçlar ve Prognozu Etkileyen Faktörlerin Retrospektif Analizi”"/>
    <m/>
    <m/>
    <m/>
    <m/>
    <m/>
    <m/>
    <m/>
    <m/>
    <m/>
    <m/>
  </r>
  <r>
    <m/>
    <m/>
    <x v="153"/>
    <x v="56"/>
    <m/>
    <s v="“Matematik ve Türkçe Derslerinde Kullanılan Fiziksel Aktivite Tabanlı Aktif ve Pasif Zihin Molalarının Akademik Başarı, Bilişsel İşlevler, Fiziksel Aktivite Düzeyi ve Sınıf İçi Davranışlar Üzerindeki Etkisi”"/>
    <m/>
    <m/>
    <m/>
    <m/>
    <m/>
    <m/>
    <m/>
    <m/>
    <m/>
    <m/>
  </r>
  <r>
    <m/>
    <m/>
    <x v="153"/>
    <x v="56"/>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53"/>
    <x v="56"/>
    <m/>
    <s v="“Komplikasyonların Azaltılmasında Distraksiyon Tabanlı Büyüme Dostu Teknikler İçin Uygun Cerrahi Yaş”"/>
    <m/>
    <m/>
    <m/>
    <m/>
    <m/>
    <m/>
    <m/>
    <m/>
    <m/>
    <m/>
  </r>
  <r>
    <m/>
    <m/>
    <x v="153"/>
    <x v="56"/>
    <m/>
    <s v="“Meningomiyesel ve Diğer Nöromusküler Erken Başlangıçlı Skolyozlarda Büyüyen Rod Tedavisini Tekiben Uygulanan Definitif Cerrahinin Klinik ve Radyolojik Sonuçlarının Karşılaştırılması”"/>
    <m/>
    <m/>
    <m/>
    <m/>
    <m/>
    <m/>
    <m/>
    <m/>
    <m/>
    <m/>
  </r>
  <r>
    <m/>
    <m/>
    <x v="153"/>
    <x v="56"/>
    <m/>
    <s v="“Vulva Kanseri ve HER-2 İlişkisi”"/>
    <m/>
    <m/>
    <m/>
    <m/>
    <m/>
    <m/>
    <m/>
    <m/>
    <m/>
    <m/>
  </r>
  <r>
    <m/>
    <m/>
    <x v="153"/>
    <x v="56"/>
    <m/>
    <s v="“Artan Renal Klirensi Olan Hastalarda Meropenem Kan Düzeylerinin Retrospektif Olarak Değerlendirilmesi”"/>
    <m/>
    <m/>
    <m/>
    <m/>
    <m/>
    <m/>
    <m/>
    <m/>
    <m/>
    <m/>
  </r>
  <r>
    <m/>
    <m/>
    <x v="153"/>
    <x v="56"/>
    <m/>
    <s v="“Kanserli Hastalarda Serum Albumin-Kreatin Oranının Sağkalım ve Progresyonsu Sağkalım ile İlişkisinin Araştırılması”"/>
    <m/>
    <m/>
    <m/>
    <m/>
    <m/>
    <m/>
    <m/>
    <m/>
    <m/>
    <m/>
  </r>
  <r>
    <m/>
    <m/>
    <x v="153"/>
    <x v="56"/>
    <m/>
    <s v="“Biyopsi ile Tanımlanmış Lakrimal Bez Patolojilerine Sahip Hastaların Demografik ve Klinik Özelliklerinin Belirlenmesi”"/>
    <m/>
    <m/>
    <m/>
    <m/>
    <m/>
    <m/>
    <m/>
    <m/>
    <m/>
    <m/>
  </r>
  <r>
    <m/>
    <m/>
    <x v="153"/>
    <x v="56"/>
    <m/>
    <s v="“REM Uyku Davranış Bozukluğunun Prodromal, İdiopatik ve Sekonder Alt Tiplerinde Klinik, Polisomnografik Özellikler ve Tedavi Yanıtlarının Karşılaştırılması”"/>
    <m/>
    <m/>
    <m/>
    <m/>
    <m/>
    <m/>
    <m/>
    <m/>
    <m/>
    <m/>
  </r>
  <r>
    <m/>
    <m/>
    <x v="153"/>
    <x v="56"/>
    <m/>
    <s v="“Hipokampal Sklerozlu Mezial Temporal Lob Epilepsisinde Skalp EEG’de İktal Yayılım Özelliklerinin Cerrahi Sonrası Prognozu Öngörmede Rolü: Retrospektif Bir Analiz”"/>
    <m/>
    <m/>
    <m/>
    <m/>
    <m/>
    <m/>
    <m/>
    <m/>
    <m/>
    <m/>
  </r>
  <r>
    <m/>
    <m/>
    <x v="153"/>
    <x v="56"/>
    <m/>
    <s v="“Kronik Çok İlaca Dirençli Pseudomonas Aeruginosa Enfeksiyonu Olan Kistik Fibrozisli Çocuk Hastalarımızın Retrospektif Değerlendirilmesi"/>
    <m/>
    <m/>
    <m/>
    <m/>
    <m/>
    <m/>
    <m/>
    <m/>
    <m/>
    <m/>
  </r>
  <r>
    <m/>
    <m/>
    <x v="153"/>
    <x v="56"/>
    <m/>
    <s v="“Hemoptizi Sebebiyle Fleksible Fiberoptik Bronkoskopi Yaptiğimiz Çocuk Hastalarımızın Retrospektif Değerlendirilmesi”"/>
    <m/>
    <m/>
    <m/>
    <m/>
    <m/>
    <m/>
    <m/>
    <m/>
    <m/>
    <m/>
  </r>
  <r>
    <m/>
    <m/>
    <x v="153"/>
    <x v="56"/>
    <m/>
    <s v="“Pediyatrik Orbital Rabdomyosarkomun Görüntüleme Bulguları”"/>
    <m/>
    <m/>
    <m/>
    <m/>
    <m/>
    <m/>
    <m/>
    <m/>
    <m/>
    <m/>
  </r>
  <r>
    <m/>
    <m/>
    <x v="153"/>
    <x v="56"/>
    <m/>
    <s v="“Sanal Cerrahi Planlamanın Kişiye Özel Plak ve Geleneksel Miniplak Fiksasyonu Yapılmış Hastalardaki Doğruluğunun İncelenmesi”"/>
    <m/>
    <m/>
    <m/>
    <m/>
    <m/>
    <m/>
    <m/>
    <m/>
    <m/>
    <m/>
  </r>
  <r>
    <m/>
    <m/>
    <x v="153"/>
    <x v="56"/>
    <m/>
    <s v="“.Huzurevinde Yaşayan Yaşlı Bireylerin Ağız Sağlığı Durumu ile Bakımevi Personelinin Ağız Sağlığına Yönelik Bilgi Düzeyi Arasındaki İlişkinin Değerlendirilmesi.”"/>
    <m/>
    <m/>
    <m/>
    <m/>
    <m/>
    <m/>
    <m/>
    <m/>
    <m/>
    <m/>
  </r>
  <r>
    <m/>
    <m/>
    <x v="153"/>
    <x v="56"/>
    <m/>
    <s v="“İdiyopatik Jeneralize Epilepside Klinik ve Tanısal Özelliklerin Saptanması ve Tedavi Sonuçlarıyla İlişkisinin Retrospektif Olarak Değerlendirilmesi”"/>
    <m/>
    <m/>
    <m/>
    <m/>
    <m/>
    <m/>
    <m/>
    <m/>
    <m/>
    <m/>
  </r>
  <r>
    <m/>
    <m/>
    <x v="153"/>
    <x v="56"/>
    <m/>
    <s v="“Çevresel Sensör Reseptör Uyarımı ile Koşullandırılmış İnflamasyon Baskılayıcı”"/>
    <m/>
    <m/>
    <m/>
    <m/>
    <m/>
    <m/>
    <m/>
    <m/>
    <m/>
    <m/>
  </r>
  <r>
    <m/>
    <m/>
    <x v="153"/>
    <x v="56"/>
    <m/>
    <s v="“Evre 3 ve 4 Kronik Böbrek Hastalarında Hastalık Farkındalık Ölçeği Geliştirilmesi: Ekolojik Model Temelli Bir Yaklaşım”"/>
    <m/>
    <m/>
    <m/>
    <m/>
    <m/>
    <m/>
    <m/>
    <m/>
    <m/>
    <m/>
  </r>
  <r>
    <m/>
    <m/>
    <x v="153"/>
    <x v="56"/>
    <m/>
    <s v="“Kolorektal Kanserli Hastaların Klinopatolojik Özellikleri”"/>
    <m/>
    <m/>
    <m/>
    <m/>
    <m/>
    <m/>
    <m/>
    <m/>
    <m/>
    <m/>
  </r>
  <r>
    <m/>
    <m/>
    <x v="153"/>
    <x v="56"/>
    <m/>
    <s v="“Kronik Granülomatoz Hastalık Tanılı Çocukların Akciğer Bulgularının Değerlendirilmesi”"/>
    <m/>
    <m/>
    <m/>
    <m/>
    <m/>
    <m/>
    <m/>
    <m/>
    <m/>
    <m/>
  </r>
  <r>
    <m/>
    <m/>
    <x v="153"/>
    <x v="56"/>
    <m/>
    <s v="“Diyabet Tarama Test İstemlerinin Kanıta Dayalı Eğitim Müdahaleleri ile Rasyonel Kullanımının Arttırılması: Kalite Geliştirme Çalışması”"/>
    <m/>
    <m/>
    <m/>
    <m/>
    <m/>
    <m/>
    <m/>
    <m/>
    <m/>
    <m/>
  </r>
  <r>
    <m/>
    <m/>
    <x v="153"/>
    <x v="56"/>
    <m/>
    <s v="“Eczacılıkta Uzmanlık Sınavı Başarısı Açısından Yapay Zeka Tabanlı Büyük Dil Modellerinin Karşılaştırması”"/>
    <m/>
    <m/>
    <m/>
    <m/>
    <m/>
    <m/>
    <m/>
    <m/>
    <m/>
    <m/>
  </r>
  <r>
    <m/>
    <m/>
    <x v="153"/>
    <x v="56"/>
    <m/>
    <s v="“HIV ile Yaşayan Kişilerde HIV Viral Yükün ve İmmünolojik Parametrelerin Quantiferon-TB Gold Plus Testi Sonucuna Etkisi”"/>
    <m/>
    <m/>
    <m/>
    <m/>
    <m/>
    <m/>
    <m/>
    <m/>
    <m/>
    <m/>
  </r>
  <r>
    <m/>
    <m/>
    <x v="153"/>
    <x v="56"/>
    <m/>
    <s v="“40 Yaş ve Üstü HIV Pozitif Bireylerde Kırılganlık Riskinin Tahmini ve Dijital Risk Değerlendirmede Web R Shiny Uygulaması”"/>
    <m/>
    <m/>
    <m/>
    <m/>
    <m/>
    <m/>
    <m/>
    <m/>
    <m/>
    <m/>
  </r>
  <r>
    <m/>
    <m/>
    <x v="153"/>
    <x v="56"/>
    <m/>
    <s v="“İmmunoglobulin-E Aracılı Besin Alerjisi Tanılı Hastalarda Besin Yükleme Testinde Pozitif Reaksiyon Gelişen Eşik Değeri Öngörmek Amacıyla Kullanılabilecek Faktörlerin Belirlenmesi”"/>
    <m/>
    <m/>
    <m/>
    <m/>
    <m/>
    <m/>
    <m/>
    <m/>
    <m/>
    <m/>
  </r>
  <r>
    <m/>
    <m/>
    <x v="153"/>
    <x v="56"/>
    <m/>
    <s v="“Balık İlişkili Besin Proteininin İndüklediği Enterokolit Sendromunda İlk Provakasyon Zamanının Belirlenmesi”"/>
    <m/>
    <m/>
    <m/>
    <m/>
    <m/>
    <m/>
    <m/>
    <m/>
    <m/>
    <m/>
  </r>
  <r>
    <m/>
    <m/>
    <x v="153"/>
    <x v="56"/>
    <m/>
    <s v="“L-Sitrülin Malat Takviyesinin Dövüş Sporcularında Aerobik Egzersiz Performansı Üzerine Etkisi”"/>
    <m/>
    <m/>
    <m/>
    <m/>
    <m/>
    <m/>
    <m/>
    <m/>
    <m/>
    <m/>
  </r>
  <r>
    <m/>
    <m/>
    <x v="153"/>
    <x v="56"/>
    <m/>
    <s v="“Fibrodisplazi Ossifikans Progressiva Tanılı Hastaların Klinik ve Moleküler Özelliklerinin Gözden Geçirilmesi”"/>
    <m/>
    <m/>
    <m/>
    <m/>
    <m/>
    <m/>
    <m/>
    <m/>
    <m/>
    <m/>
  </r>
  <r>
    <m/>
    <m/>
    <x v="153"/>
    <x v="56"/>
    <m/>
    <s v="“İmmün Kontrol Noktası İnhibitörü Alan Kanser Hastalarında Vücut Kompozisyonu, Psikososyal Faktörler ve İlaç İlişkili Sorunların Klinik Seyirle İlişkisinin Değerlendirilmesi”"/>
    <m/>
    <m/>
    <m/>
    <m/>
    <m/>
    <m/>
    <m/>
    <m/>
    <m/>
    <m/>
  </r>
  <r>
    <m/>
    <m/>
    <x v="153"/>
    <x v="56"/>
    <m/>
    <s v="“Oral Bakteri Kaynaklı Ekstraselüler Veziküllerin İnsan Mikroçevre Hücreleri Üzerindeki Etkilerinin Araştırılması”"/>
    <m/>
    <m/>
    <m/>
    <m/>
    <m/>
    <m/>
    <m/>
    <m/>
    <m/>
    <m/>
  </r>
  <r>
    <m/>
    <m/>
    <x v="153"/>
    <x v="56"/>
    <m/>
    <s v="“Amyotrofik Lateral Skleroz Hastalarında trapez Kasına Uygulanan Repetetif Sinir Stimülasyonunun Tanısal Değerlendirilmesi: Kontrollü Prospektif Bir Çalışma”"/>
    <m/>
    <m/>
    <m/>
    <m/>
    <m/>
    <m/>
    <m/>
    <m/>
    <m/>
    <m/>
  </r>
  <r>
    <m/>
    <m/>
    <x v="153"/>
    <x v="56"/>
    <m/>
    <s v="“SOD1 Mutasyonu Taşıyan Amyotrofik Lateral Skleroz Hastalarında Kalp Hızı Değişkenliği ve Sempatik Deri Yanıtı ile Otonomik Disfonksiyonun Değerlendirilmesi”"/>
    <m/>
    <m/>
    <m/>
    <m/>
    <m/>
    <m/>
    <m/>
    <m/>
    <m/>
    <m/>
  </r>
  <r>
    <m/>
    <m/>
    <x v="153"/>
    <x v="56"/>
    <m/>
    <s v="“Susam Alerjisi Olan Çocuklarda Oral İmmünoterapi ve Besinden Kaçınma Yaklaşımlarının Yaşam Kalitesi Üzerine Etkileri”"/>
    <m/>
    <m/>
    <m/>
    <m/>
    <m/>
    <m/>
    <m/>
    <m/>
    <m/>
    <m/>
  </r>
  <r>
    <m/>
    <m/>
    <x v="153"/>
    <x v="56"/>
    <m/>
    <s v="“İdrar Kaçıran Kadınlarda Yapay Zeka Yardımlı Görüntüleme Analizi ile Tanı Süreçlerinin Geliştirilmesi”"/>
    <m/>
    <m/>
    <m/>
    <m/>
    <m/>
    <m/>
    <m/>
    <m/>
    <m/>
    <m/>
  </r>
  <r>
    <m/>
    <m/>
    <x v="153"/>
    <x v="56"/>
    <m/>
    <s v="“Astım Tanılı Çocuklarda Tedavi Edilebilir Özelliklerin İncelenmesi”"/>
    <m/>
    <m/>
    <m/>
    <m/>
    <m/>
    <m/>
    <m/>
    <m/>
    <m/>
    <m/>
  </r>
  <r>
    <m/>
    <m/>
    <x v="153"/>
    <x v="56"/>
    <m/>
    <s v="“Sedanter Davranışın Farklı Şiddette Egzersizlerle Kesintiye Uğratılmasının Postprandiyal Kardiyometabolik Etkileri”"/>
    <m/>
    <m/>
    <m/>
    <m/>
    <m/>
    <m/>
    <m/>
    <m/>
    <m/>
    <m/>
  </r>
  <r>
    <m/>
    <m/>
    <x v="153"/>
    <x v="56"/>
    <m/>
    <s v="“Polikistik Over Sendromu Tanılı Hastaların Endokrinolojik İzlemi ve Veri Tabanı Oluşturulması”"/>
    <m/>
    <m/>
    <m/>
    <m/>
    <m/>
    <m/>
    <m/>
    <m/>
    <m/>
    <m/>
  </r>
  <r>
    <m/>
    <m/>
    <x v="153"/>
    <x v="56"/>
    <m/>
    <s v="&quot;Nörofibromatozis Tip1 İlişkili Pleksiform Nörofibromlarda Selümetinib Kullanımı: Hacettepe Deneyimi”"/>
    <m/>
    <m/>
    <m/>
    <m/>
    <m/>
    <m/>
    <m/>
    <m/>
    <m/>
    <m/>
  </r>
  <r>
    <m/>
    <m/>
    <x v="153"/>
    <x v="56"/>
    <m/>
    <s v="“Proksimal Tibia İntraartiküler Kırıklarının Retrospektif Analizi ve Tedavi Sonuçları”"/>
    <m/>
    <m/>
    <m/>
    <m/>
    <m/>
    <m/>
    <m/>
    <m/>
    <m/>
    <m/>
  </r>
  <r>
    <m/>
    <m/>
    <x v="153"/>
    <x v="56"/>
    <m/>
    <s v="“Graves Hastalarında Beslenme Alışkanlıkları ve Vücut Kompozisyonunun İncelenmesi”"/>
    <m/>
    <m/>
    <m/>
    <m/>
    <m/>
    <m/>
    <m/>
    <m/>
    <m/>
    <m/>
  </r>
  <r>
    <m/>
    <m/>
    <x v="153"/>
    <x v="56"/>
    <m/>
    <s v="“Sekonder İmmün Yetmezlik İçin Farkındalığın Değerlendirilmesi: Pediatri ve İmmünoloji Perspektifi”"/>
    <m/>
    <m/>
    <m/>
    <m/>
    <m/>
    <m/>
    <m/>
    <m/>
    <m/>
    <m/>
  </r>
  <r>
    <m/>
    <m/>
    <x v="153"/>
    <x v="56"/>
    <m/>
    <s v="“ALPACA Tanısı İle İzlenen Hastaların Değerlendirilmesi”"/>
    <m/>
    <m/>
    <m/>
    <m/>
    <m/>
    <m/>
    <m/>
    <m/>
    <m/>
    <m/>
  </r>
  <r>
    <m/>
    <m/>
    <x v="153"/>
    <x v="56"/>
    <m/>
    <s v="“Şeffaf Plak Kompozit Ataşmanlarının Renk Stabilitesi ve Diş Rengi Üzerine Etkileri”"/>
    <m/>
    <m/>
    <m/>
    <m/>
    <m/>
    <m/>
    <m/>
    <m/>
    <m/>
    <m/>
  </r>
  <r>
    <m/>
    <m/>
    <x v="153"/>
    <x v="56"/>
    <m/>
    <s v="“Hacettepe Üniversitesi Hastanesi Ameliyathanesinde Çalışan Cerrahlarda Kas İskelet Sistemi Problemlerinin Tespiti&quot;"/>
    <m/>
    <m/>
    <m/>
    <m/>
    <m/>
    <m/>
    <m/>
    <m/>
    <m/>
    <m/>
  </r>
  <r>
    <m/>
    <m/>
    <x v="153"/>
    <x v="56"/>
    <m/>
    <s v="“Eozinofilik Gastrointestinal Hastalık Tanısı Alan Primer İmmün Yetmezlikli Hastaların Klinik ve Laboratuvar Özelliklerinin Değerlendirilmesi”"/>
    <m/>
    <m/>
    <m/>
    <m/>
    <m/>
    <m/>
    <m/>
    <m/>
    <m/>
    <m/>
  </r>
  <r>
    <m/>
    <m/>
    <x v="153"/>
    <x v="56"/>
    <m/>
    <s v="“Süt Azı Dişlerinde Fizyolojik ve Patolojik Rezorpsiyonun Derin Öğrenme ile Otomatik Sınıflandırılması”"/>
    <m/>
    <m/>
    <m/>
    <m/>
    <m/>
    <m/>
    <m/>
    <m/>
    <m/>
    <m/>
  </r>
  <r>
    <m/>
    <m/>
    <x v="153"/>
    <x v="56"/>
    <m/>
    <s v="“Tip 2 Diyabet Hastalarında Karar Verme Çatışması, Kronik Hastalık Bakım Değerlendirmesi, Diyabet Distresi ve Tedaviye Uyum Arasındaki İlişkilerin Değrlendirilmesi”"/>
    <m/>
    <m/>
    <m/>
    <m/>
    <m/>
    <m/>
    <m/>
    <m/>
    <m/>
    <m/>
  </r>
  <r>
    <m/>
    <m/>
    <x v="153"/>
    <x v="56"/>
    <m/>
    <s v="“LeFort 1 Cerrahisinde Maksillaya Yaptırılan Çeşitli Hareketlerin Dudak ve Burun Estetik Bölgelerindeki Etkilerinin İncelenmesi”"/>
    <m/>
    <m/>
    <m/>
    <m/>
    <m/>
    <m/>
    <m/>
    <m/>
    <m/>
    <m/>
  </r>
  <r>
    <m/>
    <m/>
    <x v="153"/>
    <x v="56"/>
    <m/>
    <s v="“Primer İmmün Yetmezlik Tanısı ile İzlenen Hastalarda Karaciğerde Gelişebilen Fokal Nodüler Hiperplazi Lezyonlarmin Değerlendirilmesi ”"/>
    <m/>
    <m/>
    <m/>
    <m/>
    <m/>
    <m/>
    <m/>
    <m/>
    <m/>
    <m/>
  </r>
  <r>
    <m/>
    <m/>
    <x v="153"/>
    <x v="56"/>
    <m/>
    <s v="“Kronik Tromboembolik Pulmoner Hipertansiyonun Tanisonda ve Tedavi Yanıtı Değerlendirmesinde Akciğer Ventilasyon/Perfüzyon Sintigrafisinin Prognostik Gücü”"/>
    <m/>
    <m/>
    <m/>
    <m/>
    <m/>
    <m/>
    <m/>
    <m/>
    <m/>
    <m/>
  </r>
  <r>
    <m/>
    <m/>
    <x v="153"/>
    <x v="56"/>
    <m/>
    <s v="“Axial ve Koronal Düzlemde Koklear Apertür Ölçümlerinin İnternal Akustik Kanal ve Koklear Sinir ile İlişkisi”"/>
    <m/>
    <m/>
    <m/>
    <m/>
    <m/>
    <m/>
    <m/>
    <m/>
    <m/>
    <m/>
  </r>
  <r>
    <m/>
    <m/>
    <x v="153"/>
    <x v="56"/>
    <m/>
    <s v="“Sigara Kullanan Erişkinlerin Sigaraya Ayırdıkları Bütçeye Dair Farkındalıklarının Sigara Bırakma Motivasyonlarıyla İlişkisi”"/>
    <m/>
    <m/>
    <m/>
    <m/>
    <m/>
    <m/>
    <m/>
    <m/>
    <m/>
    <m/>
  </r>
  <r>
    <m/>
    <m/>
    <x v="153"/>
    <x v="56"/>
    <m/>
    <s v="“Çene Kemiklerinde Multipl Miyeloma Bağlı Mikroyapısal Bozulmaların Kantitatif Analizi: Fraktal, Lakünerite ve Entropi Parametrelerinin Karşılaştırmalı İncelemesi”"/>
    <m/>
    <m/>
    <m/>
    <m/>
    <m/>
    <m/>
    <m/>
    <m/>
    <m/>
    <m/>
  </r>
  <r>
    <m/>
    <m/>
    <x v="153"/>
    <x v="56"/>
    <m/>
    <s v="&quot;Ailesel Akdeniz Ateşi’nde MEFV Genotipine Göre Klinik Özelliklerin Karşılaştırılması: Homozigot, Heterozigot ve Klinik Önemi Bilinmeyen Varyant Taşıyıcıları&quot;"/>
    <m/>
    <m/>
    <m/>
    <m/>
    <m/>
    <m/>
    <m/>
    <m/>
    <m/>
    <m/>
  </r>
  <r>
    <m/>
    <m/>
    <x v="153"/>
    <x v="56"/>
    <m/>
    <s v="&quot;Çocukluk Çağı Kronik Non-Bakteriyel Osteomiyelit Hastalarında Tedaviye Yanıtlar ve Relapsı Öngören Faktörler&quot;"/>
    <m/>
    <m/>
    <m/>
    <m/>
    <m/>
    <m/>
    <m/>
    <m/>
    <m/>
    <m/>
  </r>
  <r>
    <m/>
    <m/>
    <x v="153"/>
    <x v="56"/>
    <m/>
    <s v="“Tablet Tabanlı Mikroperimetri ile Yaşa Bağlı Makula Dejenerasyonunda Görme Keskinliği Değişiminin Ev Ortamında Saptanması”"/>
    <m/>
    <m/>
    <m/>
    <m/>
    <m/>
    <m/>
    <m/>
    <m/>
    <m/>
    <m/>
  </r>
  <r>
    <m/>
    <m/>
    <x v="153"/>
    <x v="56"/>
    <m/>
    <s v="“Humerus Şaft Kırıklarının Retrospektif Analizi ve Tedavi Sonuçları”"/>
    <m/>
    <m/>
    <m/>
    <m/>
    <m/>
    <m/>
    <m/>
    <m/>
    <m/>
    <m/>
  </r>
  <r>
    <m/>
    <m/>
    <x v="153"/>
    <x v="56"/>
    <m/>
    <s v="“Mitokondriyal Hastalık Tanılı Hastaların Semptom ve Bulgularının Mitokondriyal Hastalık Tanı Kriterleri ile Değerlendirilmesi”"/>
    <m/>
    <m/>
    <m/>
    <m/>
    <m/>
    <m/>
    <m/>
    <m/>
    <m/>
    <m/>
  </r>
  <r>
    <m/>
    <m/>
    <x v="153"/>
    <x v="56"/>
    <m/>
    <s v="“Kırım-Kongo Kanamalı Ateşinin Moleküler İmzalarının Ortaya Konması: mRNA, lncRNA, sRNA ve circRNA Profilleri Üzerine Transkriptomik ve Biyoinformatik Yaklaşım”"/>
    <m/>
    <m/>
    <m/>
    <m/>
    <m/>
    <m/>
    <m/>
    <m/>
    <m/>
    <m/>
  </r>
  <r>
    <m/>
    <m/>
    <x v="153"/>
    <x v="56"/>
    <m/>
    <s v="“Konjenital Kalp Hastalığı Nedeniyle Opere Edilen Yenidoğanlarda Mortaliteyi Etkileyen Klinik Faktörler”"/>
    <m/>
    <m/>
    <m/>
    <m/>
    <m/>
    <m/>
    <m/>
    <m/>
    <m/>
    <m/>
  </r>
  <r>
    <m/>
    <m/>
    <x v="153"/>
    <x v="56"/>
    <m/>
    <s v="“Pediatrik Cerrahi Hastalarında Postoperatif Ağrı Yönetimi Başarısının Değerlendirilmesi”"/>
    <m/>
    <m/>
    <m/>
    <m/>
    <m/>
    <m/>
    <m/>
    <m/>
    <m/>
    <m/>
  </r>
  <r>
    <m/>
    <m/>
    <x v="153"/>
    <x v="56"/>
    <m/>
    <s v="“Bilateral Sagital Split Ramus Osteotomisi ve Genioplasti ile Mandibulaya Yaptırılan Çeşitli Hareketlerin Dudak, Çene Ucu ve Angulus Estetik Bölgelerindeki Etkilerinin İncelenmesi”"/>
    <m/>
    <m/>
    <m/>
    <m/>
    <m/>
    <m/>
    <m/>
    <m/>
    <m/>
    <m/>
  </r>
  <r>
    <m/>
    <m/>
    <x v="153"/>
    <x v="56"/>
    <m/>
    <s v="“Üst Ekstremitede Ön Kondisyonlanma ile “Aktivasyon Sonrası Performans Artışı” mümkün mü?”"/>
    <m/>
    <m/>
    <m/>
    <m/>
    <m/>
    <m/>
    <m/>
    <m/>
    <m/>
    <m/>
  </r>
  <r>
    <m/>
    <m/>
    <x v="153"/>
    <x v="56"/>
    <m/>
    <s v="“Tüm Beyin Radyoterapisi Sırasında Hipokampüsün Dentat Girus ve Cornu Ammonis Bölgelerinin Korunduğu Hastalarda Nörokognitif Fonksiyon Durumunun Değerlendirilmesi”"/>
    <m/>
    <m/>
    <m/>
    <m/>
    <m/>
    <m/>
    <m/>
    <m/>
    <m/>
    <m/>
  </r>
  <r>
    <m/>
    <m/>
    <x v="153"/>
    <x v="56"/>
    <m/>
    <s v="“Tek Taraflı Dudak-Damak Yarıklı Dental Modellerde Farklı Ağız İçi Tarayıcıların Karşılaştırılması: İn-vitro Çalışma”"/>
    <m/>
    <m/>
    <m/>
    <m/>
    <m/>
    <m/>
    <m/>
    <m/>
    <m/>
    <m/>
  </r>
  <r>
    <m/>
    <m/>
    <x v="153"/>
    <x v="56"/>
    <m/>
    <s v="“Luminal A Meme Kanseri: Genç Yaşa Özgü Kötü Prognozun Moleküler Temelleri”"/>
    <m/>
    <m/>
    <m/>
    <m/>
    <m/>
    <m/>
    <m/>
    <m/>
    <m/>
    <m/>
  </r>
  <r>
    <m/>
    <m/>
    <x v="153"/>
    <x v="56"/>
    <m/>
    <s v="“Sol Dal Alan Uyarım Metodu ile İmplante Edilen Kardiyak Cihazların Hastalar Üzerideki Takip Verilerinin İncelenmesi ve Konvansiyonel Metodoloji ile Karşılaştırılması”"/>
    <m/>
    <m/>
    <m/>
    <m/>
    <m/>
    <m/>
    <m/>
    <m/>
    <m/>
    <m/>
  </r>
  <r>
    <m/>
    <m/>
    <x v="153"/>
    <x v="56"/>
    <m/>
    <s v="“Periferik Fasiyal Paralizili Hastalarda Kulak MRG Bulguları ve 3D-FLAIR Sekansın Tanıya Katkısının Araştırılması”"/>
    <m/>
    <m/>
    <m/>
    <m/>
    <m/>
    <m/>
    <m/>
    <m/>
    <m/>
    <m/>
  </r>
  <r>
    <m/>
    <m/>
    <x v="153"/>
    <x v="56"/>
    <m/>
    <s v="“İleri Derecede Kemik Kaybı Olan Lezyonlarda Oral Protozoa Varlığının Değerlendirilmesi”"/>
    <m/>
    <m/>
    <m/>
    <m/>
    <m/>
    <m/>
    <m/>
    <m/>
    <m/>
    <m/>
  </r>
  <r>
    <m/>
    <m/>
    <x v="153"/>
    <x v="56"/>
    <m/>
    <s v="“Pemfigus Vulgaris Hastalarında Rituksimab Tedavisinden Sonrası Relaps İle İlişkili Laboratuar ve Klinik Parametrelerin Araştırılması”"/>
    <m/>
    <m/>
    <m/>
    <m/>
    <m/>
    <m/>
    <m/>
    <m/>
    <m/>
    <m/>
  </r>
  <r>
    <m/>
    <m/>
    <x v="153"/>
    <x v="56"/>
    <m/>
    <s v="“PAX1 Gen Mutasyonunun Timus Gelişimi ve Fonksiyonu Üzerinde Etkilerinin Araştırılması”"/>
    <m/>
    <m/>
    <m/>
    <m/>
    <m/>
    <m/>
    <m/>
    <m/>
    <m/>
    <m/>
  </r>
  <r>
    <m/>
    <m/>
    <x v="153"/>
    <x v="56"/>
    <m/>
    <s v="“Mikozis Fungoides ve Ayırıcı Tanısına Giren Lezyonlarda TRPS1, RBC1, TOX ve PDCD1 Ekspresyonlarının Karşılaştırmalı Değerlendirilmesi: Tanısal Algoritma Geliştirmeye Yönelik Klinikopatolojik Yaklaşım”"/>
    <m/>
    <m/>
    <m/>
    <m/>
    <m/>
    <m/>
    <m/>
    <m/>
    <m/>
    <m/>
  </r>
  <r>
    <m/>
    <m/>
    <x v="153"/>
    <x v="56"/>
    <m/>
    <s v="“Başlangıç Yaşına Göre Atopik Dermatit Olgularının Klinik ve Laboratuvar Parametrelerinin Karşılaştırılması”"/>
    <m/>
    <m/>
    <m/>
    <m/>
    <m/>
    <m/>
    <m/>
    <m/>
    <m/>
    <m/>
  </r>
  <r>
    <m/>
    <m/>
    <x v="153"/>
    <x v="56"/>
    <m/>
    <s v="“Metastatik Kolorektal, Over ve Serviks Hastalarında Renal Sonlanımların Değerlendirilmesi”"/>
    <m/>
    <m/>
    <m/>
    <m/>
    <m/>
    <m/>
    <m/>
    <m/>
    <m/>
    <m/>
  </r>
  <r>
    <m/>
    <m/>
    <x v="153"/>
    <x v="56"/>
    <m/>
    <s v="“Pediyatrik Sarkomlarda Metabolik ve Radyomik Parametreler ile Prognostik Modelleme”"/>
    <m/>
    <m/>
    <m/>
    <m/>
    <m/>
    <m/>
    <m/>
    <m/>
    <m/>
    <m/>
  </r>
  <r>
    <m/>
    <m/>
    <x v="153"/>
    <x v="56"/>
    <m/>
    <s v="“Paraservikal Blok Uygulamasının Histeroskopi Sonrası Postoperatif Ağrı Üzerine Etkisi: Anket Çalışması”"/>
    <m/>
    <m/>
    <m/>
    <m/>
    <m/>
    <m/>
    <m/>
    <m/>
    <m/>
    <m/>
  </r>
  <r>
    <m/>
    <m/>
    <x v="153"/>
    <x v="56"/>
    <m/>
    <s v="“Jinekolojik Onkoloji Konsey Kararlarının Yapay Zekâ Destekli Kararlarla Karşılaştırılması: Over, Endometrium ve Serviks Kanseri Üzerine Retrospektif Bir Analiz”"/>
    <m/>
    <m/>
    <m/>
    <m/>
    <m/>
    <m/>
    <m/>
    <m/>
    <m/>
    <m/>
  </r>
  <r>
    <m/>
    <m/>
    <x v="153"/>
    <x v="56"/>
    <m/>
    <s v="“Nazal Dermoid Kistlere Multidisipliner Yaklaşım: Konjenital Vakaların Klinik, Görüntüleme ve Cerrahi Bulguları Üzerine Tek Merkezli Bir Analiz ”"/>
    <m/>
    <m/>
    <m/>
    <m/>
    <m/>
    <m/>
    <m/>
    <m/>
    <m/>
    <m/>
  </r>
  <r>
    <m/>
    <m/>
    <x v="153"/>
    <x v="56"/>
    <m/>
    <s v="''Besin Alerjili Çocuklarda Kazara Alerjen Maruziyeti: Sıklığı, Risk Faktörleri ve Yaşam Kalitesi Üzerindeki Etkileri''"/>
    <m/>
    <m/>
    <m/>
    <m/>
    <m/>
    <m/>
    <m/>
    <m/>
    <m/>
    <m/>
  </r>
  <r>
    <m/>
    <m/>
    <x v="153"/>
    <x v="56"/>
    <m/>
    <s v="“Manyetik Rezonans Görüntüleme ile Belirlenen Pankreas Yağlanmasının ERCP Sonrası Komplikasyonlarla İlişkisinin Değerlendirilmesi”"/>
    <m/>
    <m/>
    <m/>
    <m/>
    <m/>
    <m/>
    <m/>
    <m/>
    <m/>
    <m/>
  </r>
  <r>
    <m/>
    <m/>
    <x v="153"/>
    <x v="56"/>
    <m/>
    <s v="“Triküspid Kapak Cerrahisi Uygulanmış Hastalarda Bradikardi Tedavisinde Kalıcı Kalp Pilinin Koroner Sinüs Yoluyla Uygulanması”"/>
    <m/>
    <m/>
    <m/>
    <m/>
    <m/>
    <m/>
    <m/>
    <m/>
    <m/>
    <m/>
  </r>
  <r>
    <m/>
    <m/>
    <x v="153"/>
    <x v="56"/>
    <m/>
    <s v="“Kardiyak Bilgisayarlı Tomografi Anjiyografi Bulguları ile Koroner Arter Hastalığının Seyri ve Stent İçi Restenoz Arasındaki İlişkinin Degerlendirilmesi”"/>
    <m/>
    <m/>
    <m/>
    <m/>
    <m/>
    <m/>
    <m/>
    <m/>
    <m/>
    <m/>
  </r>
  <r>
    <m/>
    <m/>
    <x v="153"/>
    <x v="56"/>
    <m/>
    <s v="“Türkiye’de 2022–2024 Yılları Arasında Gerçekleştirilen Aile Hekimliği Uyum Eğitimlerinin Etkililiğinin Değerlendirilmesi: Ön Test ve Son Test Sonuçları Üzerinden Bir Analiz”"/>
    <m/>
    <m/>
    <m/>
    <m/>
    <m/>
    <m/>
    <m/>
    <m/>
    <m/>
    <m/>
  </r>
  <r>
    <m/>
    <m/>
    <x v="153"/>
    <x v="56"/>
    <m/>
    <s v="“Yüksek Enerjili Patlayıcılara Bağlı Gelişen İşitme Kayıplarının Adli Tıbbi Değerlendirilmesi”"/>
    <m/>
    <m/>
    <m/>
    <m/>
    <m/>
    <m/>
    <m/>
    <m/>
    <m/>
    <m/>
  </r>
  <r>
    <m/>
    <m/>
    <x v="153"/>
    <x v="56"/>
    <m/>
    <s v="“Travma İlişkili Venöz Tromboembolizm Olgularının Medikolegal Açıdan İncelenmesi”"/>
    <m/>
    <m/>
    <m/>
    <m/>
    <m/>
    <m/>
    <m/>
    <m/>
    <m/>
    <m/>
  </r>
  <r>
    <m/>
    <m/>
    <x v="153"/>
    <x v="56"/>
    <m/>
    <s v="“Santral Sinir Sistemi Lenfomalarında Sentinel Lezyonların Görüntüleme Bulguları ve Tanısal Önemi”"/>
    <m/>
    <m/>
    <m/>
    <m/>
    <m/>
    <m/>
    <m/>
    <m/>
    <m/>
    <m/>
  </r>
  <r>
    <m/>
    <m/>
    <x v="153"/>
    <x v="56"/>
    <m/>
    <s v="&quot;Diş Hekimliği Lisans Eğitiminde Total Protez Konulu Açık Uçlu Sınav Sorularının Büyük Dil Modelleri ve Uzman Puanlamaları ile Karşılaştırılması.”"/>
    <m/>
    <m/>
    <m/>
    <m/>
    <m/>
    <m/>
    <m/>
    <m/>
    <m/>
    <m/>
  </r>
  <r>
    <m/>
    <m/>
    <x v="153"/>
    <x v="56"/>
    <m/>
    <s v="“Gastrointestinal Sistem İlişkili Ani Beklenmedik Ölümler: Retrospektif Otopsi Çalışması”"/>
    <m/>
    <m/>
    <m/>
    <m/>
    <m/>
    <m/>
    <m/>
    <m/>
    <m/>
    <m/>
  </r>
  <r>
    <m/>
    <m/>
    <x v="153"/>
    <x v="56"/>
    <m/>
    <s v="“Çocukluk ve Ergenlik Döneminde Gerçekleşen Doğal Olmayan Ölüm Olgularının Değerlendirilmesi”"/>
    <m/>
    <m/>
    <m/>
    <m/>
    <m/>
    <m/>
    <m/>
    <m/>
    <m/>
    <m/>
  </r>
  <r>
    <m/>
    <m/>
    <x v="153"/>
    <x v="56"/>
    <m/>
    <s v="“El Osteoartriti ve İnflamatuar Artritlerde Transarteriyel Periartiküler Embolizasyon: Teknik Uygulanabilirlik ve Klinik Sonuçları”"/>
    <m/>
    <m/>
    <m/>
    <m/>
    <m/>
    <m/>
    <m/>
    <m/>
    <m/>
    <m/>
  </r>
  <r>
    <m/>
    <m/>
    <x v="153"/>
    <x v="56"/>
    <m/>
    <s v="“Fankoni Anemisinde Büyüme Hormonu Eksikliği Olan Olguların Özelliklerinin İncelenmesi”"/>
    <m/>
    <m/>
    <m/>
    <m/>
    <m/>
    <m/>
    <m/>
    <m/>
    <m/>
    <m/>
  </r>
  <r>
    <m/>
    <m/>
    <x v="153"/>
    <x v="56"/>
    <m/>
    <s v="“Humerus'un Proksimal Kısmının Morfometrik Özelliklerinin Değerlendirilmesi ve Klinik Önemi&quot;"/>
    <m/>
    <m/>
    <m/>
    <m/>
    <m/>
    <m/>
    <m/>
    <m/>
    <m/>
    <m/>
  </r>
  <r>
    <m/>
    <m/>
    <x v="153"/>
    <x v="56"/>
    <m/>
    <s v="“Matür T Hücreli Lenfomalarda INI-1 (SMARCB1) Ekspresyon Kaybının Değerlendirilmesi”"/>
    <m/>
    <m/>
    <m/>
    <m/>
    <m/>
    <m/>
    <m/>
    <m/>
    <m/>
    <m/>
  </r>
  <r>
    <m/>
    <m/>
    <x v="153"/>
    <x v="56"/>
    <m/>
    <s v="“Tip-1 Diyabeti Olan Çocuklarda Sağlıkta Baba Katılımı ve İlişkili Faktörler&quot;"/>
    <m/>
    <m/>
    <m/>
    <m/>
    <m/>
    <m/>
    <m/>
    <m/>
    <m/>
    <m/>
  </r>
  <r>
    <m/>
    <m/>
    <x v="153"/>
    <x v="56"/>
    <m/>
    <s v="“Kronik Oklüzif İliofemoral Hastalıkta Rekanalizasyon: Endovasküler Tedavi Sonuçları ve Venöz Giriş Akımının Asendan Venografi ile Değerlendirilmesi”"/>
    <m/>
    <m/>
    <m/>
    <m/>
    <m/>
    <m/>
    <m/>
    <m/>
    <m/>
    <m/>
  </r>
  <r>
    <m/>
    <m/>
    <x v="153"/>
    <x v="56"/>
    <m/>
    <s v="“Down Sendromu Tanısı Almış Çocuk Hastaların Mandibula Kemik Yapısının Fraktal Analizi”"/>
    <m/>
    <m/>
    <m/>
    <m/>
    <m/>
    <m/>
    <m/>
    <m/>
    <m/>
    <m/>
  </r>
  <r>
    <m/>
    <m/>
    <x v="153"/>
    <x v="56"/>
    <m/>
    <s v="“DiGeorge Sendromu Tanısı Almış Çocuk Hastaların Mandibula Kemik Yapısının Fraktal Analizi”"/>
    <m/>
    <m/>
    <m/>
    <m/>
    <m/>
    <m/>
    <m/>
    <m/>
    <m/>
    <m/>
  </r>
  <r>
    <m/>
    <m/>
    <x v="153"/>
    <x v="56"/>
    <m/>
    <s v="“Disfonili Hastalarda Multidisipliner Ses Konseyi Kararları ile ChatGPT Yanıtlarının Karşılaştırılması”"/>
    <m/>
    <m/>
    <m/>
    <m/>
    <m/>
    <m/>
    <m/>
    <m/>
    <m/>
    <m/>
  </r>
  <r>
    <m/>
    <m/>
    <x v="153"/>
    <x v="56"/>
    <m/>
    <s v="“3D Modelleme ile Cerrahi Planlama'nın Sakral Nöromodülasyon Cerrahisine ve Başarıya Olan Katkısının Değerlendirilmesi”"/>
    <m/>
    <m/>
    <m/>
    <m/>
    <m/>
    <m/>
    <m/>
    <m/>
    <m/>
    <m/>
  </r>
  <r>
    <m/>
    <m/>
    <x v="153"/>
    <x v="56"/>
    <m/>
    <s v="&quot;İmmünoterapi Alan Hastalarda Serum Vitamin D Düzeylerinin Prognostik Önemi &quot;"/>
    <m/>
    <m/>
    <m/>
    <m/>
    <m/>
    <m/>
    <m/>
    <m/>
    <m/>
    <m/>
  </r>
  <r>
    <m/>
    <m/>
    <x v="153"/>
    <x v="56"/>
    <m/>
    <s v="“Ektopik Gebelik Tanısı Alan Hastalarda Metotreksat Tedavisinin mg/m2 veya mg/kg Dozuna Göre Uygulanıp Etkinliğin Değerlendirilmesi ve Cerrahi Müdahale Gerektiren Vakaları Retrospektif Olarak Belirlenmesi”"/>
    <m/>
    <m/>
    <m/>
    <m/>
    <m/>
    <m/>
    <m/>
    <m/>
    <m/>
    <m/>
  </r>
  <r>
    <m/>
    <m/>
    <x v="153"/>
    <x v="56"/>
    <m/>
    <s v="“Pediatrik Pankreas Cerrahisinde Postoperatif Komplikasyonlar: On Yılda Ne Öğrendik?”"/>
    <m/>
    <m/>
    <m/>
    <m/>
    <m/>
    <m/>
    <m/>
    <m/>
    <m/>
    <m/>
  </r>
  <r>
    <m/>
    <m/>
    <x v="153"/>
    <x v="56"/>
    <m/>
    <s v="“Transkateter Aort Kapak İmplantasyonu Yapılan Hastalarda Kapak Fonksiyonlarının, Kalıcı Pil İhtiyacı Prediktörlerinin, Periprosedürel Komplikasyonların ve Takip Verilerinin Retrospektif Değerlendirilmesi”"/>
    <m/>
    <m/>
    <m/>
    <m/>
    <m/>
    <m/>
    <m/>
    <m/>
    <m/>
    <m/>
  </r>
  <r>
    <m/>
    <m/>
    <x v="153"/>
    <x v="56"/>
    <m/>
    <s v="“Hipertrofik Kardiyomiyopati Tanılı Hastalarda Atriyal Fibrilasyon Ablasyonu Sonrası Klinik Sonlanımlar”"/>
    <m/>
    <m/>
    <m/>
    <m/>
    <m/>
    <m/>
    <m/>
    <m/>
    <m/>
    <m/>
  </r>
  <r>
    <m/>
    <m/>
    <x v="153"/>
    <x v="56"/>
    <m/>
    <s v="“Tropomiyozin ve Arjinin Kinaz Duyarlılıkları Arasındaki İlişkilerin İncelenmesi”"/>
    <m/>
    <m/>
    <m/>
    <m/>
    <m/>
    <m/>
    <m/>
    <m/>
    <m/>
    <m/>
  </r>
  <r>
    <m/>
    <m/>
    <x v="153"/>
    <x v="56"/>
    <m/>
    <s v="“CDK 4/6 İnhibitörü Kullanan Metastik Meme Kanseri Hastalarında Sağkalıma Etki Eden Faktörlerin Yapay Zeka Aracılığıy Belirlenmesi”"/>
    <m/>
    <m/>
    <m/>
    <m/>
    <m/>
    <m/>
    <m/>
    <m/>
    <m/>
    <m/>
  </r>
  <r>
    <m/>
    <m/>
    <x v="153"/>
    <x v="56"/>
    <m/>
    <s v="“Kas Ultrasonografisi ile Yapılan Kas Kütlesi Ölçümleri ile Geriatri Populasyonda Referans Kas Kütlesi Değerlerinin Belirlenmesi”"/>
    <m/>
    <m/>
    <m/>
    <m/>
    <m/>
    <m/>
    <m/>
    <m/>
    <m/>
    <m/>
  </r>
  <r>
    <m/>
    <m/>
    <x v="153"/>
    <x v="56"/>
    <m/>
    <s v="“Küçük Hücreli Dışı Akciğer Kanseri Tanılı Hastalarda Venöz Tromboembolizm Riskini Öngören Tahmin Modelinin Geliştirilmesi”"/>
    <m/>
    <m/>
    <m/>
    <m/>
    <m/>
    <m/>
    <m/>
    <m/>
    <m/>
    <m/>
  </r>
  <r>
    <m/>
    <m/>
    <x v="153"/>
    <x v="56"/>
    <m/>
    <s v="“Sistemik Otoinflamatuvar Hastalıklarda Üçüncü Nesil Dizileme ile Genetik Etiyolojinin Belirlenmesi”"/>
    <m/>
    <m/>
    <m/>
    <m/>
    <m/>
    <m/>
    <m/>
    <m/>
    <m/>
    <m/>
  </r>
  <r>
    <m/>
    <m/>
    <x v="153"/>
    <x v="56"/>
    <m/>
    <s v="“Yapay Zekanın Odontojenik Olmayan Ağrı Tanısındaki Başarısının Diş Hekimleri ile Karşılaştırılması: Senaryo Temelli Bir Veri Analizi”"/>
    <m/>
    <m/>
    <m/>
    <m/>
    <m/>
    <m/>
    <m/>
    <m/>
    <m/>
    <m/>
  </r>
  <r>
    <m/>
    <m/>
    <x v="153"/>
    <x v="56"/>
    <m/>
    <s v="“Şok Hastalarında Mikrodolaşım ve Makrodolaşımın Eş Zamanlı Değerlendirilmesi”"/>
    <m/>
    <m/>
    <m/>
    <m/>
    <m/>
    <m/>
    <m/>
    <m/>
    <m/>
    <m/>
  </r>
  <r>
    <m/>
    <m/>
    <x v="153"/>
    <x v="56"/>
    <m/>
    <s v="“Non-Metrik Kraniyal Özelliklerin Cinsiyet Ayrımında Makine Öğrenmesi ve Uzman Değerlendirmeleri”"/>
    <m/>
    <m/>
    <m/>
    <m/>
    <m/>
    <m/>
    <m/>
    <m/>
    <m/>
    <m/>
  </r>
  <r>
    <m/>
    <m/>
    <x v="153"/>
    <x v="56"/>
    <m/>
    <s v="&quot;Anne ve Babaların Olumsuz Çocukluk Çağı Deneyimlerinin Erken Doğum Öyküsü Olan Çocukların Gelişimlerine Etkileri&quot;"/>
    <m/>
    <m/>
    <m/>
    <m/>
    <m/>
    <m/>
    <m/>
    <m/>
    <m/>
    <m/>
  </r>
  <r>
    <m/>
    <m/>
    <x v="153"/>
    <x v="56"/>
    <m/>
    <s v="“Os Naviculare Cerrahi Fiksasyonu İçin İmplant Boyutlarının Optimizasyonu: Morfometrik Çalışma”"/>
    <m/>
    <m/>
    <m/>
    <m/>
    <m/>
    <m/>
    <m/>
    <m/>
    <m/>
    <m/>
  </r>
  <r>
    <m/>
    <m/>
    <x v="153"/>
    <x v="56"/>
    <m/>
    <s v="“Ağız Diş Ve Çene Cerrahisi Kliniğine Başvuran Hastaların Yapay Zeka Farkındalik Düzeyi İle Ağız Sağlığı ile İliskili Yaşam Kalitesi Arasındaki Korelasyonun Değerlendirilmesi”"/>
    <m/>
    <m/>
    <m/>
    <m/>
    <m/>
    <m/>
    <m/>
    <m/>
    <m/>
    <m/>
  </r>
  <r>
    <m/>
    <m/>
    <x v="153"/>
    <x v="56"/>
    <m/>
    <s v="“Kronik Obstrüktif Akciğer Hastalığı Tanılı İleri Yaş Hastalarda Anksiyete ve Depresyonun İnhaler Uyumuyla İlişkisinin İncelenmesi”"/>
    <m/>
    <m/>
    <m/>
    <m/>
    <m/>
    <m/>
    <m/>
    <m/>
    <m/>
    <m/>
  </r>
  <r>
    <m/>
    <m/>
    <x v="153"/>
    <x v="56"/>
    <m/>
    <s v="“Erişkin Kistik Fibrozis Hastalarında Modülatör Tedaviye Erişim Sürecinin Psikososyal ve Ekonomik Etkilerinin Değerlendirilmesi”"/>
    <m/>
    <m/>
    <m/>
    <m/>
    <m/>
    <m/>
    <m/>
    <m/>
    <m/>
    <m/>
  </r>
  <r>
    <m/>
    <m/>
    <x v="153"/>
    <x v="56"/>
    <m/>
    <s v="“Spinal Musküler Atrofi (SMA) Tip 1 ve 2 Hastalarında İntratekal Nusinersenin Ultrasonografi Eşliğinde Uygulanmasının Değerlendirilmesi”"/>
    <m/>
    <m/>
    <m/>
    <m/>
    <m/>
    <m/>
    <m/>
    <m/>
    <m/>
    <m/>
  </r>
  <r>
    <m/>
    <m/>
    <x v="153"/>
    <x v="56"/>
    <m/>
    <s v="“Metafizyel Displazi Olgularında Klinik Spektrumun ve Genetik Etiyolojinin İncelenmesi”"/>
    <m/>
    <m/>
    <m/>
    <m/>
    <m/>
    <m/>
    <m/>
    <m/>
    <m/>
    <m/>
  </r>
  <r>
    <m/>
    <m/>
    <x v="153"/>
    <x v="56"/>
    <m/>
    <s v="“Cerrahi Zorluğu Ölçmenin Yeni Yolu: VESPA skoru ile DIEP Fleplerde Anatomik Karmaşıklığın Sayısallaştırılması”"/>
    <m/>
    <m/>
    <m/>
    <m/>
    <m/>
    <m/>
    <m/>
    <m/>
    <m/>
    <m/>
  </r>
  <r>
    <m/>
    <m/>
    <x v="153"/>
    <x v="56"/>
    <m/>
    <s v="“Karaciğer Hastalıkları ile İlgili Stigmatizasyon Ölçeği Geliştirme Çalışması: Metodolojik Araştırma”"/>
    <m/>
    <m/>
    <m/>
    <m/>
    <m/>
    <m/>
    <m/>
    <m/>
    <m/>
    <m/>
  </r>
  <r>
    <m/>
    <m/>
    <x v="153"/>
    <x v="56"/>
    <m/>
    <s v="“SLC2943 Gen Defekti Olan Hastalarda Otofajinin İncelenmesi”"/>
    <m/>
    <m/>
    <m/>
    <m/>
    <m/>
    <m/>
    <m/>
    <m/>
    <m/>
    <m/>
  </r>
  <r>
    <m/>
    <m/>
    <x v="153"/>
    <x v="56"/>
    <m/>
    <s v="“Cerrahi veya Perkütan Yolla Atriyal Septal Defekt Kapatılan Hastalarda Atriyal Taşikardinin Kateter Ablasyonunun Sonlanım Noktalarının İncelenmesi”"/>
    <m/>
    <m/>
    <m/>
    <m/>
    <m/>
    <m/>
    <m/>
    <m/>
    <m/>
    <m/>
  </r>
  <r>
    <m/>
    <m/>
    <x v="153"/>
    <x v="56"/>
    <m/>
    <s v="“Bir Kamu Hastanesinin Acil Servisinde Yalın Yönetim Uygulaması”"/>
    <m/>
    <m/>
    <m/>
    <m/>
    <m/>
    <m/>
    <m/>
    <m/>
    <m/>
    <m/>
  </r>
  <r>
    <m/>
    <m/>
    <x v="153"/>
    <x v="56"/>
    <m/>
    <s v="“Ankara’da Bir İlçe Belediyesi Ana Hizmet Binasında Görev Yapan Belediye Çalışanlarının İklim Değişikliği Risk Algısının Değerlendirilmesi”"/>
    <m/>
    <m/>
    <m/>
    <m/>
    <m/>
    <m/>
    <m/>
    <m/>
    <m/>
    <m/>
  </r>
  <r>
    <m/>
    <m/>
    <x v="153"/>
    <x v="56"/>
    <m/>
    <s v="“Kalp Hastalığı Olan Çocukların Sağlık Durumları ile Ebeveynlerinin Yaşantılarının Uyum ve Mücadele Dinamiklerinin Nitel Analizi”"/>
    <m/>
    <m/>
    <m/>
    <m/>
    <m/>
    <m/>
    <m/>
    <m/>
    <m/>
    <m/>
  </r>
  <r>
    <m/>
    <m/>
    <x v="153"/>
    <x v="56"/>
    <m/>
    <s v="&quot;Diferansiye Tiroid Kanserlerinde Tedavi Öncesi Kan Sonuçlarının Prognostik Değerlendirmesi&quot;"/>
    <m/>
    <m/>
    <m/>
    <m/>
    <m/>
    <m/>
    <m/>
    <m/>
    <m/>
    <m/>
  </r>
  <r>
    <m/>
    <m/>
    <x v="153"/>
    <x v="56"/>
    <m/>
    <s v="“Hacettepe Üniversitesi Genel Dahiliye Polikliniğine Başvuran 40-65 Yaş Arası Bireylerde Kardiyovasküler Riskin Değerlendirilmesi ve Risk Farkındalığının İncelenmesi”"/>
    <m/>
    <m/>
    <m/>
    <m/>
    <m/>
    <m/>
    <m/>
    <m/>
    <m/>
    <m/>
  </r>
  <r>
    <m/>
    <m/>
    <x v="153"/>
    <x v="56"/>
    <m/>
    <s v="“Susam veya Kabuklu Ağaç Yemişi Alerjisi Olan Hastalarda Deri Prick Testi, Besin Spesifik IgE ve Dudak Teması Testine Dayalı Risk Skorlaması”"/>
    <m/>
    <m/>
    <m/>
    <m/>
    <m/>
    <m/>
    <m/>
    <m/>
    <m/>
    <m/>
  </r>
  <r>
    <m/>
    <m/>
    <x v="153"/>
    <x v="56"/>
    <m/>
    <s v="“Çocuk Acile Başvuran İdrar Toksikolojisi Gönderilen Ergenlerin Ergen Sağlığı İzlemi”"/>
    <m/>
    <m/>
    <m/>
    <m/>
    <m/>
    <m/>
    <m/>
    <m/>
    <m/>
    <m/>
  </r>
  <r>
    <m/>
    <m/>
    <x v="153"/>
    <x v="56"/>
    <m/>
    <s v="“Farklı Kök Kanal Dolgu Materyallerinin Devital Beyazlatma Sonrası Renk Stabilitesi ve Fraktür Direnci Üzerine Etkileri: Laboratuvar Çalışması”"/>
    <m/>
    <m/>
    <m/>
    <m/>
    <m/>
    <m/>
    <m/>
    <m/>
    <m/>
    <m/>
  </r>
  <r>
    <m/>
    <m/>
    <x v="153"/>
    <x v="56"/>
    <m/>
    <s v="“Bronkopulmoner Displazinin Erken Tanı ve Tedavi Sürecinin İzleminde Yapay Zeka Destekli Metabolomik Yaklaşımlar”"/>
    <m/>
    <m/>
    <m/>
    <m/>
    <m/>
    <m/>
    <m/>
    <m/>
    <m/>
    <m/>
  </r>
  <r>
    <m/>
    <m/>
    <x v="153"/>
    <x v="56"/>
    <m/>
    <s v="“Kök Kanal Dolgu Materyalleri ve İntraorifis Bariyer Materyali Etkileşiminin İntrakoronal Beyazlatma ve Kırılma Dayanımı Üzerindeki Etkisi: İn Vitro Çalışma”"/>
    <m/>
    <m/>
    <m/>
    <m/>
    <m/>
    <m/>
    <m/>
    <m/>
    <m/>
    <m/>
  </r>
  <r>
    <m/>
    <m/>
    <x v="153"/>
    <x v="56"/>
    <m/>
    <s v="“Atriyal Septal Defekt Tanısı Olan Pediatrik Hastalarda Demografik, Klinik ve Ekokardiyografik Bulguların Değerlendirilmesi ile İzlem Sürecinde Bu Parametrelerdeki Değişikliklerin Araştırılması”"/>
    <m/>
    <m/>
    <m/>
    <m/>
    <m/>
    <m/>
    <m/>
    <m/>
    <m/>
    <m/>
  </r>
  <r>
    <m/>
    <m/>
    <x v="153"/>
    <x v="56"/>
    <m/>
    <s v="“Glioblastoma Multiforme Hastalarında Venöz Tromboembolizm ve Hidrosefali Risk Faktörlerinin Anlaşılması ve Rekürren Cerrahi Sonrası Komplikasyonların Belirlenmesi”"/>
    <m/>
    <m/>
    <m/>
    <m/>
    <m/>
    <m/>
    <m/>
    <m/>
    <m/>
    <m/>
  </r>
  <r>
    <m/>
    <m/>
    <x v="153"/>
    <x v="56"/>
    <m/>
    <s v="“Çocukluk Başlangıçlı Monogenik Sendromik Obezitenin Erişkin Dönem Klinik Seyri”"/>
    <m/>
    <m/>
    <m/>
    <m/>
    <m/>
    <m/>
    <m/>
    <m/>
    <m/>
    <m/>
  </r>
  <r>
    <m/>
    <m/>
    <x v="153"/>
    <x v="56"/>
    <m/>
    <s v="“Rasgrp1 Mutasyonu Olan Hastaların Klinik ve Laboratuvar Özelliklerinin Değerlendirilmesi ”"/>
    <m/>
    <m/>
    <m/>
    <m/>
    <m/>
    <m/>
    <m/>
    <m/>
    <m/>
    <m/>
  </r>
  <r>
    <m/>
    <m/>
    <x v="153"/>
    <x v="56"/>
    <m/>
    <s v="“İnflamatuar Barsak Hastalıklarında Komplikasyon ve Tedavi Direncinin Retrospektif Veriler Üzerinden Büyük Dil Modeli (LLM) ile Değerlendirilmesi”"/>
    <m/>
    <m/>
    <m/>
    <m/>
    <m/>
    <m/>
    <m/>
    <m/>
    <m/>
    <m/>
  </r>
  <r>
    <m/>
    <m/>
    <x v="153"/>
    <x v="56"/>
    <m/>
    <s v="“IDH Mutant Düşük Gradeli Gliomların Cerrahi Tedavisi Sonrasıda Kullanılan Adjuvan Tedavi Modalitelirinin Karşılaştırılması”"/>
    <m/>
    <m/>
    <m/>
    <m/>
    <m/>
    <m/>
    <m/>
    <m/>
    <m/>
    <m/>
  </r>
  <r>
    <m/>
    <m/>
    <x v="153"/>
    <x v="56"/>
    <m/>
    <s v="“İskelet Siliyopatisi Hastalarında Ağız Sağlığı Durumu Değerlendirilmesi”"/>
    <m/>
    <m/>
    <m/>
    <m/>
    <m/>
    <m/>
    <m/>
    <m/>
    <m/>
    <m/>
  </r>
  <r>
    <m/>
    <m/>
    <x v="153"/>
    <x v="56"/>
    <m/>
    <s v="“Os Hyoideum Anatomik Değerlendirmesi: Şekil, Füzyon, Gövde Genişliği ve Bunların Birbirleriyle Olan İlişkileri, Basit Bir Sınıflandırma Önerisiyle”"/>
    <m/>
    <m/>
    <m/>
    <m/>
    <m/>
    <m/>
    <m/>
    <m/>
    <m/>
    <m/>
  </r>
  <r>
    <m/>
    <m/>
    <x v="153"/>
    <x v="56"/>
    <m/>
    <s v="“Klinefelter Sendromlu Hastalarda Klinik, Gelişimsel, Genetik ve Reprodüktif Özelliklerin Değerlendirilmesi”"/>
    <m/>
    <m/>
    <m/>
    <m/>
    <m/>
    <m/>
    <m/>
    <m/>
    <m/>
    <m/>
  </r>
  <r>
    <m/>
    <m/>
    <x v="153"/>
    <x v="56"/>
    <m/>
    <s v="“Geriatri Hekimlerinin Reçeteleme Kaskadı Hakkında Farkındalığı ve Yönetim Yaklaşımlarının Değerlendirilmesi: Ulusal Düzeyde Bir Çalışma”"/>
    <m/>
    <m/>
    <m/>
    <m/>
    <m/>
    <m/>
    <m/>
    <m/>
    <m/>
    <m/>
  </r>
  <r>
    <m/>
    <m/>
    <x v="153"/>
    <x v="56"/>
    <m/>
    <s v="“Çocuk Romatoloji Hastalarında Tümör Nekroz Faktör Alfa Blokör Tedavisinin Tiroid Fonksiyonu Üzerine Etkisinin Değerlendirilmesi”"/>
    <m/>
    <m/>
    <m/>
    <m/>
    <m/>
    <m/>
    <m/>
    <m/>
    <m/>
    <m/>
  </r>
  <r>
    <m/>
    <m/>
    <x v="153"/>
    <x v="56"/>
    <m/>
    <s v="Minimal İnvaziv Kardiyak Cerrahi Uygulanan Pediatrik Hastalarda Anestezi Yönetimi: Tek Merkezli Olgu Serisi-Bireysel Araştırma”"/>
    <m/>
    <m/>
    <m/>
    <m/>
    <m/>
    <m/>
    <m/>
    <m/>
    <m/>
    <m/>
  </r>
  <r>
    <m/>
    <m/>
    <x v="153"/>
    <x v="56"/>
    <m/>
    <s v="“Kritik Hastalarda Enteral Beslenme Hedeflerine Ulaşma Durumu ve Klinik Sonuçlarla İlişkisi”"/>
    <m/>
    <m/>
    <m/>
    <m/>
    <m/>
    <m/>
    <m/>
    <m/>
    <m/>
    <m/>
  </r>
  <r>
    <m/>
    <m/>
    <x v="153"/>
    <x v="56"/>
    <m/>
    <s v="“Mizofoninin Klinik Alt Türleri: Demografik Özellikler, Ruhsal ve Bedensel Ek Tanıların İki Aşamalı İncelenmesi”"/>
    <m/>
    <m/>
    <m/>
    <m/>
    <m/>
    <m/>
    <m/>
    <m/>
    <m/>
    <m/>
  </r>
  <r>
    <m/>
    <m/>
    <x v="153"/>
    <x v="56"/>
    <m/>
    <s v="“Bireysel Sodyum Sitrat Tüketiminin Kadın Futbolcularda Tekrarlı Sprint Performansına Etkisi”"/>
    <m/>
    <m/>
    <m/>
    <m/>
    <m/>
    <m/>
    <m/>
    <m/>
    <m/>
    <m/>
  </r>
  <r>
    <m/>
    <m/>
    <x v="153"/>
    <x v="56"/>
    <m/>
    <s v="“Radikal Prostatektomiye Bağlı Erektil Disfonksiyon ve Preoperatif Hasta Bilgilendirme Düzeyinin Değerlendirilmesi”"/>
    <m/>
    <m/>
    <m/>
    <m/>
    <m/>
    <m/>
    <m/>
    <m/>
    <m/>
    <m/>
  </r>
  <r>
    <m/>
    <m/>
    <x v="153"/>
    <x v="56"/>
    <m/>
    <s v="“Konjenital Kalp Hastalıkları Ameliyatlarından Sonra Gelişen Akut Böbrek Hasarına Etki Eden Faktörlerin İncelenmesi”"/>
    <m/>
    <m/>
    <m/>
    <m/>
    <m/>
    <m/>
    <m/>
    <m/>
    <m/>
    <m/>
  </r>
  <r>
    <m/>
    <m/>
    <x v="153"/>
    <x v="56"/>
    <m/>
    <s v="“Sanal Mentorluğun Dinamiklerini Keşfetmek: WONCA Araştırma Çalışma Grubu Programındaki Engeller, Kolaylaştırıcılar ve Mentor ve Danışanların Beklentileri Üzerine Betimleyici Bir Çalışma”"/>
    <m/>
    <m/>
    <m/>
    <m/>
    <m/>
    <m/>
    <m/>
    <m/>
    <m/>
    <m/>
  </r>
  <r>
    <m/>
    <m/>
    <x v="153"/>
    <x v="56"/>
    <m/>
    <s v="“Akromegali ve Prolaktinoma Hastalarında Hepsidin, Eritroferron, Eritropoietin, Soluble Transferrin Reseptör ve Fibroblast Growth Faktör-23 Düzeyleri İle Hematolojik Parametrelerin İlişkisi”"/>
    <m/>
    <m/>
    <m/>
    <m/>
    <m/>
    <m/>
    <m/>
    <m/>
    <m/>
    <m/>
  </r>
  <r>
    <m/>
    <m/>
    <x v="153"/>
    <x v="56"/>
    <m/>
    <s v="“Şeffaf Plak Ataşmanlarında Kullanılan Kompozit Rezinin Renklendirme Ajanı Uygulanması Sonrası Dayanıklılık ve Yüzey Özelliklerinin Karşılaştırılması”"/>
    <m/>
    <m/>
    <m/>
    <m/>
    <m/>
    <m/>
    <m/>
    <m/>
    <m/>
    <m/>
  </r>
  <r>
    <m/>
    <m/>
    <x v="153"/>
    <x v="56"/>
    <m/>
    <s v="“Multipl Skleroz (MS) Tanılı Hastalarda MS Mesane Kontrol Aracı Kullanılarak Alt Üriner Sistem Semptomlarının Ön Değerlendirmesi ve Fonksiyonel Üroloji Polikliniğine Yönlendirme Kriterlerinin Belirlenmesi”"/>
    <m/>
    <m/>
    <m/>
    <m/>
    <m/>
    <m/>
    <m/>
    <m/>
    <m/>
    <m/>
  </r>
  <r>
    <m/>
    <m/>
    <x v="153"/>
    <x v="56"/>
    <m/>
    <s v="“Antenatal Kortikosteroid Uygulanan Fetüslerde Fetal Pulmoner Ven Dopplerinin Longitudinal İzlemi ve Perinatal Sonuçlarla İlişkisi: Prospektif Kohort Çalışması”"/>
    <m/>
    <m/>
    <m/>
    <m/>
    <m/>
    <m/>
    <m/>
    <m/>
    <m/>
    <m/>
  </r>
  <r>
    <m/>
    <m/>
    <x v="153"/>
    <x v="56"/>
    <m/>
    <s v="“Tip 1 Interferonopati Tanılı Pediatrik Hastalarda Klinik ve Laboratuvar Bulguların Degerlendirilmesi”"/>
    <m/>
    <m/>
    <m/>
    <m/>
    <m/>
    <m/>
    <m/>
    <m/>
    <m/>
    <m/>
  </r>
  <r>
    <m/>
    <m/>
    <x v="153"/>
    <x v="56"/>
    <m/>
    <s v="“Türkiye'de Dudak ve Damak Yarıklarının Epidemiyoloji”"/>
    <m/>
    <m/>
    <m/>
    <m/>
    <m/>
    <m/>
    <m/>
    <m/>
    <m/>
    <m/>
  </r>
  <r>
    <m/>
    <m/>
    <x v="153"/>
    <x v="56"/>
    <m/>
    <s v="“Nadir Bir Over Tümörü: Ovaryen Fibrosarkom ve Mitotik Aktif Fibrom Olgularının Klinikopatolojik İncelemesi”"/>
    <m/>
    <m/>
    <m/>
    <m/>
    <m/>
    <m/>
    <m/>
    <m/>
    <m/>
    <m/>
  </r>
  <r>
    <m/>
    <m/>
    <x v="153"/>
    <x v="56"/>
    <m/>
    <s v="“Adneksiyel Torsiyon Tanısında Manyetik Rezonans Görüntülemenin Yeri”"/>
    <m/>
    <m/>
    <m/>
    <m/>
    <m/>
    <m/>
    <m/>
    <m/>
    <m/>
    <m/>
  </r>
  <r>
    <m/>
    <m/>
    <x v="153"/>
    <x v="56"/>
    <m/>
    <s v="“Patient Enablement Instrument (PEI)” Hasta Yetkilendirme Ölçeğinin Türkçe Geçerlilik ve Güvenilirlik Çalışması”"/>
    <m/>
    <m/>
    <m/>
    <m/>
    <m/>
    <m/>
    <m/>
    <m/>
    <m/>
    <m/>
  </r>
  <r>
    <m/>
    <m/>
    <x v="153"/>
    <x v="56"/>
    <m/>
    <s v="“Primer Atopik Hastalıklarda Yardımcı T Hücre 2 Yanıtının Multiomik Yaklaşımla Ayrıntılı Olarak Değerlendirilmesi”"/>
    <m/>
    <m/>
    <m/>
    <m/>
    <m/>
    <m/>
    <m/>
    <m/>
    <m/>
    <m/>
  </r>
  <r>
    <m/>
    <m/>
    <x v="153"/>
    <x v="56"/>
    <m/>
    <s v="“Monogenik Obezite ile İlişkili Varyant Saptanmış Erken Başlangıçlı Ciddi Obezitesi Olan Çocuklarda Klinik Ayırıcı Özelliklerin Belirlenmesi”"/>
    <m/>
    <m/>
    <m/>
    <m/>
    <m/>
    <m/>
    <m/>
    <m/>
    <m/>
    <m/>
  </r>
  <r>
    <m/>
    <m/>
    <x v="153"/>
    <x v="56"/>
    <m/>
    <s v="“Sağır ve İşitme Yetersizliği Olan Bireylerin Sağlıkla İlgili Bilgi Gereksinimlerini Karşılamaya Yönelik Görsel ve İşitsel Medya İçeriklerinin Geliştirilmesi Projesi”"/>
    <m/>
    <m/>
    <m/>
    <m/>
    <m/>
    <m/>
    <m/>
    <m/>
    <m/>
    <m/>
  </r>
  <r>
    <m/>
    <m/>
    <x v="153"/>
    <x v="56"/>
    <m/>
    <s v="“Üroloji Aalnında Çalışan Erkek Sağlık Profesyonellerinde Oturarak ve Ayakta İşeme Pozisyonlarının Üroflovmetrik Parametrelere Etkisinin Değerlendirilmesi”"/>
    <m/>
    <m/>
    <m/>
    <m/>
    <m/>
    <m/>
    <m/>
    <m/>
    <m/>
    <m/>
  </r>
  <r>
    <m/>
    <m/>
    <x v="153"/>
    <x v="56"/>
    <m/>
    <s v="“Kronik Obstrüktif Akciğer Hastalığının Oküler Mikrovasküler ParametrelerÜzerine Etkilerinin Değerlendirilmesi”"/>
    <m/>
    <m/>
    <m/>
    <m/>
    <m/>
    <m/>
    <m/>
    <m/>
    <m/>
    <m/>
  </r>
  <r>
    <m/>
    <m/>
    <x v="153"/>
    <x v="56"/>
    <m/>
    <s v="“Hepatosellüler Karsinom Tanılı Hastalarda Küratif Tedavi Al(a)mamasına Rağmen Uzun Süre Sağkalım Sağlanabilmiş Hastaların Klinik Özellikleri”"/>
    <m/>
    <m/>
    <m/>
    <m/>
    <m/>
    <m/>
    <m/>
    <m/>
    <m/>
    <m/>
  </r>
  <r>
    <m/>
    <m/>
    <x v="153"/>
    <x v="56"/>
    <m/>
    <s v="“Çocukluk Çağında Tanı Alan Adrenokortikal Tümörlerde Mitotan Kullanımının Endokrin Yan Etkilerinin İncelenmesi”"/>
    <m/>
    <m/>
    <m/>
    <m/>
    <m/>
    <m/>
    <m/>
    <m/>
    <m/>
    <m/>
  </r>
  <r>
    <m/>
    <m/>
    <x v="153"/>
    <x v="56"/>
    <m/>
    <s v="“Hastanede Yatan ve Nütrisyon Tedavisi alan Hastalarda Aspirasyon Pnömonisi ile İlişkili Faktörler: Retrospektif Kohort Çalışması”"/>
    <m/>
    <m/>
    <m/>
    <m/>
    <m/>
    <m/>
    <m/>
    <m/>
    <m/>
    <m/>
  </r>
  <r>
    <m/>
    <m/>
    <x v="153"/>
    <x v="56"/>
    <m/>
    <s v="“Pediatrik AdrenokortikalTümörler İçin Avrupa-Çapında Araştırma İnisiyatifi-Hastalığı Kavrama ve Tedavi Sonuçlarını Geliştirme”"/>
    <m/>
    <m/>
    <m/>
    <m/>
    <m/>
    <m/>
    <m/>
    <m/>
    <m/>
    <m/>
  </r>
  <r>
    <m/>
    <m/>
    <x v="153"/>
    <x v="56"/>
    <m/>
    <s v="“Nükleer Tıp Görüntüleme Yöntemleri ile Saptanan İnsidental Papiller Tiroid Mikrokarsinomlarının Klinikopatolojik Özelliklerinin Diğer Saptanma Yöntemleriyle Karşılaştırıması”"/>
    <m/>
    <m/>
    <m/>
    <m/>
    <m/>
    <m/>
    <m/>
    <m/>
    <m/>
    <m/>
  </r>
  <r>
    <m/>
    <m/>
    <x v="153"/>
    <x v="56"/>
    <m/>
    <s v="“Alerjik Çocuklarda Bileşene Dayalı Moleküler Test ile Alerjene Özgü IgE Duyarlılık Profilinin İncelenmesi”"/>
    <m/>
    <m/>
    <m/>
    <m/>
    <m/>
    <m/>
    <m/>
    <m/>
    <m/>
    <m/>
  </r>
  <r>
    <m/>
    <m/>
    <x v="153"/>
    <x v="56"/>
    <m/>
    <s v="“Sonografik Sol Ventrikül Çıkış Yolu Hız Zaman İntegrali Değerlendirmesi ile Hesaplanan Kalp Debisinin Akut Kalp Yetmezliği Tedavisinde Diüretik Direnci Göstergesi Olan Spot İdrar Sodyumu Ölçümü ile İlişkisinin İncelenmesi”"/>
    <m/>
    <m/>
    <m/>
    <m/>
    <m/>
    <m/>
    <m/>
    <m/>
    <m/>
    <m/>
  </r>
  <r>
    <m/>
    <m/>
    <x v="153"/>
    <x v="56"/>
    <m/>
    <s v="“Akut İskemik İnme Hastalarında “Genel Obezite”, “Santral Obezite” ve “Adipozite” İndekslerinin İnme Fenotipi, Aterosklerotik Arter Hastalıkları ve Prognoza Etkisi: Prospektif Çalışma”"/>
    <m/>
    <m/>
    <m/>
    <m/>
    <m/>
    <m/>
    <m/>
    <m/>
    <m/>
    <m/>
  </r>
  <r>
    <m/>
    <m/>
    <x v="153"/>
    <x v="56"/>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53"/>
    <x v="56"/>
    <m/>
    <s v="“Çocukluk Çağı Malign Karaciğer Tümörlü Hastalarının Retrospektif Analizi”"/>
    <m/>
    <m/>
    <m/>
    <m/>
    <m/>
    <m/>
    <m/>
    <m/>
    <m/>
    <m/>
  </r>
  <r>
    <m/>
    <m/>
    <x v="153"/>
    <x v="56"/>
    <m/>
    <s v="“IgE Aracılı Kabak Çekirdeği Alerjisinin Moleküler Karakterizasyonu”"/>
    <m/>
    <m/>
    <m/>
    <m/>
    <m/>
    <m/>
    <m/>
    <m/>
    <m/>
    <m/>
  </r>
  <r>
    <m/>
    <m/>
    <x v="153"/>
    <x v="56"/>
    <m/>
    <s v="“Atriyal Fibrilasyon Ablasyonu Planlanan Hastalarda Sol Atriyal Apendikste Trombüs Oluşumunun Öngorülmesi”"/>
    <m/>
    <m/>
    <m/>
    <m/>
    <m/>
    <m/>
    <m/>
    <m/>
    <m/>
    <m/>
  </r>
  <r>
    <m/>
    <m/>
    <x v="153"/>
    <x v="56"/>
    <m/>
    <s v="“Madde Kullanım Bozukluğu Hastalarında Yaygın Tek Nükleotid Polimorfizmlerinin Sıklığının Belirlenmesi ve Bunların Madde Kullanımını Yordayan Alt Özelliklerle İlişkileri”"/>
    <m/>
    <m/>
    <m/>
    <m/>
    <m/>
    <m/>
    <m/>
    <m/>
    <m/>
    <m/>
  </r>
  <r>
    <m/>
    <m/>
    <x v="153"/>
    <x v="56"/>
    <m/>
    <s v="“Koklear Hipoplazili Hastalarda Fasiyal Sinir Seyrinin Değerlendirilmesi”"/>
    <m/>
    <m/>
    <m/>
    <m/>
    <m/>
    <m/>
    <m/>
    <m/>
    <m/>
    <m/>
  </r>
  <r>
    <m/>
    <m/>
    <x v="153"/>
    <x v="56"/>
    <m/>
    <s v="“Çocuklarda Mantar Duyarlılık Profili ve Klinik ile İlişkisi”"/>
    <m/>
    <m/>
    <m/>
    <m/>
    <m/>
    <m/>
    <m/>
    <m/>
    <m/>
    <m/>
  </r>
  <r>
    <m/>
    <m/>
    <x v="153"/>
    <x v="56"/>
    <m/>
    <s v="“Molibden Kofaktor Eksikligi-Tek Merkez Deneyimi”"/>
    <m/>
    <m/>
    <m/>
    <m/>
    <m/>
    <m/>
    <m/>
    <m/>
    <m/>
    <m/>
  </r>
  <r>
    <m/>
    <m/>
    <x v="153"/>
    <x v="56"/>
    <m/>
    <s v="“CHARGE Sendromlu Hastalarda Kokleanın Yerleşiminin Değerlendirilmesi”"/>
    <m/>
    <m/>
    <m/>
    <m/>
    <m/>
    <m/>
    <m/>
    <m/>
    <m/>
    <m/>
  </r>
  <r>
    <m/>
    <m/>
    <x v="153"/>
    <x v="56"/>
    <m/>
    <s v="“Major Depresif Bozukluğu Olan Ergenlerde Kendine Zarar Verme Davranışı ile Ebeveynlerinin Duygu Düzenleme Becerileri ve Aile İşlevselliği Arasındaki İlişki”"/>
    <m/>
    <m/>
    <m/>
    <m/>
    <m/>
    <m/>
    <m/>
    <m/>
    <m/>
    <m/>
  </r>
  <r>
    <m/>
    <m/>
    <x v="153"/>
    <x v="56"/>
    <m/>
    <s v="“Katarakt Cerrahisinde Preoperatif Chord mu ve Chord alpha Referansı ile Yerleştirilen İntraoküler Göz İçi Mercek Santralizasyonunun Postoperatif Mikroperimetrik İki Değişkenli Eliptik Kontur Alan Sapma Açısı ile Değerlendirilmesi”"/>
    <m/>
    <m/>
    <m/>
    <m/>
    <m/>
    <m/>
    <m/>
    <m/>
    <m/>
    <m/>
  </r>
  <r>
    <m/>
    <m/>
    <x v="153"/>
    <x v="56"/>
    <m/>
    <s v="“Sınıf 3 Uzun Yüz Tipine Sahip Hastalarda Cerrahi Planlamanın Barcelona Çizgisi ve Gerçek Dikey Çizgi Açısından Karşılaştırmalı Değerlendirilmesi”"/>
    <m/>
    <m/>
    <m/>
    <m/>
    <m/>
    <m/>
    <m/>
    <m/>
    <m/>
    <m/>
  </r>
  <r>
    <m/>
    <m/>
    <x v="153"/>
    <x v="56"/>
    <m/>
    <s v="“Abdominal Tüberküloz Tanısı ile İzlenen Çocukların Klinik ve Laboratuar Özelliklerinin Değerlendirilmesi”"/>
    <m/>
    <m/>
    <m/>
    <m/>
    <m/>
    <m/>
    <m/>
    <m/>
    <m/>
    <m/>
  </r>
  <r>
    <m/>
    <m/>
    <x v="153"/>
    <x v="56"/>
    <m/>
    <s v="“Dikkat Eksikliği Hiperaktivite Bozukluğu Olan Ergenlerde Duyusal İşlemleme Özellikleri, Zihin Kuramı Becerileri ve Bilinçli Farkındalık Düzeylerinin Akran Zorbalığı İle İlişkisi”"/>
    <m/>
    <m/>
    <m/>
    <m/>
    <m/>
    <m/>
    <m/>
    <m/>
    <m/>
    <m/>
  </r>
  <r>
    <m/>
    <m/>
    <x v="153"/>
    <x v="56"/>
    <m/>
    <s v="“Covid-19 Pandemisinin Toplumdan Kazanılmış Pnömoni Etkenlerinin Epidemiyolojisine Etkisi: Retrospektif Bir Gözlemsel Çalışma”"/>
    <m/>
    <m/>
    <m/>
    <m/>
    <m/>
    <m/>
    <m/>
    <m/>
    <m/>
    <m/>
  </r>
  <r>
    <m/>
    <m/>
    <x v="153"/>
    <x v="56"/>
    <m/>
    <s v="“Malign Potansiyeli Belirsiz Uterus Düz Kas Tümörleri ile Erken Evre Leiomyosarkomda Rekürrensi ve Prognozu Öngörmede Klinik ve Histopatolojik Prediktörler”"/>
    <m/>
    <m/>
    <m/>
    <m/>
    <m/>
    <m/>
    <m/>
    <m/>
    <m/>
    <m/>
  </r>
  <r>
    <m/>
    <m/>
    <x v="153"/>
    <x v="56"/>
    <m/>
    <s v="“Papivir Kullanımının HPV Pozitif Kadınlarda Viral Klirense Etkisi”"/>
    <m/>
    <m/>
    <m/>
    <m/>
    <m/>
    <m/>
    <m/>
    <m/>
    <m/>
    <m/>
  </r>
  <r>
    <m/>
    <m/>
    <x v="153"/>
    <x v="56"/>
    <m/>
    <s v="“Pediatri Günübirlik Tedavi Servisinde İzlenen Tıbbi Olarak Karmaşık Çocukların Değerlendirilmesi”"/>
    <m/>
    <m/>
    <m/>
    <m/>
    <m/>
    <m/>
    <m/>
    <m/>
    <m/>
    <m/>
  </r>
  <r>
    <m/>
    <m/>
    <x v="153"/>
    <x v="56"/>
    <m/>
    <s v="“Tıp Fakültesi Öğrencilerinde İleri Kardiyak Yaşam Desteği Eğitiminde Oyun Kartları ile Öğrenmenin Değerlendirilmesi”"/>
    <m/>
    <m/>
    <m/>
    <m/>
    <m/>
    <m/>
    <m/>
    <m/>
    <m/>
    <m/>
  </r>
  <r>
    <m/>
    <m/>
    <x v="153"/>
    <x v="56"/>
    <m/>
    <s v="“Kistik Fibroziste Kistik Fibrozis Transmembran Regülator Modülatör Tedavinin Etkili Olmama Nedenlerinin İncelenmesi”"/>
    <m/>
    <m/>
    <m/>
    <m/>
    <m/>
    <m/>
    <m/>
    <m/>
    <m/>
    <m/>
  </r>
  <r>
    <m/>
    <m/>
    <x v="153"/>
    <x v="56"/>
    <m/>
    <s v="“Büyüme Hormonu Salgılama Hormonu ve Analoglarının İdrarda Nano Sıvı Kromatografisi Kuadrupol/Orbitrap Kütle Spektrometrisi Kullanılarak Analizi”"/>
    <m/>
    <m/>
    <m/>
    <m/>
    <m/>
    <m/>
    <m/>
    <m/>
    <m/>
    <m/>
  </r>
  <r>
    <m/>
    <m/>
    <x v="153"/>
    <x v="56"/>
    <m/>
    <s v="“Arteria Hepatica Sınıflamasının Radyolojik Olarak İncelenmesi”"/>
    <m/>
    <m/>
    <m/>
    <m/>
    <m/>
    <m/>
    <m/>
    <m/>
    <m/>
    <m/>
  </r>
  <r>
    <m/>
    <m/>
    <x v="153"/>
    <x v="56"/>
    <m/>
    <s v="“Malign Kemik Lezyonlarının Tedavisinde Perkütan Osteosentez ve Sementoplastinin Rolü ve Tedavi Sonuçlarının Değerlendirilmesi”"/>
    <m/>
    <m/>
    <m/>
    <m/>
    <m/>
    <m/>
    <m/>
    <m/>
    <m/>
    <m/>
  </r>
  <r>
    <m/>
    <m/>
    <x v="153"/>
    <x v="56"/>
    <m/>
    <s v="“Ligamentum Falciforme Hepatis Radyolojik Anatomisi: Morfometri ve Yağ Dokusu İlişkisi”"/>
    <m/>
    <m/>
    <m/>
    <m/>
    <m/>
    <m/>
    <m/>
    <m/>
    <m/>
    <m/>
  </r>
  <r>
    <m/>
    <m/>
    <x v="153"/>
    <x v="56"/>
    <m/>
    <s v="“Kulak Burun Boğaz Hastalarının Cerrahi Müdahaleler Hakkında Sık Sordukları Sorulara Büyük Dil Modelleri ve Uzmanlarının Verdiği Cevapların Hasta Bakış Açısından Karşılaştırılması”"/>
    <m/>
    <m/>
    <m/>
    <m/>
    <m/>
    <m/>
    <m/>
    <m/>
    <m/>
    <m/>
  </r>
  <r>
    <m/>
    <m/>
    <x v="153"/>
    <x v="56"/>
    <m/>
    <s v="“Farklı Büyük Dil Modellerinin Benign Larinks Patolojileri Hakkındaki Sorulara Verdiği Cevapların Doğruluklarının Araştırılması”"/>
    <m/>
    <m/>
    <m/>
    <m/>
    <m/>
    <m/>
    <m/>
    <m/>
    <m/>
    <m/>
  </r>
  <r>
    <m/>
    <m/>
    <x v="153"/>
    <x v="56"/>
    <m/>
    <s v="“Plöroparenkimal Fibroelastozis Tanılı Pediatrik Olguların Klinik, Radyolojik ve Tanı Süreçlerinin Değerlendirilmesi: Üç Olguluk Retrospektif Vaka Serisi”"/>
    <m/>
    <m/>
    <m/>
    <m/>
    <m/>
    <m/>
    <m/>
    <m/>
    <m/>
    <m/>
  </r>
  <r>
    <m/>
    <m/>
    <x v="153"/>
    <x v="56"/>
    <m/>
    <s v="“İlaca Dirençli Epilepsisi Olan Erişkin Hastalarda Korpus Kallozotominin Uzun Dönem Sonuçları”"/>
    <m/>
    <m/>
    <m/>
    <m/>
    <m/>
    <m/>
    <m/>
    <m/>
    <m/>
    <m/>
  </r>
  <r>
    <m/>
    <m/>
    <x v="153"/>
    <x v="56"/>
    <m/>
    <s v="“Çocuk Yoğun Bakım Hastalarında Ferritin Yüksekliği Tespit Edilen Olguların İncelenmesi”"/>
    <m/>
    <m/>
    <m/>
    <m/>
    <m/>
    <m/>
    <m/>
    <m/>
    <m/>
    <m/>
  </r>
  <r>
    <m/>
    <m/>
    <x v="153"/>
    <x v="56"/>
    <m/>
    <s v="“Hacettepe Üniversitesi Tıp Fakültesi Genel Dahiliye Bilim Dalı Polikliniklerine Başvuran Diyabet, Hipertansiyon ve Hiperlipidemi Hastalarında İlaç Uyumunun Değerlendirilmesi”"/>
    <m/>
    <m/>
    <m/>
    <m/>
    <m/>
    <m/>
    <m/>
    <m/>
    <m/>
    <m/>
  </r>
  <r>
    <m/>
    <m/>
    <x v="153"/>
    <x v="56"/>
    <m/>
    <s v="“Ev Tipi İnvaziv Mekanik Ventilatör ile İzlenen Hastaların Değerlendirilmesi”"/>
    <m/>
    <m/>
    <m/>
    <m/>
    <m/>
    <m/>
    <m/>
    <m/>
    <m/>
    <m/>
  </r>
  <r>
    <m/>
    <m/>
    <x v="153"/>
    <x v="56"/>
    <m/>
    <s v="“Çocukluk Çağı Romatolojik Hastalıkları Nedeniyle Biyolojik Ajan Kullanan Hastalarda Pnömokok ve Meningokok Taşıyıcılığı”"/>
    <m/>
    <m/>
    <m/>
    <m/>
    <m/>
    <m/>
    <m/>
    <m/>
    <m/>
    <m/>
  </r>
  <r>
    <m/>
    <m/>
    <x v="153"/>
    <x v="56"/>
    <m/>
    <s v="“ECMO Uygulanan Hastalarda Akut Böbrek Hasarı Açısından Risk Faktörlerinin Değerlendirilmesi”"/>
    <m/>
    <m/>
    <m/>
    <m/>
    <m/>
    <m/>
    <m/>
    <m/>
    <m/>
    <m/>
  </r>
  <r>
    <m/>
    <m/>
    <x v="153"/>
    <x v="56"/>
    <m/>
    <s v="“Travma Olgularının Endovasküler Tedavilerle Yönetimi; Neredeyiz?”"/>
    <m/>
    <m/>
    <m/>
    <m/>
    <m/>
    <m/>
    <m/>
    <m/>
    <m/>
    <m/>
  </r>
  <r>
    <m/>
    <m/>
    <x v="153"/>
    <x v="56"/>
    <m/>
    <s v="“Kanal Tedavili Dişlerin Fraktür Direncinde Servikal Bariyer ve Kroniçi Ağartma Materyallerinin Rolü: Laboratuvar Çalışması”"/>
    <m/>
    <m/>
    <m/>
    <m/>
    <m/>
    <m/>
    <m/>
    <m/>
    <m/>
    <m/>
  </r>
  <r>
    <m/>
    <m/>
    <x v="153"/>
    <x v="56"/>
    <m/>
    <s v="“Akçaağaç Şurubu İdrar Hastalığında Nöropsikiyatrik Özellikler”"/>
    <m/>
    <m/>
    <m/>
    <m/>
    <m/>
    <m/>
    <m/>
    <m/>
    <m/>
    <m/>
  </r>
  <r>
    <m/>
    <m/>
    <x v="153"/>
    <x v="56"/>
    <m/>
    <s v="“Küçük Hücreli Dışı Akciğer Kanseri Hastalannda Pulmoner Rezeksiyonu Takiben Göğüs Tüpünün Erken Dönemde Çıkanlmasının Güvenlik ve Uygulama Yönünden Değerlendirilmesi”"/>
    <m/>
    <m/>
    <m/>
    <m/>
    <m/>
    <m/>
    <m/>
    <m/>
    <m/>
    <m/>
  </r>
  <r>
    <m/>
    <m/>
    <x v="153"/>
    <x v="56"/>
    <m/>
    <s v="“Portal Hipertansiyon Tanılı Çocuk Hastaların Uzun Süreli Klinik İzlem Sonuçları”"/>
    <m/>
    <m/>
    <m/>
    <m/>
    <m/>
    <m/>
    <m/>
    <m/>
    <m/>
    <m/>
  </r>
  <r>
    <m/>
    <m/>
    <x v="153"/>
    <x v="56"/>
    <m/>
    <s v="“Klinik Eczacıların Geriatrik Sendromlar Konusundaki Yaklaşımlarının Değerlendirilmesi”"/>
    <m/>
    <m/>
    <m/>
    <m/>
    <m/>
    <m/>
    <m/>
    <m/>
    <m/>
    <m/>
  </r>
  <r>
    <m/>
    <m/>
    <x v="153"/>
    <x v="56"/>
    <m/>
    <s v="“Primer Siliyer Diskinezi Hastalarında Beslenme Durumu ve Solunum Parametreleri İlişkisi: Kesitesel ve Takip Çalışması”"/>
    <m/>
    <m/>
    <m/>
    <m/>
    <m/>
    <m/>
    <m/>
    <m/>
    <m/>
    <m/>
  </r>
  <r>
    <m/>
    <m/>
    <x v="153"/>
    <x v="56"/>
    <m/>
    <s v="“2012 Revize Atlanta Sınıflamasına Göre Şiddetli Akut Pankreatitin Öngörülmesinde Ranson, BISAP ve APACHE-II Skorlarının Karşılaştırmalı Prognostik Doğruluğu: Sistematik Derleme ve Meta-Analiz”"/>
    <m/>
    <m/>
    <m/>
    <m/>
    <m/>
    <m/>
    <m/>
    <m/>
    <m/>
    <m/>
  </r>
  <r>
    <m/>
    <m/>
    <x v="153"/>
    <x v="56"/>
    <m/>
    <s v="“Eczacıların Farmakogenetik Testlere Yaklaşımı: Bilgi, Farkındalık ve Tutum Analizi”"/>
    <m/>
    <m/>
    <m/>
    <m/>
    <m/>
    <m/>
    <m/>
    <m/>
    <m/>
    <m/>
  </r>
  <r>
    <m/>
    <m/>
    <x v="153"/>
    <x v="56"/>
    <m/>
    <s v="“Belirsiz Gastrointestinal Kanaması Olan Hastalarda Kapsül Endoskopisinin Tanısal Sensitivitesi-Kapsamlı Tek Merkez Veri Analizi”"/>
    <m/>
    <m/>
    <m/>
    <m/>
    <m/>
    <m/>
    <m/>
    <m/>
    <m/>
    <m/>
  </r>
  <r>
    <m/>
    <m/>
    <x v="153"/>
    <x v="56"/>
    <m/>
    <s v="“Küçük Hücreli Dışı Akciğer Kanseri Tanılı Hastalarda Cerrahi Kapsam ve Tekniğin Postoperatif Akciğer Fonksiyonları Üzerine Etkisi”"/>
    <m/>
    <m/>
    <m/>
    <m/>
    <m/>
    <m/>
    <m/>
    <m/>
    <m/>
    <m/>
  </r>
  <r>
    <m/>
    <m/>
    <x v="153"/>
    <x v="56"/>
    <m/>
    <s v="“Mahrum Edilmiş Yas: Kürtaj Sonrası Kayıp Sürecinin Anlamlandırılması”"/>
    <m/>
    <m/>
    <m/>
    <m/>
    <m/>
    <m/>
    <m/>
    <m/>
    <m/>
    <m/>
  </r>
  <r>
    <m/>
    <m/>
    <x v="153"/>
    <x v="56"/>
    <m/>
    <s v="“Cinsiyet Uyuşmazlığı Nedeniyle Başvuran Kişilerin Sosyodemografik ve Klinik Özelliklerinin Zaman İçerisindeki Değişiminin İncelenmesi”"/>
    <m/>
    <m/>
    <m/>
    <m/>
    <m/>
    <m/>
    <m/>
    <m/>
    <m/>
    <m/>
  </r>
  <r>
    <m/>
    <m/>
    <x v="153"/>
    <x v="56"/>
    <m/>
    <s v="“Kistik Fibrozis Hastalarında CFTR Modülatör Tedavilerine Bağlı Yan Etkilerin Değerlendirilmesi: Üçüncü Basamak Bir Merkezden Deneyimler”"/>
    <m/>
    <m/>
    <m/>
    <m/>
    <m/>
    <m/>
    <m/>
    <m/>
    <m/>
    <m/>
  </r>
  <r>
    <m/>
    <m/>
    <x v="153"/>
    <x v="56"/>
    <m/>
    <s v="“Koklear İmplant Cerrahisi Sonrası Revizyon Geçirmiş Olgularda Revizyon Nedenlerinin İncelenmesi”"/>
    <m/>
    <m/>
    <m/>
    <m/>
    <m/>
    <m/>
    <m/>
    <m/>
    <m/>
    <m/>
  </r>
  <r>
    <m/>
    <m/>
    <x v="153"/>
    <x v="56"/>
    <m/>
    <s v="“Agresif ve Metastatik Pituiter Nöroendokrin Tümör Tanısı Alan Olguların Retrospektif İncelenmesi”"/>
    <m/>
    <m/>
    <m/>
    <m/>
    <m/>
    <m/>
    <m/>
    <m/>
    <m/>
    <m/>
  </r>
  <r>
    <m/>
    <m/>
    <x v="153"/>
    <x v="56"/>
    <m/>
    <s v="“Kistik Fibrozisli Cocuklarda Balgam Kolonizasyonu ile Ailelerin Enfeksiyon Kontrol Bilgi Düzeyi ve Sosyoekonomik Durumu Arasindaki İlişki”"/>
    <m/>
    <m/>
    <m/>
    <m/>
    <m/>
    <m/>
    <m/>
    <m/>
    <m/>
    <m/>
  </r>
  <r>
    <m/>
    <m/>
    <x v="153"/>
    <x v="56"/>
    <m/>
    <s v="“Coğrafik Atrofi Tanılı Hastalarda Derin Öğrenme Tabanlı Bilgisayarlı Görü Yöntemleriyle Bölütlenmesi ve 5 Yıllık Progresyonun Kestiriminin Değerlendirilmesi”"/>
    <m/>
    <m/>
    <m/>
    <m/>
    <m/>
    <m/>
    <m/>
    <m/>
    <m/>
    <m/>
  </r>
  <r>
    <m/>
    <m/>
    <x v="153"/>
    <x v="56"/>
    <m/>
    <s v="“Erişkin Kistik Fibrozis ve Primer Siliyer Diskinezi Olgularında Solunum Yolu Örneklerinden Nadir Küf Türlerinin İzolasyon Sıklığının ve Klinik Yansımalarının Değerlendirilmesi ”"/>
    <m/>
    <m/>
    <m/>
    <m/>
    <m/>
    <m/>
    <m/>
    <m/>
    <m/>
    <m/>
  </r>
  <r>
    <m/>
    <m/>
    <x v="153"/>
    <x v="56"/>
    <m/>
    <s v="“Trakeotomi Dekanülasyonu Yapılan Hastalarda Havayolu Basınçlarındaki ve Solunum İş Yükündeki Değişimin Bilgisayar Simülasyonu ile Değerlendirilmesi”"/>
    <m/>
    <m/>
    <m/>
    <m/>
    <m/>
    <m/>
    <m/>
    <m/>
    <m/>
    <m/>
  </r>
  <r>
    <m/>
    <m/>
    <x v="153"/>
    <x v="56"/>
    <m/>
    <s v="“Ani İdiyopatik İşitme Kaybı ile Koklear Ossifikasyonun İlişkisinin İncelenmesi”"/>
    <m/>
    <m/>
    <m/>
    <m/>
    <m/>
    <m/>
    <m/>
    <m/>
    <m/>
    <m/>
  </r>
  <r>
    <m/>
    <m/>
    <x v="153"/>
    <x v="56"/>
    <m/>
    <s v="“65 Yaş Üzeri Hastalarda Gereksiz Betahistin Kullanımının Araştırılması”"/>
    <m/>
    <m/>
    <m/>
    <m/>
    <m/>
    <m/>
    <m/>
    <m/>
    <m/>
    <m/>
  </r>
  <r>
    <m/>
    <m/>
    <x v="153"/>
    <x v="56"/>
    <m/>
    <s v="“Kafa Tabanı Osteomyeliti Hastalığının Tedavisinin Finansal Analizi”"/>
    <m/>
    <m/>
    <m/>
    <m/>
    <m/>
    <m/>
    <m/>
    <m/>
    <m/>
    <m/>
  </r>
  <r>
    <m/>
    <m/>
    <x v="153"/>
    <x v="56"/>
    <m/>
    <s v="“65 Yaş ve Üzeri Hastalarda Kısa Nütrisyonel İndekslerinin Tüm Nedenlere Bağlı Mortalite ile İlişkisi”"/>
    <m/>
    <m/>
    <m/>
    <m/>
    <m/>
    <m/>
    <m/>
    <m/>
    <m/>
    <m/>
  </r>
  <r>
    <m/>
    <m/>
    <x v="153"/>
    <x v="56"/>
    <m/>
    <s v="“Geriatri Polikliniği Hastalarında Farklı Kırılganlık İndekslerinin Tüm Nedenlere Bağlı Mortaliteyi Öngörme Etkilerinin Karşılaştırılması”"/>
    <m/>
    <m/>
    <m/>
    <m/>
    <m/>
    <m/>
    <m/>
    <m/>
    <m/>
    <m/>
  </r>
  <r>
    <m/>
    <m/>
    <x v="153"/>
    <x v="56"/>
    <m/>
    <s v="“Migrende Fonksiyonel Transkranial Doppler ultrasonografi”"/>
    <m/>
    <m/>
    <m/>
    <m/>
    <m/>
    <m/>
    <m/>
    <m/>
    <m/>
    <m/>
  </r>
  <r>
    <m/>
    <m/>
    <x v="153"/>
    <x v="56"/>
    <m/>
    <s v="“Avrupa Uyuşturucu Madde Acilleri İletişim Ağı Projesi - ‘European Drug Emergencies Network Plus (Euro-DEN Plus) Proiect’”"/>
    <m/>
    <m/>
    <m/>
    <m/>
    <m/>
    <m/>
    <m/>
    <m/>
    <m/>
    <m/>
  </r>
  <r>
    <m/>
    <m/>
    <x v="153"/>
    <x v="56"/>
    <m/>
    <s v="“D110H Mutasyonu Varhginda; Klinik Seyir Nasil Sekilleniyor?”"/>
    <m/>
    <m/>
    <m/>
    <m/>
    <m/>
    <m/>
    <m/>
    <m/>
    <m/>
    <m/>
  </r>
  <r>
    <m/>
    <m/>
    <x v="153"/>
    <x v="56"/>
    <m/>
    <s v="&quot;Jak İnhibitörlerinin Labaratuvar Parametreleri Üzerindeki Etkilerinin Zaman İçindeki Değişimi: 0., 3. ve 6. Ay Değerlendirmeleri&quot;"/>
    <m/>
    <m/>
    <m/>
    <m/>
    <m/>
    <m/>
    <m/>
    <m/>
    <m/>
    <m/>
  </r>
  <r>
    <m/>
    <m/>
    <x v="153"/>
    <x v="56"/>
    <m/>
    <s v="“Gebelikte Boğmaca Aşısının Uygulanma Haftası ile Doğumda Kord Kanında Anti-PT ve Anti-FHA IgG Düzeylerinin Karşılaştırılması: Prospektif Gözlemsel Çalışma”"/>
    <m/>
    <m/>
    <m/>
    <m/>
    <m/>
    <m/>
    <m/>
    <m/>
    <m/>
    <m/>
  </r>
  <r>
    <m/>
    <m/>
    <x v="153"/>
    <x v="56"/>
    <m/>
    <s v="“Neovasküler Yaşa Bağlı Makula Dejenerasyonunda Fibrotik Skar Özellikleri ve Tedavi Parametrelerinin Görme Keskinliği Üzerine Etkileri: Retrospektif Gözlemsel Bir Çalışma”"/>
    <m/>
    <m/>
    <m/>
    <m/>
    <m/>
    <m/>
    <m/>
    <m/>
    <m/>
    <m/>
  </r>
  <r>
    <m/>
    <m/>
    <x v="153"/>
    <x v="56"/>
    <m/>
    <s v="“Otoimmün Demiyelinizan Hastalıklar (MS, NMO, MOGAD)'a Bağlı Optik Nörit Geçiren Olgularda Mikroperimetri ve Patern Elektroretinografi ile Optik Sinir ile Makula Fonksiyonunun Değerlendirilmesi"/>
    <m/>
    <m/>
    <m/>
    <m/>
    <m/>
    <m/>
    <m/>
    <m/>
    <m/>
    <m/>
  </r>
  <r>
    <m/>
    <m/>
    <x v="153"/>
    <x v="56"/>
    <m/>
    <s v="“Doğal İmmünite Defektleri, Kombine İmmün Yetmezlikler ve İmmün Disregülasyonla Giden Primer İmmün Yetmezliklerin Genetik ve İleri İmmünolojik Yöntemlerle Araştırılması”"/>
    <m/>
    <m/>
    <m/>
    <m/>
    <m/>
    <m/>
    <m/>
    <m/>
    <m/>
    <m/>
  </r>
  <r>
    <m/>
    <m/>
    <x v="153"/>
    <x v="56"/>
    <m/>
    <s v="“Otizm Spektrum Bozukluğu ve Dikkat Eksikliği Hiperaktivite Bozukluğu Tanılı Çocuklarda İnflamasyon Hipotezinin Tam Kan Sayımı Parametreleri ile İncelenmesi”"/>
    <m/>
    <m/>
    <m/>
    <m/>
    <m/>
    <m/>
    <m/>
    <m/>
    <m/>
    <m/>
  </r>
  <r>
    <m/>
    <m/>
    <x v="153"/>
    <x v="56"/>
    <m/>
    <s v="“Kalıtsal Metabolik Hastalıklarda 1,5 Anhidroglusitol (1,5-AG) ve 1,5-Anhidroglusitol-fosfat (1,5-AG6P) Düzeylerinin Araştırılması''"/>
    <m/>
    <m/>
    <m/>
    <m/>
    <m/>
    <m/>
    <m/>
    <m/>
    <m/>
    <m/>
  </r>
  <r>
    <m/>
    <m/>
    <x v="153"/>
    <x v="56"/>
    <m/>
    <s v="“AVNRT Tanısı ile Ablasyon Uygulanan Çocuklarda Transozefagial Elektrofizyolojik Çalışmanin Nüksü Belirlemedeki Rolü''"/>
    <m/>
    <m/>
    <m/>
    <m/>
    <m/>
    <m/>
    <m/>
    <m/>
    <m/>
    <m/>
  </r>
  <r>
    <m/>
    <m/>
    <x v="153"/>
    <x v="56"/>
    <m/>
    <s v="“Çocuk Kardiyoloji Ünitesinde Uygulanan Farmakolojik Provakasyon Testlerinin Tanı Sürecindeki Rolü&quot;"/>
    <m/>
    <m/>
    <m/>
    <m/>
    <m/>
    <m/>
    <m/>
    <m/>
    <m/>
    <m/>
  </r>
  <r>
    <m/>
    <m/>
    <x v="153"/>
    <x v="56"/>
    <m/>
    <s v="“Çocuk Acil Polikliniğine Başvuran Skuter Kazalarının Retrospektif Değerlendirilmesi”"/>
    <m/>
    <m/>
    <m/>
    <m/>
    <m/>
    <m/>
    <m/>
    <m/>
    <m/>
    <m/>
  </r>
  <r>
    <m/>
    <m/>
    <x v="153"/>
    <x v="56"/>
    <m/>
    <s v="“Ankara Grup Başkanlığında Doğal Olmayan Yabancı Uyruklu Ölümlerin Değerlendirilmesi”"/>
    <m/>
    <m/>
    <m/>
    <m/>
    <m/>
    <m/>
    <m/>
    <m/>
    <m/>
    <m/>
  </r>
  <r>
    <m/>
    <m/>
    <x v="153"/>
    <x v="56"/>
    <m/>
    <s v="“Tıbbi Uygulama Hatası İddiası Bulunan Otopsi Vakalarının Medikolegal Açıdan Değerlendirilmesi”"/>
    <m/>
    <m/>
    <m/>
    <m/>
    <m/>
    <m/>
    <m/>
    <m/>
    <m/>
    <m/>
  </r>
  <r>
    <m/>
    <m/>
    <x v="153"/>
    <x v="56"/>
    <m/>
    <s v="“Aort Diseksiyonu ve Anevrizma Rüptürüne Bağlı Ölümler: Otopsi Çalışması”"/>
    <m/>
    <m/>
    <m/>
    <m/>
    <m/>
    <m/>
    <m/>
    <m/>
    <m/>
    <m/>
  </r>
  <r>
    <m/>
    <m/>
    <x v="153"/>
    <x v="56"/>
    <m/>
    <s v="“Asıya Bağlı Ölüm Olgularında Retina Kanamalarının İndirekt Fundoskopi ile Değerlendirilmesi”"/>
    <m/>
    <m/>
    <m/>
    <m/>
    <m/>
    <m/>
    <m/>
    <m/>
    <m/>
    <m/>
  </r>
  <r>
    <m/>
    <m/>
    <x v="153"/>
    <x v="56"/>
    <m/>
    <s v="“Boyun Diseksiyonu Yapılan Hastalarda En-Bloc Rezeksiyon Yöntemi ile Juguler Ven Split Rezeksiyon Yönteminin Karşılaştırılması”"/>
    <m/>
    <m/>
    <m/>
    <m/>
    <m/>
    <m/>
    <m/>
    <m/>
    <m/>
    <m/>
  </r>
  <r>
    <m/>
    <m/>
    <x v="153"/>
    <x v="56"/>
    <m/>
    <s v="“Human Papilloma Virus Aşısı Uygulanan Kadınlarda Serum Anti-Müllerian Hormon Düzeylerindeki Değişimin Değerlendirilmesi”"/>
    <m/>
    <m/>
    <m/>
    <m/>
    <m/>
    <m/>
    <m/>
    <m/>
    <m/>
    <m/>
  </r>
  <r>
    <m/>
    <m/>
    <x v="153"/>
    <x v="56"/>
    <m/>
    <s v="“Santral Sinir Sistemi Hastalıklarında Kappa Serbest Hafif Zincir İndeksinin Tanısal Değeri”"/>
    <m/>
    <m/>
    <m/>
    <m/>
    <m/>
    <m/>
    <m/>
    <m/>
    <m/>
    <m/>
  </r>
  <r>
    <m/>
    <m/>
    <x v="153"/>
    <x v="56"/>
    <m/>
    <s v="“Rotasyon Profilli Bilgisayarlı Tomografi Kullanılarak Oluşturulan Parametreler ile Radyografide Proksimal Femur Rotasyonunun Değerlendirilmesi ve Yapay Zekâ ile Analizi”"/>
    <m/>
    <m/>
    <m/>
    <m/>
    <m/>
    <m/>
    <m/>
    <m/>
    <m/>
    <m/>
  </r>
  <r>
    <m/>
    <m/>
    <x v="153"/>
    <x v="56"/>
    <m/>
    <s v="“Üniversite Öğrencilerinde Akıllı Telefon Bağımlılığı ile Dijital Sağlık Okuryazarlığı Arasındaki İlişkinin İncelenmesi: Tanımlayıcı Araştırma”"/>
    <m/>
    <m/>
    <m/>
    <m/>
    <m/>
    <m/>
    <m/>
    <m/>
    <m/>
    <m/>
  </r>
  <r>
    <m/>
    <m/>
    <x v="153"/>
    <x v="56"/>
    <m/>
    <s v="“Psikotik Bozukluklarda Tedaviye Direnç ve Klozapine Dirençle İlişkili Doğal Dil İşleme Değişkenlerinin ve Düşünce Süreci Bozukluklarının Değerlendirilmesi”"/>
    <m/>
    <m/>
    <m/>
    <m/>
    <m/>
    <m/>
    <m/>
    <m/>
    <m/>
    <m/>
  </r>
  <r>
    <m/>
    <m/>
    <x v="153"/>
    <x v="56"/>
    <m/>
    <s v="“Tek Taraflı Dudak ve Damak Yarığına Sahip Hastalarda Maksiller Ekspansiyon ve Yüz Maskesi Sonrası Oklüzyonun Değerlendirilmesinde İki Farklı İndeksin Karşılaştırılması”"/>
    <m/>
    <m/>
    <m/>
    <m/>
    <m/>
    <m/>
    <m/>
    <m/>
    <m/>
    <m/>
  </r>
  <r>
    <m/>
    <m/>
    <x v="153"/>
    <x v="56"/>
    <m/>
    <s v="“Relapsing Remitting Multipl Skleroz Tanılı Hastalarda Yaş Gruplarına Göre Kognitif Profil ve Görüntüleme Bulgularının Karşılaştırılması”"/>
    <m/>
    <m/>
    <m/>
    <m/>
    <m/>
    <m/>
    <m/>
    <m/>
    <m/>
    <m/>
  </r>
  <r>
    <m/>
    <m/>
    <x v="153"/>
    <x v="56"/>
    <m/>
    <s v="“Odontojenik Kist ve Tümörlerde Kortikal Perforasyon, Kemik Dolumu ve Rekürrens Oranlarının Volümetrik ve Kantitatif Değerlendirilmesi”"/>
    <m/>
    <m/>
    <m/>
    <m/>
    <m/>
    <m/>
    <m/>
    <m/>
    <m/>
    <m/>
  </r>
  <r>
    <m/>
    <m/>
    <x v="153"/>
    <x v="56"/>
    <m/>
    <s v="“Antimikrobiyal Dirençteki Değişimler: Bir Üçüncü Basamak Hastanesindeki 11 Yıllık Deneyim”"/>
    <m/>
    <m/>
    <m/>
    <m/>
    <m/>
    <m/>
    <m/>
    <m/>
    <m/>
    <m/>
  </r>
  <r>
    <m/>
    <m/>
    <x v="153"/>
    <x v="56"/>
    <m/>
    <s v="“Fertilite Koruyucu Tedavi Sonrası In Vitro Fertilizasyon Başarısını Etkileyen Faktörler: Endometrium Kanseri ve Endometrial Intraepitelyal Neoplazi Hastalarına Ait Retrospektif Veri Analizi”"/>
    <m/>
    <m/>
    <m/>
    <m/>
    <m/>
    <m/>
    <m/>
    <m/>
    <m/>
    <m/>
  </r>
  <r>
    <m/>
    <m/>
    <x v="153"/>
    <x v="56"/>
    <m/>
    <s v="“Temporomandibular Eklem Hipermobilitesinde Dekstroz Proloterapisinin Uzun Dönem Klinik Sonuçlarının Retrospektif Değerlendirilmesi”"/>
    <m/>
    <m/>
    <m/>
    <m/>
    <m/>
    <m/>
    <m/>
    <m/>
    <m/>
    <m/>
  </r>
  <r>
    <m/>
    <m/>
    <x v="153"/>
    <x v="56"/>
    <m/>
    <s v="“Duchenne Musküler Distrofi Tanısı ile Pediatrik Yaş Grubunda İzlenen Hastaların Solunum Bulgularının Retrospektif Olarak Değerlendirilmesi”"/>
    <m/>
    <m/>
    <m/>
    <m/>
    <m/>
    <m/>
    <m/>
    <m/>
    <m/>
    <m/>
  </r>
  <r>
    <m/>
    <m/>
    <x v="153"/>
    <x v="56"/>
    <m/>
    <s v="“Ergenlik Döneminde Yeme Bozukluğu Tanısı Almış Yetişkinlerde Ruhsal Hastalık Kimliği ve İyileşme: Nitel Bir Çalışma”"/>
    <m/>
    <m/>
    <m/>
    <m/>
    <m/>
    <m/>
    <m/>
    <m/>
    <m/>
    <m/>
  </r>
  <r>
    <m/>
    <m/>
    <x v="153"/>
    <x v="56"/>
    <m/>
    <s v="“Triple X Sendromlu Hastalarda Demografik, Fenotipik ve Gelişimsel Özelliklerin Değerlendirilmesi”"/>
    <m/>
    <m/>
    <m/>
    <m/>
    <m/>
    <m/>
    <m/>
    <m/>
    <m/>
    <m/>
  </r>
  <r>
    <m/>
    <m/>
    <x v="153"/>
    <x v="56"/>
    <m/>
    <s v="“Yaşlı Yetişkinlerde İnflamasyon Belirteçleri ile Bilişsel İşlevler Arasındaki İlişki”"/>
    <m/>
    <m/>
    <m/>
    <m/>
    <m/>
    <m/>
    <m/>
    <m/>
    <m/>
    <m/>
  </r>
  <r>
    <m/>
    <m/>
    <x v="153"/>
    <x v="56"/>
    <m/>
    <s v="“Erişkinlerde HPV Aşısına Yönelik Tutum, Okuryazarlık ve Ulusal Programa Dahil Edilmesine İlişkin Görüşler”"/>
    <m/>
    <m/>
    <m/>
    <m/>
    <m/>
    <m/>
    <m/>
    <m/>
    <m/>
    <m/>
  </r>
  <r>
    <m/>
    <m/>
    <x v="153"/>
    <x v="56"/>
    <m/>
    <s v="“.Hacettepe Üniversitesi Erişkin ve Onkoloji Hastanelerinde 2017-2025 Yılları Arasında Karbapenem Dirençli Enterobacteriacea Kolonizasyonu ve Takiben İnfeksiyonu Gelişen Hastaların Analizi”"/>
    <m/>
    <m/>
    <m/>
    <m/>
    <m/>
    <m/>
    <m/>
    <m/>
    <m/>
    <m/>
  </r>
  <r>
    <m/>
    <m/>
    <x v="153"/>
    <x v="56"/>
    <m/>
    <s v="&quot;Senil Presbiakuzi ve Sarkopeni Arasındaki İlişkinin İncelenmesi”"/>
    <m/>
    <m/>
    <m/>
    <m/>
    <m/>
    <m/>
    <m/>
    <m/>
    <m/>
    <m/>
  </r>
  <r>
    <m/>
    <m/>
    <x v="153"/>
    <x v="56"/>
    <m/>
    <s v="“Fallot Tetralojisi Hastalarında Kardiyolojik Özellikler ve Uzun Dönem Sonuçlarının Retrospektif Değerlendirilmesi”"/>
    <m/>
    <m/>
    <m/>
    <m/>
    <m/>
    <m/>
    <m/>
    <m/>
    <m/>
    <m/>
  </r>
  <r>
    <m/>
    <m/>
    <x v="153"/>
    <x v="56"/>
    <m/>
    <s v="“Propionik Asidemi Tanılı Hastaların Kardiyak Özelliklerinin Retrospektif Değerlendirilmesi”"/>
    <m/>
    <m/>
    <m/>
    <m/>
    <m/>
    <m/>
    <m/>
    <m/>
    <m/>
    <m/>
  </r>
  <r>
    <m/>
    <m/>
    <x v="153"/>
    <x v="56"/>
    <m/>
    <s v="“Pulmoner Arter Agenezisi ve/veya Hipoplazisi Olan Hastaların Retrospektif Değerlendirilmesi”"/>
    <m/>
    <m/>
    <m/>
    <m/>
    <m/>
    <m/>
    <m/>
    <m/>
    <m/>
    <m/>
  </r>
  <r>
    <m/>
    <m/>
    <x v="153"/>
    <x v="56"/>
    <m/>
    <s v="“Sistemik Venöz Dönüş Anomalisi Olan Hastaların Retrospektif Değerlendirilmesi”"/>
    <m/>
    <m/>
    <m/>
    <m/>
    <m/>
    <m/>
    <m/>
    <m/>
    <m/>
    <m/>
  </r>
  <r>
    <m/>
    <m/>
    <x v="153"/>
    <x v="56"/>
    <m/>
    <s v="“Transkateter Pulmoner Kapak İmplantasyonunun Kardiyopulmoner Egzersiz Kapasitesi Üzerine Etkisinin Retrospektif Analizi''"/>
    <m/>
    <m/>
    <m/>
    <m/>
    <m/>
    <m/>
    <m/>
    <m/>
    <m/>
    <m/>
  </r>
  <r>
    <m/>
    <m/>
    <x v="153"/>
    <x v="56"/>
    <m/>
    <s v="“Kardiyovasküler-Renal-Metabolik Sendromda Malnütrisyon ve Sarkopeni”"/>
    <m/>
    <m/>
    <m/>
    <m/>
    <m/>
    <m/>
    <m/>
    <m/>
    <m/>
    <m/>
  </r>
  <r>
    <m/>
    <m/>
    <x v="153"/>
    <x v="56"/>
    <m/>
    <s v="&quot;Platin Bazlı Kemoterapi Ajanları ile Hızlı İlaç Desensitizasyonuna İlişkin Tek Merkez Deneyimimiz &quot;"/>
    <m/>
    <m/>
    <m/>
    <m/>
    <m/>
    <m/>
    <m/>
    <m/>
    <m/>
    <m/>
  </r>
  <r>
    <m/>
    <m/>
    <x v="153"/>
    <x v="56"/>
    <m/>
    <s v="“Bilateral Vokal Kord Paralizisi Nedeniyle Parsiyel veya Total Aritenoidektomi Yapılan Hastalarda Vücut Kitle Endeksinin Dispne Üzerine Etkisi”"/>
    <m/>
    <m/>
    <m/>
    <m/>
    <m/>
    <m/>
    <m/>
    <m/>
    <m/>
    <m/>
  </r>
  <r>
    <m/>
    <m/>
    <x v="153"/>
    <x v="56"/>
    <m/>
    <s v="“Patolojik Miyopi Hastalarının Retina Bulgularının Uzun Dönem Takip Sonuçları”"/>
    <m/>
    <m/>
    <m/>
    <m/>
    <m/>
    <m/>
    <m/>
    <m/>
    <m/>
    <m/>
  </r>
  <r>
    <m/>
    <m/>
    <x v="153"/>
    <x v="56"/>
    <m/>
    <s v="“Kolorektal Karsinogenezde THY1 İfadesinin Patoloji Arşiv Materyallerinde Değerlendirilmesi”"/>
    <m/>
    <m/>
    <m/>
    <m/>
    <m/>
    <m/>
    <m/>
    <m/>
    <m/>
    <m/>
  </r>
  <r>
    <m/>
    <m/>
    <x v="153"/>
    <x v="56"/>
    <m/>
    <s v="“Çocuklarda Budd-Chiari Sendromu: Tek Merkez Deneyimi”"/>
    <m/>
    <m/>
    <m/>
    <m/>
    <m/>
    <m/>
    <m/>
    <m/>
    <m/>
    <m/>
  </r>
  <r>
    <m/>
    <m/>
    <x v="153"/>
    <x v="56"/>
    <m/>
    <s v="“İç Hastalıkları Servislerinde Yatan 65 Yaş ve Üstü Hastaların Yatış anında Kullandığı İlaçlar ve Taburculuk Reçetelerinin Beers (2023), Stopp/Start V3, TIME (2020) Kriterlerine Göre İncelenmesi”"/>
    <m/>
    <m/>
    <m/>
    <m/>
    <m/>
    <m/>
    <m/>
    <m/>
    <m/>
    <m/>
  </r>
  <r>
    <m/>
    <m/>
    <x v="153"/>
    <x v="56"/>
    <m/>
    <s v="“Motor Beceri Zorlukları Özgül Öğrenme Bozukluğu İçin Fenotipik Bir Belirteç Olabilir mi? Motor Performansın Postürografik Analizi ve Bilişsel Becerilerle İlişkisi”"/>
    <m/>
    <m/>
    <m/>
    <m/>
    <m/>
    <m/>
    <m/>
    <m/>
    <m/>
    <m/>
  </r>
  <r>
    <m/>
    <m/>
    <x v="153"/>
    <x v="56"/>
    <m/>
    <s v="“Kanser Hastalarının Cepten Sağlık Harcamalarının Finansal Yükü ve Sağlık Hizmeti Kullanımı ve Sağlık Sonuçlarıyla İlişkisi”"/>
    <m/>
    <m/>
    <m/>
    <m/>
    <m/>
    <m/>
    <m/>
    <m/>
    <m/>
    <m/>
  </r>
  <r>
    <m/>
    <m/>
    <x v="153"/>
    <x v="56"/>
    <m/>
    <s v="“Çocukluk Çağı Vaskülitlerinde Serum/Plazma Metabolomik Profilinin İncelenmesi: Tanısal ve Klinik İlişkilerin Değerlendirilmesi”"/>
    <m/>
    <m/>
    <m/>
    <m/>
    <m/>
    <m/>
    <m/>
    <m/>
    <m/>
    <m/>
  </r>
  <r>
    <m/>
    <m/>
    <x v="153"/>
    <x v="56"/>
    <m/>
    <s v="“Dikkat Eksikliği ve Hiperaktivite Bozukluğu Tanılı Ergenlerde Çocukluk Çağı Olumsuz Yaşantılarının Klinik Görünüm ve İnflamatuar Biyobelirteçlerle İlişkisi”"/>
    <m/>
    <m/>
    <m/>
    <m/>
    <m/>
    <m/>
    <m/>
    <m/>
    <m/>
    <m/>
  </r>
  <r>
    <m/>
    <m/>
    <x v="153"/>
    <x v="56"/>
    <m/>
    <s v="“Primer Diz Artroplastisi Yapılan Hastaların VKİ Oranlarının Uzun Dönem Klinik ve Fonksiyonel Sonuçlara Etkisi”"/>
    <m/>
    <m/>
    <m/>
    <m/>
    <m/>
    <m/>
    <m/>
    <m/>
    <m/>
    <m/>
  </r>
  <r>
    <m/>
    <m/>
    <x v="153"/>
    <x v="56"/>
    <m/>
    <s v="“Total Diz Artroplastisinde Posterior Tibial Eğim ve Posterior Kondiler Ofset: Gerçekten Önemli Mi?”"/>
    <m/>
    <m/>
    <m/>
    <m/>
    <m/>
    <m/>
    <m/>
    <m/>
    <m/>
    <m/>
  </r>
  <r>
    <m/>
    <m/>
    <x v="153"/>
    <x v="56"/>
    <m/>
    <s v="“Ergenlerde Sağlık Alanında Yapay Zekâ Kullanım Ölçeği’ ve ‘Ebeveynin Çocuğunun Sağlığı ile İlgili Yapay Zekâ Kullanım Ölçeği’nin Geliştirilmesi ve Değerlendirilmesi”"/>
    <m/>
    <m/>
    <m/>
    <m/>
    <m/>
    <m/>
    <m/>
    <m/>
    <m/>
    <m/>
  </r>
  <r>
    <m/>
    <m/>
    <x v="153"/>
    <x v="56"/>
    <m/>
    <s v="“Hipopitüitarizmli Erişkin Hastalarda Morbidite ve Mortaliteyi Etkileyen Faktörler: Retrospektif Değerlendirme”"/>
    <m/>
    <m/>
    <m/>
    <m/>
    <m/>
    <m/>
    <m/>
    <m/>
    <m/>
    <m/>
  </r>
  <r>
    <m/>
    <m/>
    <x v="153"/>
    <x v="56"/>
    <m/>
    <s v="“Primer Hipofizit (Otoimmün ve IgG4 İlişkili) Olgularının Uzun Dönem Klinik Seyri”"/>
    <m/>
    <m/>
    <m/>
    <m/>
    <m/>
    <m/>
    <m/>
    <m/>
    <m/>
    <m/>
  </r>
  <r>
    <m/>
    <m/>
    <x v="153"/>
    <x v="56"/>
    <m/>
    <s v="“İdiopatik Pulmoner Fibrozisin Akut Alevlenmeleri için Hidrojen Sülfür Tedavisinin Etkilerinin Değerlendirilmesi&quot;"/>
    <m/>
    <m/>
    <m/>
    <m/>
    <m/>
    <m/>
    <m/>
    <m/>
    <m/>
    <m/>
  </r>
  <r>
    <m/>
    <m/>
    <x v="153"/>
    <x v="56"/>
    <m/>
    <s v="“Çocukluk Çağı Poliarteritis Nodosa Hastalarının Değerlendirilmesi”"/>
    <m/>
    <m/>
    <m/>
    <m/>
    <m/>
    <m/>
    <m/>
    <m/>
    <m/>
    <m/>
  </r>
  <r>
    <m/>
    <m/>
    <x v="153"/>
    <x v="56"/>
    <m/>
    <s v="“Konjonktival Melanomlarda ATRX, PDL-1 ve p16 İmmünohistokimyasal Ekspresyonlarının Klinikopatolojik Parametrelerle Korelasyonu”"/>
    <m/>
    <m/>
    <m/>
    <m/>
    <m/>
    <m/>
    <m/>
    <m/>
    <m/>
    <m/>
  </r>
  <r>
    <m/>
    <m/>
    <x v="153"/>
    <x v="56"/>
    <m/>
    <s v="“Geriatri Popülasyonda eGFR Tahmin Denklemleri Arasındaki Uyumun ve Tahmin Hatalarına Etki Eden Faktörlerin Değerlendirilmesi”"/>
    <m/>
    <m/>
    <m/>
    <m/>
    <m/>
    <m/>
    <m/>
    <m/>
    <m/>
    <m/>
  </r>
  <r>
    <m/>
    <m/>
    <x v="153"/>
    <x v="56"/>
    <m/>
    <s v="“Geriatrik Hastalarda Telefon Bağımlılığının Geriatrik Sendromlarla İlişkisi”"/>
    <m/>
    <m/>
    <m/>
    <m/>
    <m/>
    <m/>
    <m/>
    <m/>
    <m/>
    <m/>
  </r>
  <r>
    <m/>
    <m/>
    <x v="153"/>
    <x v="56"/>
    <m/>
    <s v="“Mekanik Ventilatörden Ayırmada T-tüp Denemesi Uygulanan Hastalarda Hemodinami Parametrelerinin Değişimlerinin Gözlenmesi”"/>
    <m/>
    <m/>
    <m/>
    <m/>
    <m/>
    <m/>
    <m/>
    <m/>
    <m/>
    <m/>
  </r>
  <r>
    <m/>
    <m/>
    <x v="153"/>
    <x v="56"/>
    <m/>
    <s v="“Bilateral Testis Germ Hücreli Tümörler: Hacettepe Üniversitesi Üroloji Anabilim Dalı'nın 40 Yıllık Deneyimi”"/>
    <m/>
    <m/>
    <m/>
    <m/>
    <m/>
    <m/>
    <m/>
    <m/>
    <m/>
    <m/>
  </r>
  <r>
    <m/>
    <m/>
    <x v="153"/>
    <x v="56"/>
    <m/>
    <s v="“Çocuklarda Fasiküler Ventriküler Aritmi ve Transkateter Ablasyon Uygulaması Deneyimlerimiz”"/>
    <m/>
    <m/>
    <m/>
    <m/>
    <m/>
    <m/>
    <m/>
    <m/>
    <m/>
    <m/>
  </r>
  <r>
    <m/>
    <m/>
    <x v="153"/>
    <x v="56"/>
    <m/>
    <s v="“Ventriküler Erken Vuru Olan Çocuk Hastalarda Transkateter Ablasyon Sonuçlarımız”"/>
    <m/>
    <m/>
    <m/>
    <m/>
    <m/>
    <m/>
    <m/>
    <m/>
    <m/>
    <m/>
  </r>
  <r>
    <m/>
    <m/>
    <x v="153"/>
    <x v="56"/>
    <m/>
    <s v="''Buğday Alerjisi Olan Çocuklarda Oral İmmünoterapi ve Besinden Kaçınma Yaklaşımlarının Beslenme Durumu ve Yaşam Kalitesi Üzerine Etkilerinin Karşılaştırılması''"/>
    <m/>
    <m/>
    <m/>
    <m/>
    <m/>
    <m/>
    <m/>
    <m/>
    <m/>
    <m/>
  </r>
  <r>
    <m/>
    <m/>
    <x v="153"/>
    <x v="56"/>
    <m/>
    <s v="“Seksen Beş Yaş ve Üzeri Geriatrik Hastalarda İntrinsik Kapasite Değişimi, İyileşme Paternleri ve Klinik Sonuçları; Retrospektif Kohort Çalışması”"/>
    <m/>
    <m/>
    <m/>
    <m/>
    <m/>
    <m/>
    <m/>
    <m/>
    <m/>
    <m/>
  </r>
  <r>
    <m/>
    <m/>
    <x v="153"/>
    <x v="56"/>
    <m/>
    <s v="“Kanal Tedavisi Yenileme İşlemine Maruz Kalan Dişlerin Kırılma Dayanımında Ağartmanın Etkisi”"/>
    <m/>
    <m/>
    <m/>
    <m/>
    <m/>
    <m/>
    <m/>
    <m/>
    <m/>
    <m/>
  </r>
  <r>
    <m/>
    <m/>
    <x v="153"/>
    <x v="56"/>
    <m/>
    <s v="“DEHB Tanılı Çocuklarda KOKGB Eşlik Etme Durumuna Göre İrritabilite ve Ödül Sisteminin Fonksiyonel MRG ile İncelenmesi”"/>
    <m/>
    <m/>
    <m/>
    <m/>
    <m/>
    <m/>
    <m/>
    <m/>
    <m/>
    <m/>
  </r>
  <r>
    <m/>
    <m/>
    <x v="153"/>
    <x v="56"/>
    <m/>
    <s v="“Diş Hekimliği Son Sınıf Öğrencilerinin Acil Tıbbi Durumlar Bağlamında Algılanan Güven ve Bilgi Düzeylerinin Değerlendirilmesi”"/>
    <m/>
    <m/>
    <m/>
    <m/>
    <m/>
    <m/>
    <m/>
    <m/>
    <m/>
    <m/>
  </r>
  <r>
    <m/>
    <m/>
    <x v="153"/>
    <x v="56"/>
    <m/>
    <s v="“Melanom Hastalarında Kiraz Anjiyom Sıklığının ve Kiraz Anjiyomların Gelişiminde VEGF ile VEGF Reseptörlerinin Doku ve Serum Düzeyinde Değerlendirilmesi”"/>
    <m/>
    <m/>
    <m/>
    <m/>
    <m/>
    <m/>
    <m/>
    <m/>
    <m/>
    <m/>
  </r>
  <r>
    <m/>
    <m/>
    <x v="153"/>
    <x v="56"/>
    <m/>
    <s v="“Takayasu Arteriti Hastalığında Oftalmolojik Bulguların Değerlendirilmesi”"/>
    <m/>
    <m/>
    <m/>
    <m/>
    <m/>
    <m/>
    <m/>
    <m/>
    <m/>
    <m/>
  </r>
  <r>
    <m/>
    <m/>
    <x v="153"/>
    <x v="56"/>
    <m/>
    <s v="“Hacettepe Üniversitesi Tıp Fakültesi Öğrencilerinin Geriatri Eğitim ve İlgi Düzeylerinin Değerlendirilmesi”"/>
    <m/>
    <m/>
    <m/>
    <m/>
    <m/>
    <m/>
    <m/>
    <m/>
    <m/>
    <m/>
  </r>
  <r>
    <m/>
    <m/>
    <x v="153"/>
    <x v="56"/>
    <m/>
    <s v="“Acil Serviste İntrakraniyal Merkezi Sinir Sistemi Enfeksiyonu Tanısı Konulan Hastalarda Hipokampüs Hacimlerinin Klinik Seyir Tahminindeki Rolü”"/>
    <m/>
    <m/>
    <m/>
    <m/>
    <m/>
    <m/>
    <m/>
    <m/>
    <m/>
    <m/>
  </r>
  <r>
    <m/>
    <m/>
    <x v="153"/>
    <x v="56"/>
    <m/>
    <s v="“TRVaS Türkiye Vaskülit Çalışma Grubu Prospektif, Gözlemsel Veritabanı Devam Çalışması”"/>
    <m/>
    <m/>
    <m/>
    <m/>
    <m/>
    <m/>
    <m/>
    <m/>
    <m/>
    <m/>
  </r>
  <r>
    <m/>
    <m/>
    <x v="153"/>
    <x v="56"/>
    <m/>
    <s v="“Cinsiyet Uyuşmazlığı Tanısı Konulan Kişilerde Otizm Spektrumu Özelliklerinin Klinik Gereksinimler ve Psikososyal İyilik Hali ile İlişkisi”"/>
    <m/>
    <m/>
    <m/>
    <m/>
    <m/>
    <m/>
    <m/>
    <m/>
    <m/>
    <m/>
  </r>
  <r>
    <m/>
    <m/>
    <x v="153"/>
    <x v="56"/>
    <m/>
    <s v="“Hemodiyaliz Sırasında Gelişen İntradialitik Hipotansiyonun Klinik ve Hemodinamik Belirteçlerle İlişkisinin Retrospektif İncelenmesi”"/>
    <m/>
    <m/>
    <m/>
    <m/>
    <m/>
    <m/>
    <m/>
    <m/>
    <m/>
    <m/>
  </r>
  <r>
    <m/>
    <m/>
    <x v="153"/>
    <x v="56"/>
    <m/>
    <s v="“Hyalüronik Asit, ß-Glukan, Centella Asiatica, Coriolus Versicolor, Neem, BioEcolia®, Aloe Vera İçeren Doğal İçerikli Vajinal Jel Papilocare® Kullanımının HPV Pozitif Kadınlarda Viral Klirense Etkisinin Retrospektif Olarak Araştırılması”"/>
    <m/>
    <m/>
    <m/>
    <m/>
    <m/>
    <m/>
    <m/>
    <m/>
    <m/>
    <m/>
  </r>
  <r>
    <m/>
    <m/>
    <x v="153"/>
    <x v="56"/>
    <m/>
    <s v="“İşitme Kaybı Olan Hastalarda Hipopigmentasyon Bozukluklarının İncelenmesi”"/>
    <m/>
    <m/>
    <m/>
    <m/>
    <m/>
    <m/>
    <m/>
    <m/>
    <m/>
    <m/>
  </r>
  <r>
    <m/>
    <m/>
    <x v="153"/>
    <x v="56"/>
    <m/>
    <s v="“Ramus Intermedius Arteriae Hepaticae Sınıflamasının Radyolojik Olarak İncelenmesi”"/>
    <m/>
    <m/>
    <m/>
    <m/>
    <m/>
    <m/>
    <m/>
    <m/>
    <m/>
    <m/>
  </r>
  <r>
    <m/>
    <m/>
    <x v="153"/>
    <x v="56"/>
    <m/>
    <s v="“Saçlı Hücreli Lösemi Hastalarının Tanı Anındaki Klinik, Laboratuvar Parametrelerinin Prognostik, Sağ Kalım ve Tedaviye Yanıt Durumları Açısından Değerlendirilmesi”"/>
    <m/>
    <m/>
    <m/>
    <m/>
    <m/>
    <m/>
    <m/>
    <m/>
    <m/>
    <m/>
  </r>
  <r>
    <m/>
    <m/>
    <x v="153"/>
    <x v="56"/>
    <m/>
    <s v="“Hastane Yatışının Adolesanlarda Ekran Kullanımı Üzerine Etkisi”"/>
    <m/>
    <m/>
    <m/>
    <m/>
    <m/>
    <m/>
    <m/>
    <m/>
    <m/>
    <m/>
  </r>
  <r>
    <m/>
    <m/>
    <x v="153"/>
    <x v="56"/>
    <m/>
    <s v="“Amiyotrofik Lateral Skleroz Hastalarında İpsilateral Transkraniyal Manyetik Uyarım Ölçütleri”"/>
    <m/>
    <m/>
    <m/>
    <m/>
    <m/>
    <m/>
    <m/>
    <m/>
    <m/>
    <m/>
  </r>
  <r>
    <m/>
    <m/>
    <x v="153"/>
    <x v="56"/>
    <m/>
    <s v="“Obez Hastalarda Antimikrobiyal Tedavide Terapötik İlaç Düzeyi İzlemi: Prospektif Gözlemsel Bir Çalışma”"/>
    <m/>
    <m/>
    <m/>
    <m/>
    <m/>
    <m/>
    <m/>
    <m/>
    <m/>
    <m/>
  </r>
  <r>
    <m/>
    <m/>
    <x v="153"/>
    <x v="56"/>
    <m/>
    <s v="“Kadınların Gebelikte Uygulanan Dental ve Radyolojik İşlemler ile Ağız Sağlığına Dair Farkındalık ve Algısı: Anket Temelli Kesitsel Bir Çalışma”"/>
    <m/>
    <m/>
    <m/>
    <m/>
    <m/>
    <m/>
    <m/>
    <m/>
    <m/>
    <m/>
  </r>
  <r>
    <m/>
    <m/>
    <x v="153"/>
    <x v="56"/>
    <m/>
    <s v="“Yeni Nesil Girişimsiz Kapiller Anjiyografi Sisteminin Tasarım Doğrulama Numunesinin Geliştirilmesi ve Sistemin İşlevsellik Değerlendirmesi”"/>
    <m/>
    <m/>
    <m/>
    <m/>
    <m/>
    <m/>
    <m/>
    <m/>
    <m/>
    <m/>
  </r>
  <r>
    <m/>
    <m/>
    <x v="153"/>
    <x v="56"/>
    <m/>
    <s v="&quot;Kronik Böbrek Hastalığının Teşhisi: Bir Makine Öğrenmesi Uygulaması&quot;"/>
    <m/>
    <m/>
    <m/>
    <m/>
    <m/>
    <m/>
    <m/>
    <m/>
    <m/>
    <m/>
  </r>
  <r>
    <m/>
    <m/>
    <x v="153"/>
    <x v="56"/>
    <m/>
    <s v="“Orta-Şiddetli Kronik Plak Tipi Psöriazis Nedeniyle TNF-α İnhibitörü, IL-17 İnhibitörü veya IL-23 İnhibitörü Tedavisi Kullanan Hastalarda, Aynı Grup İçindeki Biyolojik Ajan Değişiminin Değerlendirilmesi”"/>
    <m/>
    <m/>
    <m/>
    <m/>
    <m/>
    <m/>
    <m/>
    <m/>
    <m/>
    <m/>
  </r>
  <r>
    <m/>
    <m/>
    <x v="153"/>
    <x v="56"/>
    <m/>
    <s v="“Üniversiteler Arası Ragbi Turnuvasında Yaralanma ve Semptomların Retrospektif Analizi: Meteorolojik Veriler ile Karşılaştırmalı Değerlendirme”"/>
    <m/>
    <m/>
    <m/>
    <m/>
    <m/>
    <m/>
    <m/>
    <m/>
    <m/>
    <m/>
  </r>
  <r>
    <m/>
    <m/>
    <x v="153"/>
    <x v="56"/>
    <m/>
    <s v="“Hipertansiyon Tedavisine İlişkin YouTube Videolarının DISCERN Kriterleriyle Değerlendirilmesinde Manuel ve Yapay Zekâ Değerlendiricileri Arasındaki Uyum”"/>
    <m/>
    <m/>
    <m/>
    <m/>
    <m/>
    <m/>
    <m/>
    <m/>
    <m/>
    <m/>
  </r>
  <r>
    <m/>
    <m/>
    <x v="153"/>
    <x v="56"/>
    <m/>
    <s v="“Mesleki Kurşun İntoksikasyonu için Etilendiamintetraasetik Asit (EDTA) Şelasyon Tedavisi Alan Hastalarda Eser Element Düzeylerinin Retrospektif Değerlendirilmesi”"/>
    <m/>
    <m/>
    <m/>
    <m/>
    <m/>
    <m/>
    <m/>
    <m/>
    <m/>
    <m/>
  </r>
  <r>
    <m/>
    <m/>
    <x v="153"/>
    <x v="56"/>
    <m/>
    <s v="“Denosumab Alan Geriatrik Hastaların İlaç Uyumunun Değerlendirilmesi ve ilaç Uyum Sonuçlarının Osteoporoz Üzerine Olan Etkisi”"/>
    <m/>
    <m/>
    <m/>
    <m/>
    <m/>
    <m/>
    <m/>
    <m/>
    <m/>
    <m/>
  </r>
  <r>
    <m/>
    <m/>
    <x v="153"/>
    <x v="56"/>
    <m/>
    <s v="“İç Hastalıkları Yoğun Bakım Ünitesinde İzlenen Hastaların Retrospektif Değerlendirilmesi”"/>
    <m/>
    <m/>
    <m/>
    <m/>
    <m/>
    <m/>
    <m/>
    <m/>
    <m/>
    <m/>
  </r>
  <r>
    <m/>
    <m/>
    <x v="153"/>
    <x v="56"/>
    <m/>
    <s v="“Borderline Over Tümörlerinde Fertilite Koruyucu Cerrahi Yaklaşımlar, İntraoperatif Frozen İncelemenin Nihai Patoloji ile Uyumluluğu ve Sağ Kalım Verilerinin Tek Merkez Çok Yönlü Retrospektif İncelenmesi”"/>
    <m/>
    <m/>
    <m/>
    <m/>
    <m/>
    <m/>
    <m/>
    <m/>
    <m/>
    <m/>
  </r>
  <r>
    <m/>
    <m/>
    <x v="153"/>
    <x v="56"/>
    <m/>
    <s v="“Over Kanseri Hastalarında Uygulanan Tedavi Stratejilerinin, Tedavi Yanıtı Öngörücü Parametrelerin, Sağ Kalım ve Nüks Paternlerinin Çok Yönlü Analizi”"/>
    <m/>
    <m/>
    <m/>
    <m/>
    <m/>
    <m/>
    <m/>
    <m/>
    <m/>
    <m/>
  </r>
  <r>
    <m/>
    <m/>
    <x v="153"/>
    <x v="56"/>
    <m/>
    <s v="“MuItidisipliner KBB-Onkoloji Konseyinde Tartışılan Larinks Kanserli Hastalarda Klasifikasyon ve Sağkalım Değerlendirmede Yapay Zeka Temelli Tahmin Modeli Oluşturmak”"/>
    <m/>
    <m/>
    <m/>
    <m/>
    <m/>
    <m/>
    <m/>
    <m/>
    <m/>
    <m/>
  </r>
  <r>
    <m/>
    <m/>
    <x v="153"/>
    <x v="56"/>
    <m/>
    <s v="“Video-EEG Monitorizasyonunda İzlenen Status Epileptikus ve Küme Tip Nöbetlerin Elektrokli̇ni̇k Özellikleri”"/>
    <m/>
    <m/>
    <m/>
    <m/>
    <m/>
    <m/>
    <m/>
    <m/>
    <m/>
    <m/>
  </r>
  <r>
    <m/>
    <m/>
    <x v="153"/>
    <x v="56"/>
    <m/>
    <s v="“Sağlıkta Kalite Standartları Değerlendiricilerinin Sağlık Teknolojilerini Değerlendirme Konusundaki Tutumları”"/>
    <m/>
    <m/>
    <m/>
    <m/>
    <m/>
    <m/>
    <m/>
    <m/>
    <m/>
    <m/>
  </r>
  <r>
    <m/>
    <m/>
    <x v="153"/>
    <x v="56"/>
    <m/>
    <s v="“Nasal Septal Perforasyonlu Hastalarda NOSE-Perf Ölçeğinin Türkçe Uyarlamasının Geçerlilik ve Güvenilirlik Analizi”"/>
    <m/>
    <m/>
    <m/>
    <m/>
    <m/>
    <m/>
    <m/>
    <m/>
    <m/>
    <m/>
  </r>
  <r>
    <m/>
    <m/>
    <x v="153"/>
    <x v="56"/>
    <m/>
    <s v="“Sanal Karaciğer Biyopsisi- Metabolik Hastalık İlişkili Yağlı Karaciğer Hastalığında Prognoz ve İzlem”"/>
    <m/>
    <m/>
    <m/>
    <m/>
    <m/>
    <m/>
    <m/>
    <m/>
    <m/>
    <m/>
  </r>
  <r>
    <m/>
    <m/>
    <x v="153"/>
    <x v="56"/>
    <m/>
    <s v="“Yağlı Karaciğer Hastalığında Karaciğer Yağlanması ve Karaciğer Sertliğinin Değerlendirilmesinde Multiparametrik Ultrasonografi ve Manyetik Rezonans Elastografinin Karşılaştırılması”"/>
    <m/>
    <m/>
    <m/>
    <m/>
    <m/>
    <m/>
    <m/>
    <m/>
    <m/>
    <m/>
  </r>
  <r>
    <m/>
    <m/>
    <x v="153"/>
    <x v="56"/>
    <m/>
    <s v="“Hemşirelerin Bütünsel Sağlık, Duygusal Emek, Şefkat Yorgunluğu ve İş Doyumu Arasındaki İlişkiler: Yol Analizi”"/>
    <m/>
    <m/>
    <m/>
    <m/>
    <m/>
    <m/>
    <m/>
    <m/>
    <m/>
    <m/>
  </r>
  <r>
    <m/>
    <m/>
    <x v="153"/>
    <x v="56"/>
    <m/>
    <s v="“Radyoloji Tetkiklerinde Hastalar İçin Tahmini Fetal Doz Hesaplamaları”"/>
    <m/>
    <m/>
    <m/>
    <m/>
    <m/>
    <m/>
    <m/>
    <m/>
    <m/>
    <m/>
  </r>
  <r>
    <m/>
    <m/>
    <x v="153"/>
    <x v="56"/>
    <m/>
    <s v="“Tıbbi Uygulama Hatası Olgularının Değerlendirilmesinde Büyük Dil Modelleri ve Adli Tıp Uzman Görüşlerinin Karşılaştırmalı Analizi”"/>
    <m/>
    <m/>
    <m/>
    <m/>
    <m/>
    <m/>
    <m/>
    <m/>
    <m/>
    <m/>
  </r>
  <r>
    <m/>
    <m/>
    <x v="153"/>
    <x v="56"/>
    <m/>
    <s v="“Mohs Cerrahisinde Artırılmış Gerçeklik Entegrasyonlu Simülasyon Çalışması”"/>
    <m/>
    <m/>
    <m/>
    <m/>
    <m/>
    <m/>
    <m/>
    <m/>
    <m/>
    <m/>
  </r>
  <r>
    <m/>
    <m/>
    <x v="153"/>
    <x v="56"/>
    <m/>
    <s v="“Pediatrik Non-Hodgkin Lenfoma Tanılı Hastalarda PET-BT'den Elde Edilen Semikantitatif Parametrelerin Değerlendirilmesi”"/>
    <m/>
    <m/>
    <m/>
    <m/>
    <m/>
    <m/>
    <m/>
    <m/>
    <m/>
    <m/>
  </r>
  <r>
    <m/>
    <m/>
    <x v="153"/>
    <x v="56"/>
    <m/>
    <s v="“Parkinson Hastalığında Levodopa-Karbidopa İntestinal Jel Kullanan Hastalarda Periferik Nörolojik Tutulum: Elektrofizyolojik Çalışma”"/>
    <m/>
    <m/>
    <m/>
    <m/>
    <m/>
    <m/>
    <m/>
    <m/>
    <m/>
    <m/>
  </r>
  <r>
    <m/>
    <m/>
    <x v="153"/>
    <x v="56"/>
    <m/>
    <s v="“Özgül Öğrenme Bozukluğu Tanılı Ergenlerde Benlik Saygısı, Yeterlik Algısı ve Baskın Savunma Mekanizmalarının Annelerdeki Psikolojik Farkındalık ve Empati Düzeyi ile İlişkisi”"/>
    <m/>
    <m/>
    <m/>
    <m/>
    <m/>
    <m/>
    <m/>
    <m/>
    <m/>
    <m/>
  </r>
  <r>
    <m/>
    <m/>
    <x v="153"/>
    <x v="56"/>
    <m/>
    <s v="“Normal Gebeliklerde Fetal Farinks Büyüme Paternlerinin Üç Boyutlu Ultrasonografi ile Değerlendirilmesi”"/>
    <m/>
    <m/>
    <m/>
    <m/>
    <m/>
    <m/>
    <m/>
    <m/>
    <m/>
    <m/>
  </r>
  <r>
    <m/>
    <m/>
    <x v="153"/>
    <x v="56"/>
    <m/>
    <s v="“Multiple Skleroz (MS) Tanılı Hastalarda MS Mesane Kontrol Aracı Kullanılarak Alt Üriner Sistem Semptomlarının Ön Değerlendirilmesi ve Fonksiyonel Üroloji Polikliniğine Yönlendirme Kriterlerinin Belirlenmesi”"/>
    <m/>
    <m/>
    <m/>
    <m/>
    <m/>
    <m/>
    <m/>
    <m/>
    <m/>
    <m/>
  </r>
  <r>
    <m/>
    <m/>
    <x v="153"/>
    <x v="56"/>
    <m/>
    <s v="“Sirotik Hastalarda Sarkopeni ve Kognisyon Değerlendirilmesi”"/>
    <m/>
    <m/>
    <m/>
    <m/>
    <m/>
    <m/>
    <m/>
    <m/>
    <m/>
    <m/>
  </r>
  <r>
    <m/>
    <m/>
    <x v="153"/>
    <x v="56"/>
    <m/>
    <s v="“Erişkinlerde Timus Boyutlarının BT ile Değerlendirilmesi, Farklı Yaş Gruplan, Cinsiyet ve Sigara Kullanımıyla İlişkisi”"/>
    <m/>
    <m/>
    <m/>
    <m/>
    <m/>
    <m/>
    <m/>
    <m/>
    <m/>
    <m/>
  </r>
  <r>
    <m/>
    <m/>
    <x v="153"/>
    <x v="56"/>
    <m/>
    <s v="“Onikomikoz Teşhisinde Yapay Zeka Algoritmalarının Dermatolog ve Aile Hekimleri ile Karşılatırmalı Olarak Değerlendirilmesi”"/>
    <m/>
    <m/>
    <m/>
    <m/>
    <m/>
    <m/>
    <m/>
    <m/>
    <m/>
    <m/>
  </r>
  <r>
    <m/>
    <m/>
    <x v="153"/>
    <x v="56"/>
    <m/>
    <s v="“Çocukluk Çağı Astımında Uzun Süreli İzlem ve Remisyon”"/>
    <m/>
    <m/>
    <m/>
    <m/>
    <m/>
    <m/>
    <m/>
    <m/>
    <m/>
    <m/>
  </r>
  <r>
    <m/>
    <m/>
    <x v="153"/>
    <x v="56"/>
    <m/>
    <s v="“DJ-1 Mutasyonuna Bağlı Mitokondriyal Hasarın ve Organeller Arası Etkileşimlerin Hasta Hücrelerinde İncelenmesi”"/>
    <m/>
    <m/>
    <m/>
    <m/>
    <m/>
    <m/>
    <m/>
    <m/>
    <m/>
    <m/>
  </r>
  <r>
    <m/>
    <m/>
    <x v="153"/>
    <x v="56"/>
    <m/>
    <s v="“Lenfoma Hastalarında Warburg Etkisine Bağlı Tip B Laktik Asidoz ve Hipoglisemi: İki Olgu Sunumu ve Literatür Derlemesi”"/>
    <m/>
    <m/>
    <m/>
    <m/>
    <m/>
    <m/>
    <m/>
    <m/>
    <m/>
    <m/>
  </r>
  <r>
    <m/>
    <m/>
    <x v="153"/>
    <x v="56"/>
    <m/>
    <s v="“Vaskülit Hastalarında Erektil Disfonksiyonun Yaygınlığı ve Ürolojik Değerlendirme Sıklığı: Kesitsel Bir Anket Çalışması”"/>
    <m/>
    <m/>
    <m/>
    <m/>
    <m/>
    <m/>
    <m/>
    <m/>
    <m/>
    <m/>
  </r>
  <r>
    <m/>
    <m/>
    <x v="153"/>
    <x v="56"/>
    <m/>
    <s v="“İntra Uterin İnseminasyon Tedavisi Öncesi Elastoscan (Shear Wave Elastografi) ile Uterusun Prospektif Olarak Değerlendirmesi ve Gebelik Sonuçları ile İlişkisinin İncelenmesi”"/>
    <m/>
    <m/>
    <m/>
    <m/>
    <m/>
    <m/>
    <m/>
    <m/>
    <m/>
    <m/>
  </r>
  <r>
    <m/>
    <m/>
    <x v="153"/>
    <x v="56"/>
    <m/>
    <s v="“İn Vitro Fertilizasyon Tedavisi Öncesi Elastoscan (Shear Wave Elastografi) ile Uterusun Prospektif Olarak Değerlendirmesi ve Gebelik Sonuçları ile İlişkisinin İncelenmesi”"/>
    <m/>
    <m/>
    <m/>
    <m/>
    <m/>
    <m/>
    <m/>
    <m/>
    <m/>
    <m/>
  </r>
  <r>
    <m/>
    <m/>
    <x v="153"/>
    <x v="56"/>
    <m/>
    <s v="“Kalp ve Beyin MRG Görüntülerinde Hareket Kaynaklı Aretfaktların Tespiti ve Düzeltilmesine Yönelik Yapay Zeka Yaklaşımı”"/>
    <m/>
    <m/>
    <m/>
    <m/>
    <m/>
    <m/>
    <m/>
    <m/>
    <m/>
    <m/>
  </r>
  <r>
    <m/>
    <m/>
    <x v="153"/>
    <x v="56"/>
    <m/>
    <s v="“Koroner MRA Görüntülerinde Görüntü Kalitesinin Artırılmasına ve Otomatik Değerlendirilmesine Yönelik Yapay Zeka Uygulaması”"/>
    <m/>
    <m/>
    <m/>
    <m/>
    <m/>
    <m/>
    <m/>
    <m/>
    <m/>
    <m/>
  </r>
  <r>
    <m/>
    <m/>
    <x v="153"/>
    <x v="56"/>
    <m/>
    <s v="“Ultrasonografi Eşliğinde Transperineal Prostat Biyopsisinin Güvenirliliği, Uygulanabilirliği ve Kanser Yakalamada Başarı Oranı”"/>
    <m/>
    <m/>
    <m/>
    <m/>
    <m/>
    <m/>
    <m/>
    <m/>
    <m/>
    <m/>
  </r>
  <r>
    <m/>
    <m/>
    <x v="153"/>
    <x v="56"/>
    <m/>
    <s v="“Hemodiyaliz Sürecinde Mikroplastik Varlığının ve Maruziyet Düzeyinin Değerlendirilmesi”"/>
    <m/>
    <m/>
    <m/>
    <m/>
    <m/>
    <m/>
    <m/>
    <m/>
    <m/>
    <m/>
  </r>
  <r>
    <m/>
    <m/>
    <x v="153"/>
    <x v="56"/>
    <m/>
    <s v="“Kurutulmuş İdrar Örneklerinde (DUS) Uyuşturucu-Uyarıcı Madde Analizi”"/>
    <m/>
    <m/>
    <m/>
    <m/>
    <m/>
    <m/>
    <m/>
    <m/>
    <m/>
    <m/>
  </r>
  <r>
    <m/>
    <m/>
    <x v="153"/>
    <x v="56"/>
    <m/>
    <s v="“Vitiligo Tanılı Pediatrik Hastalarda Oral Mikrobiyom ve Diş Çürüğü İlişkisinin İncelenmesi ”"/>
    <m/>
    <m/>
    <m/>
    <m/>
    <m/>
    <m/>
    <m/>
    <m/>
    <m/>
    <m/>
  </r>
  <r>
    <m/>
    <m/>
    <x v="153"/>
    <x v="56"/>
    <m/>
    <s v="“Agresif Başlangıçlı Tip 1 Diabetes Mellitus ile Tanınan CD70 Eksikliği Tanısı Alan Olgunun Klinik ve Laboratuvar Özelliklerinin İncelenmesi"/>
    <m/>
    <m/>
    <m/>
    <m/>
    <m/>
    <m/>
    <m/>
    <m/>
    <m/>
    <m/>
  </r>
  <r>
    <m/>
    <m/>
    <x v="153"/>
    <x v="56"/>
    <m/>
    <s v="“Pelargonium graveolens'in Endometriozis Hücre Hattı (12Z) Üzerindeki Etkilerinin Araştırılması”"/>
    <m/>
    <m/>
    <m/>
    <m/>
    <m/>
    <m/>
    <m/>
    <m/>
    <m/>
    <m/>
  </r>
  <r>
    <m/>
    <m/>
    <x v="153"/>
    <x v="56"/>
    <m/>
    <s v="“Kas Kuvveti ve Fiziksel Performans Ölçümlerinin Yaşlılarda Düşme Riskiyle İlişkisi”"/>
    <m/>
    <m/>
    <m/>
    <m/>
    <m/>
    <m/>
    <m/>
    <m/>
    <m/>
    <m/>
  </r>
  <r>
    <m/>
    <m/>
    <x v="153"/>
    <x v="56"/>
    <m/>
    <s v="“İnsan İmmün Yetmezlik Virüsü (HIV) ile Yaşayan 40 Yaş Üstü Bireylerde 7 Yıllık İzlemde Kırılganlık ve Sarkopeni Değişimi: 2018 Hacettepe Kohortunun Prospektif Yeniden Değerlendirilmesi”"/>
    <m/>
    <m/>
    <m/>
    <m/>
    <m/>
    <m/>
    <m/>
    <m/>
    <m/>
    <m/>
  </r>
  <r>
    <m/>
    <m/>
    <x v="153"/>
    <x v="56"/>
    <m/>
    <s v="“01/01/2015-30/09/2025 Yılları Arasında Koryokarsinom Olgularının Klinik, Patolojik ve Epidemiyolojik Verilerinin Değerlendirilmesi”"/>
    <m/>
    <m/>
    <m/>
    <m/>
    <m/>
    <m/>
    <m/>
    <m/>
    <m/>
    <m/>
  </r>
  <r>
    <m/>
    <m/>
    <x v="153"/>
    <x v="56"/>
    <m/>
    <s v="“Spesifik T Hücre Reseptör Yolağı Yetmezliklerinde İmmün Repertuvar Profillerinin Belirlenmesi”"/>
    <m/>
    <m/>
    <m/>
    <m/>
    <m/>
    <m/>
    <m/>
    <m/>
    <m/>
    <m/>
  </r>
  <r>
    <m/>
    <m/>
    <x v="153"/>
    <x v="56"/>
    <m/>
    <s v="“Proksimal Humerus Kırıklarında Kalkar Vidası Pozisyonunun Başarısızlık Üzerine Etkisi”"/>
    <m/>
    <m/>
    <m/>
    <m/>
    <m/>
    <m/>
    <m/>
    <m/>
    <m/>
    <m/>
  </r>
  <r>
    <m/>
    <m/>
    <x v="153"/>
    <x v="56"/>
    <m/>
    <s v="“Travma Sonrası Yumuşak Doku Yönetimi Nasıl Olmalı Travma Cerrahları Ne Diyor?”"/>
    <m/>
    <m/>
    <m/>
    <m/>
    <m/>
    <m/>
    <m/>
    <m/>
    <m/>
    <m/>
  </r>
  <r>
    <m/>
    <m/>
    <x v="153"/>
    <x v="56"/>
    <m/>
    <s v="“Tiroid Nodüllerinde Telomer Uzunluğunun Prediktif Değeri”"/>
    <m/>
    <m/>
    <m/>
    <m/>
    <m/>
    <m/>
    <m/>
    <m/>
    <m/>
    <m/>
  </r>
  <r>
    <m/>
    <m/>
    <x v="153"/>
    <x v="56"/>
    <m/>
    <s v="“İmmünoterapiye Bağlı Tiroidit Gelişiminde KIR ve HLA Genetik Profillerinin Rolü”"/>
    <m/>
    <m/>
    <m/>
    <m/>
    <m/>
    <m/>
    <m/>
    <m/>
    <m/>
    <m/>
  </r>
  <r>
    <m/>
    <m/>
    <x v="153"/>
    <x v="56"/>
    <m/>
    <s v="“Pediatrik Ürolitiazis Hastalarında Endoskopik Taş Cerrahileri Sonrası Taşsızlık ve Komplikasyon Oranını Etkileyen Faktörlerin Retrospektif İncelemesi”"/>
    <m/>
    <m/>
    <m/>
    <m/>
    <m/>
    <m/>
    <m/>
    <m/>
    <m/>
    <m/>
  </r>
  <r>
    <m/>
    <m/>
    <x v="153"/>
    <x v="56"/>
    <m/>
    <s v="“TESE Başarısını Etkileyen Faktörler”"/>
    <m/>
    <m/>
    <m/>
    <m/>
    <m/>
    <m/>
    <m/>
    <m/>
    <m/>
    <m/>
  </r>
  <r>
    <m/>
    <m/>
    <x v="153"/>
    <x v="56"/>
    <m/>
    <s v="“Stuve-Wiedemann Sendromu Tanısıyla İzlenen Olguların Klinik ve Moleküler Özelliklerinin Değerlendirilmesi”"/>
    <m/>
    <m/>
    <m/>
    <m/>
    <m/>
    <m/>
    <m/>
    <m/>
    <m/>
    <m/>
  </r>
  <r>
    <m/>
    <m/>
    <x v="153"/>
    <x v="56"/>
    <m/>
    <s v="“Hemoroidektomi Sonrası Kanama ve Belirleyici Faktorlerin Degerlendirilmesi: Tek Merkezli Retrospektif Analiz”"/>
    <m/>
    <m/>
    <m/>
    <m/>
    <m/>
    <m/>
    <m/>
    <m/>
    <m/>
    <m/>
  </r>
  <r>
    <m/>
    <m/>
    <x v="153"/>
    <x v="56"/>
    <m/>
    <s v="“Abdominal Nöroblastom Cerrahisinin Böbrek Hacmi Üzerine Etkisi”"/>
    <m/>
    <m/>
    <m/>
    <m/>
    <m/>
    <m/>
    <m/>
    <m/>
    <m/>
    <m/>
  </r>
  <r>
    <m/>
    <m/>
    <x v="153"/>
    <x v="56"/>
    <m/>
    <s v="“Retinopati Tarama Muayenesinde İntranazal Deksmedetomidin: En Uygun Uygulama Zamanının Belirlenmesi”"/>
    <m/>
    <m/>
    <m/>
    <m/>
    <m/>
    <m/>
    <m/>
    <m/>
    <m/>
    <m/>
  </r>
  <r>
    <m/>
    <m/>
    <x v="153"/>
    <x v="56"/>
    <m/>
    <s v="“Histerosalpingografide Uterin Kavite Ölçümlerine Dayalı Uterus Morfometrisinin IVF/Embriyo Transfer Başarısı ile İlişkisinin Değerlendirilmesi”"/>
    <m/>
    <m/>
    <m/>
    <m/>
    <m/>
    <m/>
    <m/>
    <m/>
    <m/>
    <m/>
  </r>
  <r>
    <m/>
    <m/>
    <x v="153"/>
    <x v="56"/>
    <m/>
    <s v="“Hava Kirliliğine Mesleki Maruziyetin Oküler Yüzey Sağlığına Etkisi: Ankara'da Partikül Madde Düzeyleri ile İlişkilendirilmiş Açık Alan ve Ofis Çalışanlarında Gözyaşı İnflamatuar Sitokinlerinin Karşılaştırılması”"/>
    <m/>
    <m/>
    <m/>
    <m/>
    <m/>
    <m/>
    <m/>
    <m/>
    <m/>
    <m/>
  </r>
  <r>
    <m/>
    <m/>
    <x v="153"/>
    <x v="56"/>
    <m/>
    <s v="&quot;Astım Hastalarında Çocukluktan Erişkine Geçişin Tedavi Uyumu ve Takip Üzerine Etkisi&quot;"/>
    <m/>
    <m/>
    <m/>
    <m/>
    <m/>
    <m/>
    <m/>
    <m/>
    <m/>
    <m/>
  </r>
  <r>
    <m/>
    <m/>
    <x v="153"/>
    <x v="56"/>
    <m/>
    <s v="“Sürdürülebilirlik ve Çevre Dostu Eczacılık Uygulamaları Kapsamında Farmasötik Ayak İzi Konusunda Görüş ve Tutumların Değerlendirilmesi”"/>
    <m/>
    <m/>
    <m/>
    <m/>
    <m/>
    <m/>
    <m/>
    <m/>
    <m/>
    <m/>
  </r>
  <r>
    <m/>
    <m/>
    <x v="153"/>
    <x v="56"/>
    <m/>
    <s v="“Nefrotik Sendrom Tanılı Pediatrik Hastalarda Kapsamlı İlaç Yönetimi”"/>
    <m/>
    <m/>
    <m/>
    <m/>
    <m/>
    <m/>
    <m/>
    <m/>
    <m/>
    <m/>
  </r>
  <r>
    <m/>
    <m/>
    <x v="153"/>
    <x v="56"/>
    <m/>
    <s v="“Modülatör Tedavi Kullanan Kistik Fibrozis Tanılı Çocuk Hastalarımızın Özellikleri ve Mental Sağlık Durumları”"/>
    <m/>
    <m/>
    <m/>
    <m/>
    <m/>
    <m/>
    <m/>
    <m/>
    <m/>
    <m/>
  </r>
  <r>
    <m/>
    <m/>
    <x v="153"/>
    <x v="56"/>
    <m/>
    <s v="“Çocuk Yoğun Bakımda Basınç Yaralanması Prevalansı ve Etkileyen Faktörlerin Analizi: Retrospektif Bir Çalışma”"/>
    <m/>
    <m/>
    <m/>
    <m/>
    <m/>
    <m/>
    <m/>
    <m/>
    <m/>
    <m/>
  </r>
  <r>
    <m/>
    <m/>
    <x v="153"/>
    <x v="56"/>
    <m/>
    <s v="&quot;Oral Demir Preparatı Alerjisi Şüphesi Olan Hastalarda Alternatif Demir Tuzları ile Yapılan Oral Provokasyon Sonuçlarının Değerlendirilmesi&quot;"/>
    <m/>
    <m/>
    <m/>
    <m/>
    <m/>
    <m/>
    <m/>
    <m/>
    <m/>
    <m/>
  </r>
  <r>
    <m/>
    <m/>
    <x v="153"/>
    <x v="56"/>
    <m/>
    <s v="&quot;Erişkin Yaygın Değişken İmmün Yetmezlik Hastalarında Klinik Bulgular ve İmmünfenotipik Özelliklerin Analizi&quot;"/>
    <m/>
    <m/>
    <m/>
    <m/>
    <m/>
    <m/>
    <m/>
    <m/>
    <m/>
    <m/>
  </r>
  <r>
    <m/>
    <m/>
    <x v="153"/>
    <x v="56"/>
    <m/>
    <s v="“Vücut Yuvarlaklık İndeksi ve Vücut Şekil İndeksi ile Beyin Hacmi Arasındaki İlişkinin Hafif Bilişsel Bozukluğu veya Demansı olan Hastalarda Manyetik Rezonans Görüntüleme ile (MRG) Değerlendirilmesi”"/>
    <m/>
    <m/>
    <m/>
    <m/>
    <m/>
    <m/>
    <m/>
    <m/>
    <m/>
    <m/>
  </r>
  <r>
    <m/>
    <m/>
    <x v="153"/>
    <x v="56"/>
    <m/>
    <s v="“Yapay Zeka Destekli Yüz Analizi ile Estetik Cerrahi Sonuçlarının Objektif Değerlendirilmesi: Retrospektif Görsel Veri Analizi”"/>
    <m/>
    <m/>
    <m/>
    <m/>
    <m/>
    <m/>
    <m/>
    <m/>
    <m/>
    <m/>
  </r>
  <r>
    <m/>
    <m/>
    <x v="153"/>
    <x v="56"/>
    <m/>
    <s v="“Geriatrik Gastrostomi Olgularında Mortalite ve Gastroskopi Komplikasyonlarını Öngeren Faktörlerin Retrospektif Analizi”"/>
    <m/>
    <m/>
    <m/>
    <m/>
    <m/>
    <m/>
    <m/>
    <m/>
    <m/>
    <m/>
  </r>
  <r>
    <m/>
    <m/>
    <x v="153"/>
    <x v="56"/>
    <m/>
    <s v="“Allojenik Kemik İliği Nakli Sonrası Nüks Hastalıkta Yapılan Tedavilerin Klinik, Laboratuvar, Prognostik, Sağ Kalım ve Yan Etkiler Açısından Değerlendirilmesi”"/>
    <m/>
    <m/>
    <m/>
    <m/>
    <m/>
    <m/>
    <m/>
    <m/>
    <m/>
    <m/>
  </r>
  <r>
    <m/>
    <m/>
    <x v="153"/>
    <x v="56"/>
    <m/>
    <s v="“Menstrual Siklusun Farklı Dönemlerinde Aşil Tendon Elastisitesi ile Anterior Talofibular Ligament Kalınlığının Ultrasonografi ve Shear Wave Elastografi ile Değerlendirilmesi”"/>
    <m/>
    <m/>
    <m/>
    <m/>
    <m/>
    <m/>
    <m/>
    <m/>
    <m/>
    <m/>
  </r>
  <r>
    <m/>
    <m/>
    <x v="153"/>
    <x v="56"/>
    <m/>
    <s v="“Benzotiyofen Oksabütanoik Asit'in Endometriyum Kanserinde Karboplatin Direncine Etkilerinin İn Vitro Araştırılması”"/>
    <m/>
    <m/>
    <m/>
    <m/>
    <m/>
    <m/>
    <m/>
    <m/>
    <m/>
    <m/>
  </r>
  <r>
    <m/>
    <m/>
    <x v="153"/>
    <x v="56"/>
    <m/>
    <s v="“Kronik Plak Psöriazis Tanılı Hastalarda Hepatik Fibrozisin Değerlendirilmesi”"/>
    <m/>
    <m/>
    <m/>
    <m/>
    <m/>
    <m/>
    <m/>
    <m/>
    <m/>
    <m/>
  </r>
  <r>
    <m/>
    <m/>
    <x v="153"/>
    <x v="56"/>
    <m/>
    <s v="“Tuberositas İnterossea Ulnaris Morfolojik ve Morfometrik Özelliklerinin Değerlendirilmesi”"/>
    <m/>
    <m/>
    <m/>
    <m/>
    <m/>
    <m/>
    <m/>
    <m/>
    <m/>
    <m/>
  </r>
  <r>
    <m/>
    <m/>
    <x v="153"/>
    <x v="56"/>
    <m/>
    <s v="“Maksiller Retrüzyon ile Birlikte Obstrüktif Uyku Apne Sendromu Olan Çocuklarda Maksiller İlerletme Tedavisinin Etkilerinin Retrospektif Değerlendirilmesi”"/>
    <m/>
    <m/>
    <m/>
    <m/>
    <m/>
    <m/>
    <m/>
    <m/>
    <m/>
    <m/>
  </r>
  <r>
    <m/>
    <m/>
    <x v="153"/>
    <x v="56"/>
    <m/>
    <s v="“İnfertilitenin Psikolojik Yükü: İnfertilite Tedavisi Gören Kadınlarda Beck Umutsuzluk Ölçeği ile Umutsuzluk Düzeyinin Değerlendirilmesi”"/>
    <m/>
    <m/>
    <m/>
    <m/>
    <m/>
    <m/>
    <m/>
    <m/>
    <m/>
    <m/>
  </r>
  <r>
    <m/>
    <m/>
    <x v="153"/>
    <x v="56"/>
    <m/>
    <s v="“Antenatal Kortikosteroid Uygulanan Gebeliklerde Fetal Dolaşım Dinamiklerinin Longitudinal İzlemi ve Perinatal Sonuçlarla İlişkisi: Prospektif Gözlemsel Çalışma”"/>
    <m/>
    <m/>
    <m/>
    <m/>
    <m/>
    <m/>
    <m/>
    <m/>
    <m/>
    <m/>
  </r>
  <r>
    <m/>
    <m/>
    <x v="153"/>
    <x v="56"/>
    <m/>
    <s v="“Fetal Kardiyak Girişim Sonrası Fetal Hemodinamik Değişimler ve Perinatal Sonuçlar”"/>
    <m/>
    <m/>
    <m/>
    <m/>
    <m/>
    <m/>
    <m/>
    <m/>
    <m/>
    <m/>
  </r>
  <r>
    <m/>
    <m/>
    <x v="153"/>
    <x v="56"/>
    <m/>
    <s v="“Psikotik Bozukluklarda Tedaviye Direnç ile İlişkili Doğal Dil İşleme Değişkenlerinin ve Düşünce Süreci Bozukluklarının Değerlendirilmesi”"/>
    <m/>
    <m/>
    <m/>
    <m/>
    <m/>
    <m/>
    <m/>
    <m/>
    <m/>
    <m/>
  </r>
  <r>
    <m/>
    <m/>
    <x v="153"/>
    <x v="56"/>
    <m/>
    <s v="“Anoreksiya Nervoza ve Atipik Anoreksiya Nervoza Tanılı Ergenlerin Remisyon ve Relaps Süreçlerinin ve Yordayıcılarının Değerlendirilmesi”"/>
    <m/>
    <m/>
    <m/>
    <m/>
    <m/>
    <m/>
    <m/>
    <m/>
    <m/>
    <m/>
  </r>
  <r>
    <m/>
    <m/>
    <x v="153"/>
    <x v="56"/>
    <m/>
    <s v="“Doksan Yaş ve Üzeri Bireylerde Elektrokardiyografik Bulgular ve Aritmi Gelişiminde Rol Oynayan Faktörlerin Değerlendirilmesi”"/>
    <m/>
    <m/>
    <m/>
    <m/>
    <m/>
    <m/>
    <m/>
    <m/>
    <m/>
    <m/>
  </r>
  <r>
    <m/>
    <m/>
    <x v="153"/>
    <x v="56"/>
    <m/>
    <s v=", “Eczacılık Öğrencileri ve Eczacıların Mesleki İlaç Erişimine Bağlı Madde Kullanımı Niyet ve Davranışlarının İncelenmesi: Bir Anket Çalışması”"/>
    <m/>
    <m/>
    <m/>
    <m/>
    <m/>
    <m/>
    <m/>
    <m/>
    <m/>
    <m/>
  </r>
  <r>
    <m/>
    <m/>
    <x v="153"/>
    <x v="56"/>
    <m/>
    <s v="“Maksillofasiyal Protezlerde Konvansiyonel ve Dijital İş Akışlarına Yönelik Diş Hekimliği 4. ve 5. Sınıf Öğrencilerinin Bilgi Düzeyinin Değerlendirilmesi”"/>
    <m/>
    <m/>
    <m/>
    <m/>
    <m/>
    <m/>
    <m/>
    <m/>
    <m/>
    <m/>
  </r>
  <r>
    <m/>
    <m/>
    <x v="153"/>
    <x v="56"/>
    <m/>
    <s v="“Protetik Diş Tedavisinde Yapay Zeka Kullanımına Dair Diş Hekimliği 4. ve 5. Sınıf Öğrencilerinin Farkındalık, Tutum ve Etik Algılarının Değerlendirilmesi”"/>
    <m/>
    <m/>
    <m/>
    <m/>
    <m/>
    <m/>
    <m/>
    <m/>
    <m/>
    <m/>
  </r>
  <r>
    <m/>
    <m/>
    <x v="153"/>
    <x v="56"/>
    <m/>
    <s v="“Adölesan Dönemdeki Çocuklarda Kaygı Düzeyi ve Okul Başarasının Temporomandibular Eklem Bozuklukları ile İlişkisi”"/>
    <m/>
    <m/>
    <m/>
    <m/>
    <m/>
    <m/>
    <m/>
    <m/>
    <m/>
    <m/>
  </r>
  <r>
    <m/>
    <m/>
    <x v="153"/>
    <x v="56"/>
    <m/>
    <s v="''Kalp Nakli Bekleyen Çocukların Ailelerinin Bilgi Düzeyi ve Eğitim İhtiyaçlarının Belirlenmesi: Tek Merkez Örneği''"/>
    <m/>
    <m/>
    <m/>
    <m/>
    <m/>
    <m/>
    <m/>
    <m/>
    <m/>
    <m/>
  </r>
  <r>
    <m/>
    <m/>
    <x v="153"/>
    <x v="56"/>
    <m/>
    <s v="“Tanıdan Tedaviye Güncel Yaklaşımlar Eğitim Programlarının Memnuniyet Anket Sonuçlarının Değerlendirilmesi”"/>
    <m/>
    <m/>
    <m/>
    <m/>
    <m/>
    <m/>
    <m/>
    <m/>
    <m/>
    <m/>
  </r>
  <r>
    <m/>
    <m/>
    <x v="153"/>
    <x v="56"/>
    <m/>
    <s v="“Sistemik Lupus Eritematozus Nefritinde Osteoporoz Risk Faktörlerinin ve Fibroblast Büyüme Faktörü-23 Yolağının Rolünün İncelenmesi”"/>
    <m/>
    <m/>
    <m/>
    <m/>
    <m/>
    <m/>
    <m/>
    <m/>
    <m/>
    <m/>
  </r>
  <r>
    <m/>
    <m/>
    <x v="153"/>
    <x v="56"/>
    <m/>
    <s v="“Term Yenidoğanlarda Kord Klempleme Süresinin Erken Metabolik ve Solunumsal Sonuçlar Üzerine Etkisi”"/>
    <m/>
    <m/>
    <m/>
    <m/>
    <m/>
    <m/>
    <m/>
    <m/>
    <m/>
    <m/>
  </r>
  <r>
    <m/>
    <m/>
    <x v="153"/>
    <x v="56"/>
    <m/>
    <s v="“80 Yaş Üzeri Hastalarda Osteoporoz Bulguları ve Tedavi Yaklaşımlarının Retrospektif Analizi”"/>
    <m/>
    <m/>
    <m/>
    <m/>
    <m/>
    <m/>
    <m/>
    <m/>
    <m/>
    <m/>
  </r>
  <r>
    <m/>
    <m/>
    <x v="153"/>
    <x v="56"/>
    <m/>
    <s v="“KBB Hava Yolu Cerrahilerinde ChatGPT’nin Preoperatif Anestezi Risk Değerlendirme Performansının İncelenmesi”"/>
    <m/>
    <m/>
    <m/>
    <m/>
    <m/>
    <m/>
    <m/>
    <m/>
    <m/>
    <m/>
  </r>
  <r>
    <m/>
    <m/>
    <x v="153"/>
    <x v="56"/>
    <m/>
    <s v="“Acil Servislerin Uygunsuz Kullanımının İncelenmesi: Bir Üniversite Hastanesi Örneği”"/>
    <m/>
    <m/>
    <m/>
    <m/>
    <m/>
    <m/>
    <m/>
    <m/>
    <m/>
    <m/>
  </r>
  <r>
    <m/>
    <m/>
    <x v="153"/>
    <x v="56"/>
    <m/>
    <s v="“İkili Seçim Deneyi Yöntemi Kullanılarak 60 yaş üstü Bireylerin RSV Aşısı ile Aşılanma Davranışına Etki Edebilecek Faktörlerin Değerlendirilmesi”"/>
    <m/>
    <m/>
    <m/>
    <m/>
    <m/>
    <m/>
    <m/>
    <m/>
    <m/>
    <m/>
  </r>
  <r>
    <m/>
    <m/>
    <x v="153"/>
    <x v="56"/>
    <m/>
    <s v="“Kronik Spontan Ürtiker Hastalarında Nonsteroid Antiinflamatuvar İlaç (NSAİİ) Hipersensitivitesinin İncelenmesi”"/>
    <m/>
    <m/>
    <m/>
    <m/>
    <m/>
    <m/>
    <m/>
    <m/>
    <m/>
    <m/>
  </r>
  <r>
    <m/>
    <m/>
    <x v="153"/>
    <x v="56"/>
    <m/>
    <s v="“Acil Serviste Çocukluk Çağı Ekzantemlerinin Haritalanması: Bir Kesitsel Gözlemsel Çalışma”"/>
    <m/>
    <m/>
    <m/>
    <m/>
    <m/>
    <m/>
    <m/>
    <m/>
    <m/>
    <m/>
  </r>
  <r>
    <m/>
    <m/>
    <x v="153"/>
    <x v="56"/>
    <m/>
    <s v="“Dermatoloji Ayaktan ve Yatan Hasta Başvurularında Yama Testi Endikasyonlarının Belirlenmesi ve Klinik ile Test Sonuçlarının Korelasyonunun İncelenmesi”"/>
    <m/>
    <m/>
    <m/>
    <m/>
    <m/>
    <m/>
    <m/>
    <m/>
    <m/>
    <m/>
  </r>
  <r>
    <m/>
    <m/>
    <x v="153"/>
    <x v="56"/>
    <m/>
    <s v="“Yatan Hastalarda Malnütrisyonun Sıklığı ve Kas Kütlesi ile Cilt Altı Yağ Dokusu Kalınlığının Ultrasonografik Korelasyonu”"/>
    <m/>
    <m/>
    <m/>
    <m/>
    <m/>
    <m/>
    <m/>
    <m/>
    <m/>
    <m/>
  </r>
  <r>
    <m/>
    <m/>
    <x v="153"/>
    <x v="56"/>
    <m/>
    <s v="“Kornea Rejenerasyonuna Yönelik Enjekte Edilebilir Gözenekli İpek Mikrotaşıyıcıların In Vivo Çalışmalarda Kullanım Etkinliğinin Belirlenmesi”"/>
    <m/>
    <m/>
    <m/>
    <m/>
    <m/>
    <m/>
    <m/>
    <m/>
    <m/>
    <m/>
  </r>
  <r>
    <m/>
    <m/>
    <x v="153"/>
    <x v="56"/>
    <m/>
    <s v="“Plastik, Rekonstrüktif ve Estetik Cerrahi Polikliniği Hastalarında Hekime Ulaşma ve Tercih Kanallarının İncelenmesi”"/>
    <m/>
    <m/>
    <m/>
    <m/>
    <m/>
    <m/>
    <m/>
    <m/>
    <m/>
    <m/>
  </r>
  <r>
    <m/>
    <m/>
    <x v="153"/>
    <x v="56"/>
    <m/>
    <s v="“Non-Melanositik Deri Tümörlerinin Dermoskopik Özelliklerinin Polarize, Non-Polarize ve UV Modlar ile Karşılaştırılması”"/>
    <m/>
    <m/>
    <m/>
    <m/>
    <m/>
    <m/>
    <m/>
    <m/>
    <m/>
    <m/>
  </r>
  <r>
    <m/>
    <m/>
    <x v="153"/>
    <x v="56"/>
    <m/>
    <s v="“Acil Servise Akut Ataksi Nedeniyle Başvuran Hastaların Klinik Özellikleri ve Yaklaşım Algoritması”"/>
    <m/>
    <m/>
    <m/>
    <m/>
    <m/>
    <m/>
    <m/>
    <m/>
    <m/>
    <m/>
  </r>
  <r>
    <m/>
    <m/>
    <x v="153"/>
    <x v="56"/>
    <m/>
    <s v="“Yüksek Dereceli Servikal Lezyon Saptanan ve Konizasyon Uygulanan Hastalarda Cerrahi Sınır Pozitifliğinin Prognoza Olan Etkisi”"/>
    <m/>
    <m/>
    <m/>
    <m/>
    <m/>
    <m/>
    <m/>
    <m/>
    <m/>
    <m/>
  </r>
  <r>
    <m/>
    <m/>
    <x v="153"/>
    <x v="56"/>
    <m/>
    <s v="“Sepsis/Septik Şok Hastalarında PI, MEWS, qSOFA, APACHE II ve CRT Değerlerinin Analizi ve Klinik Sonuçlarla İlişkisi”"/>
    <m/>
    <m/>
    <m/>
    <m/>
    <m/>
    <m/>
    <m/>
    <m/>
    <m/>
    <m/>
  </r>
  <r>
    <m/>
    <m/>
    <x v="153"/>
    <x v="56"/>
    <m/>
    <s v="“Yapay Zekâ Yardımlı Analizler ile Jinekolojik Onkoloji Konsey Karar Süreçlerinin Geliştirilmesi”"/>
    <m/>
    <m/>
    <m/>
    <m/>
    <m/>
    <m/>
    <m/>
    <m/>
    <m/>
    <m/>
  </r>
  <r>
    <m/>
    <m/>
    <x v="153"/>
    <x v="56"/>
    <m/>
    <s v="“Obsesif Kompulsif Bozukluğu olan Ergenlerde Duyusal Profil ile İnteroseptif Farkındalık ve Doğruluğun İncelenmesi”"/>
    <m/>
    <m/>
    <m/>
    <m/>
    <m/>
    <m/>
    <m/>
    <m/>
    <m/>
    <m/>
  </r>
  <r>
    <m/>
    <m/>
    <x v="153"/>
    <x v="56"/>
    <m/>
    <s v="“Mayer-Rokitansky-Küster-Hauser Sendromlu Hastalarda Uterin Remnant Dokuların Anterior Neovajen Duvarı Oluşturulmasında Kullanıldığı Modifiye Davydov Tekniğinin Tanımlanması ve Uzun Dönem Sonuçlarının Analizi”"/>
    <m/>
    <m/>
    <m/>
    <m/>
    <m/>
    <m/>
    <m/>
    <m/>
    <m/>
    <m/>
  </r>
  <r>
    <m/>
    <m/>
    <x v="153"/>
    <x v="56"/>
    <m/>
    <s v="“Erişkin Kistik Fibrozis Hastalarında Genetik Mutasyon Kombinasyonları ile Organ Sistem Tutulumu İlişkisinin İncelenmesi ”"/>
    <m/>
    <m/>
    <m/>
    <m/>
    <m/>
    <m/>
    <m/>
    <m/>
    <m/>
    <m/>
  </r>
  <r>
    <m/>
    <m/>
    <x v="153"/>
    <x v="56"/>
    <m/>
    <s v="“Mohs Cerrahisi Fellowship Eğitiminde Kullanılan Ölçme ve Değerlendirme Araçlarıyla İlgili Eğitici ve Öğrenci Görüşleri”"/>
    <m/>
    <m/>
    <m/>
    <m/>
    <m/>
    <m/>
    <m/>
    <m/>
    <m/>
    <m/>
  </r>
  <r>
    <m/>
    <m/>
    <x v="153"/>
    <x v="56"/>
    <m/>
    <s v="“Bloom Sendromu Tanısı Alan Hastaların Klinik, Demografik ve İmmünolojik Özelliklerinin Değerlendirilmesi”"/>
    <m/>
    <m/>
    <m/>
    <m/>
    <m/>
    <m/>
    <m/>
    <m/>
    <m/>
    <m/>
  </r>
  <r>
    <m/>
    <m/>
    <x v="153"/>
    <x v="56"/>
    <m/>
    <s v="“Tuberositas İnterossea Radii Morfolojik ve Morfometrik Özelliklerinin Değerlendirilmesi”"/>
    <m/>
    <m/>
    <m/>
    <m/>
    <m/>
    <m/>
    <m/>
    <m/>
    <m/>
    <m/>
  </r>
  <r>
    <m/>
    <m/>
    <x v="153"/>
    <x v="56"/>
    <m/>
    <s v="“Açık Apeksli Devital Dişlerde Vaka Seçimi ve Klinik Protokol Açısından Pratisyen Diş Hekimleri, Endodonti Uzmanları ve Pedodonti Uzmanlarının Tedavi Yaklaşımları”"/>
    <m/>
    <m/>
    <m/>
    <m/>
    <m/>
    <m/>
    <m/>
    <m/>
    <m/>
    <m/>
  </r>
  <r>
    <m/>
    <m/>
    <x v="153"/>
    <x v="56"/>
    <m/>
    <s v="“Beyin Omurilik Sıvısı Örneklerinde Alkol ve Psikoaktif Madde Düzeylerinin Değerlendirilmesi”"/>
    <m/>
    <m/>
    <m/>
    <m/>
    <m/>
    <m/>
    <m/>
    <m/>
    <m/>
    <m/>
  </r>
  <r>
    <m/>
    <m/>
    <x v="153"/>
    <x v="56"/>
    <m/>
    <s v="“Kistik Fibrozisli Çocuklarda Kistik Fibrozis Transmembran Kondüktans Regülatör Modülatör Tedavisinin Beslenme Durumu ve Hepatobiliyer Sistem Üzerine Etkisi”"/>
    <m/>
    <m/>
    <m/>
    <m/>
    <m/>
    <m/>
    <m/>
    <m/>
    <m/>
    <m/>
  </r>
  <r>
    <m/>
    <m/>
    <x v="153"/>
    <x v="56"/>
    <m/>
    <s v="“Multisistem İnflamatuvar Sendrom (MIS-C)’da, Sistemik Siklik Dinükleotitler (CDN’ler) ve İnterferon Genlerini Uyarıcı (STING) Yolu Aktivasyonu: Hiperinflamasyona İmmünopatolojik Bakış”"/>
    <m/>
    <m/>
    <m/>
    <m/>
    <m/>
    <m/>
    <m/>
    <m/>
    <m/>
    <m/>
  </r>
  <r>
    <m/>
    <m/>
    <x v="153"/>
    <x v="56"/>
    <m/>
    <s v="“Alt Ekstremitede Pliometrik Egzersiz Şiddetinin Belirlenmesi”"/>
    <m/>
    <m/>
    <m/>
    <m/>
    <m/>
    <m/>
    <m/>
    <m/>
    <m/>
    <m/>
  </r>
  <r>
    <m/>
    <m/>
    <x v="153"/>
    <x v="56"/>
    <m/>
    <s v="“Çocuklarda Pnömokok Taşıyıcılığı: Kültürün Ötesinde Moleküler Doğruluk”"/>
    <m/>
    <m/>
    <m/>
    <m/>
    <m/>
    <m/>
    <m/>
    <m/>
    <m/>
    <m/>
  </r>
  <r>
    <m/>
    <m/>
    <x v="153"/>
    <x v="56"/>
    <m/>
    <s v="“Uzun Süreli Glukokortikoid Kullanımına Bağlı Adrenal Yetmezlikte İlaç Kesim Sürecinin İncelenmesi”"/>
    <m/>
    <m/>
    <m/>
    <m/>
    <m/>
    <m/>
    <m/>
    <m/>
    <m/>
    <m/>
  </r>
  <r>
    <m/>
    <m/>
    <x v="153"/>
    <x v="56"/>
    <m/>
    <s v="“Subkutan İmmunoglobulin Replasman Tedavisi Almış Olan Primer İmmün Yetmezlik Hastalarının Özelliklerinin Değerlendirilmesi”"/>
    <m/>
    <m/>
    <m/>
    <m/>
    <m/>
    <m/>
    <m/>
    <m/>
    <m/>
    <m/>
  </r>
  <r>
    <m/>
    <m/>
    <x v="153"/>
    <x v="56"/>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53"/>
    <x v="56"/>
    <m/>
    <s v="“Geri Dönüşümsüz Pulpitislerde Makrofaj Polarizasyonunun İncelenmesi”"/>
    <m/>
    <m/>
    <m/>
    <m/>
    <m/>
    <m/>
    <m/>
    <m/>
    <m/>
    <m/>
  </r>
  <r>
    <m/>
    <m/>
    <x v="153"/>
    <x v="56"/>
    <m/>
    <s v="“El Kavrama Kuvvetinin Ölçümünde Squegg'in Geriatrik Popülasyondaki Tanısal Geçerliliği”"/>
    <m/>
    <m/>
    <m/>
    <m/>
    <m/>
    <m/>
    <m/>
    <m/>
    <m/>
    <m/>
  </r>
  <r>
    <m/>
    <m/>
    <x v="153"/>
    <x v="56"/>
    <m/>
    <s v="“MELD 3.0 ve GEMA skorlarının Siroz Hastalarında Mortalite Öngörüsünde Etkinliğinin Araştırılması”"/>
    <m/>
    <m/>
    <m/>
    <m/>
    <m/>
    <m/>
    <m/>
    <m/>
    <m/>
    <m/>
  </r>
  <r>
    <m/>
    <m/>
    <x v="153"/>
    <x v="56"/>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56" firstHeaderRow="1" firstDataRow="1" firstDataCol="1"/>
  <pivotFields count="16">
    <pivotField showAll="0"/>
    <pivotField showAll="0"/>
    <pivotField axis="axisRow" dataField="1" showAll="0" sortType="descending">
      <items count="155">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53"/>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55">
    <i>
      <x v="83"/>
    </i>
    <i>
      <x v="109"/>
    </i>
    <i>
      <x v="39"/>
    </i>
    <i>
      <x v="28"/>
    </i>
    <i>
      <x v="53"/>
    </i>
    <i>
      <x v="35"/>
    </i>
    <i>
      <x v="40"/>
    </i>
    <i>
      <x v="15"/>
    </i>
    <i>
      <x v="64"/>
    </i>
    <i>
      <x v="102"/>
    </i>
    <i>
      <x v="22"/>
    </i>
    <i>
      <x v="82"/>
    </i>
    <i>
      <x v="32"/>
    </i>
    <i>
      <x v="98"/>
    </i>
    <i>
      <x v="105"/>
    </i>
    <i>
      <x v="139"/>
    </i>
    <i>
      <x v="88"/>
    </i>
    <i>
      <x v="68"/>
    </i>
    <i>
      <x v="63"/>
    </i>
    <i>
      <x v="7"/>
    </i>
    <i>
      <x v="3"/>
    </i>
    <i>
      <x v="126"/>
    </i>
    <i>
      <x v="20"/>
    </i>
    <i>
      <x v="1"/>
    </i>
    <i>
      <x v="30"/>
    </i>
    <i>
      <x v="19"/>
    </i>
    <i>
      <x v="21"/>
    </i>
    <i>
      <x v="14"/>
    </i>
    <i>
      <x v="87"/>
    </i>
    <i>
      <x v="56"/>
    </i>
    <i>
      <x v="5"/>
    </i>
    <i>
      <x v="57"/>
    </i>
    <i>
      <x v="62"/>
    </i>
    <i>
      <x v="147"/>
    </i>
    <i>
      <x v="122"/>
    </i>
    <i>
      <x v="44"/>
    </i>
    <i>
      <x v="138"/>
    </i>
    <i>
      <x v="45"/>
    </i>
    <i>
      <x v="143"/>
    </i>
    <i>
      <x v="46"/>
    </i>
    <i>
      <x v="49"/>
    </i>
    <i>
      <x v="76"/>
    </i>
    <i>
      <x v="34"/>
    </i>
    <i>
      <x v="38"/>
    </i>
    <i>
      <x v="36"/>
    </i>
    <i>
      <x v="43"/>
    </i>
    <i>
      <x v="42"/>
    </i>
    <i>
      <x v="17"/>
    </i>
    <i>
      <x v="114"/>
    </i>
    <i>
      <x v="18"/>
    </i>
    <i>
      <x v="130"/>
    </i>
    <i>
      <x v="4"/>
    </i>
    <i>
      <x v="146"/>
    </i>
    <i>
      <x v="47"/>
    </i>
    <i>
      <x v="101"/>
    </i>
    <i>
      <x v="48"/>
    </i>
    <i>
      <x v="2"/>
    </i>
    <i>
      <x v="8"/>
    </i>
    <i>
      <x v="118"/>
    </i>
    <i>
      <x v="50"/>
    </i>
    <i>
      <x v="37"/>
    </i>
    <i>
      <x v="51"/>
    </i>
    <i>
      <x v="134"/>
    </i>
    <i>
      <x v="52"/>
    </i>
    <i>
      <x v="142"/>
    </i>
    <i>
      <x v="9"/>
    </i>
    <i>
      <x v="150"/>
    </i>
    <i>
      <x v="54"/>
    </i>
    <i>
      <x v="99"/>
    </i>
    <i>
      <x v="55"/>
    </i>
    <i>
      <x v="103"/>
    </i>
    <i>
      <x v="10"/>
    </i>
    <i>
      <x v="107"/>
    </i>
    <i>
      <x v="23"/>
    </i>
    <i>
      <x v="112"/>
    </i>
    <i>
      <x v="58"/>
    </i>
    <i>
      <x v="116"/>
    </i>
    <i>
      <x v="59"/>
    </i>
    <i>
      <x v="120"/>
    </i>
    <i>
      <x v="60"/>
    </i>
    <i>
      <x v="124"/>
    </i>
    <i>
      <x v="61"/>
    </i>
    <i>
      <x v="128"/>
    </i>
    <i>
      <x v="24"/>
    </i>
    <i>
      <x v="132"/>
    </i>
    <i>
      <x v="25"/>
    </i>
    <i>
      <x v="136"/>
    </i>
    <i>
      <x v="26"/>
    </i>
    <i>
      <x v="140"/>
    </i>
    <i>
      <x v="65"/>
    </i>
    <i>
      <x v="144"/>
    </i>
    <i>
      <x v="66"/>
    </i>
    <i>
      <x v="148"/>
    </i>
    <i>
      <x v="67"/>
    </i>
    <i>
      <x v="152"/>
    </i>
    <i>
      <x v="27"/>
    </i>
    <i>
      <x v="13"/>
    </i>
    <i>
      <x v="69"/>
    </i>
    <i>
      <x v="100"/>
    </i>
    <i>
      <x v="70"/>
    </i>
    <i>
      <x v="33"/>
    </i>
    <i>
      <x v="71"/>
    </i>
    <i>
      <x v="104"/>
    </i>
    <i>
      <x v="72"/>
    </i>
    <i>
      <x v="106"/>
    </i>
    <i>
      <x v="73"/>
    </i>
    <i>
      <x v="108"/>
    </i>
    <i>
      <x v="74"/>
    </i>
    <i>
      <x v="110"/>
    </i>
    <i>
      <x v="75"/>
    </i>
    <i>
      <x v="113"/>
    </i>
    <i>
      <x/>
    </i>
    <i>
      <x v="115"/>
    </i>
    <i>
      <x v="77"/>
    </i>
    <i>
      <x v="117"/>
    </i>
    <i>
      <x v="78"/>
    </i>
    <i>
      <x v="119"/>
    </i>
    <i>
      <x v="79"/>
    </i>
    <i>
      <x v="121"/>
    </i>
    <i>
      <x v="80"/>
    </i>
    <i>
      <x v="123"/>
    </i>
    <i>
      <x v="81"/>
    </i>
    <i>
      <x v="125"/>
    </i>
    <i>
      <x v="11"/>
    </i>
    <i>
      <x v="127"/>
    </i>
    <i>
      <x v="29"/>
    </i>
    <i>
      <x v="129"/>
    </i>
    <i>
      <x v="84"/>
    </i>
    <i>
      <x v="131"/>
    </i>
    <i>
      <x v="85"/>
    </i>
    <i>
      <x v="133"/>
    </i>
    <i>
      <x v="86"/>
    </i>
    <i>
      <x v="135"/>
    </i>
    <i>
      <x v="12"/>
    </i>
    <i>
      <x v="137"/>
    </i>
    <i>
      <x v="31"/>
    </i>
    <i>
      <x v="6"/>
    </i>
    <i>
      <x v="89"/>
    </i>
    <i>
      <x v="141"/>
    </i>
    <i>
      <x v="90"/>
    </i>
    <i>
      <x v="16"/>
    </i>
    <i>
      <x v="91"/>
    </i>
    <i>
      <x v="145"/>
    </i>
    <i>
      <x v="92"/>
    </i>
    <i>
      <x v="41"/>
    </i>
    <i>
      <x v="93"/>
    </i>
    <i>
      <x v="149"/>
    </i>
    <i>
      <x v="94"/>
    </i>
    <i>
      <x v="151"/>
    </i>
    <i>
      <x v="95"/>
    </i>
    <i>
      <x v="153"/>
    </i>
    <i>
      <x v="96"/>
    </i>
    <i>
      <x v="9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59" firstHeaderRow="1" firstDataRow="1" firstDataCol="1"/>
  <pivotFields count="16">
    <pivotField showAll="0"/>
    <pivotField showAll="0"/>
    <pivotField showAll="0"/>
    <pivotField axis="axisRow" dataField="1" showAll="0" sortType="descending">
      <items count="58">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6"/>
        <item x="47"/>
        <item x="48"/>
        <item x="49"/>
        <item x="50"/>
        <item x="51"/>
        <item x="52"/>
        <item x="53"/>
        <item x="54"/>
        <item x="5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8">
    <i>
      <x v="21"/>
    </i>
    <i>
      <x v="7"/>
    </i>
    <i>
      <x v="22"/>
    </i>
    <i>
      <x v="24"/>
    </i>
    <i>
      <x v="35"/>
    </i>
    <i>
      <x v="16"/>
    </i>
    <i>
      <x v="6"/>
    </i>
    <i>
      <x v="17"/>
    </i>
    <i>
      <x v="25"/>
    </i>
    <i>
      <x v="2"/>
    </i>
    <i>
      <x v="9"/>
    </i>
    <i>
      <x v="28"/>
    </i>
    <i>
      <x v="30"/>
    </i>
    <i>
      <x v="31"/>
    </i>
    <i>
      <x v="23"/>
    </i>
    <i>
      <x v="8"/>
    </i>
    <i>
      <x v="29"/>
    </i>
    <i>
      <x v="46"/>
    </i>
    <i>
      <x v="42"/>
    </i>
    <i>
      <x v="33"/>
    </i>
    <i>
      <x v="15"/>
    </i>
    <i>
      <x v="39"/>
    </i>
    <i>
      <x v="36"/>
    </i>
    <i>
      <x v="40"/>
    </i>
    <i>
      <x v="3"/>
    </i>
    <i>
      <x v="1"/>
    </i>
    <i>
      <x/>
    </i>
    <i>
      <x v="14"/>
    </i>
    <i>
      <x v="32"/>
    </i>
    <i>
      <x v="18"/>
    </i>
    <i>
      <x v="19"/>
    </i>
    <i>
      <x v="20"/>
    </i>
    <i>
      <x v="50"/>
    </i>
    <i>
      <x v="10"/>
    </i>
    <i>
      <x v="34"/>
    </i>
    <i>
      <x v="51"/>
    </i>
    <i>
      <x v="13"/>
    </i>
    <i>
      <x v="55"/>
    </i>
    <i>
      <x v="4"/>
    </i>
    <i>
      <x v="49"/>
    </i>
    <i>
      <x v="37"/>
    </i>
    <i>
      <x v="53"/>
    </i>
    <i>
      <x v="38"/>
    </i>
    <i>
      <x v="11"/>
    </i>
    <i>
      <x v="5"/>
    </i>
    <i>
      <x v="48"/>
    </i>
    <i>
      <x v="26"/>
    </i>
    <i>
      <x v="12"/>
    </i>
    <i>
      <x v="41"/>
    </i>
    <i>
      <x v="52"/>
    </i>
    <i>
      <x v="27"/>
    </i>
    <i>
      <x v="54"/>
    </i>
    <i>
      <x v="43"/>
    </i>
    <i>
      <x v="56"/>
    </i>
    <i>
      <x v="44"/>
    </i>
    <i>
      <x v="45"/>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G218" activePane="bottomRight" state="frozenSplit"/>
      <selection pane="topRight" activeCell="E1" sqref="E1"/>
      <selection pane="bottomLeft" activeCell="A8" sqref="A8"/>
      <selection pane="bottomRight" activeCell="L192" sqref="L192"/>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t="str">
        <f t="shared" si="3"/>
        <v>DÜZELTME</v>
      </c>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t="str">
        <f t="shared" si="3"/>
        <v>DÜZELTME</v>
      </c>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t="str">
        <f t="shared" si="3"/>
        <v>DÜZELTME</v>
      </c>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t="str">
        <f t="shared" si="3"/>
        <v>DÜZELTME</v>
      </c>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t="str">
        <f t="shared" si="3"/>
        <v>DÜZELTME</v>
      </c>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t="str">
        <f t="shared" si="3"/>
        <v>DÜZELTME</v>
      </c>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6"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6"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6"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6"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6"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6"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c r="N153" s="9"/>
      <c r="O153" s="66"/>
      <c r="P153" s="9" t="str">
        <f t="shared" si="3"/>
        <v>GÖRÜŞ</v>
      </c>
      <c r="R153" s="96"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c r="N154" s="9"/>
      <c r="O154" s="66"/>
      <c r="P154" s="9" t="str">
        <f t="shared" si="3"/>
        <v>DÜZELTME</v>
      </c>
      <c r="R154" s="96"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6"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6"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6"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c r="N160" s="9"/>
      <c r="O160" s="66"/>
      <c r="P160" s="9" t="str">
        <f t="shared" si="3"/>
        <v>DÜZELTME</v>
      </c>
      <c r="R160" s="96"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6"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f t="shared" si="3"/>
        <v>0</v>
      </c>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6"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6"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6"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6"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6"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6"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6"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6"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6"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6"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c r="N173" s="9"/>
      <c r="O173" s="66"/>
      <c r="P173" s="9" t="str">
        <f t="shared" si="3"/>
        <v>DÜZELTME</v>
      </c>
      <c r="R173" s="96"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6"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6"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c r="N176" s="9"/>
      <c r="O176" s="66"/>
      <c r="P176" s="9" t="str">
        <f t="shared" si="3"/>
        <v>DÜZELTME</v>
      </c>
      <c r="R176" s="96"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6"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6"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6"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c r="N180" s="9"/>
      <c r="O180" s="66"/>
      <c r="P180" s="9" t="str">
        <f t="shared" si="3"/>
        <v>DÜZELTME</v>
      </c>
      <c r="R180" s="96"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6"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c r="N182" s="9"/>
      <c r="O182" s="66"/>
      <c r="P182" s="9" t="str">
        <f t="shared" si="3"/>
        <v>DÜZELTME</v>
      </c>
      <c r="R182" s="96"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6"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6"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6"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6"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6"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f t="shared" si="3"/>
        <v>0</v>
      </c>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6"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6"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6"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c r="K192" s="8"/>
      <c r="L192" s="9"/>
      <c r="M192" s="9"/>
      <c r="N192" s="9"/>
      <c r="O192" s="66"/>
      <c r="P192" s="9">
        <f t="shared" si="3"/>
        <v>0</v>
      </c>
      <c r="R192" s="96" t="str">
        <f t="shared" si="4"/>
        <v>SBA 26/191</v>
      </c>
    </row>
    <row r="193" spans="1:18" ht="113.25" customHeight="1" x14ac:dyDescent="0.25">
      <c r="A193" s="5" t="s">
        <v>298</v>
      </c>
      <c r="B193" s="6" t="s">
        <v>4307</v>
      </c>
      <c r="C193" s="8" t="s">
        <v>4442</v>
      </c>
      <c r="D193" s="8" t="s">
        <v>402</v>
      </c>
      <c r="E193" s="7" t="s">
        <v>4440</v>
      </c>
      <c r="F193" s="7" t="s">
        <v>4441</v>
      </c>
      <c r="G193" s="13" t="s">
        <v>76</v>
      </c>
      <c r="H193" s="54">
        <v>46071</v>
      </c>
      <c r="I193" s="52">
        <v>46084</v>
      </c>
      <c r="J193" s="8"/>
      <c r="K193" s="8"/>
      <c r="L193" s="9"/>
      <c r="M193" s="9"/>
      <c r="N193" s="9"/>
      <c r="O193" s="66"/>
      <c r="P193" s="9">
        <f t="shared" si="3"/>
        <v>0</v>
      </c>
      <c r="R193" s="96" t="str">
        <f t="shared" si="4"/>
        <v>SBA 26/192</v>
      </c>
    </row>
    <row r="194" spans="1:18" ht="63" x14ac:dyDescent="0.25">
      <c r="A194" s="5" t="s">
        <v>299</v>
      </c>
      <c r="B194" s="6" t="s">
        <v>4308</v>
      </c>
      <c r="C194" s="8" t="s">
        <v>1310</v>
      </c>
      <c r="D194" s="8" t="s">
        <v>3896</v>
      </c>
      <c r="E194" s="7" t="s">
        <v>4444</v>
      </c>
      <c r="F194" s="7" t="s">
        <v>4443</v>
      </c>
      <c r="G194" s="13" t="s">
        <v>76</v>
      </c>
      <c r="H194" s="54">
        <v>46071</v>
      </c>
      <c r="I194" s="52">
        <v>46084</v>
      </c>
      <c r="J194" s="8"/>
      <c r="K194" s="8"/>
      <c r="L194" s="9"/>
      <c r="M194" s="9"/>
      <c r="N194" s="9"/>
      <c r="O194" s="66"/>
      <c r="P194" s="9">
        <f t="shared" si="3"/>
        <v>0</v>
      </c>
      <c r="R194" s="96" t="str">
        <f t="shared" si="4"/>
        <v>SBA 26/193</v>
      </c>
    </row>
    <row r="195" spans="1:18" ht="63" x14ac:dyDescent="0.25">
      <c r="A195" s="5" t="s">
        <v>300</v>
      </c>
      <c r="B195" s="6" t="s">
        <v>4309</v>
      </c>
      <c r="C195" s="8" t="s">
        <v>4447</v>
      </c>
      <c r="D195" s="8" t="s">
        <v>4448</v>
      </c>
      <c r="E195" s="7" t="s">
        <v>4445</v>
      </c>
      <c r="F195" s="7" t="s">
        <v>4446</v>
      </c>
      <c r="G195" s="13" t="s">
        <v>76</v>
      </c>
      <c r="H195" s="54">
        <v>46071</v>
      </c>
      <c r="I195" s="52">
        <v>46084</v>
      </c>
      <c r="J195" s="8"/>
      <c r="K195" s="8"/>
      <c r="L195" s="9"/>
      <c r="M195" s="9"/>
      <c r="N195" s="9"/>
      <c r="O195" s="66"/>
      <c r="P195" s="9">
        <f t="shared" si="3"/>
        <v>0</v>
      </c>
      <c r="R195" s="96" t="str">
        <f t="shared" si="4"/>
        <v>SBA 26/194</v>
      </c>
    </row>
    <row r="196" spans="1:18" ht="63" customHeight="1" x14ac:dyDescent="0.25">
      <c r="A196" s="5" t="s">
        <v>301</v>
      </c>
      <c r="B196" s="6" t="s">
        <v>4310</v>
      </c>
      <c r="C196" s="8" t="s">
        <v>4451</v>
      </c>
      <c r="D196" s="8" t="s">
        <v>355</v>
      </c>
      <c r="E196" s="7" t="s">
        <v>4449</v>
      </c>
      <c r="F196" s="7" t="s">
        <v>4450</v>
      </c>
      <c r="G196" s="13" t="s">
        <v>76</v>
      </c>
      <c r="H196" s="54">
        <v>46071</v>
      </c>
      <c r="I196" s="52">
        <v>46084</v>
      </c>
      <c r="J196" s="8"/>
      <c r="K196" s="8"/>
      <c r="L196" s="9"/>
      <c r="M196" s="9"/>
      <c r="N196" s="9"/>
      <c r="O196" s="66"/>
      <c r="P196" s="9">
        <f t="shared" si="3"/>
        <v>0</v>
      </c>
      <c r="R196" s="96" t="str">
        <f t="shared" si="4"/>
        <v>SBA 26/195</v>
      </c>
    </row>
    <row r="197" spans="1:18" ht="63" x14ac:dyDescent="0.25">
      <c r="A197" s="5" t="s">
        <v>302</v>
      </c>
      <c r="B197" s="6" t="s">
        <v>4311</v>
      </c>
      <c r="C197" s="8" t="s">
        <v>3712</v>
      </c>
      <c r="D197" s="8" t="s">
        <v>1162</v>
      </c>
      <c r="E197" s="7" t="s">
        <v>4452</v>
      </c>
      <c r="F197" s="7" t="s">
        <v>4453</v>
      </c>
      <c r="G197" s="13" t="s">
        <v>25</v>
      </c>
      <c r="H197" s="54">
        <v>46071</v>
      </c>
      <c r="I197" s="52">
        <v>46084</v>
      </c>
      <c r="J197" s="8"/>
      <c r="K197" s="8"/>
      <c r="L197" s="9"/>
      <c r="M197" s="9"/>
      <c r="N197" s="9"/>
      <c r="O197" s="66"/>
      <c r="P197" s="9">
        <f t="shared" si="3"/>
        <v>0</v>
      </c>
      <c r="R197" s="96" t="str">
        <f t="shared" si="4"/>
        <v>SBA 26/196</v>
      </c>
    </row>
    <row r="198" spans="1:18" ht="63" x14ac:dyDescent="0.25">
      <c r="A198" s="5" t="s">
        <v>303</v>
      </c>
      <c r="B198" s="6" t="s">
        <v>4312</v>
      </c>
      <c r="C198" s="8" t="s">
        <v>1418</v>
      </c>
      <c r="D198" s="8" t="s">
        <v>361</v>
      </c>
      <c r="E198" s="7" t="s">
        <v>4454</v>
      </c>
      <c r="F198" s="7" t="s">
        <v>4455</v>
      </c>
      <c r="G198" s="13" t="s">
        <v>76</v>
      </c>
      <c r="H198" s="54">
        <v>46071</v>
      </c>
      <c r="I198" s="52">
        <v>46084</v>
      </c>
      <c r="J198" s="8"/>
      <c r="K198" s="8"/>
      <c r="L198" s="9"/>
      <c r="M198" s="9"/>
      <c r="N198" s="9"/>
      <c r="O198" s="66"/>
      <c r="P198" s="9">
        <f t="shared" si="3"/>
        <v>0</v>
      </c>
      <c r="R198" s="96" t="str">
        <f t="shared" si="4"/>
        <v>SBA 26/197</v>
      </c>
    </row>
    <row r="199" spans="1:18" ht="63" x14ac:dyDescent="0.25">
      <c r="A199" s="5" t="s">
        <v>304</v>
      </c>
      <c r="B199" s="6" t="s">
        <v>4313</v>
      </c>
      <c r="C199" s="8" t="s">
        <v>1418</v>
      </c>
      <c r="D199" s="8" t="s">
        <v>361</v>
      </c>
      <c r="E199" s="7" t="s">
        <v>4454</v>
      </c>
      <c r="F199" s="7" t="s">
        <v>4456</v>
      </c>
      <c r="G199" s="13" t="s">
        <v>76</v>
      </c>
      <c r="H199" s="54">
        <v>46071</v>
      </c>
      <c r="I199" s="52">
        <v>46084</v>
      </c>
      <c r="J199" s="8"/>
      <c r="K199" s="8"/>
      <c r="L199" s="9"/>
      <c r="M199" s="9"/>
      <c r="N199" s="9"/>
      <c r="O199" s="66"/>
      <c r="P199" s="9">
        <f t="shared" si="3"/>
        <v>0</v>
      </c>
      <c r="R199" s="96" t="str">
        <f t="shared" si="4"/>
        <v>SBA 26/198</v>
      </c>
    </row>
    <row r="200" spans="1:18" ht="63" x14ac:dyDescent="0.25">
      <c r="A200" s="5" t="s">
        <v>305</v>
      </c>
      <c r="B200" s="6" t="s">
        <v>4314</v>
      </c>
      <c r="C200" s="8" t="s">
        <v>1418</v>
      </c>
      <c r="D200" s="8" t="s">
        <v>361</v>
      </c>
      <c r="E200" s="7" t="s">
        <v>4454</v>
      </c>
      <c r="F200" s="7" t="s">
        <v>4457</v>
      </c>
      <c r="G200" s="13" t="s">
        <v>76</v>
      </c>
      <c r="H200" s="54">
        <v>46071</v>
      </c>
      <c r="I200" s="52">
        <v>46084</v>
      </c>
      <c r="J200" s="8"/>
      <c r="K200" s="8"/>
      <c r="L200" s="9"/>
      <c r="M200" s="9"/>
      <c r="N200" s="9"/>
      <c r="O200" s="66"/>
      <c r="P200" s="9">
        <f t="shared" si="3"/>
        <v>0</v>
      </c>
      <c r="R200" s="96" t="str">
        <f t="shared" si="4"/>
        <v>SBA 26/199</v>
      </c>
    </row>
    <row r="201" spans="1:18" ht="63" x14ac:dyDescent="0.25">
      <c r="A201" s="5" t="s">
        <v>306</v>
      </c>
      <c r="B201" s="6" t="s">
        <v>4315</v>
      </c>
      <c r="C201" s="8" t="s">
        <v>660</v>
      </c>
      <c r="D201" s="8" t="s">
        <v>3995</v>
      </c>
      <c r="E201" s="7" t="s">
        <v>4459</v>
      </c>
      <c r="F201" s="7" t="s">
        <v>4458</v>
      </c>
      <c r="G201" s="13" t="s">
        <v>76</v>
      </c>
      <c r="H201" s="54">
        <v>46071</v>
      </c>
      <c r="I201" s="52">
        <v>46084</v>
      </c>
      <c r="J201" s="8"/>
      <c r="K201" s="8"/>
      <c r="L201" s="9"/>
      <c r="M201" s="9"/>
      <c r="N201" s="9"/>
      <c r="O201" s="66"/>
      <c r="P201" s="9">
        <f t="shared" si="3"/>
        <v>0</v>
      </c>
      <c r="R201" s="96" t="str">
        <f t="shared" si="4"/>
        <v>SBA 26/200</v>
      </c>
    </row>
    <row r="202" spans="1:18" ht="63" x14ac:dyDescent="0.25">
      <c r="A202" s="5" t="s">
        <v>957</v>
      </c>
      <c r="B202" s="6" t="s">
        <v>4316</v>
      </c>
      <c r="C202" s="8" t="s">
        <v>360</v>
      </c>
      <c r="D202" s="8" t="s">
        <v>361</v>
      </c>
      <c r="E202" s="7" t="s">
        <v>4460</v>
      </c>
      <c r="F202" s="7" t="s">
        <v>4461</v>
      </c>
      <c r="G202" s="13" t="s">
        <v>76</v>
      </c>
      <c r="H202" s="54">
        <v>46071</v>
      </c>
      <c r="I202" s="52">
        <v>46084</v>
      </c>
      <c r="J202" s="8"/>
      <c r="K202" s="8"/>
      <c r="L202" s="9"/>
      <c r="M202" s="9"/>
      <c r="N202" s="9"/>
      <c r="O202" s="66"/>
      <c r="P202" s="9">
        <f t="shared" si="3"/>
        <v>0</v>
      </c>
      <c r="R202" s="96" t="str">
        <f t="shared" si="4"/>
        <v>SBA 26/201</v>
      </c>
    </row>
    <row r="203" spans="1:18" ht="63" x14ac:dyDescent="0.25">
      <c r="A203" s="5" t="s">
        <v>960</v>
      </c>
      <c r="B203" s="6" t="s">
        <v>4317</v>
      </c>
      <c r="C203" s="8" t="s">
        <v>4464</v>
      </c>
      <c r="D203" s="8" t="s">
        <v>4465</v>
      </c>
      <c r="E203" s="7" t="s">
        <v>4462</v>
      </c>
      <c r="F203" s="7" t="s">
        <v>4463</v>
      </c>
      <c r="G203" s="13" t="s">
        <v>76</v>
      </c>
      <c r="H203" s="54">
        <v>46072</v>
      </c>
      <c r="I203" s="52">
        <v>46084</v>
      </c>
      <c r="J203" s="8"/>
      <c r="K203" s="8"/>
      <c r="L203" s="9"/>
      <c r="M203" s="9"/>
      <c r="N203" s="9"/>
      <c r="O203" s="66"/>
      <c r="P203" s="9">
        <f t="shared" si="3"/>
        <v>0</v>
      </c>
      <c r="R203" s="96" t="str">
        <f t="shared" si="4"/>
        <v>SBA 26/202</v>
      </c>
    </row>
    <row r="204" spans="1:18" ht="79.5" customHeight="1" x14ac:dyDescent="0.25">
      <c r="A204" s="5" t="s">
        <v>963</v>
      </c>
      <c r="B204" s="6" t="s">
        <v>4318</v>
      </c>
      <c r="C204" s="8" t="s">
        <v>4468</v>
      </c>
      <c r="D204" s="8" t="s">
        <v>399</v>
      </c>
      <c r="E204" s="7" t="s">
        <v>4466</v>
      </c>
      <c r="F204" s="7" t="s">
        <v>4467</v>
      </c>
      <c r="G204" s="13" t="s">
        <v>76</v>
      </c>
      <c r="H204" s="54">
        <v>46072</v>
      </c>
      <c r="I204" s="52">
        <v>46084</v>
      </c>
      <c r="J204" s="8"/>
      <c r="K204" s="8"/>
      <c r="L204" s="9"/>
      <c r="M204" s="9"/>
      <c r="N204" s="9"/>
      <c r="O204" s="66"/>
      <c r="P204" s="9">
        <f t="shared" si="3"/>
        <v>0</v>
      </c>
      <c r="R204" s="96" t="str">
        <f t="shared" si="4"/>
        <v>SBA 26/203</v>
      </c>
    </row>
    <row r="205" spans="1:18" ht="63" x14ac:dyDescent="0.25">
      <c r="A205" s="5" t="s">
        <v>966</v>
      </c>
      <c r="B205" s="6" t="s">
        <v>4380</v>
      </c>
      <c r="C205" s="8" t="s">
        <v>2457</v>
      </c>
      <c r="D205" s="8" t="s">
        <v>426</v>
      </c>
      <c r="E205" s="164" t="s">
        <v>4470</v>
      </c>
      <c r="F205" s="7" t="s">
        <v>4469</v>
      </c>
      <c r="G205" s="13" t="s">
        <v>76</v>
      </c>
      <c r="H205" s="54">
        <v>46072</v>
      </c>
      <c r="I205" s="52">
        <v>46084</v>
      </c>
      <c r="J205" s="8"/>
      <c r="K205" s="8"/>
      <c r="L205" s="9"/>
      <c r="M205" s="9"/>
      <c r="N205" s="9"/>
      <c r="O205" s="66"/>
      <c r="P205" s="9">
        <f t="shared" si="3"/>
        <v>0</v>
      </c>
      <c r="R205" s="96" t="str">
        <f t="shared" si="4"/>
        <v>SBA 26/204</v>
      </c>
    </row>
    <row r="206" spans="1:18" ht="63" x14ac:dyDescent="0.25">
      <c r="A206" s="5" t="s">
        <v>970</v>
      </c>
      <c r="B206" s="6" t="s">
        <v>4381</v>
      </c>
      <c r="C206" s="8" t="s">
        <v>2031</v>
      </c>
      <c r="D206" s="8" t="s">
        <v>1514</v>
      </c>
      <c r="E206" s="7" t="s">
        <v>4471</v>
      </c>
      <c r="F206" s="7" t="s">
        <v>4472</v>
      </c>
      <c r="G206" s="13" t="s">
        <v>76</v>
      </c>
      <c r="H206" s="54">
        <v>46072</v>
      </c>
      <c r="I206" s="52">
        <v>46084</v>
      </c>
      <c r="J206" s="8"/>
      <c r="K206" s="8"/>
      <c r="L206" s="9"/>
      <c r="M206" s="9"/>
      <c r="N206" s="9"/>
      <c r="O206" s="66"/>
      <c r="P206" s="9">
        <f t="shared" si="3"/>
        <v>0</v>
      </c>
      <c r="R206" s="96" t="str">
        <f t="shared" si="4"/>
        <v>SBA 26/205</v>
      </c>
    </row>
    <row r="207" spans="1:18" ht="97.5" customHeight="1" x14ac:dyDescent="0.25">
      <c r="A207" s="5" t="s">
        <v>973</v>
      </c>
      <c r="B207" s="6" t="s">
        <v>4382</v>
      </c>
      <c r="C207" s="8" t="s">
        <v>2379</v>
      </c>
      <c r="D207" s="8" t="s">
        <v>394</v>
      </c>
      <c r="E207" s="7" t="s">
        <v>4473</v>
      </c>
      <c r="F207" s="7" t="s">
        <v>4474</v>
      </c>
      <c r="G207" s="13" t="s">
        <v>23</v>
      </c>
      <c r="H207" s="54">
        <v>46072</v>
      </c>
      <c r="I207" s="52">
        <v>46084</v>
      </c>
      <c r="J207" s="8"/>
      <c r="K207" s="8"/>
      <c r="L207" s="9"/>
      <c r="M207" s="9"/>
      <c r="N207" s="9"/>
      <c r="O207" s="66"/>
      <c r="P207" s="9">
        <f t="shared" si="3"/>
        <v>0</v>
      </c>
      <c r="R207" s="96" t="str">
        <f t="shared" si="4"/>
        <v>SBA 26/206</v>
      </c>
    </row>
    <row r="208" spans="1:18" ht="63" x14ac:dyDescent="0.25">
      <c r="A208" s="5" t="s">
        <v>977</v>
      </c>
      <c r="B208" s="6" t="s">
        <v>4383</v>
      </c>
      <c r="C208" s="8" t="s">
        <v>4477</v>
      </c>
      <c r="D208" s="8" t="s">
        <v>355</v>
      </c>
      <c r="E208" s="7" t="s">
        <v>4475</v>
      </c>
      <c r="F208" s="7" t="s">
        <v>4476</v>
      </c>
      <c r="G208" s="13" t="s">
        <v>76</v>
      </c>
      <c r="H208" s="54">
        <v>46076</v>
      </c>
      <c r="I208" s="52">
        <v>46084</v>
      </c>
      <c r="J208" s="8"/>
      <c r="K208" s="8"/>
      <c r="L208" s="9"/>
      <c r="M208" s="9"/>
      <c r="N208" s="9"/>
      <c r="O208" s="66"/>
      <c r="P208" s="9">
        <f t="shared" si="3"/>
        <v>0</v>
      </c>
      <c r="R208" s="96" t="str">
        <f t="shared" si="4"/>
        <v>SBA 26/207</v>
      </c>
    </row>
    <row r="209" spans="1:18" ht="63" x14ac:dyDescent="0.25">
      <c r="A209" s="5" t="s">
        <v>980</v>
      </c>
      <c r="B209" s="6" t="s">
        <v>4384</v>
      </c>
      <c r="C209" s="8" t="s">
        <v>2563</v>
      </c>
      <c r="D209" s="8" t="s">
        <v>405</v>
      </c>
      <c r="E209" s="7" t="s">
        <v>4478</v>
      </c>
      <c r="F209" s="7" t="s">
        <v>4479</v>
      </c>
      <c r="G209" s="13" t="s">
        <v>24</v>
      </c>
      <c r="H209" s="54">
        <v>46076</v>
      </c>
      <c r="I209" s="52">
        <v>46084</v>
      </c>
      <c r="J209" s="8"/>
      <c r="K209" s="8"/>
      <c r="L209" s="9"/>
      <c r="M209" s="9"/>
      <c r="N209" s="9"/>
      <c r="O209" s="66"/>
      <c r="P209" s="9">
        <f t="shared" si="3"/>
        <v>0</v>
      </c>
      <c r="R209" s="96" t="str">
        <f t="shared" si="4"/>
        <v>SBA 26/208</v>
      </c>
    </row>
    <row r="210" spans="1:18" ht="94.5" x14ac:dyDescent="0.25">
      <c r="A210" s="5" t="s">
        <v>984</v>
      </c>
      <c r="B210" s="6" t="s">
        <v>4385</v>
      </c>
      <c r="C210" s="8" t="s">
        <v>498</v>
      </c>
      <c r="D210" s="8" t="s">
        <v>4360</v>
      </c>
      <c r="E210" s="7" t="s">
        <v>4480</v>
      </c>
      <c r="F210" s="7" t="s">
        <v>4481</v>
      </c>
      <c r="G210" s="13" t="s">
        <v>76</v>
      </c>
      <c r="H210" s="54">
        <v>46076</v>
      </c>
      <c r="I210" s="52">
        <v>46084</v>
      </c>
      <c r="J210" s="8"/>
      <c r="K210" s="8"/>
      <c r="L210" s="9"/>
      <c r="M210" s="9"/>
      <c r="N210" s="9"/>
      <c r="O210" s="66"/>
      <c r="P210" s="9">
        <f t="shared" si="3"/>
        <v>0</v>
      </c>
      <c r="R210" s="96" t="str">
        <f t="shared" si="4"/>
        <v>SBA 26/209</v>
      </c>
    </row>
    <row r="211" spans="1:18" ht="94.5" x14ac:dyDescent="0.25">
      <c r="A211" s="5" t="s">
        <v>987</v>
      </c>
      <c r="B211" s="6" t="s">
        <v>4386</v>
      </c>
      <c r="C211" s="8" t="s">
        <v>2031</v>
      </c>
      <c r="D211" s="8" t="s">
        <v>1514</v>
      </c>
      <c r="E211" s="7" t="s">
        <v>4482</v>
      </c>
      <c r="F211" s="7" t="s">
        <v>4483</v>
      </c>
      <c r="G211" s="13" t="s">
        <v>24</v>
      </c>
      <c r="H211" s="54">
        <v>46076</v>
      </c>
      <c r="I211" s="52">
        <v>46084</v>
      </c>
      <c r="J211" s="8"/>
      <c r="K211" s="8"/>
      <c r="L211" s="9"/>
      <c r="M211" s="9"/>
      <c r="N211" s="9"/>
      <c r="O211" s="66"/>
      <c r="P211" s="9">
        <f t="shared" si="3"/>
        <v>0</v>
      </c>
      <c r="R211" s="96" t="str">
        <f t="shared" si="4"/>
        <v>SBA 26/210</v>
      </c>
    </row>
    <row r="212" spans="1:18" ht="63" x14ac:dyDescent="0.25">
      <c r="A212" s="5" t="s">
        <v>991</v>
      </c>
      <c r="B212" s="6" t="s">
        <v>4387</v>
      </c>
      <c r="C212" s="8" t="s">
        <v>1538</v>
      </c>
      <c r="D212" s="8" t="s">
        <v>3943</v>
      </c>
      <c r="E212" s="7" t="s">
        <v>4484</v>
      </c>
      <c r="F212" s="7" t="s">
        <v>4485</v>
      </c>
      <c r="G212" s="13" t="s">
        <v>76</v>
      </c>
      <c r="H212" s="54">
        <v>46076</v>
      </c>
      <c r="I212" s="52">
        <v>46084</v>
      </c>
      <c r="J212" s="8"/>
      <c r="K212" s="8"/>
      <c r="L212" s="9"/>
      <c r="M212" s="9"/>
      <c r="N212" s="9"/>
      <c r="O212" s="66"/>
      <c r="P212" s="9">
        <f t="shared" si="3"/>
        <v>0</v>
      </c>
      <c r="R212" s="96" t="str">
        <f t="shared" si="4"/>
        <v>SBA 26/211</v>
      </c>
    </row>
    <row r="213" spans="1:18" ht="78.75" x14ac:dyDescent="0.25">
      <c r="A213" s="5" t="s">
        <v>995</v>
      </c>
      <c r="B213" s="6" t="s">
        <v>4388</v>
      </c>
      <c r="C213" s="8" t="s">
        <v>1538</v>
      </c>
      <c r="D213" s="8" t="s">
        <v>3943</v>
      </c>
      <c r="E213" s="7" t="s">
        <v>4486</v>
      </c>
      <c r="F213" s="7" t="s">
        <v>4487</v>
      </c>
      <c r="G213" s="13" t="s">
        <v>76</v>
      </c>
      <c r="H213" s="54">
        <v>46076</v>
      </c>
      <c r="I213" s="52">
        <v>46084</v>
      </c>
      <c r="J213" s="8"/>
      <c r="K213" s="8"/>
      <c r="L213" s="9"/>
      <c r="M213" s="9"/>
      <c r="N213" s="9"/>
      <c r="O213" s="66"/>
      <c r="P213" s="9">
        <f t="shared" si="3"/>
        <v>0</v>
      </c>
      <c r="R213" s="96" t="str">
        <f t="shared" si="4"/>
        <v>SBA 26/212</v>
      </c>
    </row>
    <row r="214" spans="1:18" ht="63" x14ac:dyDescent="0.25">
      <c r="A214" s="5" t="s">
        <v>998</v>
      </c>
      <c r="B214" s="6" t="s">
        <v>4389</v>
      </c>
      <c r="C214" s="8" t="s">
        <v>3071</v>
      </c>
      <c r="D214" s="8" t="s">
        <v>416</v>
      </c>
      <c r="E214" s="7" t="s">
        <v>4488</v>
      </c>
      <c r="F214" s="7" t="s">
        <v>4489</v>
      </c>
      <c r="G214" s="13" t="s">
        <v>76</v>
      </c>
      <c r="H214" s="54">
        <v>46076</v>
      </c>
      <c r="I214" s="52">
        <v>46084</v>
      </c>
      <c r="J214" s="8"/>
      <c r="K214" s="8"/>
      <c r="L214" s="9"/>
      <c r="M214" s="9"/>
      <c r="N214" s="9"/>
      <c r="O214" s="66"/>
      <c r="P214" s="9">
        <f t="shared" si="3"/>
        <v>0</v>
      </c>
      <c r="R214" s="96" t="str">
        <f t="shared" si="4"/>
        <v>SBA 26/213</v>
      </c>
    </row>
    <row r="215" spans="1:18" ht="96.75" customHeight="1" x14ac:dyDescent="0.25">
      <c r="A215" s="5" t="s">
        <v>1001</v>
      </c>
      <c r="B215" s="6" t="s">
        <v>4390</v>
      </c>
      <c r="C215" s="8" t="s">
        <v>703</v>
      </c>
      <c r="D215" s="8" t="s">
        <v>402</v>
      </c>
      <c r="E215" s="7" t="s">
        <v>4490</v>
      </c>
      <c r="F215" s="7" t="s">
        <v>4491</v>
      </c>
      <c r="G215" s="13" t="s">
        <v>76</v>
      </c>
      <c r="H215" s="54">
        <v>46076</v>
      </c>
      <c r="I215" s="52">
        <v>46084</v>
      </c>
      <c r="J215" s="8"/>
      <c r="K215" s="8"/>
      <c r="L215" s="9"/>
      <c r="M215" s="9"/>
      <c r="N215" s="9"/>
      <c r="O215" s="66"/>
      <c r="P215" s="9">
        <f t="shared" si="3"/>
        <v>0</v>
      </c>
      <c r="R215" s="96" t="str">
        <f t="shared" si="4"/>
        <v>SBA 26/214</v>
      </c>
    </row>
    <row r="216" spans="1:18" ht="63" x14ac:dyDescent="0.25">
      <c r="A216" s="5" t="s">
        <v>1004</v>
      </c>
      <c r="B216" s="6" t="s">
        <v>4391</v>
      </c>
      <c r="C216" s="8" t="s">
        <v>927</v>
      </c>
      <c r="D216" s="8" t="s">
        <v>3943</v>
      </c>
      <c r="E216" s="7" t="s">
        <v>4492</v>
      </c>
      <c r="F216" s="7" t="s">
        <v>4493</v>
      </c>
      <c r="G216" s="13" t="s">
        <v>76</v>
      </c>
      <c r="H216" s="54">
        <v>46077</v>
      </c>
      <c r="I216" s="52">
        <v>46084</v>
      </c>
      <c r="J216" s="8"/>
      <c r="K216" s="8"/>
      <c r="L216" s="9"/>
      <c r="M216" s="9"/>
      <c r="N216" s="9"/>
      <c r="O216" s="66"/>
      <c r="P216" s="9">
        <f t="shared" si="3"/>
        <v>0</v>
      </c>
      <c r="R216" s="96" t="str">
        <f t="shared" si="4"/>
        <v>SBA 26/215</v>
      </c>
    </row>
    <row r="217" spans="1:18" ht="63" x14ac:dyDescent="0.25">
      <c r="A217" s="5" t="s">
        <v>1007</v>
      </c>
      <c r="B217" s="6" t="s">
        <v>4392</v>
      </c>
      <c r="C217" s="8" t="s">
        <v>906</v>
      </c>
      <c r="D217" s="8" t="s">
        <v>426</v>
      </c>
      <c r="E217" s="7" t="s">
        <v>4494</v>
      </c>
      <c r="F217" s="7" t="s">
        <v>4495</v>
      </c>
      <c r="G217" s="13" t="s">
        <v>76</v>
      </c>
      <c r="H217" s="54">
        <v>46077</v>
      </c>
      <c r="I217" s="52">
        <v>46084</v>
      </c>
      <c r="J217" s="8"/>
      <c r="K217" s="8"/>
      <c r="L217" s="9"/>
      <c r="M217" s="9"/>
      <c r="N217" s="9"/>
      <c r="O217" s="66"/>
      <c r="P217" s="9">
        <f t="shared" si="3"/>
        <v>0</v>
      </c>
      <c r="R217" s="96" t="str">
        <f t="shared" si="4"/>
        <v>SBA 26/216</v>
      </c>
    </row>
    <row r="218" spans="1:18" ht="141.75" x14ac:dyDescent="0.25">
      <c r="A218" s="5" t="s">
        <v>1010</v>
      </c>
      <c r="B218" s="6" t="s">
        <v>4393</v>
      </c>
      <c r="C218" s="8" t="s">
        <v>888</v>
      </c>
      <c r="D218" s="8" t="s">
        <v>4497</v>
      </c>
      <c r="E218" s="7" t="s">
        <v>4498</v>
      </c>
      <c r="F218" s="7" t="s">
        <v>4496</v>
      </c>
      <c r="G218" s="13" t="s">
        <v>24</v>
      </c>
      <c r="H218" s="54">
        <v>46077</v>
      </c>
      <c r="I218" s="52">
        <v>46084</v>
      </c>
      <c r="J218" s="8"/>
      <c r="K218" s="8"/>
      <c r="L218" s="9"/>
      <c r="M218" s="9"/>
      <c r="N218" s="9"/>
      <c r="O218" s="66"/>
      <c r="P218" s="9">
        <f t="shared" si="3"/>
        <v>0</v>
      </c>
      <c r="R218" s="96" t="str">
        <f t="shared" si="4"/>
        <v>SBA 26/217</v>
      </c>
    </row>
    <row r="219" spans="1:18" ht="94.5" x14ac:dyDescent="0.25">
      <c r="A219" s="5" t="s">
        <v>1014</v>
      </c>
      <c r="B219" s="6" t="s">
        <v>4394</v>
      </c>
      <c r="C219" s="8" t="s">
        <v>4153</v>
      </c>
      <c r="D219" s="8" t="s">
        <v>402</v>
      </c>
      <c r="E219" s="7" t="s">
        <v>4499</v>
      </c>
      <c r="F219" s="7" t="s">
        <v>4500</v>
      </c>
      <c r="G219" s="13" t="s">
        <v>76</v>
      </c>
      <c r="H219" s="54">
        <v>46077</v>
      </c>
      <c r="I219" s="52">
        <v>46084</v>
      </c>
      <c r="J219" s="8"/>
      <c r="K219" s="8"/>
      <c r="L219" s="9"/>
      <c r="M219" s="9"/>
      <c r="N219" s="9"/>
      <c r="O219" s="66"/>
      <c r="P219" s="9">
        <f t="shared" si="3"/>
        <v>0</v>
      </c>
      <c r="R219" s="96" t="str">
        <f t="shared" si="4"/>
        <v>SBA 26/218</v>
      </c>
    </row>
    <row r="220" spans="1:18" ht="80.25" customHeight="1" x14ac:dyDescent="0.25">
      <c r="A220" s="5" t="s">
        <v>1018</v>
      </c>
      <c r="B220" s="6" t="s">
        <v>4395</v>
      </c>
      <c r="C220" s="8" t="s">
        <v>4451</v>
      </c>
      <c r="D220" s="8" t="s">
        <v>355</v>
      </c>
      <c r="E220" s="7" t="s">
        <v>4501</v>
      </c>
      <c r="F220" s="7" t="s">
        <v>4502</v>
      </c>
      <c r="G220" s="13" t="s">
        <v>76</v>
      </c>
      <c r="H220" s="54">
        <v>46077</v>
      </c>
      <c r="I220" s="52">
        <v>46084</v>
      </c>
      <c r="J220" s="8"/>
      <c r="K220" s="8"/>
      <c r="L220" s="9"/>
      <c r="M220" s="9"/>
      <c r="N220" s="9"/>
      <c r="O220" s="66"/>
      <c r="P220" s="9">
        <f t="shared" si="3"/>
        <v>0</v>
      </c>
      <c r="R220" s="96" t="str">
        <f t="shared" si="4"/>
        <v>SBA 26/219</v>
      </c>
    </row>
    <row r="221" spans="1:18" ht="63" x14ac:dyDescent="0.25">
      <c r="A221" s="5" t="s">
        <v>1021</v>
      </c>
      <c r="B221" s="6" t="s">
        <v>4396</v>
      </c>
      <c r="C221" s="8" t="s">
        <v>2449</v>
      </c>
      <c r="D221" s="8" t="s">
        <v>355</v>
      </c>
      <c r="E221" s="7" t="s">
        <v>4504</v>
      </c>
      <c r="F221" s="7" t="s">
        <v>4503</v>
      </c>
      <c r="G221" s="13" t="s">
        <v>76</v>
      </c>
      <c r="H221" s="54">
        <v>46077</v>
      </c>
      <c r="I221" s="52">
        <v>46084</v>
      </c>
      <c r="J221" s="8"/>
      <c r="K221" s="8"/>
      <c r="L221" s="9"/>
      <c r="M221" s="9"/>
      <c r="N221" s="9"/>
      <c r="O221" s="66"/>
      <c r="P221" s="9">
        <f t="shared" si="3"/>
        <v>0</v>
      </c>
      <c r="R221" s="96" t="str">
        <f t="shared" si="4"/>
        <v>SBA 26/220</v>
      </c>
    </row>
    <row r="222" spans="1:18" ht="94.5" x14ac:dyDescent="0.25">
      <c r="A222" s="5" t="s">
        <v>1025</v>
      </c>
      <c r="B222" s="6" t="s">
        <v>4397</v>
      </c>
      <c r="C222" s="8" t="s">
        <v>4507</v>
      </c>
      <c r="D222" s="8" t="s">
        <v>4508</v>
      </c>
      <c r="E222" s="7" t="s">
        <v>4505</v>
      </c>
      <c r="F222" s="7" t="s">
        <v>4506</v>
      </c>
      <c r="G222" s="13" t="s">
        <v>76</v>
      </c>
      <c r="H222" s="54">
        <v>46077</v>
      </c>
      <c r="I222" s="52">
        <v>46084</v>
      </c>
      <c r="J222" s="8"/>
      <c r="K222" s="8"/>
      <c r="L222" s="9"/>
      <c r="M222" s="9"/>
      <c r="N222" s="9"/>
      <c r="O222" s="66"/>
      <c r="P222" s="9">
        <f t="shared" si="3"/>
        <v>0</v>
      </c>
      <c r="R222" s="96" t="str">
        <f t="shared" si="4"/>
        <v>SBA 26/221</v>
      </c>
    </row>
    <row r="223" spans="1:18" ht="94.5" x14ac:dyDescent="0.25">
      <c r="A223" s="5" t="s">
        <v>1029</v>
      </c>
      <c r="B223" s="6" t="s">
        <v>4398</v>
      </c>
      <c r="C223" s="8" t="s">
        <v>4510</v>
      </c>
      <c r="D223" s="8" t="s">
        <v>4511</v>
      </c>
      <c r="E223" s="7" t="s">
        <v>4512</v>
      </c>
      <c r="F223" s="7" t="s">
        <v>4509</v>
      </c>
      <c r="G223" s="13" t="s">
        <v>24</v>
      </c>
      <c r="H223" s="54">
        <v>46077</v>
      </c>
      <c r="I223" s="52">
        <v>46084</v>
      </c>
      <c r="J223" s="8"/>
      <c r="K223" s="8"/>
      <c r="L223" s="9"/>
      <c r="M223" s="9"/>
      <c r="N223" s="9"/>
      <c r="O223" s="66"/>
      <c r="P223" s="9">
        <f t="shared" si="3"/>
        <v>0</v>
      </c>
      <c r="R223" s="96" t="str">
        <f t="shared" si="4"/>
        <v>SBA 26/222</v>
      </c>
    </row>
    <row r="224" spans="1:18" x14ac:dyDescent="0.25">
      <c r="A224" s="5" t="s">
        <v>1033</v>
      </c>
      <c r="B224" s="6" t="s">
        <v>4399</v>
      </c>
      <c r="C224" s="8"/>
      <c r="D224" s="8"/>
      <c r="E224" s="7"/>
      <c r="F224" s="7"/>
      <c r="G224" s="13"/>
      <c r="H224" s="54"/>
      <c r="I224" s="52"/>
      <c r="J224" s="8"/>
      <c r="K224" s="8"/>
      <c r="L224" s="9"/>
      <c r="M224" s="9"/>
      <c r="N224" s="9"/>
      <c r="O224" s="66"/>
      <c r="P224" s="9">
        <f t="shared" si="3"/>
        <v>0</v>
      </c>
      <c r="R224" s="96" t="str">
        <f t="shared" si="4"/>
        <v>SBA 26/223</v>
      </c>
    </row>
    <row r="225" spans="1:18" x14ac:dyDescent="0.25">
      <c r="A225" s="5" t="s">
        <v>1036</v>
      </c>
      <c r="B225" s="6" t="s">
        <v>4400</v>
      </c>
      <c r="C225" s="8"/>
      <c r="D225" s="8"/>
      <c r="E225" s="7"/>
      <c r="F225" s="7"/>
      <c r="G225" s="13"/>
      <c r="H225" s="54"/>
      <c r="I225" s="52"/>
      <c r="J225" s="8"/>
      <c r="K225" s="8"/>
      <c r="L225" s="9"/>
      <c r="M225" s="9"/>
      <c r="N225" s="9"/>
      <c r="O225" s="66"/>
      <c r="P225" s="9">
        <f t="shared" si="3"/>
        <v>0</v>
      </c>
      <c r="R225" s="96" t="str">
        <f t="shared" si="4"/>
        <v>SBA 26/224</v>
      </c>
    </row>
    <row r="226" spans="1:18" x14ac:dyDescent="0.25">
      <c r="A226" s="5" t="s">
        <v>1040</v>
      </c>
      <c r="B226" s="6" t="s">
        <v>4401</v>
      </c>
      <c r="C226" s="8"/>
      <c r="D226" s="8"/>
      <c r="E226" s="7"/>
      <c r="F226" s="7"/>
      <c r="G226" s="13"/>
      <c r="H226" s="54"/>
      <c r="I226" s="52"/>
      <c r="J226" s="8"/>
      <c r="K226" s="8"/>
      <c r="L226" s="9"/>
      <c r="M226" s="9"/>
      <c r="N226" s="9"/>
      <c r="O226" s="66"/>
      <c r="P226" s="9">
        <f t="shared" si="3"/>
        <v>0</v>
      </c>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f t="shared" si="3"/>
        <v>0</v>
      </c>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f t="shared" si="3"/>
        <v>0</v>
      </c>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f t="shared" si="3"/>
        <v>0</v>
      </c>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f t="shared" si="3"/>
        <v>0</v>
      </c>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f t="shared" si="3"/>
        <v>0</v>
      </c>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f t="shared" si="3"/>
        <v>0</v>
      </c>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f t="shared" si="3"/>
        <v>0</v>
      </c>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f t="shared" si="3"/>
        <v>0</v>
      </c>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f t="shared" si="3"/>
        <v>0</v>
      </c>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f t="shared" si="3"/>
        <v>0</v>
      </c>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f t="shared" si="3"/>
        <v>0</v>
      </c>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102</v>
      </c>
      <c r="M253" s="74">
        <f>COUNTIF(M2:M251,"ONAY")</f>
        <v>20</v>
      </c>
      <c r="N253" s="73">
        <f>COUNTIF(N2:N251,"ONAY")</f>
        <v>5</v>
      </c>
      <c r="O253" s="74">
        <f>COUNTIF(O2:O251,"ONAY")</f>
        <v>0</v>
      </c>
      <c r="P253" s="74">
        <f>COUNTIF(P2:P251,"ONAY")</f>
        <v>127</v>
      </c>
    </row>
    <row r="254" spans="1:18" ht="31.5" x14ac:dyDescent="0.25">
      <c r="F254" s="59" t="s">
        <v>3696</v>
      </c>
      <c r="K254" s="75" t="s">
        <v>58</v>
      </c>
      <c r="L254" s="76">
        <f>COUNTIF(L2:L251,"DÜZELTME")</f>
        <v>69</v>
      </c>
      <c r="M254" s="77">
        <f>COUNTIF(M2:M251,"DÜZELTME")</f>
        <v>2</v>
      </c>
      <c r="N254" s="76">
        <f>COUNTIF(N2:N251,"DÜZELTME")</f>
        <v>0</v>
      </c>
      <c r="O254" s="77">
        <f>COUNTIF(O2:O251,"DÜZELTME")</f>
        <v>0</v>
      </c>
      <c r="P254" s="77">
        <f>COUNTIF(P2:P251,"DÜZELTME")</f>
        <v>46</v>
      </c>
    </row>
    <row r="255" spans="1:18" ht="47.25" x14ac:dyDescent="0.25">
      <c r="F255" s="59" t="s">
        <v>3698</v>
      </c>
      <c r="K255" s="78" t="s">
        <v>73</v>
      </c>
      <c r="L255" s="79">
        <f>COUNTIF(L2:L251,"KAEK")</f>
        <v>4</v>
      </c>
      <c r="M255" s="80">
        <f>COUNTIF(M2:M251,"KAEK")</f>
        <v>0</v>
      </c>
      <c r="N255" s="79">
        <f>COUNTIF(N2:N251,"KAEK")</f>
        <v>0</v>
      </c>
      <c r="O255" s="80">
        <f>COUNTIF(O2:O251,"KAEK")</f>
        <v>0</v>
      </c>
      <c r="P255" s="80">
        <f>COUNTIF(P2:P251,"KAEK")</f>
        <v>3</v>
      </c>
    </row>
    <row r="256" spans="1:18" ht="63" x14ac:dyDescent="0.25">
      <c r="F256" s="59" t="s">
        <v>3700</v>
      </c>
      <c r="K256" s="81" t="s">
        <v>86</v>
      </c>
      <c r="L256" s="82">
        <f>COUNTIF(L2:L251,"GÖRÜŞ")</f>
        <v>4</v>
      </c>
      <c r="M256" s="83">
        <f>COUNTIF(M2:M251,"GÖRÜŞ")</f>
        <v>7</v>
      </c>
      <c r="N256" s="82">
        <f>COUNTIF(N2:N251,"GÖRÜŞ")</f>
        <v>0</v>
      </c>
      <c r="O256" s="83">
        <f>COUNTIF(O2:O251,"GÖRÜŞ")</f>
        <v>0</v>
      </c>
      <c r="P256" s="83">
        <f>COUNTIF(P2:P251,"GÖRÜŞ")</f>
        <v>3</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4</v>
      </c>
      <c r="M258" s="89">
        <f>COUNTIF(M2:M251,"RET")</f>
        <v>0</v>
      </c>
      <c r="N258" s="88">
        <f>COUNTIF(N2:N251,"RET")</f>
        <v>0</v>
      </c>
      <c r="O258" s="89">
        <f>COUNTIF(O2:O251,"RET")</f>
        <v>0</v>
      </c>
      <c r="P258" s="89">
        <f>COUNTIF(P2:P251,"RET")</f>
        <v>3</v>
      </c>
    </row>
    <row r="259" spans="6:16" ht="31.5" x14ac:dyDescent="0.25">
      <c r="F259" s="59" t="s">
        <v>3706</v>
      </c>
      <c r="K259" s="93" t="s">
        <v>78</v>
      </c>
      <c r="L259" s="94">
        <f>COUNTIF(L2:L251,"GERİ ÇEKİLDİ")</f>
        <v>0</v>
      </c>
      <c r="M259" s="95">
        <f>COUNTIF(M2:M251,"GERİ ÇEKİLDİ")</f>
        <v>1</v>
      </c>
      <c r="N259" s="94">
        <f>COUNTIF(N2:N251,"GERİ ÇEKİLDİ")</f>
        <v>0</v>
      </c>
      <c r="O259" s="95">
        <f>COUNTIF(O2:O251,"GERİ ÇEKİLDİ")</f>
        <v>0</v>
      </c>
      <c r="P259" s="95">
        <f>COUNTIF(P2:P251,"GERİ ÇEKİLDİ")</f>
        <v>1</v>
      </c>
    </row>
    <row r="260" spans="6:16" ht="47.25" x14ac:dyDescent="0.25">
      <c r="F260" s="59" t="s">
        <v>3708</v>
      </c>
      <c r="K260" s="90" t="s">
        <v>60</v>
      </c>
      <c r="L260" s="91">
        <f>SUM(L253:L259)</f>
        <v>184</v>
      </c>
      <c r="M260" s="92">
        <f>SUM(M253:M259)</f>
        <v>30</v>
      </c>
      <c r="N260" s="91">
        <f t="shared" ref="N260:O260" si="8">SUM(N253:N259)</f>
        <v>5</v>
      </c>
      <c r="O260" s="92">
        <f t="shared" si="8"/>
        <v>0</v>
      </c>
      <c r="P260" s="92">
        <f t="shared" ref="P260" si="9">SUM(P253:P259)</f>
        <v>184</v>
      </c>
    </row>
    <row r="261" spans="6:16" ht="31.5" x14ac:dyDescent="0.25">
      <c r="F261" s="59" t="s">
        <v>3710</v>
      </c>
    </row>
    <row r="262" spans="6:16" ht="47.25" x14ac:dyDescent="0.25">
      <c r="F262" s="59" t="s">
        <v>3713</v>
      </c>
    </row>
    <row r="263" spans="6:16" ht="63" x14ac:dyDescent="0.25">
      <c r="F263" s="59" t="s">
        <v>3716</v>
      </c>
      <c r="L263" s="10">
        <f>COUNTIF(L2:L251,"")</f>
        <v>66</v>
      </c>
    </row>
    <row r="264" spans="6:16" ht="31.5" x14ac:dyDescent="0.25">
      <c r="F264" s="59" t="s">
        <v>3718</v>
      </c>
      <c r="L264" s="10" cm="1">
        <f t="array" ref="L264">SUMPRODUCT(--(LEN(TRIM(L2:L251))=0))</f>
        <v>66</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34">_xlfn._xlws.FILTER("L"&amp;ROW(L2:L251), LEN(TRIM(L2:L251))=0)</f>
        <v>L59</v>
      </c>
    </row>
    <row r="270" spans="6:16" ht="31.5" x14ac:dyDescent="0.25">
      <c r="F270" s="59" t="s">
        <v>3731</v>
      </c>
      <c r="L270" s="10" t="str">
        <v>L73</v>
      </c>
    </row>
    <row r="271" spans="6:16" ht="47.25" x14ac:dyDescent="0.25">
      <c r="F271" s="59" t="s">
        <v>3734</v>
      </c>
      <c r="L271" s="10" t="str">
        <v>L157</v>
      </c>
    </row>
    <row r="272" spans="6:16" ht="47.25" x14ac:dyDescent="0.25">
      <c r="F272" s="59" t="s">
        <v>3736</v>
      </c>
      <c r="L272" s="10" t="str">
        <v>L158</v>
      </c>
    </row>
    <row r="273" spans="6:12" ht="47.25" x14ac:dyDescent="0.25">
      <c r="F273" s="59" t="s">
        <v>3738</v>
      </c>
      <c r="L273" s="10" t="str">
        <v>L162</v>
      </c>
    </row>
    <row r="274" spans="6:12" ht="47.25" x14ac:dyDescent="0.25">
      <c r="F274" s="59" t="s">
        <v>3741</v>
      </c>
      <c r="L274" s="10" t="str">
        <v>L188</v>
      </c>
    </row>
    <row r="275" spans="6:12" ht="31.5" x14ac:dyDescent="0.25">
      <c r="F275" s="59" t="s">
        <v>3743</v>
      </c>
      <c r="L275" s="10" t="str">
        <v>L192</v>
      </c>
    </row>
    <row r="276" spans="6:12" ht="31.5" x14ac:dyDescent="0.25">
      <c r="F276" s="59" t="s">
        <v>3745</v>
      </c>
      <c r="L276" s="10" t="str">
        <v>L193</v>
      </c>
    </row>
    <row r="277" spans="6:12" ht="31.5" x14ac:dyDescent="0.25">
      <c r="F277" s="59" t="s">
        <v>3747</v>
      </c>
      <c r="L277" s="10" t="str">
        <v>L194</v>
      </c>
    </row>
    <row r="278" spans="6:12" ht="31.5" x14ac:dyDescent="0.25">
      <c r="F278" s="59" t="s">
        <v>3749</v>
      </c>
      <c r="L278" s="10" t="str">
        <v>L195</v>
      </c>
    </row>
    <row r="279" spans="6:12" ht="47.25" x14ac:dyDescent="0.25">
      <c r="F279" s="59" t="s">
        <v>3751</v>
      </c>
      <c r="L279" s="10" t="str">
        <v>L196</v>
      </c>
    </row>
    <row r="280" spans="6:12" ht="47.25" x14ac:dyDescent="0.25">
      <c r="F280" s="59" t="s">
        <v>3753</v>
      </c>
      <c r="L280" s="10" t="str">
        <v>L197</v>
      </c>
    </row>
    <row r="281" spans="6:12" ht="47.25" x14ac:dyDescent="0.25">
      <c r="F281" s="59" t="s">
        <v>3755</v>
      </c>
      <c r="L281" s="10" t="str">
        <v>L198</v>
      </c>
    </row>
    <row r="282" spans="6:12" ht="31.5" x14ac:dyDescent="0.25">
      <c r="F282" s="59" t="s">
        <v>3757</v>
      </c>
      <c r="L282" s="10" t="str">
        <v>L199</v>
      </c>
    </row>
    <row r="283" spans="6:12" ht="63" x14ac:dyDescent="0.25">
      <c r="F283" s="59" t="s">
        <v>3759</v>
      </c>
      <c r="L283" s="10" t="str">
        <v>L200</v>
      </c>
    </row>
    <row r="284" spans="6:12" ht="47.25" x14ac:dyDescent="0.25">
      <c r="F284" s="59" t="s">
        <v>3761</v>
      </c>
      <c r="L284" s="10" t="str">
        <v>L201</v>
      </c>
    </row>
    <row r="285" spans="6:12" ht="63" x14ac:dyDescent="0.25">
      <c r="F285" s="59" t="s">
        <v>3764</v>
      </c>
      <c r="L285" s="10" t="str">
        <v>L202</v>
      </c>
    </row>
    <row r="286" spans="6:12" ht="47.25" x14ac:dyDescent="0.25">
      <c r="F286" s="59" t="s">
        <v>3766</v>
      </c>
      <c r="L286" s="10" t="str">
        <v>L203</v>
      </c>
    </row>
    <row r="287" spans="6:12" ht="47.25" x14ac:dyDescent="0.25">
      <c r="F287" s="59" t="s">
        <v>3768</v>
      </c>
      <c r="L287" s="10" t="str">
        <v>L204</v>
      </c>
    </row>
    <row r="288" spans="6:12" ht="47.25" x14ac:dyDescent="0.25">
      <c r="F288" s="59" t="s">
        <v>3771</v>
      </c>
      <c r="L288" s="10" t="str">
        <v>L205</v>
      </c>
    </row>
    <row r="289" spans="6:12" ht="47.25" x14ac:dyDescent="0.25">
      <c r="F289" s="59" t="s">
        <v>3773</v>
      </c>
      <c r="L289" s="10" t="str">
        <v>L206</v>
      </c>
    </row>
    <row r="290" spans="6:12" ht="47.25" x14ac:dyDescent="0.25">
      <c r="F290" s="59" t="s">
        <v>3775</v>
      </c>
      <c r="L290" s="10" t="str">
        <v>L207</v>
      </c>
    </row>
    <row r="291" spans="6:12" ht="63" x14ac:dyDescent="0.25">
      <c r="F291" s="59" t="s">
        <v>3777</v>
      </c>
      <c r="L291" s="10" t="str">
        <v>L208</v>
      </c>
    </row>
    <row r="292" spans="6:12" ht="78.75" x14ac:dyDescent="0.25">
      <c r="F292" s="59" t="s">
        <v>3779</v>
      </c>
      <c r="L292" s="10" t="str">
        <v>L209</v>
      </c>
    </row>
    <row r="293" spans="6:12" ht="31.5" x14ac:dyDescent="0.25">
      <c r="F293" s="59" t="s">
        <v>3781</v>
      </c>
      <c r="L293" s="10" t="str">
        <v>L210</v>
      </c>
    </row>
    <row r="294" spans="6:12" ht="47.25" x14ac:dyDescent="0.25">
      <c r="F294" s="59" t="s">
        <v>3783</v>
      </c>
      <c r="L294" s="10" t="str">
        <v>L211</v>
      </c>
    </row>
    <row r="295" spans="6:12" ht="63" x14ac:dyDescent="0.25">
      <c r="F295" s="59" t="s">
        <v>3786</v>
      </c>
      <c r="L295" s="10" t="str">
        <v>L212</v>
      </c>
    </row>
    <row r="296" spans="6:12" ht="63" x14ac:dyDescent="0.25">
      <c r="F296" s="59" t="s">
        <v>3788</v>
      </c>
      <c r="L296" s="10" t="str">
        <v>L213</v>
      </c>
    </row>
    <row r="297" spans="6:12" ht="31.5" x14ac:dyDescent="0.25">
      <c r="F297" s="59" t="s">
        <v>3790</v>
      </c>
      <c r="L297" s="10" t="str">
        <v>L214</v>
      </c>
    </row>
    <row r="298" spans="6:12" ht="31.5" x14ac:dyDescent="0.25">
      <c r="F298" s="59" t="s">
        <v>3792</v>
      </c>
      <c r="L298" s="10" t="str">
        <v>L215</v>
      </c>
    </row>
    <row r="299" spans="6:12" ht="31.5" x14ac:dyDescent="0.25">
      <c r="F299" s="59" t="s">
        <v>3794</v>
      </c>
      <c r="L299" s="10" t="str">
        <v>L216</v>
      </c>
    </row>
    <row r="300" spans="6:12" ht="31.5" x14ac:dyDescent="0.25">
      <c r="F300" s="59" t="s">
        <v>3796</v>
      </c>
      <c r="L300" s="10" t="str">
        <v>L217</v>
      </c>
    </row>
    <row r="301" spans="6:12" ht="31.5" x14ac:dyDescent="0.25">
      <c r="F301" s="59" t="s">
        <v>3798</v>
      </c>
      <c r="L301" s="10" t="str">
        <v>L218</v>
      </c>
    </row>
    <row r="302" spans="6:12" ht="31.5" x14ac:dyDescent="0.25">
      <c r="F302" s="59" t="s">
        <v>3800</v>
      </c>
      <c r="L302" s="10" t="str">
        <v>L219</v>
      </c>
    </row>
    <row r="303" spans="6:12" ht="31.5" x14ac:dyDescent="0.25">
      <c r="F303" s="59" t="s">
        <v>3802</v>
      </c>
      <c r="L303" s="10" t="str">
        <v>L220</v>
      </c>
    </row>
    <row r="304" spans="6:12" ht="47.25" x14ac:dyDescent="0.25">
      <c r="F304" s="59" t="s">
        <v>3804</v>
      </c>
      <c r="L304" s="10" t="str">
        <v>L221</v>
      </c>
    </row>
    <row r="305" spans="6:12" ht="31.5" x14ac:dyDescent="0.25">
      <c r="F305" s="59" t="s">
        <v>3807</v>
      </c>
      <c r="L305" s="10" t="str">
        <v>L222</v>
      </c>
    </row>
    <row r="306" spans="6:12" ht="63" x14ac:dyDescent="0.25">
      <c r="F306" s="59" t="s">
        <v>3810</v>
      </c>
      <c r="L306" s="10" t="str">
        <v>L223</v>
      </c>
    </row>
    <row r="307" spans="6:12" ht="47.25" x14ac:dyDescent="0.25">
      <c r="F307" s="59" t="s">
        <v>3812</v>
      </c>
      <c r="L307" s="10" t="str">
        <v>L224</v>
      </c>
    </row>
    <row r="308" spans="6:12" ht="47.25" x14ac:dyDescent="0.25">
      <c r="F308" s="59" t="s">
        <v>3815</v>
      </c>
      <c r="L308" s="10" t="str">
        <v>L225</v>
      </c>
    </row>
    <row r="309" spans="6:12" ht="31.5" x14ac:dyDescent="0.25">
      <c r="F309" s="59" t="s">
        <v>3817</v>
      </c>
      <c r="L309" s="10" t="str">
        <v>L226</v>
      </c>
    </row>
    <row r="310" spans="6:12" ht="31.5" x14ac:dyDescent="0.25">
      <c r="F310" s="59" t="s">
        <v>3820</v>
      </c>
      <c r="L310" s="10" t="str">
        <v>L227</v>
      </c>
    </row>
    <row r="311" spans="6:12" ht="47.25" x14ac:dyDescent="0.25">
      <c r="F311" s="59" t="s">
        <v>3823</v>
      </c>
      <c r="L311" s="10" t="str">
        <v>L228</v>
      </c>
    </row>
    <row r="312" spans="6:12" ht="31.5" x14ac:dyDescent="0.25">
      <c r="F312" s="59" t="s">
        <v>3825</v>
      </c>
      <c r="L312" s="10" t="str">
        <v>L229</v>
      </c>
    </row>
    <row r="313" spans="6:12" ht="47.25" x14ac:dyDescent="0.25">
      <c r="F313" s="59" t="s">
        <v>3828</v>
      </c>
      <c r="L313" s="10" t="str">
        <v>L230</v>
      </c>
    </row>
    <row r="314" spans="6:12" ht="63" x14ac:dyDescent="0.25">
      <c r="F314" s="59" t="s">
        <v>3830</v>
      </c>
      <c r="L314" s="10" t="str">
        <v>L231</v>
      </c>
    </row>
    <row r="315" spans="6:12" ht="31.5" x14ac:dyDescent="0.25">
      <c r="F315" s="59" t="s">
        <v>3832</v>
      </c>
      <c r="L315" s="10" t="str">
        <v>L232</v>
      </c>
    </row>
    <row r="316" spans="6:12" ht="47.25" x14ac:dyDescent="0.25">
      <c r="F316" s="59" t="s">
        <v>3835</v>
      </c>
      <c r="L316" s="10" t="str">
        <v>L233</v>
      </c>
    </row>
    <row r="317" spans="6:12" ht="31.5" x14ac:dyDescent="0.25">
      <c r="F317" s="59" t="s">
        <v>3837</v>
      </c>
      <c r="L317" s="10" t="str">
        <v>L234</v>
      </c>
    </row>
    <row r="318" spans="6:12" ht="31.5" x14ac:dyDescent="0.25">
      <c r="F318" s="59" t="s">
        <v>3839</v>
      </c>
      <c r="L318" s="10" t="str">
        <v>L235</v>
      </c>
    </row>
    <row r="319" spans="6:12" ht="63" x14ac:dyDescent="0.25">
      <c r="F319" s="59" t="s">
        <v>3841</v>
      </c>
      <c r="L319" s="10" t="str">
        <v>L236</v>
      </c>
    </row>
    <row r="320" spans="6:12" ht="47.25" x14ac:dyDescent="0.25">
      <c r="F320" s="59" t="s">
        <v>3843</v>
      </c>
      <c r="L320" s="10" t="str">
        <v>L237</v>
      </c>
    </row>
    <row r="321" spans="6:12" ht="31.5" x14ac:dyDescent="0.25">
      <c r="F321" s="59" t="s">
        <v>3846</v>
      </c>
      <c r="L321" s="10" t="str">
        <v>L238</v>
      </c>
    </row>
    <row r="322" spans="6:12" ht="31.5" x14ac:dyDescent="0.25">
      <c r="F322" s="59" t="s">
        <v>3848</v>
      </c>
      <c r="L322" s="10" t="str">
        <v>L239</v>
      </c>
    </row>
    <row r="323" spans="6:12" ht="31.5" x14ac:dyDescent="0.25">
      <c r="F323" s="59" t="s">
        <v>3850</v>
      </c>
      <c r="L323" s="10" t="str">
        <v>L240</v>
      </c>
    </row>
    <row r="324" spans="6:12" ht="31.5" x14ac:dyDescent="0.25">
      <c r="F324" s="7" t="s">
        <v>417</v>
      </c>
      <c r="L324" s="10" t="str">
        <v>L241</v>
      </c>
    </row>
    <row r="325" spans="6:12" ht="63" x14ac:dyDescent="0.25">
      <c r="F325" s="7" t="s">
        <v>420</v>
      </c>
      <c r="L325" s="10" t="str">
        <v>L242</v>
      </c>
    </row>
    <row r="326" spans="6:12" ht="63" x14ac:dyDescent="0.25">
      <c r="F326" s="7" t="s">
        <v>423</v>
      </c>
      <c r="L326" s="10" t="str">
        <v>L243</v>
      </c>
    </row>
    <row r="327" spans="6:12" ht="31.5" x14ac:dyDescent="0.25">
      <c r="F327" s="7" t="s">
        <v>427</v>
      </c>
      <c r="L327" s="10" t="str">
        <v>L244</v>
      </c>
    </row>
    <row r="328" spans="6:12" ht="47.25" x14ac:dyDescent="0.25">
      <c r="F328" s="7" t="s">
        <v>430</v>
      </c>
      <c r="L328" s="10" t="str">
        <v>L245</v>
      </c>
    </row>
    <row r="329" spans="6:12" ht="31.5" x14ac:dyDescent="0.25">
      <c r="F329" s="7" t="s">
        <v>433</v>
      </c>
      <c r="L329" s="10" t="str">
        <v>L246</v>
      </c>
    </row>
    <row r="330" spans="6:12" ht="31.5" x14ac:dyDescent="0.25">
      <c r="F330" s="7" t="s">
        <v>436</v>
      </c>
      <c r="L330" s="10" t="str">
        <v>L247</v>
      </c>
    </row>
    <row r="331" spans="6:12" ht="63" x14ac:dyDescent="0.25">
      <c r="F331" s="7" t="s">
        <v>439</v>
      </c>
      <c r="L331" s="10" t="str">
        <v>L248</v>
      </c>
    </row>
    <row r="332" spans="6:12" ht="31.5" x14ac:dyDescent="0.25">
      <c r="F332" s="7" t="s">
        <v>442</v>
      </c>
      <c r="L332" s="10" t="str">
        <v>L249</v>
      </c>
    </row>
    <row r="333" spans="6:12" ht="47.25" x14ac:dyDescent="0.25">
      <c r="F333" s="7" t="s">
        <v>445</v>
      </c>
      <c r="L333" s="10" t="str">
        <v>L250</v>
      </c>
    </row>
    <row r="334" spans="6:12" ht="47.25" x14ac:dyDescent="0.25">
      <c r="F334" s="7" t="s">
        <v>448</v>
      </c>
      <c r="L334" s="10" t="str">
        <v>L251</v>
      </c>
    </row>
    <row r="335" spans="6:12" ht="47.25" x14ac:dyDescent="0.25">
      <c r="F335" s="7" t="s">
        <v>451</v>
      </c>
    </row>
    <row r="336" spans="6:12" ht="47.25" x14ac:dyDescent="0.25">
      <c r="F336" s="7" t="s">
        <v>454</v>
      </c>
    </row>
    <row r="337" spans="6:6" ht="31.5" x14ac:dyDescent="0.25">
      <c r="F337" s="7" t="s">
        <v>457</v>
      </c>
    </row>
    <row r="338" spans="6:6" ht="47.25" x14ac:dyDescent="0.25">
      <c r="F338" s="7" t="s">
        <v>460</v>
      </c>
    </row>
    <row r="339" spans="6:6" ht="31.5" x14ac:dyDescent="0.25">
      <c r="F339" s="7" t="s">
        <v>463</v>
      </c>
    </row>
    <row r="340" spans="6:6" ht="47.25" x14ac:dyDescent="0.25">
      <c r="F340" s="7" t="s">
        <v>466</v>
      </c>
    </row>
    <row r="341" spans="6:6" ht="47.25" x14ac:dyDescent="0.25">
      <c r="F341" s="7" t="s">
        <v>469</v>
      </c>
    </row>
    <row r="342" spans="6:6" ht="47.25" x14ac:dyDescent="0.25">
      <c r="F342" s="7" t="s">
        <v>472</v>
      </c>
    </row>
    <row r="343" spans="6:6" ht="47.25" x14ac:dyDescent="0.25">
      <c r="F343" s="7" t="s">
        <v>475</v>
      </c>
    </row>
    <row r="344" spans="6:6" ht="47.25" x14ac:dyDescent="0.25">
      <c r="F344" s="7" t="s">
        <v>478</v>
      </c>
    </row>
    <row r="345" spans="6:6" ht="78.75" x14ac:dyDescent="0.25">
      <c r="F345" s="7" t="s">
        <v>481</v>
      </c>
    </row>
    <row r="346" spans="6:6" ht="78.75" x14ac:dyDescent="0.25">
      <c r="F346" s="7" t="s">
        <v>484</v>
      </c>
    </row>
    <row r="347" spans="6:6" ht="31.5" x14ac:dyDescent="0.25">
      <c r="F347" s="7" t="s">
        <v>487</v>
      </c>
    </row>
    <row r="348" spans="6:6" ht="31.5" x14ac:dyDescent="0.25">
      <c r="F348" s="7" t="s">
        <v>490</v>
      </c>
    </row>
    <row r="349" spans="6:6" ht="63" x14ac:dyDescent="0.25">
      <c r="F349" s="7" t="s">
        <v>493</v>
      </c>
    </row>
    <row r="350" spans="6:6" ht="31.5" x14ac:dyDescent="0.25">
      <c r="F350" s="7" t="s">
        <v>496</v>
      </c>
    </row>
    <row r="351" spans="6:6" ht="47.25" x14ac:dyDescent="0.25">
      <c r="F351" s="7" t="s">
        <v>499</v>
      </c>
    </row>
    <row r="352" spans="6:6" ht="47.25" x14ac:dyDescent="0.25">
      <c r="F352" s="7" t="s">
        <v>501</v>
      </c>
    </row>
    <row r="353" spans="6:6" ht="63" x14ac:dyDescent="0.25">
      <c r="F353" s="7" t="s">
        <v>503</v>
      </c>
    </row>
    <row r="354" spans="6:6" ht="31.5" x14ac:dyDescent="0.25">
      <c r="F354" s="7" t="s">
        <v>505</v>
      </c>
    </row>
    <row r="355" spans="6:6" ht="47.25" x14ac:dyDescent="0.25">
      <c r="F355" s="7" t="s">
        <v>508</v>
      </c>
    </row>
    <row r="356" spans="6:6" ht="63" x14ac:dyDescent="0.25">
      <c r="F356" s="7" t="s">
        <v>511</v>
      </c>
    </row>
    <row r="357" spans="6:6" ht="47.25" x14ac:dyDescent="0.25">
      <c r="F357" s="7" t="s">
        <v>514</v>
      </c>
    </row>
    <row r="358" spans="6:6" ht="47.25" x14ac:dyDescent="0.25">
      <c r="F358" s="7" t="s">
        <v>516</v>
      </c>
    </row>
    <row r="359" spans="6:6" ht="47.25" x14ac:dyDescent="0.25">
      <c r="F359" s="7" t="s">
        <v>519</v>
      </c>
    </row>
    <row r="360" spans="6:6" ht="47.25" x14ac:dyDescent="0.25">
      <c r="F360" s="7" t="s">
        <v>521</v>
      </c>
    </row>
    <row r="361" spans="6:6" ht="47.25" x14ac:dyDescent="0.25">
      <c r="F361" s="7" t="s">
        <v>523</v>
      </c>
    </row>
    <row r="362" spans="6:6" ht="31.5" x14ac:dyDescent="0.25">
      <c r="F362" s="7" t="s">
        <v>526</v>
      </c>
    </row>
    <row r="363" spans="6:6" ht="31.5" x14ac:dyDescent="0.25">
      <c r="F363" s="7" t="s">
        <v>528</v>
      </c>
    </row>
    <row r="364" spans="6:6" ht="63" x14ac:dyDescent="0.25">
      <c r="F364" s="7" t="s">
        <v>531</v>
      </c>
    </row>
    <row r="365" spans="6:6" ht="47.25" x14ac:dyDescent="0.25">
      <c r="F365" s="7" t="s">
        <v>533</v>
      </c>
    </row>
    <row r="366" spans="6:6" ht="47.25" x14ac:dyDescent="0.25">
      <c r="F366" s="7" t="s">
        <v>536</v>
      </c>
    </row>
    <row r="367" spans="6:6" ht="47.25" x14ac:dyDescent="0.25">
      <c r="F367" s="7" t="s">
        <v>539</v>
      </c>
    </row>
    <row r="368" spans="6:6" ht="63" x14ac:dyDescent="0.25">
      <c r="F368" s="7" t="s">
        <v>542</v>
      </c>
    </row>
    <row r="369" spans="6:6" ht="31.5" x14ac:dyDescent="0.25">
      <c r="F369" s="7" t="s">
        <v>544</v>
      </c>
    </row>
    <row r="370" spans="6:6" ht="31.5" x14ac:dyDescent="0.25">
      <c r="F370" s="7" t="s">
        <v>547</v>
      </c>
    </row>
    <row r="371" spans="6:6" ht="63" x14ac:dyDescent="0.25">
      <c r="F371" s="7" t="s">
        <v>550</v>
      </c>
    </row>
    <row r="372" spans="6:6" ht="47.25" x14ac:dyDescent="0.25">
      <c r="F372" s="7" t="s">
        <v>552</v>
      </c>
    </row>
    <row r="373" spans="6:6" ht="47.25" x14ac:dyDescent="0.25">
      <c r="F373" s="7" t="s">
        <v>555</v>
      </c>
    </row>
    <row r="374" spans="6:6" ht="31.5" x14ac:dyDescent="0.25">
      <c r="F374" s="7" t="s">
        <v>558</v>
      </c>
    </row>
    <row r="375" spans="6:6" ht="63" x14ac:dyDescent="0.25">
      <c r="F375" s="7" t="s">
        <v>561</v>
      </c>
    </row>
    <row r="376" spans="6:6" ht="78.75" x14ac:dyDescent="0.25">
      <c r="F376" s="7" t="s">
        <v>564</v>
      </c>
    </row>
    <row r="377" spans="6:6" ht="31.5" x14ac:dyDescent="0.25">
      <c r="F377" s="7" t="s">
        <v>567</v>
      </c>
    </row>
    <row r="378" spans="6:6" ht="31.5" x14ac:dyDescent="0.25">
      <c r="F378" s="7" t="s">
        <v>570</v>
      </c>
    </row>
    <row r="379" spans="6:6" ht="31.5" x14ac:dyDescent="0.25">
      <c r="F379" s="7" t="s">
        <v>572</v>
      </c>
    </row>
    <row r="380" spans="6:6" ht="31.5" x14ac:dyDescent="0.25">
      <c r="F380" s="7" t="s">
        <v>575</v>
      </c>
    </row>
    <row r="381" spans="6:6" ht="31.5" x14ac:dyDescent="0.25">
      <c r="F381" s="7" t="s">
        <v>578</v>
      </c>
    </row>
    <row r="382" spans="6:6" ht="31.5" x14ac:dyDescent="0.25">
      <c r="F382" s="7" t="s">
        <v>581</v>
      </c>
    </row>
    <row r="383" spans="6:6" ht="47.25" x14ac:dyDescent="0.25">
      <c r="F383" s="7" t="s">
        <v>583</v>
      </c>
    </row>
    <row r="384" spans="6:6"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47.25"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47.25"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63"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31.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47.25"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47.25"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47.25"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31.5" x14ac:dyDescent="0.25">
      <c r="F968" s="7" t="s">
        <v>2468</v>
      </c>
    </row>
    <row r="969" spans="6:6" ht="31.5" x14ac:dyDescent="0.25">
      <c r="F969" s="7" t="s">
        <v>2471</v>
      </c>
    </row>
    <row r="970" spans="6:6" ht="31.5" x14ac:dyDescent="0.25">
      <c r="F970" s="7" t="s">
        <v>2474</v>
      </c>
    </row>
    <row r="971" spans="6:6" ht="31.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63"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47.25"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31.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47.25"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5" priority="25">
      <formula>ISEVEN(ROW())</formula>
    </cfRule>
  </conditionalFormatting>
  <conditionalFormatting sqref="F1:F1048576">
    <cfRule type="duplicateValues" dxfId="44" priority="23"/>
  </conditionalFormatting>
  <conditionalFormatting sqref="L2:O251 P2:P252 P261:P1048576">
    <cfRule type="containsText" dxfId="43" priority="9" operator="containsText" text="GERİ ÇEKİLDİ">
      <formula>NOT(ISERROR(SEARCH("GERİ ÇEKİLDİ",L2)))</formula>
    </cfRule>
    <cfRule type="containsText" dxfId="42" priority="10" operator="containsText" text="RET">
      <formula>NOT(ISERROR(SEARCH("RET",L2)))</formula>
    </cfRule>
    <cfRule type="containsText" dxfId="41" priority="11" operator="containsText" text="KAPSAM DIŞI">
      <formula>NOT(ISERROR(SEARCH("KAPSAM DIŞI",L2)))</formula>
    </cfRule>
    <cfRule type="containsText" dxfId="40" priority="12" operator="containsText" text="KAEK">
      <formula>NOT(ISERROR(SEARCH("KAEK",L2)))</formula>
    </cfRule>
    <cfRule type="containsText" dxfId="39" priority="13" operator="containsText" text="GÖRÜŞ">
      <formula>NOT(ISERROR(SEARCH("GÖRÜŞ",L2)))</formula>
    </cfRule>
    <cfRule type="containsText" dxfId="38" priority="14" operator="containsText" text="DÜZELTME">
      <formula>NOT(ISERROR(SEARCH("DÜZELTME",L2)))</formula>
    </cfRule>
    <cfRule type="containsText" dxfId="37" priority="15" operator="containsText" text="ONAY">
      <formula>NOT(ISERROR(SEARCH("ONAY",L2)))</formula>
    </cfRule>
  </conditionalFormatting>
  <conditionalFormatting sqref="R1:R1048576">
    <cfRule type="notContainsBlanks" dxfId="36"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Q16"/>
  <sheetViews>
    <sheetView showZeros="0" zoomScale="50" zoomScaleNormal="50" workbookViewId="0">
      <selection activeCell="N32" sqref="N32"/>
    </sheetView>
  </sheetViews>
  <sheetFormatPr defaultRowHeight="15.75" x14ac:dyDescent="0.25"/>
  <cols>
    <col min="1" max="1" width="9.140625" style="1"/>
    <col min="2" max="2" width="58.42578125" style="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288.75" customHeight="1" x14ac:dyDescent="0.25">
      <c r="A1" s="165" t="s">
        <v>65</v>
      </c>
      <c r="B1" s="20" t="s">
        <v>67</v>
      </c>
      <c r="C1" s="166" t="s">
        <v>66</v>
      </c>
      <c r="D1" s="32" t="s">
        <v>4513</v>
      </c>
      <c r="E1" s="32" t="s">
        <v>4514</v>
      </c>
      <c r="F1" s="32" t="s">
        <v>4515</v>
      </c>
      <c r="G1" s="32" t="s">
        <v>4516</v>
      </c>
      <c r="H1" s="32" t="s">
        <v>4517</v>
      </c>
      <c r="I1" s="32" t="s">
        <v>4518</v>
      </c>
      <c r="J1" s="32" t="s">
        <v>4519</v>
      </c>
      <c r="K1" s="36" t="s">
        <v>4520</v>
      </c>
      <c r="L1" s="33" t="s">
        <v>4521</v>
      </c>
      <c r="M1" s="32" t="s">
        <v>4522</v>
      </c>
      <c r="N1" s="32" t="s">
        <v>4523</v>
      </c>
      <c r="O1" s="32" t="s">
        <v>4524</v>
      </c>
      <c r="P1" s="32" t="s">
        <v>4525</v>
      </c>
      <c r="Q1" s="32" t="s">
        <v>4526</v>
      </c>
      <c r="R1" s="32" t="s">
        <v>4527</v>
      </c>
      <c r="S1" s="37" t="s">
        <v>4528</v>
      </c>
      <c r="T1" s="32" t="s">
        <v>4529</v>
      </c>
      <c r="U1" s="32" t="s">
        <v>4530</v>
      </c>
      <c r="V1" s="32" t="s">
        <v>4531</v>
      </c>
      <c r="W1" s="32" t="s">
        <v>4532</v>
      </c>
      <c r="X1" s="32" t="s">
        <v>4533</v>
      </c>
      <c r="Y1" s="32" t="s">
        <v>4534</v>
      </c>
      <c r="Z1" s="32" t="s">
        <v>4535</v>
      </c>
      <c r="AA1" s="38" t="s">
        <v>4536</v>
      </c>
      <c r="AB1" s="32" t="s">
        <v>4537</v>
      </c>
      <c r="AC1" s="32" t="s">
        <v>4538</v>
      </c>
      <c r="AD1" s="32" t="s">
        <v>4539</v>
      </c>
      <c r="AE1" s="32" t="s">
        <v>4540</v>
      </c>
      <c r="AF1" s="32" t="s">
        <v>4541</v>
      </c>
      <c r="AG1" s="32" t="s">
        <v>4542</v>
      </c>
      <c r="AH1" s="32" t="s">
        <v>4543</v>
      </c>
      <c r="AI1" s="38" t="s">
        <v>4544</v>
      </c>
      <c r="AJ1" s="34" t="s">
        <v>4545</v>
      </c>
      <c r="AK1" s="34" t="s">
        <v>4546</v>
      </c>
      <c r="AL1" s="34" t="s">
        <v>4547</v>
      </c>
      <c r="AM1" s="34" t="s">
        <v>4548</v>
      </c>
      <c r="AN1" s="34" t="s">
        <v>4549</v>
      </c>
      <c r="AO1" s="34" t="s">
        <v>4550</v>
      </c>
      <c r="AP1" s="34" t="s">
        <v>4551</v>
      </c>
      <c r="AQ1" s="34" t="s">
        <v>4248</v>
      </c>
    </row>
    <row r="2" spans="1:43" s="14" customFormat="1" ht="30.75" x14ac:dyDescent="0.25">
      <c r="A2" s="21" t="s">
        <v>1</v>
      </c>
      <c r="B2" s="22" t="s">
        <v>89</v>
      </c>
      <c r="C2" s="12">
        <f>COUNTIF(Başvuru!J2:K1142,"Prof. Dr. Ayşe Nurten AKARSU")</f>
        <v>31</v>
      </c>
      <c r="D2" s="12" cm="1">
        <f t="array" ref="D2">SUMPRODUCT(((Başvuru!J2:K1142)="Prof. Dr. Ayşe Nurten AKARSU")*(Başvuru!G2:G1142="Bireysel Araştırma")*(Başvuru!L2:L1142="ONAY"))</f>
        <v>13</v>
      </c>
      <c r="E2" s="12" cm="1">
        <f t="array" ref="E2">SUMPRODUCT(((Başvuru!J2:K1142)="Prof. Dr. Ayşe Nurten AKARSU")*(Başvuru!G2:G1142="Bireysel Araştırma")*(Başvuru!L2:L1142="DÜZELTME"))</f>
        <v>10</v>
      </c>
      <c r="F2" s="12" cm="1">
        <f t="array" ref="F2">SUMPRODUCT(((Başvuru!J2:K1142)="Prof. Dr. Ayşe Nurten AKARSU")*(Başvuru!G2:G1142="Bireysel Araştırma")*(Başvuru!L2:L1142="KAEK"))</f>
        <v>0</v>
      </c>
      <c r="G2" s="12" cm="1">
        <f t="array" ref="G2">SUMPRODUCT(((Başvuru!J2:K1142)="Prof. Dr. Ayşe Nurten AKARSU")*(Başvuru!G2:G1142="Bireysel Araştırma")*(Başvuru!L2:L1142="GÖRÜŞ"))</f>
        <v>0</v>
      </c>
      <c r="H2" s="12" cm="1">
        <f t="array" ref="H2">SUMPRODUCT(((Başvuru!J2:K1142)="Prof. Dr. Ayşe Nurten AKARSU")*(Başvuru!G2:G1142="Bireysel Araştırma")*(Başvuru!L2:L1142="RET"))</f>
        <v>0</v>
      </c>
      <c r="I2" s="12" cm="1">
        <f t="array" ref="I2">SUMPRODUCT(((Başvuru!J2:K1142)="Prof. Dr. Ayşe Nurten AKARSU")*(Başvuru!G2:G1142="Bireysel Araştırma")*(Başvuru!L2:L1142="KAPSAM DIŞI"))</f>
        <v>0</v>
      </c>
      <c r="J2" s="12" cm="1">
        <f t="array" ref="J2">SUMPRODUCT(((Başvuru!J2:K1142)="Prof. Dr. Ayşe Nurten AKARSU")*(Başvuru!G2:G1142="Bireysel Araştırma")*(Başvuru!L2:L1142="GERİ ÇEKİLDİ"))</f>
        <v>0</v>
      </c>
      <c r="K2" s="12">
        <f>SUM(D2:J2)</f>
        <v>23</v>
      </c>
      <c r="L2" s="12" cm="1">
        <f t="array" ref="L2">SUMPRODUCT(((Başvuru!J2:K1142)="Prof. Dr. Ayşe Nurten AKARSU")*(Başvuru!G2:G1142="Yüksek Lisans Tezi")*(Başvuru!L2:L1142="ONAY"))</f>
        <v>0</v>
      </c>
      <c r="M2" s="12" cm="1">
        <f t="array" ref="M2">SUMPRODUCT(((Başvuru!J2:K1142)="Prof. Dr. Ayşe Nurten AKARSU")*(Başvuru!G2:G1142="Yüksek Lisans Tezi")*(Başvuru!L2:L1142="DÜZELTME"))</f>
        <v>2</v>
      </c>
      <c r="N2" s="12" cm="1">
        <f t="array" ref="N2">SUMPRODUCT(((Başvuru!J2:K1142)="Prof. Dr. Ayşe Nurten AKARSU")*(Başvuru!G2:G1142="Yüksek Lisans Tezi")*(Başvuru!L2:L1142="KAEK"))</f>
        <v>0</v>
      </c>
      <c r="O2" s="12" cm="1">
        <f t="array" ref="O2">SUMPRODUCT(((Başvuru!J2:K1142)="Prof. Dr. Ayşe Nurten AKARSU")*(Başvuru!G2:G1142="Yüksek Lisans Tezi")*(Başvuru!L2:L1142="GÖRÜŞ"))</f>
        <v>0</v>
      </c>
      <c r="P2" s="12" cm="1">
        <f t="array" ref="P2">SUMPRODUCT(((Başvuru!J2:K1142)="Prof. Dr. Ayşe Nurten AKARSU")*(Başvuru!G2:G1142="Yüksek Lisans Tezi")*(Başvuru!L2:L1142="RET"))</f>
        <v>0</v>
      </c>
      <c r="Q2" s="12" cm="1">
        <f t="array" ref="Q2">SUMPRODUCT(((Başvuru!J2:K1142)="Prof. Dr. Ayşe Nurten AKARSU")*(Başvuru!G2:G1142="Yüksek Lisans Tezi")*(Başvuru!L2:L1142="KAPSAM DIŞI"))</f>
        <v>0</v>
      </c>
      <c r="R2" s="12" cm="1">
        <f t="array" ref="R2">SUMPRODUCT(((Başvuru!J2:K1142)="Prof. Dr. Ayşe Nurten AKARSU")*(Başvuru!G2:G1142="Yüksek Lisans Tezi")*(Başvuru!L2:L1142="GERİ ÇEKİLDİ"))</f>
        <v>0</v>
      </c>
      <c r="S2" s="12">
        <f>SUM(L2:R2)</f>
        <v>2</v>
      </c>
      <c r="T2" s="12" cm="1">
        <f t="array" ref="T2">SUMPRODUCT(((Başvuru!J2:K1142)="Prof. Dr. Ayşe Nurten AKARSU")*(Başvuru!G2:G1142="Doktora Tezi")*(Başvuru!L2:L1142="ONAY"))</f>
        <v>2</v>
      </c>
      <c r="U2" s="12" cm="1">
        <f t="array" ref="U2">SUMPRODUCT(((Başvuru!J2:K1142)="Prof. Dr. Ayşe Nurten AKARSU")*(Başvuru!G2:G1142="Doktora Tezi")*(Başvuru!L2:L1142="DÜZELTME"))</f>
        <v>2</v>
      </c>
      <c r="V2" s="12" cm="1">
        <f t="array" ref="V2">SUMPRODUCT(((Başvuru!J2:K1142)="Prof. Dr. Ayşe Nurten AKARSU")*(Başvuru!G2:G1142="Doktora Tezi")*(Başvuru!L2:L1142="KAEK"))</f>
        <v>0</v>
      </c>
      <c r="W2" s="12" cm="1">
        <f t="array" ref="W2">SUMPRODUCT(((Başvuru!J2:K1142)="Prof. Dr. Ayşe Nurten AKARSU")*(Başvuru!G2:G1142="Doktora Tezi")*(Başvuru!L2:L1142="GÖRÜŞ"))</f>
        <v>0</v>
      </c>
      <c r="X2" s="12" cm="1">
        <f t="array" ref="X2">SUMPRODUCT(((Başvuru!J2:K1142)="Prof. Dr. Ayşe Nurten AKARSU")*(Başvuru!G2:G1142="Doktora Tezi")*(Başvuru!L2:L1142="RET"))</f>
        <v>0</v>
      </c>
      <c r="Y2" s="12" cm="1">
        <f t="array" ref="Y2">SUMPRODUCT(((Başvuru!J2:K1142)="Prof. Dr. Ayşe Nurten AKARSU")*(Başvuru!G2:G1142="Doktora Tezi")*(Başvuru!L2:L1142="KAPSAM DIŞI"))</f>
        <v>0</v>
      </c>
      <c r="Z2" s="12" cm="1">
        <f t="array" ref="Z2">SUMPRODUCT(((Başvuru!J2:K1142)="Prof. Dr. Ayşe Nurten AKARSU")*(Başvuru!G2:G1142="Doktora Tezi")*(Başvuru!L2:L1142="GERİ ÇEKİLDİ"))</f>
        <v>0</v>
      </c>
      <c r="AA2" s="12">
        <f>SUM(T2:Z2)</f>
        <v>4</v>
      </c>
      <c r="AB2" s="12" cm="1">
        <f t="array" ref="AB2">SUMPRODUCT(((Başvuru!J2:K1142)="Prof. Dr. Ayşe Nurten AKARSU")*(Başvuru!G2:G1142="Uzmanlık Tezi")*(Başvuru!L2:L1142="ONAY"))</f>
        <v>0</v>
      </c>
      <c r="AC2" s="12" cm="1">
        <f t="array" ref="AC2">SUMPRODUCT(((Başvuru!J2:K1142)="Prof. Dr. Ayşe Nurten AKARSU")*(Başvuru!G2:G1142="Uzmanlık Tezi")*(Başvuru!L2:L1142="DÜZELTME"))</f>
        <v>2</v>
      </c>
      <c r="AD2" s="12" cm="1">
        <f t="array" ref="AD2">SUMPRODUCT(((Başvuru!J2:K1142)="Prof. Dr. Ayşe Nurten AKARSU")*(Başvuru!G2:G1142="Uzmanlık Tezi")*(Başvuru!L2:L1142="KAEK"))</f>
        <v>0</v>
      </c>
      <c r="AE2" s="12" cm="1">
        <f t="array" ref="AE2">SUMPRODUCT(((Başvuru!J2:K1142)="Prof. Dr. Ayşe Nurten AKARSU")*(Başvuru!G2:G1142="Uzmanlık Tezi")*(Başvuru!L2:L1142="GÖRÜŞ"))</f>
        <v>0</v>
      </c>
      <c r="AF2" s="12" cm="1">
        <f t="array" ref="AF2">SUMPRODUCT(((Başvuru!J2:K1142)="Prof. Dr. Ayşe Nurten AKARSU")*(Başvuru!G2:G1142="Uzmanlık Tezi")*(Başvuru!L2:L1142="RET"))</f>
        <v>0</v>
      </c>
      <c r="AG2" s="12" cm="1">
        <f t="array" ref="AG2">SUMPRODUCT(((Başvuru!J2:K1142)="Prof. Dr. Ayşe Nurten AKARSU")*(Başvuru!G2:G1142="Uzmanlık Tezi")*(Başvuru!L2:L1142="KAPSAM DIŞI"))</f>
        <v>0</v>
      </c>
      <c r="AH2" s="12" cm="1">
        <f t="array" ref="AH2">SUMPRODUCT(((Başvuru!J2:K1142)="Prof. Dr. Ayşe Nurten AKARSU")*(Başvuru!G2:G1142="Uzmanlık Tezi")*(Başvuru!L2:L1142="GERİ ÇEKİLDİ"))</f>
        <v>0</v>
      </c>
      <c r="AI2" s="12">
        <f>SUM(AB2:AH2)</f>
        <v>2</v>
      </c>
      <c r="AJ2" s="31">
        <f>SUM(D2,L2,T2,AB2)</f>
        <v>15</v>
      </c>
      <c r="AK2" s="31">
        <f>SUM(E2,M2,U2,AC2)</f>
        <v>16</v>
      </c>
      <c r="AL2" s="31">
        <f t="shared" ref="AL2:AP13" si="0">SUM(F2,N2,V2,AD2)</f>
        <v>0</v>
      </c>
      <c r="AM2" s="31">
        <f t="shared" si="0"/>
        <v>0</v>
      </c>
      <c r="AN2" s="31">
        <f t="shared" si="0"/>
        <v>0</v>
      </c>
      <c r="AO2" s="31">
        <f t="shared" si="0"/>
        <v>0</v>
      </c>
      <c r="AP2" s="31">
        <f t="shared" si="0"/>
        <v>0</v>
      </c>
      <c r="AQ2" s="31">
        <f>SUM(AJ2:AP2)</f>
        <v>31</v>
      </c>
    </row>
    <row r="3" spans="1:43" s="14" customFormat="1" ht="30" customHeight="1" x14ac:dyDescent="0.25">
      <c r="A3" s="21" t="s">
        <v>2</v>
      </c>
      <c r="B3" s="22" t="s">
        <v>63</v>
      </c>
      <c r="C3" s="12">
        <f>COUNTIF(Başvuru!J2:K1142,"Prof. Dr. M. Özgür UYANIK")</f>
        <v>35</v>
      </c>
      <c r="D3" s="12" cm="1">
        <f t="array" ref="D3">SUMPRODUCT(((Başvuru!J2:K1142)="Prof. Dr. M. Özgür UYANIK")*(Başvuru!G2:G1142="Bireysel Araştırma")*(Başvuru!L2:L1142="ONAY"))</f>
        <v>12</v>
      </c>
      <c r="E3" s="12" cm="1">
        <f t="array" ref="E3">SUMPRODUCT(((Başvuru!J2:K1142)="Prof. Dr. M. Özgür UYANIK")*(Başvuru!G2:G1142="Bireysel Araştırma")*(Başvuru!L2:L1142="DÜZELTME"))</f>
        <v>6</v>
      </c>
      <c r="F3" s="12" cm="1">
        <f t="array" ref="F3">SUMPRODUCT(((Başvuru!J2:K1142)="Prof. Dr. M. Özgür UYANIK")*(Başvuru!G2:G1142="Bireysel Araştırma")*(Başvuru!L2:L1142="KAEK"))</f>
        <v>1</v>
      </c>
      <c r="G3" s="12" cm="1">
        <f t="array" ref="G3">SUMPRODUCT(((Başvuru!J2:K1142)="Prof. Dr. M. Özgür UYANIK")*(Başvuru!G2:G1142="Bireysel Araştırma")*(Başvuru!L2:L1142="GÖRÜŞ"))</f>
        <v>0</v>
      </c>
      <c r="H3" s="12" cm="1">
        <f t="array" ref="H3">SUMPRODUCT(((Başvuru!J2:K1142)="Prof. Dr. M. Özgür UYANIK")*(Başvuru!G2:G1142="Bireysel Araştırma")*(Başvuru!L2:L1142="RET"))</f>
        <v>1</v>
      </c>
      <c r="I3" s="12" cm="1">
        <f t="array" ref="I3">SUMPRODUCT(((Başvuru!J2:K1142)="Prof. Dr. M. Özgür UYANIK")*(Başvuru!G2:G1142="Bireysel Araştırma")*(Başvuru!L2:L1142="KAPSAM DIŞI"))</f>
        <v>0</v>
      </c>
      <c r="J3" s="12" cm="1">
        <f t="array" ref="J3">SUMPRODUCT(((Başvuru!J2:K1142)="Prof. Dr. M. Özgür UYANIK")*(Başvuru!G2:G1142="Bireysel Araştırma")*(Başvuru!L2:L1142="GERİ ÇEKİLDİ"))</f>
        <v>0</v>
      </c>
      <c r="K3" s="12">
        <f t="shared" ref="K3:K13" si="1">SUM(D3:J3)</f>
        <v>20</v>
      </c>
      <c r="L3" s="12" cm="1">
        <f t="array" ref="L3">SUMPRODUCT(((Başvuru!J2:K1142)="Prof. Dr. M. Özgür UYANIK")*(Başvuru!G2:G1142="Yüksek Lisans Tezi")*(Başvuru!L2:L1142="ONAY"))</f>
        <v>1</v>
      </c>
      <c r="M3" s="12" cm="1">
        <f t="array" ref="M3">SUMPRODUCT(((Başvuru!J2:K1142)="Prof. Dr. M. Özgür UYANIK")*(Başvuru!G2:G1142="Yüksek Lisans Tezi")*(Başvuru!L2:L1142="DÜZELTME"))</f>
        <v>0</v>
      </c>
      <c r="N3" s="12" cm="1">
        <f t="array" ref="N3">SUMPRODUCT(((Başvuru!J2:K1142)="Prof. Dr. M. Özgür UYANIK")*(Başvuru!G2:G1142="Yüksek Lisans Tezi")*(Başvuru!L2:L1142="KAEK"))</f>
        <v>0</v>
      </c>
      <c r="O3" s="12" cm="1">
        <f t="array" ref="O3">SUMPRODUCT(((Başvuru!J2:K1142)="Prof. Dr. M. Özgür UYANIK")*(Başvuru!G2:G1142="Yüksek Lisans Tezi")*(Başvuru!L2:L1142="GÖRÜŞ"))</f>
        <v>0</v>
      </c>
      <c r="P3" s="12" cm="1">
        <f t="array" ref="P3">SUMPRODUCT(((Başvuru!J2:K1142)="Prof. Dr. M. Özgür UYANIK")*(Başvuru!G2:G1142="Yüksek Lisans Tezi")*(Başvuru!L2:L1142="RET"))</f>
        <v>0</v>
      </c>
      <c r="Q3" s="12" cm="1">
        <f t="array" ref="Q3">SUMPRODUCT(((Başvuru!J2:K1142)="Prof. Dr. M. Özgür UYANIK")*(Başvuru!G2:G1142="Yüksek Lisans Tezi")*(Başvuru!L2:L1142="KAPSAM DIŞI"))</f>
        <v>0</v>
      </c>
      <c r="R3" s="12" cm="1">
        <f t="array" ref="R3">SUMPRODUCT(((Başvuru!J2:K1142)="Prof. Dr. M. Özgür UYANIK")*(Başvuru!G2:G1142="Yüksek Lisans Tezi")*(Başvuru!L2:L1142="GERİ ÇEKİLDİ"))</f>
        <v>0</v>
      </c>
      <c r="S3" s="12">
        <f t="shared" ref="S3:S13" si="2">SUM(L3:R3)</f>
        <v>1</v>
      </c>
      <c r="T3" s="12" cm="1">
        <f t="array" ref="T3">SUMPRODUCT(((Başvuru!J2:K1142)="Prof. Dr. M. Özgür UYANIK")*(Başvuru!G2:G1142="Doktora Tezi")*(Başvuru!L2:L1142="ONAY"))</f>
        <v>0</v>
      </c>
      <c r="U3" s="12" cm="1">
        <f t="array" ref="U3">SUMPRODUCT(((Başvuru!J2:K1142)="Prof. Dr. M. Özgür UYANIK")*(Başvuru!G2:G1142="Doktora Tezi")*(Başvuru!L2:L1142="DÜZELTME"))</f>
        <v>1</v>
      </c>
      <c r="V3" s="12" cm="1">
        <f t="array" ref="V3">SUMPRODUCT(((Başvuru!J2:K1142)="Prof. Dr. M. Özgür UYANIK")*(Başvuru!G2:G1142="Doktora Tezi")*(Başvuru!L2:L1142="KAEK"))</f>
        <v>0</v>
      </c>
      <c r="W3" s="12" cm="1">
        <f t="array" ref="W3">SUMPRODUCT(((Başvuru!J2:K1142)="Prof. Dr. M. Özgür UYANIK")*(Başvuru!G2:G1142="Doktora Tezi")*(Başvuru!L2:L1142="GÖRÜŞ"))</f>
        <v>0</v>
      </c>
      <c r="X3" s="12" cm="1">
        <f t="array" ref="X3">SUMPRODUCT(((Başvuru!J2:K1142)="Prof. Dr. M. Özgür UYANIK")*(Başvuru!G2:G1142="Doktora Tezi")*(Başvuru!L2:L1142="RET"))</f>
        <v>0</v>
      </c>
      <c r="Y3" s="12" cm="1">
        <f t="array" ref="Y3">SUMPRODUCT(((Başvuru!J2:K1142)="Prof. Dr. M. Özgür UYANIK")*(Başvuru!G2:G1142="Doktora Tezi")*(Başvuru!L2:L1142="KAPSAM DIŞI"))</f>
        <v>0</v>
      </c>
      <c r="Z3" s="12" cm="1">
        <f t="array" ref="Z3">SUMPRODUCT(((Başvuru!J2:K1142)="Prof. Dr. M. Özgür UYANIK")*(Başvuru!G2:G1142="Doktora Tezi")*(Başvuru!L2:L1142="GERİ ÇEKİLDİ"))</f>
        <v>0</v>
      </c>
      <c r="AA3" s="12">
        <f t="shared" ref="AA3:AA13" si="3">SUM(T3:Z3)</f>
        <v>1</v>
      </c>
      <c r="AB3" s="12" cm="1">
        <f t="array" ref="AB3">SUMPRODUCT(((Başvuru!J2:K1142)="Prof. Dr. M. Özgür UYANIK")*(Başvuru!G2:G1142="Uzmanlık Tezi")*(Başvuru!L2:L1142="ONAY"))</f>
        <v>8</v>
      </c>
      <c r="AC3" s="12" cm="1">
        <f t="array" ref="AC3">SUMPRODUCT(((Başvuru!J2:K1142)="Prof. Dr. M. Özgür UYANIK")*(Başvuru!G2:G1142="Uzmanlık Tezi")*(Başvuru!L2:L1142="DÜZELTME"))</f>
        <v>2</v>
      </c>
      <c r="AD3" s="12" cm="1">
        <f t="array" ref="AD3">SUMPRODUCT(((Başvuru!J2:K1142)="Prof. Dr. M. Özgür UYANIK")*(Başvuru!G2:G1142="Uzmanlık Tezi")*(Başvuru!L2:L1142="KAEK"))</f>
        <v>0</v>
      </c>
      <c r="AE3" s="12" cm="1">
        <f t="array" ref="AE3">SUMPRODUCT(((Başvuru!J2:K1142)="Prof. Dr. M. Özgür UYANIK")*(Başvuru!G2:G1142="Uzmanlık Tezi")*(Başvuru!L2:L1142="GÖRÜŞ"))</f>
        <v>1</v>
      </c>
      <c r="AF3" s="12" cm="1">
        <f t="array" ref="AF3">SUMPRODUCT(((Başvuru!J2:K1142)="Prof. Dr. M. Özgür UYANIK")*(Başvuru!G2:G1142="Uzmanlık Tezi")*(Başvuru!L2:L1142="RET"))</f>
        <v>0</v>
      </c>
      <c r="AG3" s="12" cm="1">
        <f t="array" ref="AG3">SUMPRODUCT(((Başvuru!J2:K1142)="Prof. Dr. M. Özgür UYANIK")*(Başvuru!G2:G1142="Uzmanlık Tezi")*(Başvuru!L2:L1142="KAPSAM DIŞI"))</f>
        <v>0</v>
      </c>
      <c r="AH3" s="12" cm="1">
        <f t="array" ref="AH3">SUMPRODUCT(((Başvuru!J2:K1142)="Prof. Dr. M. Özgür UYANIK")*(Başvuru!G2:G1142="Uzmanlık Tezi")*(Başvuru!L2:L1142="GERİ ÇEKİLDİ"))</f>
        <v>0</v>
      </c>
      <c r="AI3" s="12">
        <f t="shared" ref="AI3:AI13" si="4">SUM(AB3:AH3)</f>
        <v>11</v>
      </c>
      <c r="AJ3" s="31">
        <f t="shared" ref="AJ3:AK13" si="5">SUM(D3,L3,T3,AB3)</f>
        <v>21</v>
      </c>
      <c r="AK3" s="31">
        <f t="shared" si="5"/>
        <v>9</v>
      </c>
      <c r="AL3" s="31">
        <f t="shared" si="0"/>
        <v>1</v>
      </c>
      <c r="AM3" s="31">
        <f t="shared" si="0"/>
        <v>1</v>
      </c>
      <c r="AN3" s="31">
        <f t="shared" si="0"/>
        <v>1</v>
      </c>
      <c r="AO3" s="31">
        <f t="shared" si="0"/>
        <v>0</v>
      </c>
      <c r="AP3" s="31">
        <f t="shared" si="0"/>
        <v>0</v>
      </c>
      <c r="AQ3" s="31">
        <f t="shared" ref="AQ3:AQ13" si="6">SUM(AJ3:AP3)</f>
        <v>33</v>
      </c>
    </row>
    <row r="4" spans="1:43" s="14" customFormat="1" ht="30" customHeight="1" x14ac:dyDescent="0.25">
      <c r="A4" s="21" t="s">
        <v>3</v>
      </c>
      <c r="B4" s="22" t="s">
        <v>156</v>
      </c>
      <c r="C4" s="12">
        <f>COUNTIF(Başvuru!J2:K1142,"Prof. Dr. Melih Önder BABAOĞLU")</f>
        <v>28</v>
      </c>
      <c r="D4" s="12" cm="1">
        <f t="array" ref="D4">SUMPRODUCT(((Başvuru!J2:K1142)="Prof. Dr. Melih Önder BABAOĞLU")*(Başvuru!G2:G1142="Bireysel Araştırma")*(Başvuru!L2:L1142="ONAY"))</f>
        <v>10</v>
      </c>
      <c r="E4" s="12" cm="1">
        <f t="array" ref="E4">SUMPRODUCT(((Başvuru!J2:K1142)="Prof. Dr. Melih Önder BABAOĞLU")*(Başvuru!G2:G1142="Bireysel Araştırma")*(Başvuru!L2:L1142="DÜZELTME"))</f>
        <v>7</v>
      </c>
      <c r="F4" s="12" cm="1">
        <f t="array" ref="F4">SUMPRODUCT(((Başvuru!J2:K1142)="Prof. Dr. Melih Önder BABAOĞLU")*(Başvuru!G2:G1142="Bireysel Araştırma")*(Başvuru!L2:L1142="KAEK"))</f>
        <v>0</v>
      </c>
      <c r="G4" s="12" cm="1">
        <f t="array" ref="G4">SUMPRODUCT(((Başvuru!J2:K1142)="Prof. Dr. Melih Önder BABAOĞLU")*(Başvuru!G2:G1142="Bireysel Araştırma")*(Başvuru!L2:L1142="GÖRÜŞ"))</f>
        <v>0</v>
      </c>
      <c r="H4" s="12" cm="1">
        <f t="array" ref="H4">SUMPRODUCT(((Başvuru!J2:K1142)="Prof. Dr. Melih Önder BABAOĞLU")*(Başvuru!G2:G1142="Bireysel Araştırma")*(Başvuru!L2:L1142="RET"))</f>
        <v>1</v>
      </c>
      <c r="I4" s="12" cm="1">
        <f t="array" ref="I4">SUMPRODUCT(((Başvuru!J2:K1142)="Prof. Dr. Melih Önder BABAOĞLU")*(Başvuru!G2:G1142="Bireysel Araştırma")*(Başvuru!L2:L1142="KAPSAM DIŞI"))</f>
        <v>0</v>
      </c>
      <c r="J4" s="12" cm="1">
        <f t="array" ref="J4">SUMPRODUCT(((Başvuru!J2:K1142)="Prof. Dr. Melih Önder BABAOĞLU")*(Başvuru!G2:G1142="Bireysel Araştırma")*(Başvuru!L2:L1142="GERİ ÇEKİLDİ"))</f>
        <v>0</v>
      </c>
      <c r="K4" s="12">
        <f t="shared" ref="K4" si="7">SUM(D4:J4)</f>
        <v>18</v>
      </c>
      <c r="L4" s="12" cm="1">
        <f t="array" ref="L4">SUMPRODUCT(((Başvuru!J2:K1142)="Prof. Dr. Melih Önder BABAOĞLU")*(Başvuru!G2:G1142="Yüksek Lisans Tezi")*(Başvuru!L2:L1142="ONAY"))</f>
        <v>0</v>
      </c>
      <c r="M4" s="12" cm="1">
        <f t="array" ref="M4">SUMPRODUCT(((Başvuru!J2:K1142)="Prof. Dr. Melih Önder BABAOĞLU")*(Başvuru!G2:G1142="Yüksek Lisans Tezi")*(Başvuru!L2:L1142="DÜZELTME"))</f>
        <v>1</v>
      </c>
      <c r="N4" s="12" cm="1">
        <f t="array" ref="N4">SUMPRODUCT(((Başvuru!J2:K1142)="Prof. Dr. Melih Önder BABAOĞLU")*(Başvuru!G2:G1142="Yüksek Lisans Tezi")*(Başvuru!L2:L1142="KAEK"))</f>
        <v>0</v>
      </c>
      <c r="O4" s="12" cm="1">
        <f t="array" ref="O4">SUMPRODUCT(((Başvuru!J2:K1142)="Prof. Dr. Melih Önder BABAOĞLU")*(Başvuru!G2:G1142="Yüksek Lisans Tezi")*(Başvuru!L2:L1142="GÖRÜŞ"))</f>
        <v>0</v>
      </c>
      <c r="P4" s="12" cm="1">
        <f t="array" ref="P4">SUMPRODUCT(((Başvuru!J2:K1142)="Prof. Dr. Melih Önder BABAOĞLU")*(Başvuru!G2:G1142="Yüksek Lisans Tezi")*(Başvuru!L2:L1142="RET"))</f>
        <v>0</v>
      </c>
      <c r="Q4" s="12" cm="1">
        <f t="array" ref="Q4">SUMPRODUCT(((Başvuru!J2:K1142)="Prof. Dr. Melih Önder BABAOĞLU")*(Başvuru!G2:G1142="Yüksek Lisans Tezi")*(Başvuru!L2:L1142="KAPSAM DIŞI"))</f>
        <v>0</v>
      </c>
      <c r="R4" s="12" cm="1">
        <f t="array" ref="R4">SUMPRODUCT(((Başvuru!J2:K1142)="Prof. Dr. Melih Önder BABAOĞLU")*(Başvuru!G2:G1142="Yüksek Lisans Tezi")*(Başvuru!L2:L1142="GERİ ÇEKİLDİ"))</f>
        <v>0</v>
      </c>
      <c r="S4" s="12">
        <f t="shared" ref="S4" si="8">SUM(L4:R4)</f>
        <v>1</v>
      </c>
      <c r="T4" s="12" cm="1">
        <f t="array" ref="T4">SUMPRODUCT(((Başvuru!J2:K1142)="Prof. Dr. Melih Önder BABAOĞLU")*(Başvuru!G2:G1142="Doktora Tezi")*(Başvuru!L2:L1142="ONAY"))</f>
        <v>0</v>
      </c>
      <c r="U4" s="12" cm="1">
        <f t="array" ref="U4">SUMPRODUCT(((Başvuru!J2:K1142)="Prof. Dr. Melih Önder BABAOĞLU")*(Başvuru!G2:G1142="Doktora Tezi")*(Başvuru!L2:L1142="DÜZELTME"))</f>
        <v>2</v>
      </c>
      <c r="V4" s="12" cm="1">
        <f t="array" ref="V4">SUMPRODUCT(((Başvuru!J2:K1142)="Prof. Dr. Melih Önder BABAOĞLU")*(Başvuru!G2:G1142="Doktora Tezi")*(Başvuru!L2:L1142="KAEK"))</f>
        <v>0</v>
      </c>
      <c r="W4" s="12" cm="1">
        <f t="array" ref="W4">SUMPRODUCT(((Başvuru!J2:K1142)="Prof. Dr. Melih Önder BABAOĞLU")*(Başvuru!G2:G1142="Doktora Tezi")*(Başvuru!L2:L1142="GÖRÜŞ"))</f>
        <v>0</v>
      </c>
      <c r="X4" s="12" cm="1">
        <f t="array" ref="X4">SUMPRODUCT(((Başvuru!J2:K1142)="Prof. Dr. Melih Önder BABAOĞLU")*(Başvuru!G2:G1142="Doktora Tezi")*(Başvuru!L2:L1142="RET"))</f>
        <v>0</v>
      </c>
      <c r="Y4" s="12" cm="1">
        <f t="array" ref="Y4">SUMPRODUCT(((Başvuru!J2:K1142)="Prof. Dr. Melih Önder BABAOĞLU")*(Başvuru!G2:G1142="Doktora Tezi")*(Başvuru!L2:L1142="KAPSAM DIŞI"))</f>
        <v>0</v>
      </c>
      <c r="Z4" s="12" cm="1">
        <f t="array" ref="Z4">SUMPRODUCT(((Başvuru!J2:K1142)="Prof. Dr. Melih Önder BABAOĞLU")*(Başvuru!G2:G1142="Doktora Tezi")*(Başvuru!L2:L1142="GERİ ÇEKİLDİ"))</f>
        <v>0</v>
      </c>
      <c r="AA4" s="12">
        <f t="shared" ref="AA4" si="9">SUM(T4:Z4)</f>
        <v>2</v>
      </c>
      <c r="AB4" s="12" cm="1">
        <f t="array" ref="AB4">SUMPRODUCT(((Başvuru!J2:K1142)="Prof. Dr. Melih Önder BABAOĞLU")*(Başvuru!G2:G1142="Uzmanlık Tezi")*(Başvuru!L2:L1142="ONAY"))</f>
        <v>2</v>
      </c>
      <c r="AC4" s="12" cm="1">
        <f t="array" ref="AC4">SUMPRODUCT(((Başvuru!J2:K1142)="Prof. Dr. Melih Önder BABAOĞLU")*(Başvuru!G2:G1142="Uzmanlık Tezi")*(Başvuru!L2:L1142="DÜZELTME"))</f>
        <v>3</v>
      </c>
      <c r="AD4" s="12" cm="1">
        <f t="array" ref="AD4">SUMPRODUCT(((Başvuru!J2:K1142)="Prof. Dr. Melih Önder BABAOĞLU")*(Başvuru!G2:G1142="Uzmanlık Tezi")*(Başvuru!L2:L1142="KAEK"))</f>
        <v>0</v>
      </c>
      <c r="AE4" s="12" cm="1">
        <f t="array" ref="AE4">SUMPRODUCT(((Başvuru!J2:K1142)="Prof. Dr. Melih Önder BABAOĞLU")*(Başvuru!G2:G1142="Uzmanlık Tezi")*(Başvuru!L2:L1142="GÖRÜŞ"))</f>
        <v>0</v>
      </c>
      <c r="AF4" s="12" cm="1">
        <f t="array" ref="AF4">SUMPRODUCT(((Başvuru!J2:K1142)="Prof. Dr. Melih Önder BABAOĞLU")*(Başvuru!G2:G1142="Uzmanlık Tezi")*(Başvuru!L2:L1142="RET"))</f>
        <v>0</v>
      </c>
      <c r="AG4" s="12" cm="1">
        <f t="array" ref="AG4">SUMPRODUCT(((Başvuru!J2:K1142)="Prof. Dr. Melih Önder BABAOĞLU")*(Başvuru!G2:G1142="Uzmanlık Tezi")*(Başvuru!L2:L1142="KAPSAM DIŞI"))</f>
        <v>1</v>
      </c>
      <c r="AH4" s="12" cm="1">
        <f t="array" ref="AH4">SUMPRODUCT(((Başvuru!J2:K1142)="Prof. Dr. Melih Önder BABAOĞLU")*(Başvuru!G2:G1142="Uzmanlık Tezi")*(Başvuru!L2:L1142="GERİ ÇEKİLDİ"))</f>
        <v>0</v>
      </c>
      <c r="AI4" s="12">
        <f t="shared" ref="AI4" si="10">SUM(AB4:AH4)</f>
        <v>6</v>
      </c>
      <c r="AJ4" s="31">
        <f t="shared" ref="AJ4" si="11">SUM(D4,L4,T4,AB4)</f>
        <v>12</v>
      </c>
      <c r="AK4" s="31">
        <f t="shared" ref="AK4" si="12">SUM(E4,M4,U4,AC4)</f>
        <v>13</v>
      </c>
      <c r="AL4" s="31">
        <f t="shared" ref="AL4" si="13">SUM(F4,N4,V4,AD4)</f>
        <v>0</v>
      </c>
      <c r="AM4" s="31">
        <f t="shared" ref="AM4" si="14">SUM(G4,O4,W4,AE4)</f>
        <v>0</v>
      </c>
      <c r="AN4" s="31">
        <f t="shared" ref="AN4" si="15">SUM(H4,P4,X4,AF4)</f>
        <v>1</v>
      </c>
      <c r="AO4" s="31">
        <f t="shared" ref="AO4" si="16">SUM(I4,Q4,Y4,AG4)</f>
        <v>1</v>
      </c>
      <c r="AP4" s="31">
        <f t="shared" ref="AP4" si="17">SUM(J4,R4,Z4,AH4)</f>
        <v>0</v>
      </c>
      <c r="AQ4" s="31">
        <f t="shared" ref="AQ4" si="18">SUM(AJ4:AP4)</f>
        <v>27</v>
      </c>
    </row>
    <row r="5" spans="1:43" s="14" customFormat="1" ht="30" customHeight="1" x14ac:dyDescent="0.25">
      <c r="A5" s="21" t="s">
        <v>4</v>
      </c>
      <c r="B5" s="22" t="s">
        <v>88</v>
      </c>
      <c r="C5" s="12">
        <f>COUNTIF(Başvuru!J2:K1142,"Prof. Dr. Ayşe KİN İŞLER")</f>
        <v>25</v>
      </c>
      <c r="D5" s="12" cm="1">
        <f t="array" ref="D5">SUMPRODUCT(((Başvuru!J2:K1142)="Prof. Dr. Ayşe KİN İŞLER")*(Başvuru!G2:G1142="Bireysel Araştırma")*(Başvuru!L2:L1142="ONAY"))</f>
        <v>13</v>
      </c>
      <c r="E5" s="12" cm="1">
        <f t="array" ref="E5">SUMPRODUCT(((Başvuru!J2:K1142)="Prof. Dr. Ayşe KİN İŞLER")*(Başvuru!G2:G1142="Bireysel Araştırma")*(Başvuru!L2:L1142="DÜZELTME"))</f>
        <v>4</v>
      </c>
      <c r="F5" s="12" cm="1">
        <f t="array" ref="F5">SUMPRODUCT(((Başvuru!J2:K1142)="Prof. Dr. Ayşe KİN İŞLER")*(Başvuru!G2:G1142="Bireysel Araştırma")*(Başvuru!L2:L1142="KAEK"))</f>
        <v>0</v>
      </c>
      <c r="G5" s="12" cm="1">
        <f t="array" ref="G5">SUMPRODUCT(((Başvuru!J2:K1142)="Prof. Dr. Ayşe KİN İŞLER")*(Başvuru!G2:G1142="Bireysel Araştırma")*(Başvuru!L2:L1142="GÖRÜŞ"))</f>
        <v>2</v>
      </c>
      <c r="H5" s="12" cm="1">
        <f t="array" ref="H5">SUMPRODUCT(((Başvuru!J2:K1142)="Prof. Dr. Ayşe KİN İŞLER")*(Başvuru!G2:G1142="Bireysel Araştırma")*(Başvuru!L2:L1142="RET"))</f>
        <v>0</v>
      </c>
      <c r="I5" s="12" cm="1">
        <f t="array" ref="I5">SUMPRODUCT(((Başvuru!J2:K1142)="Prof. Dr. Ayşe KİN İŞLER")*(Başvuru!G2:G1142="Bireysel Araştırma")*(Başvuru!L2:L1142="KAPSAM DIŞI"))</f>
        <v>0</v>
      </c>
      <c r="J5" s="12" cm="1">
        <f t="array" ref="J5">SUMPRODUCT(((Başvuru!J2:K1142)="Prof. Dr. Ayşe KİN İŞLER")*(Başvuru!G2:G1142="Bireysel Araştırma")*(Başvuru!L2:L1142="GERİ ÇEKİLDİ"))</f>
        <v>0</v>
      </c>
      <c r="K5" s="12">
        <f t="shared" si="1"/>
        <v>19</v>
      </c>
      <c r="L5" s="12" cm="1">
        <f t="array" ref="L5">SUMPRODUCT(((Başvuru!J2:K1142)="Prof. Dr. Ayşe KİN İŞLER")*(Başvuru!G2:G1142="Yüksek Lisans Tezi")*(Başvuru!L2:L1142="ONAY"))</f>
        <v>0</v>
      </c>
      <c r="M5" s="12" cm="1">
        <f t="array" ref="M5">SUMPRODUCT(((Başvuru!J2:K1142)="Prof. Dr. Ayşe KİN İŞLER")*(Başvuru!G2:G1142="Yüksek Lisans Tezi")*(Başvuru!L2:L1142="DÜZELTME"))</f>
        <v>0</v>
      </c>
      <c r="N5" s="12" cm="1">
        <f t="array" ref="N5">SUMPRODUCT(((Başvuru!J2:K1142)="Prof. Dr. Ayşe KİN İŞLER")*(Başvuru!G2:G1142="Yüksek Lisans Tezi")*(Başvuru!L2:L1142="KAEK"))</f>
        <v>0</v>
      </c>
      <c r="O5" s="12" cm="1">
        <f t="array" ref="O5">SUMPRODUCT(((Başvuru!J2:K1142)="Prof. Dr. Ayşe KİN İŞLER")*(Başvuru!G2:G1142="Yüksek Lisans Tezi")*(Başvuru!L2:L1142="GÖRÜŞ"))</f>
        <v>0</v>
      </c>
      <c r="P5" s="12" cm="1">
        <f t="array" ref="P5">SUMPRODUCT(((Başvuru!J2:K1142)="Prof. Dr. Ayşe KİN İŞLER")*(Başvuru!G2:G1142="Yüksek Lisans Tezi")*(Başvuru!L2:L1142="RET"))</f>
        <v>0</v>
      </c>
      <c r="Q5" s="12" cm="1">
        <f t="array" ref="Q5">SUMPRODUCT(((Başvuru!J2:K1142)="Prof. Dr. Ayşe KİN İŞLER")*(Başvuru!G2:G1142="Yüksek Lisans Tezi")*(Başvuru!L2:L1142="KAPSAM DIŞI"))</f>
        <v>0</v>
      </c>
      <c r="R5" s="12" cm="1">
        <f t="array" ref="R5">SUMPRODUCT(((Başvuru!J2:K1142)="Prof. Dr. Ayşe KİN İŞLER")*(Başvuru!G2:G1142="Yüksek Lisans Tezi")*(Başvuru!L2:L1142="GERİ ÇEKİLDİ"))</f>
        <v>0</v>
      </c>
      <c r="S5" s="12">
        <f t="shared" si="2"/>
        <v>0</v>
      </c>
      <c r="T5" s="12" cm="1">
        <f t="array" ref="T5">SUMPRODUCT(((Başvuru!J2:K1142)="Prof. Dr. Ayşe KİN İŞLER")*(Başvuru!G2:G1142="Doktora Tezi")*(Başvuru!L2:L1142="ONAY"))</f>
        <v>1</v>
      </c>
      <c r="U5" s="12" cm="1">
        <f t="array" ref="U5">SUMPRODUCT(((Başvuru!J2:K1142)="Prof. Dr. Ayşe KİN İŞLER")*(Başvuru!G2:G1142="Doktora Tezi")*(Başvuru!L2:L1142="DÜZELTME"))</f>
        <v>1</v>
      </c>
      <c r="V5" s="12" cm="1">
        <f t="array" ref="V5">SUMPRODUCT(((Başvuru!J2:K1142)="Prof. Dr. Ayşe KİN İŞLER")*(Başvuru!G2:G1142="Doktora Tezi")*(Başvuru!L2:L1142="KAEK"))</f>
        <v>0</v>
      </c>
      <c r="W5" s="12" cm="1">
        <f t="array" ref="W5">SUMPRODUCT(((Başvuru!J2:K1142)="Prof. Dr. Ayşe KİN İŞLER")*(Başvuru!G2:G1142="Doktora Tezi")*(Başvuru!L2:L1142="GÖRÜŞ"))</f>
        <v>0</v>
      </c>
      <c r="X5" s="12" cm="1">
        <f t="array" ref="X5">SUMPRODUCT(((Başvuru!J2:K1142)="Prof. Dr. Ayşe KİN İŞLER")*(Başvuru!G2:G1142="Doktora Tezi")*(Başvuru!L2:L1142="RET"))</f>
        <v>0</v>
      </c>
      <c r="Y5" s="12" cm="1">
        <f t="array" ref="Y5">SUMPRODUCT(((Başvuru!J2:K1142)="Prof. Dr. Ayşe KİN İŞLER")*(Başvuru!G2:G1142="Doktora Tezi")*(Başvuru!L2:L1142="KAPSAM DIŞI"))</f>
        <v>0</v>
      </c>
      <c r="Z5" s="12" cm="1">
        <f t="array" ref="Z5">SUMPRODUCT(((Başvuru!J2:K1142)="Prof. Dr. Ayşe KİN İŞLER")*(Başvuru!G2:G1142="Doktora Tezi")*(Başvuru!L2:L1142="GERİ ÇEKİLDİ"))</f>
        <v>0</v>
      </c>
      <c r="AA5" s="12">
        <f t="shared" si="3"/>
        <v>2</v>
      </c>
      <c r="AB5" s="12" cm="1">
        <f t="array" ref="AB5">SUMPRODUCT(((Başvuru!J2:K1142)="Prof. Dr. Ayşe KİN İŞLER")*(Başvuru!G2:G1142="Uzmanlık Tezi")*(Başvuru!L2:L1142="ONAY"))</f>
        <v>1</v>
      </c>
      <c r="AC5" s="12" cm="1">
        <f t="array" ref="AC5">SUMPRODUCT(((Başvuru!J2:K1142)="Prof. Dr. Ayşe KİN İŞLER")*(Başvuru!G2:G1142="Uzmanlık Tezi")*(Başvuru!L2:L1142="DÜZELTME"))</f>
        <v>2</v>
      </c>
      <c r="AD5" s="12" cm="1">
        <f t="array" ref="AD5">SUMPRODUCT(((Başvuru!J2:K1142)="Prof. Dr. Ayşe KİN İŞLER")*(Başvuru!G2:G1142="Uzmanlık Tezi")*(Başvuru!L2:L1142="KAEK"))</f>
        <v>0</v>
      </c>
      <c r="AE5" s="12" cm="1">
        <f t="array" ref="AE5">SUMPRODUCT(((Başvuru!J2:K1142)="Prof. Dr. Ayşe KİN İŞLER")*(Başvuru!G2:G1142="Uzmanlık Tezi")*(Başvuru!L2:L1142="GÖRÜŞ"))</f>
        <v>0</v>
      </c>
      <c r="AF5" s="12" cm="1">
        <f t="array" ref="AF5">SUMPRODUCT(((Başvuru!J2:K1142)="Prof. Dr. Ayşe KİN İŞLER")*(Başvuru!G2:G1142="Uzmanlık Tezi")*(Başvuru!L2:L1142="RET"))</f>
        <v>0</v>
      </c>
      <c r="AG5" s="12" cm="1">
        <f t="array" ref="AG5">SUMPRODUCT(((Başvuru!J2:K1142)="Prof. Dr. Ayşe KİN İŞLER")*(Başvuru!G2:G1142="Uzmanlık Tezi")*(Başvuru!L2:L1142="KAPSAM DIŞI"))</f>
        <v>0</v>
      </c>
      <c r="AH5" s="12" cm="1">
        <f t="array" ref="AH5">SUMPRODUCT(((Başvuru!J2:K1142)="Prof. Dr. Ayşe KİN İŞLER")*(Başvuru!G2:G1142="Uzmanlık Tezi")*(Başvuru!L2:L1142="GERİ ÇEKİLDİ"))</f>
        <v>0</v>
      </c>
      <c r="AI5" s="12">
        <f t="shared" si="4"/>
        <v>3</v>
      </c>
      <c r="AJ5" s="31">
        <f t="shared" si="5"/>
        <v>15</v>
      </c>
      <c r="AK5" s="31">
        <f t="shared" si="5"/>
        <v>7</v>
      </c>
      <c r="AL5" s="31">
        <f t="shared" si="0"/>
        <v>0</v>
      </c>
      <c r="AM5" s="31">
        <f t="shared" si="0"/>
        <v>2</v>
      </c>
      <c r="AN5" s="31">
        <f t="shared" si="0"/>
        <v>0</v>
      </c>
      <c r="AO5" s="31">
        <f t="shared" si="0"/>
        <v>0</v>
      </c>
      <c r="AP5" s="31">
        <f t="shared" si="0"/>
        <v>0</v>
      </c>
      <c r="AQ5" s="31">
        <f t="shared" si="6"/>
        <v>24</v>
      </c>
    </row>
    <row r="6" spans="1:43" s="14" customFormat="1" ht="30" customHeight="1" x14ac:dyDescent="0.25">
      <c r="A6" s="21" t="s">
        <v>5</v>
      </c>
      <c r="B6" s="22" t="s">
        <v>91</v>
      </c>
      <c r="C6" s="12">
        <f>COUNTIF(Başvuru!J2:K1142,"Prof. Dr. Yavuz AYHAN")</f>
        <v>25</v>
      </c>
      <c r="D6" s="12" cm="1">
        <f t="array" ref="D6">SUMPRODUCT(((Başvuru!J2:K1142)="Prof. Dr. Yavuz AYHAN")*(Başvuru!G2:G1142="Bireysel Araştırma")*(Başvuru!L2:L1142="ONAY"))</f>
        <v>10</v>
      </c>
      <c r="E6" s="12" cm="1">
        <f t="array" ref="E6">SUMPRODUCT(((Başvuru!J2:K1142)="Prof. Dr. Yavuz AYHAN")*(Başvuru!G2:G1142="Bireysel Araştırma")*(Başvuru!L2:L1142="DÜZELTME"))</f>
        <v>5</v>
      </c>
      <c r="F6" s="12" cm="1">
        <f t="array" ref="F6">SUMPRODUCT(((Başvuru!J2:K1142)="Prof. Dr. Yavuz AYHAN")*(Başvuru!G2:G1142="Bireysel Araştırma")*(Başvuru!L2:L1142="KAEK"))</f>
        <v>0</v>
      </c>
      <c r="G6" s="12" cm="1">
        <f t="array" ref="G6">SUMPRODUCT(((Başvuru!J2:K1142)="Prof. Dr. Yavuz AYHAN")*(Başvuru!G2:G1142="Bireysel Araştırma")*(Başvuru!L2:L1142="GÖRÜŞ"))</f>
        <v>0</v>
      </c>
      <c r="H6" s="12" cm="1">
        <f t="array" ref="H6">SUMPRODUCT(((Başvuru!J2:K1142)="Prof. Dr. Yavuz AYHAN")*(Başvuru!G2:G1142="Bireysel Araştırma")*(Başvuru!L2:L1142="RET"))</f>
        <v>0</v>
      </c>
      <c r="I6" s="12" cm="1">
        <f t="array" ref="I6">SUMPRODUCT(((Başvuru!J2:K1142)="Prof. Dr. Yavuz AYHAN")*(Başvuru!G2:G1142="Bireysel Araştırma")*(Başvuru!L2:L1142="KAPSAM DIŞI"))</f>
        <v>0</v>
      </c>
      <c r="J6" s="12" cm="1">
        <f t="array" ref="J6">SUMPRODUCT(((Başvuru!J2:K1142)="Prof. Dr. Yavuz AYHAN")*(Başvuru!G2:G1142="Bireysel Araştırma")*(Başvuru!L2:L1142="GERİ ÇEKİLDİ"))</f>
        <v>0</v>
      </c>
      <c r="K6" s="12">
        <f t="shared" si="1"/>
        <v>15</v>
      </c>
      <c r="L6" s="12" cm="1">
        <f t="array" ref="L6">SUMPRODUCT(((Başvuru!J2:K1142)="Prof. Dr. Yavuz AYHAN")*(Başvuru!G2:G1142="Yüksek Lisans Tezi")*(Başvuru!L2:L1142="ONAY"))</f>
        <v>0</v>
      </c>
      <c r="M6" s="12" cm="1">
        <f t="array" ref="M6">SUMPRODUCT(((Başvuru!J2:K1142)="Prof. Dr. Yavuz AYHAN")*(Başvuru!G2:G1142="Yüksek Lisans Tezi")*(Başvuru!L2:L1142="DÜZELTME"))</f>
        <v>0</v>
      </c>
      <c r="N6" s="12" cm="1">
        <f t="array" ref="N6">SUMPRODUCT(((Başvuru!J2:K1142)="Prof. Dr. Yavuz AYHAN")*(Başvuru!G2:G1142="Yüksek Lisans Tezi")*(Başvuru!L2:L1142="KAEK"))</f>
        <v>0</v>
      </c>
      <c r="O6" s="12" cm="1">
        <f t="array" ref="O6">SUMPRODUCT(((Başvuru!J2:K1142)="Prof. Dr. Yavuz AYHAN")*(Başvuru!G2:G1142="Yüksek Lisans Tezi")*(Başvuru!L2:L1142="GÖRÜŞ"))</f>
        <v>0</v>
      </c>
      <c r="P6" s="12" cm="1">
        <f t="array" ref="P6">SUMPRODUCT(((Başvuru!J2:K1142)="Prof. Dr. Yavuz AYHAN")*(Başvuru!G2:G1142="Yüksek Lisans Tezi")*(Başvuru!L2:L1142="RET"))</f>
        <v>0</v>
      </c>
      <c r="Q6" s="12" cm="1">
        <f t="array" ref="Q6">SUMPRODUCT(((Başvuru!J2:K1142)="Prof. Dr. Yavuz AYHAN")*(Başvuru!G2:G1142="Yüksek Lisans Tezi")*(Başvuru!L2:L1142="KAPSAM DIŞI"))</f>
        <v>0</v>
      </c>
      <c r="R6" s="12" cm="1">
        <f t="array" ref="R6">SUMPRODUCT(((Başvuru!J2:K1142)="Prof. Dr. Yavuz AYHAN")*(Başvuru!G2:G1142="Yüksek Lisans Tezi")*(Başvuru!L2:L1142="GERİ ÇEKİLDİ"))</f>
        <v>0</v>
      </c>
      <c r="S6" s="12">
        <f t="shared" si="2"/>
        <v>0</v>
      </c>
      <c r="T6" s="12" cm="1">
        <f t="array" ref="T6">SUMPRODUCT(((Başvuru!J2:K1142)="Prof. Dr. Yavuz AYHAN")*(Başvuru!G2:G1142="Doktora Tezi")*(Başvuru!L2:L1142="ONAY"))</f>
        <v>0</v>
      </c>
      <c r="U6" s="12" cm="1">
        <f t="array" ref="U6">SUMPRODUCT(((Başvuru!J2:K1142)="Prof. Dr. Yavuz AYHAN")*(Başvuru!G2:G1142="Doktora Tezi")*(Başvuru!L2:L1142="DÜZELTME"))</f>
        <v>1</v>
      </c>
      <c r="V6" s="12" cm="1">
        <f t="array" ref="V6">SUMPRODUCT(((Başvuru!J2:K1142)="Prof. Dr. Yavuz AYHAN")*(Başvuru!G2:G1142="Doktora Tezi")*(Başvuru!L2:L1142="KAEK"))</f>
        <v>0</v>
      </c>
      <c r="W6" s="12" cm="1">
        <f t="array" ref="W6">SUMPRODUCT(((Başvuru!J2:K1142)="Prof. Dr. Yavuz AYHAN")*(Başvuru!G2:G1142="Doktora Tezi")*(Başvuru!L2:L1142="GÖRÜŞ"))</f>
        <v>1</v>
      </c>
      <c r="X6" s="12" cm="1">
        <f t="array" ref="X6">SUMPRODUCT(((Başvuru!J2:K1142)="Prof. Dr. Yavuz AYHAN")*(Başvuru!G2:G1142="Doktora Tezi")*(Başvuru!L2:L1142="RET"))</f>
        <v>0</v>
      </c>
      <c r="Y6" s="12" cm="1">
        <f t="array" ref="Y6">SUMPRODUCT(((Başvuru!J2:K1142)="Prof. Dr. Yavuz AYHAN")*(Başvuru!G2:G1142="Doktora Tezi")*(Başvuru!L2:L1142="KAPSAM DIŞI"))</f>
        <v>0</v>
      </c>
      <c r="Z6" s="12" cm="1">
        <f t="array" ref="Z6">SUMPRODUCT(((Başvuru!J2:K1142)="Prof. Dr. Yavuz AYHAN")*(Başvuru!G2:G1142="Doktora Tezi")*(Başvuru!L2:L1142="GERİ ÇEKİLDİ"))</f>
        <v>0</v>
      </c>
      <c r="AA6" s="12">
        <f t="shared" si="3"/>
        <v>2</v>
      </c>
      <c r="AB6" s="12" cm="1">
        <f t="array" ref="AB6">SUMPRODUCT(((Başvuru!J2:K1142)="Prof. Dr. Yavuz AYHAN")*(Başvuru!G2:G1142="Uzmanlık Tezi")*(Başvuru!L2:L1142="ONAY"))</f>
        <v>3</v>
      </c>
      <c r="AC6" s="12" cm="1">
        <f t="array" ref="AC6">SUMPRODUCT(((Başvuru!J2:K1142)="Prof. Dr. Yavuz AYHAN")*(Başvuru!G2:G1142="Uzmanlık Tezi")*(Başvuru!L2:L1142="DÜZELTME"))</f>
        <v>5</v>
      </c>
      <c r="AD6" s="12" cm="1">
        <f t="array" ref="AD6">SUMPRODUCT(((Başvuru!J2:K1142)="Prof. Dr. Yavuz AYHAN")*(Başvuru!G2:G1142="Uzmanlık Tezi")*(Başvuru!L2:L1142="KAEK"))</f>
        <v>0</v>
      </c>
      <c r="AE6" s="12" cm="1">
        <f t="array" ref="AE6">SUMPRODUCT(((Başvuru!J2:K1142)="Prof. Dr. Yavuz AYHAN")*(Başvuru!G2:G1142="Uzmanlık Tezi")*(Başvuru!L2:L1142="GÖRÜŞ"))</f>
        <v>0</v>
      </c>
      <c r="AF6" s="12" cm="1">
        <f t="array" ref="AF6">SUMPRODUCT(((Başvuru!J2:K1142)="Prof. Dr. Yavuz AYHAN")*(Başvuru!G2:G1142="Uzmanlık Tezi")*(Başvuru!L2:L1142="RET"))</f>
        <v>0</v>
      </c>
      <c r="AG6" s="12" cm="1">
        <f t="array" ref="AG6">SUMPRODUCT(((Başvuru!J2:K1142)="Prof. Dr. Yavuz AYHAN")*(Başvuru!G2:G1142="Uzmanlık Tezi")*(Başvuru!L2:L1142="KAPSAM DIŞI"))</f>
        <v>0</v>
      </c>
      <c r="AH6" s="12" cm="1">
        <f t="array" ref="AH6">SUMPRODUCT(((Başvuru!J2:K1142)="Prof. Dr. Yavuz AYHAN")*(Başvuru!G2:G1142="Uzmanlık Tezi")*(Başvuru!L2:L1142="GERİ ÇEKİLDİ"))</f>
        <v>0</v>
      </c>
      <c r="AI6" s="12">
        <f t="shared" si="4"/>
        <v>8</v>
      </c>
      <c r="AJ6" s="31">
        <f t="shared" si="5"/>
        <v>13</v>
      </c>
      <c r="AK6" s="31">
        <f t="shared" si="5"/>
        <v>11</v>
      </c>
      <c r="AL6" s="31">
        <f t="shared" si="0"/>
        <v>0</v>
      </c>
      <c r="AM6" s="31">
        <f t="shared" si="0"/>
        <v>1</v>
      </c>
      <c r="AN6" s="31">
        <f t="shared" si="0"/>
        <v>0</v>
      </c>
      <c r="AO6" s="31">
        <f t="shared" si="0"/>
        <v>0</v>
      </c>
      <c r="AP6" s="31">
        <f t="shared" si="0"/>
        <v>0</v>
      </c>
      <c r="AQ6" s="31">
        <f t="shared" si="6"/>
        <v>25</v>
      </c>
    </row>
    <row r="7" spans="1:43" s="14" customFormat="1" ht="30" customHeight="1" x14ac:dyDescent="0.25">
      <c r="A7" s="21" t="s">
        <v>6</v>
      </c>
      <c r="B7" s="22" t="s">
        <v>94</v>
      </c>
      <c r="C7" s="12">
        <f>COUNTIF(Başvuru!J2:K1142,"Prof. Dr. Nazmiye Ebru ORTAÇ ERSOY")</f>
        <v>36</v>
      </c>
      <c r="D7" s="12" cm="1">
        <f t="array" ref="D7">SUMPRODUCT(((Başvuru!J2:K1142)="Prof. Dr. Nazmiye Ebru ORTAÇ ERSOY")*(Başvuru!G2:G1142="Bireysel Araştırma")*(Başvuru!L2:L1142="ONAY"))</f>
        <v>16</v>
      </c>
      <c r="E7" s="12" cm="1">
        <f t="array" ref="E7">SUMPRODUCT(((Başvuru!J2:K1142)="Prof. Dr. Nazmiye Ebru ORTAÇ ERSOY")*(Başvuru!G2:G1142="Bireysel Araştırma")*(Başvuru!L2:L1142="DÜZELTME"))</f>
        <v>6</v>
      </c>
      <c r="F7" s="12" cm="1">
        <f t="array" ref="F7">SUMPRODUCT(((Başvuru!J2:K1142)="Prof. Dr. Nazmiye Ebru ORTAÇ ERSOY")*(Başvuru!G2:G1142="Bireysel Araştırma")*(Başvuru!L2:L1142="KAEK"))</f>
        <v>0</v>
      </c>
      <c r="G7" s="12" cm="1">
        <f t="array" ref="G7">SUMPRODUCT(((Başvuru!J2:K1142)="Prof. Dr. Nazmiye Ebru ORTAÇ ERSOY")*(Başvuru!G2:G1142="Bireysel Araştırma")*(Başvuru!L2:L1142="GÖRÜŞ"))</f>
        <v>1</v>
      </c>
      <c r="H7" s="12" cm="1">
        <f t="array" ref="H7">SUMPRODUCT(((Başvuru!J2:K1142)="Prof. Dr. Nazmiye Ebru ORTAÇ ERSOY")*(Başvuru!G2:G1142="Bireysel Araştırma")*(Başvuru!L2:L1142="RET"))</f>
        <v>1</v>
      </c>
      <c r="I7" s="12" cm="1">
        <f t="array" ref="I7">SUMPRODUCT(((Başvuru!J2:K1142)="Prof. Dr. Nazmiye Ebru ORTAÇ ERSOY")*(Başvuru!G2:G1142="Bireysel Araştırma")*(Başvuru!L2:L1142="KAPSAM DIŞI"))</f>
        <v>0</v>
      </c>
      <c r="J7" s="12" cm="1">
        <f t="array" ref="J7">SUMPRODUCT(((Başvuru!J2:K1142)="Prof. Dr. Nazmiye Ebru ORTAÇ ERSOY")*(Başvuru!G2:G1142="Bireysel Araştırma")*(Başvuru!L2:L1142="GERİ ÇEKİLDİ"))</f>
        <v>0</v>
      </c>
      <c r="K7" s="12">
        <f t="shared" si="1"/>
        <v>24</v>
      </c>
      <c r="L7" s="12" cm="1">
        <f t="array" ref="L7">SUMPRODUCT(((Başvuru!J2:K1142)="Prof. Dr. Nazmiye Ebru ORTAÇ ERSOY")*(Başvuru!G2:G1142="Yüksek Lisans Tezi")*(Başvuru!L2:L1142="ONAY"))</f>
        <v>0</v>
      </c>
      <c r="M7" s="12" cm="1">
        <f t="array" ref="M7">SUMPRODUCT(((Başvuru!J2:K1142)="Prof. Dr. Nazmiye Ebru ORTAÇ ERSOY")*(Başvuru!G2:G1142="Yüksek Lisans Tezi")*(Başvuru!L2:L1142="DÜZELTME"))</f>
        <v>0</v>
      </c>
      <c r="N7" s="12" cm="1">
        <f t="array" ref="N7">SUMPRODUCT(((Başvuru!J2:K1142)="Prof. Dr. Nazmiye Ebru ORTAÇ ERSOY")*(Başvuru!G2:G1142="Yüksek Lisans Tezi")*(Başvuru!L2:L1142="KAEK"))</f>
        <v>0</v>
      </c>
      <c r="O7" s="12" cm="1">
        <f t="array" ref="O7">SUMPRODUCT(((Başvuru!J2:K1142)="Prof. Dr. Nazmiye Ebru ORTAÇ ERSOY")*(Başvuru!G2:G1142="Yüksek Lisans Tezi")*(Başvuru!L2:L1142="GÖRÜŞ"))</f>
        <v>0</v>
      </c>
      <c r="P7" s="12" cm="1">
        <f t="array" ref="P7">SUMPRODUCT(((Başvuru!J2:K1142)="Prof. Dr. Nazmiye Ebru ORTAÇ ERSOY")*(Başvuru!G2:G1142="Yüksek Lisans Tezi")*(Başvuru!L2:L1142="RET"))</f>
        <v>0</v>
      </c>
      <c r="Q7" s="12" cm="1">
        <f t="array" ref="Q7">SUMPRODUCT(((Başvuru!J2:K1142)="Prof. Dr. Nazmiye Ebru ORTAÇ ERSOY")*(Başvuru!G2:G1142="Yüksek Lisans Tezi")*(Başvuru!L2:L1142="KAPSAM DIŞI"))</f>
        <v>0</v>
      </c>
      <c r="R7" s="12" cm="1">
        <f t="array" ref="R7">SUMPRODUCT(((Başvuru!J2:K1142)="Prof. Dr. Nazmiye Ebru ORTAÇ ERSOY")*(Başvuru!G2:G1142="Yüksek Lisans Tezi")*(Başvuru!L2:L1142="GERİ ÇEKİLDİ"))</f>
        <v>0</v>
      </c>
      <c r="S7" s="12">
        <f t="shared" si="2"/>
        <v>0</v>
      </c>
      <c r="T7" s="12" cm="1">
        <f t="array" ref="T7">SUMPRODUCT(((Başvuru!J2:K1142)="Prof. Dr. Nazmiye Ebru ORTAÇ ERSOY")*(Başvuru!G2:G1142="Doktora Tezi")*(Başvuru!L2:L1142="ONAY"))</f>
        <v>0</v>
      </c>
      <c r="U7" s="12" cm="1">
        <f t="array" ref="U7">SUMPRODUCT(((Başvuru!J2:K1142)="Prof. Dr. Nazmiye Ebru ORTAÇ ERSOY")*(Başvuru!G2:G1142="Doktora Tezi")*(Başvuru!L2:L1142="DÜZELTME"))</f>
        <v>1</v>
      </c>
      <c r="V7" s="12" cm="1">
        <f t="array" ref="V7">SUMPRODUCT(((Başvuru!J2:K1142)="Prof. Dr. Nazmiye Ebru ORTAÇ ERSOY")*(Başvuru!G2:G1142="Doktora Tezi")*(Başvuru!L2:L1142="KAEK"))</f>
        <v>0</v>
      </c>
      <c r="W7" s="12" cm="1">
        <f t="array" ref="W7">SUMPRODUCT(((Başvuru!J2:K1142)="Prof. Dr. Nazmiye Ebru ORTAÇ ERSOY")*(Başvuru!G2:G1142="Doktora Tezi")*(Başvuru!L2:L1142="GÖRÜŞ"))</f>
        <v>0</v>
      </c>
      <c r="X7" s="12" cm="1">
        <f t="array" ref="X7">SUMPRODUCT(((Başvuru!J2:K1142)="Prof. Dr. Nazmiye Ebru ORTAÇ ERSOY")*(Başvuru!G2:G1142="Doktora Tezi")*(Başvuru!L2:L1142="RET"))</f>
        <v>0</v>
      </c>
      <c r="Y7" s="12" cm="1">
        <f t="array" ref="Y7">SUMPRODUCT(((Başvuru!J2:K1142)="Prof. Dr. Nazmiye Ebru ORTAÇ ERSOY")*(Başvuru!G2:G1142="Doktora Tezi")*(Başvuru!L2:L1142="KAPSAM DIŞI"))</f>
        <v>0</v>
      </c>
      <c r="Z7" s="12" cm="1">
        <f t="array" ref="Z7">SUMPRODUCT(((Başvuru!J2:K1142)="Prof. Dr. Nazmiye Ebru ORTAÇ ERSOY")*(Başvuru!G2:G1142="Doktora Tezi")*(Başvuru!L2:L1142="GERİ ÇEKİLDİ"))</f>
        <v>0</v>
      </c>
      <c r="AA7" s="12">
        <f t="shared" si="3"/>
        <v>1</v>
      </c>
      <c r="AB7" s="12" cm="1">
        <f t="array" ref="AB7">SUMPRODUCT(((Başvuru!J2:K1142)="Prof. Dr. Nazmiye Ebru ORTAÇ ERSOY")*(Başvuru!G2:G1142="Uzmanlık Tezi")*(Başvuru!L2:L1142="ONAY"))</f>
        <v>5</v>
      </c>
      <c r="AC7" s="12" cm="1">
        <f t="array" ref="AC7">SUMPRODUCT(((Başvuru!J2:K1142)="Prof. Dr. Nazmiye Ebru ORTAÇ ERSOY")*(Başvuru!G2:G1142="Uzmanlık Tezi")*(Başvuru!L2:L1142="DÜZELTME"))</f>
        <v>3</v>
      </c>
      <c r="AD7" s="12" cm="1">
        <f t="array" ref="AD7">SUMPRODUCT(((Başvuru!J2:K1142)="Prof. Dr. Nazmiye Ebru ORTAÇ ERSOY")*(Başvuru!G2:G1142="Uzmanlık Tezi")*(Başvuru!L2:L1142="KAEK"))</f>
        <v>1</v>
      </c>
      <c r="AE7" s="12" cm="1">
        <f t="array" ref="AE7">SUMPRODUCT(((Başvuru!J2:K1142)="Prof. Dr. Nazmiye Ebru ORTAÇ ERSOY")*(Başvuru!G2:G1142="Uzmanlık Tezi")*(Başvuru!L2:L1142="GÖRÜŞ"))</f>
        <v>0</v>
      </c>
      <c r="AF7" s="12" cm="1">
        <f t="array" ref="AF7">SUMPRODUCT(((Başvuru!J2:K1142)="Prof. Dr. Nazmiye Ebru ORTAÇ ERSOY")*(Başvuru!G2:G1142="Uzmanlık Tezi")*(Başvuru!L2:L1142="RET"))</f>
        <v>0</v>
      </c>
      <c r="AG7" s="12" cm="1">
        <f t="array" ref="AG7">SUMPRODUCT(((Başvuru!J2:K1142)="Prof. Dr. Nazmiye Ebru ORTAÇ ERSOY")*(Başvuru!G2:G1142="Uzmanlık Tezi")*(Başvuru!L2:L1142="KAPSAM DIŞI"))</f>
        <v>0</v>
      </c>
      <c r="AH7" s="12" cm="1">
        <f t="array" ref="AH7">SUMPRODUCT(((Başvuru!J2:K1142)="Prof. Dr. Nazmiye Ebru ORTAÇ ERSOY")*(Başvuru!G2:G1142="Uzmanlık Tezi")*(Başvuru!L2:L1142="GERİ ÇEKİLDİ"))</f>
        <v>0</v>
      </c>
      <c r="AI7" s="12">
        <f t="shared" si="4"/>
        <v>9</v>
      </c>
      <c r="AJ7" s="31">
        <f t="shared" si="5"/>
        <v>21</v>
      </c>
      <c r="AK7" s="31">
        <f t="shared" si="5"/>
        <v>10</v>
      </c>
      <c r="AL7" s="31">
        <f t="shared" si="0"/>
        <v>1</v>
      </c>
      <c r="AM7" s="31">
        <f t="shared" si="0"/>
        <v>1</v>
      </c>
      <c r="AN7" s="31">
        <f t="shared" si="0"/>
        <v>1</v>
      </c>
      <c r="AO7" s="31">
        <f t="shared" si="0"/>
        <v>0</v>
      </c>
      <c r="AP7" s="31">
        <f t="shared" si="0"/>
        <v>0</v>
      </c>
      <c r="AQ7" s="31">
        <f t="shared" si="6"/>
        <v>34</v>
      </c>
    </row>
    <row r="8" spans="1:43" s="14" customFormat="1" ht="30" customHeight="1" x14ac:dyDescent="0.25">
      <c r="A8" s="21" t="s">
        <v>7</v>
      </c>
      <c r="B8" s="22" t="s">
        <v>92</v>
      </c>
      <c r="C8" s="12">
        <f>COUNTIF(Başvuru!J2:K1142,"Prof. Dr. Gözde GİRGİN")</f>
        <v>36</v>
      </c>
      <c r="D8" s="12" cm="1">
        <f t="array" ref="D8">SUMPRODUCT(((Başvuru!J2:K1142)="Prof. Dr. Gözde GİRGİN")*(Başvuru!G2:G1142="Bireysel Araştırma")*(Başvuru!L2:L1142="ONAY"))</f>
        <v>15</v>
      </c>
      <c r="E8" s="12" cm="1">
        <f t="array" ref="E8">SUMPRODUCT(((Başvuru!J2:K1142)="Prof. Dr. Gözde GİRGİN")*(Başvuru!G2:G1142="Bireysel Araştırma")*(Başvuru!L2:L1142="DÜZELTME"))</f>
        <v>7</v>
      </c>
      <c r="F8" s="12" cm="1">
        <f t="array" ref="F8">SUMPRODUCT(((Başvuru!J2:K1142)="Prof. Dr. Gözde GİRGİN")*(Başvuru!G2:G1142="Bireysel Araştırma")*(Başvuru!L2:L1142="KAEK"))</f>
        <v>0</v>
      </c>
      <c r="G8" s="12" cm="1">
        <f t="array" ref="G8">SUMPRODUCT(((Başvuru!J2:K1142)="Prof. Dr. Gözde GİRGİN")*(Başvuru!G2:G1142="Bireysel Araştırma")*(Başvuru!L2:L1142="GÖRÜŞ"))</f>
        <v>0</v>
      </c>
      <c r="H8" s="12" cm="1">
        <f t="array" ref="H8">SUMPRODUCT(((Başvuru!J2:K1142)="Prof. Dr. Gözde GİRGİN")*(Başvuru!G2:G1142="Bireysel Araştırma")*(Başvuru!L2:L1142="RET"))</f>
        <v>1</v>
      </c>
      <c r="I8" s="12" cm="1">
        <f t="array" ref="I8">SUMPRODUCT(((Başvuru!J2:K1142)="Prof. Dr. Gözde GİRGİN")*(Başvuru!G2:G1142="Bireysel Araştırma")*(Başvuru!L2:L1142="KAPSAM DIŞI"))</f>
        <v>0</v>
      </c>
      <c r="J8" s="12" cm="1">
        <f t="array" ref="J8">SUMPRODUCT(((Başvuru!J2:K1142)="Prof. Dr. Gözde GİRGİN")*(Başvuru!G2:G1142="Bireysel Araştırma")*(Başvuru!L2:L1142="GERİ ÇEKİLDİ"))</f>
        <v>0</v>
      </c>
      <c r="K8" s="12">
        <f t="shared" si="1"/>
        <v>23</v>
      </c>
      <c r="L8" s="12" cm="1">
        <f t="array" ref="L8">SUMPRODUCT(((Başvuru!J2:K1142)="Prof. Dr. Gözde GİRGİN")*(Başvuru!G2:G1142="Yüksek Lisans Tezi")*(Başvuru!L2:L1142="ONAY"))</f>
        <v>0</v>
      </c>
      <c r="M8" s="12" cm="1">
        <f t="array" ref="M8">SUMPRODUCT(((Başvuru!J2:K1142)="Prof. Dr. Gözde GİRGİN")*(Başvuru!G2:G1142="Yüksek Lisans Tezi")*(Başvuru!L2:L1142="DÜZELTME"))</f>
        <v>1</v>
      </c>
      <c r="N8" s="12" cm="1">
        <f t="array" ref="N8">SUMPRODUCT(((Başvuru!J2:K1142)="Prof. Dr. Gözde GİRGİN")*(Başvuru!G2:G1142="Yüksek Lisans Tezi")*(Başvuru!L2:L1142="KAEK"))</f>
        <v>0</v>
      </c>
      <c r="O8" s="12" cm="1">
        <f t="array" ref="O8">SUMPRODUCT(((Başvuru!J2:K1142)="Prof. Dr. Gözde GİRGİN")*(Başvuru!G2:G1142="Yüksek Lisans Tezi")*(Başvuru!L2:L1142="GÖRÜŞ"))</f>
        <v>0</v>
      </c>
      <c r="P8" s="12" cm="1">
        <f t="array" ref="P8">SUMPRODUCT(((Başvuru!J2:K1142)="Prof. Dr. Gözde GİRGİN")*(Başvuru!G2:G1142="Yüksek Lisans Tezi")*(Başvuru!L2:L1142="RET"))</f>
        <v>0</v>
      </c>
      <c r="Q8" s="12" cm="1">
        <f t="array" ref="Q8">SUMPRODUCT(((Başvuru!J2:K1142)="Prof. Dr. Gözde GİRGİN")*(Başvuru!G2:G1142="Yüksek Lisans Tezi")*(Başvuru!L2:L1142="KAPSAM DIŞI"))</f>
        <v>0</v>
      </c>
      <c r="R8" s="12" cm="1">
        <f t="array" ref="R8">SUMPRODUCT(((Başvuru!J2:K1142)="Prof. Dr. Gözde GİRGİN")*(Başvuru!G2:G1142="Yüksek Lisans Tezi")*(Başvuru!L2:L1142="GERİ ÇEKİLDİ"))</f>
        <v>0</v>
      </c>
      <c r="S8" s="12">
        <f t="shared" si="2"/>
        <v>1</v>
      </c>
      <c r="T8" s="12" cm="1">
        <f t="array" ref="T8">SUMPRODUCT(((Başvuru!J2:K1142)="Prof. Dr. Gözde GİRGİN")*(Başvuru!G2:G1142="Doktora Tezi")*(Başvuru!L2:L1142="ONAY"))</f>
        <v>1</v>
      </c>
      <c r="U8" s="12" cm="1">
        <f t="array" ref="U8">SUMPRODUCT(((Başvuru!J2:K1142)="Prof. Dr. Gözde GİRGİN")*(Başvuru!G2:G1142="Doktora Tezi")*(Başvuru!L2:L1142="DÜZELTME"))</f>
        <v>2</v>
      </c>
      <c r="V8" s="12" cm="1">
        <f t="array" ref="V8">SUMPRODUCT(((Başvuru!J2:K1142)="Prof. Dr. Gözde GİRGİN")*(Başvuru!G2:G1142="Doktora Tezi")*(Başvuru!L2:L1142="KAEK"))</f>
        <v>0</v>
      </c>
      <c r="W8" s="12" cm="1">
        <f t="array" ref="W8">SUMPRODUCT(((Başvuru!J2:K1142)="Prof. Dr. Gözde GİRGİN")*(Başvuru!G2:G1142="Doktora Tezi")*(Başvuru!L2:L1142="GÖRÜŞ"))</f>
        <v>1</v>
      </c>
      <c r="X8" s="12" cm="1">
        <f t="array" ref="X8">SUMPRODUCT(((Başvuru!J2:K1142)="Prof. Dr. Gözde GİRGİN")*(Başvuru!G2:G1142="Doktora Tezi")*(Başvuru!L2:L1142="RET"))</f>
        <v>0</v>
      </c>
      <c r="Y8" s="12" cm="1">
        <f t="array" ref="Y8">SUMPRODUCT(((Başvuru!J2:K1142)="Prof. Dr. Gözde GİRGİN")*(Başvuru!G2:G1142="Doktora Tezi")*(Başvuru!L2:L1142="KAPSAM DIŞI"))</f>
        <v>0</v>
      </c>
      <c r="Z8" s="12" cm="1">
        <f t="array" ref="Z8">SUMPRODUCT(((Başvuru!J2:K1142)="Prof. Dr. Gözde GİRGİN")*(Başvuru!G2:G1142="Doktora Tezi")*(Başvuru!L2:L1142="GERİ ÇEKİLDİ"))</f>
        <v>0</v>
      </c>
      <c r="AA8" s="12">
        <f t="shared" si="3"/>
        <v>4</v>
      </c>
      <c r="AB8" s="12" cm="1">
        <f t="array" ref="AB8">SUMPRODUCT(((Başvuru!J2:K1142)="Prof. Dr. Gözde GİRGİN")*(Başvuru!G2:G1142="Uzmanlık Tezi")*(Başvuru!L2:L1142="ONAY"))</f>
        <v>4</v>
      </c>
      <c r="AC8" s="12" cm="1">
        <f t="array" ref="AC8">SUMPRODUCT(((Başvuru!J2:K1142)="Prof. Dr. Gözde GİRGİN")*(Başvuru!G2:G1142="Uzmanlık Tezi")*(Başvuru!L2:L1142="DÜZELTME"))</f>
        <v>2</v>
      </c>
      <c r="AD8" s="12" cm="1">
        <f t="array" ref="AD8">SUMPRODUCT(((Başvuru!J2:K1142)="Prof. Dr. Gözde GİRGİN")*(Başvuru!G2:G1142="Uzmanlık Tezi")*(Başvuru!L2:L1142="KAEK"))</f>
        <v>0</v>
      </c>
      <c r="AE8" s="12" cm="1">
        <f t="array" ref="AE8">SUMPRODUCT(((Başvuru!J2:K1142)="Prof. Dr. Gözde GİRGİN")*(Başvuru!G2:G1142="Uzmanlık Tezi")*(Başvuru!L2:L1142="GÖRÜŞ"))</f>
        <v>1</v>
      </c>
      <c r="AF8" s="12" cm="1">
        <f t="array" ref="AF8">SUMPRODUCT(((Başvuru!J2:K1142)="Prof. Dr. Gözde GİRGİN")*(Başvuru!G2:G1142="Uzmanlık Tezi")*(Başvuru!L2:L1142="RET"))</f>
        <v>0</v>
      </c>
      <c r="AG8" s="12" cm="1">
        <f t="array" ref="AG8">SUMPRODUCT(((Başvuru!J2:K1142)="Prof. Dr. Gözde GİRGİN")*(Başvuru!G2:G1142="Uzmanlık Tezi")*(Başvuru!L2:L1142="KAPSAM DIŞI"))</f>
        <v>0</v>
      </c>
      <c r="AH8" s="12" cm="1">
        <f t="array" ref="AH8">SUMPRODUCT(((Başvuru!J2:K1142)="Prof. Dr. Gözde GİRGİN")*(Başvuru!G2:G1142="Uzmanlık Tezi")*(Başvuru!L2:L1142="GERİ ÇEKİLDİ"))</f>
        <v>0</v>
      </c>
      <c r="AI8" s="12">
        <f t="shared" si="4"/>
        <v>7</v>
      </c>
      <c r="AJ8" s="31">
        <f t="shared" si="5"/>
        <v>20</v>
      </c>
      <c r="AK8" s="31">
        <f t="shared" si="5"/>
        <v>12</v>
      </c>
      <c r="AL8" s="31">
        <f t="shared" si="0"/>
        <v>0</v>
      </c>
      <c r="AM8" s="31">
        <f t="shared" si="0"/>
        <v>2</v>
      </c>
      <c r="AN8" s="31">
        <f t="shared" si="0"/>
        <v>1</v>
      </c>
      <c r="AO8" s="31">
        <f t="shared" si="0"/>
        <v>0</v>
      </c>
      <c r="AP8" s="31">
        <f t="shared" si="0"/>
        <v>0</v>
      </c>
      <c r="AQ8" s="31">
        <f t="shared" si="6"/>
        <v>35</v>
      </c>
    </row>
    <row r="9" spans="1:43" s="14" customFormat="1" ht="30" customHeight="1" x14ac:dyDescent="0.25">
      <c r="A9" s="21" t="s">
        <v>8</v>
      </c>
      <c r="B9" s="22" t="s">
        <v>96</v>
      </c>
      <c r="C9" s="12">
        <f>COUNTIF(Başvuru!J2:K1142,"Doç. Dr. Kübra AYKAÇ")</f>
        <v>38</v>
      </c>
      <c r="D9" s="12" cm="1">
        <f t="array" ref="D9">SUMPRODUCT(((Başvuru!J2:K1142)="Doç. Dr. Kübra AYKAÇ")*(Başvuru!G2:G1142="Bireysel Araştırma")*(Başvuru!L2:L1142="ONAY"))</f>
        <v>15</v>
      </c>
      <c r="E9" s="12" cm="1">
        <f t="array" ref="E9">SUMPRODUCT(((Başvuru!J2:K1142)="Doç. Dr. Kübra AYKAÇ")*(Başvuru!G2:G1142="Bireysel Araştırma")*(Başvuru!L2:L1142="DÜZELTME"))</f>
        <v>13</v>
      </c>
      <c r="F9" s="12" cm="1">
        <f t="array" ref="F9">SUMPRODUCT(((Başvuru!J2:K1142)="Doç. Dr. Kübra AYKAÇ")*(Başvuru!G2:G1142="Bireysel Araştırma")*(Başvuru!L2:L1142="KAEK"))</f>
        <v>1</v>
      </c>
      <c r="G9" s="12" cm="1">
        <f t="array" ref="G9">SUMPRODUCT(((Başvuru!J2:K1142)="Doç. Dr. Kübra AYKAÇ")*(Başvuru!G2:G1142="Bireysel Araştırma")*(Başvuru!L2:L1142="GÖRÜŞ"))</f>
        <v>0</v>
      </c>
      <c r="H9" s="12" cm="1">
        <f t="array" ref="H9">SUMPRODUCT(((Başvuru!J2:K1142)="Doç. Dr. Kübra AYKAÇ")*(Başvuru!G2:G1142="Bireysel Araştırma")*(Başvuru!L2:L1142="RET"))</f>
        <v>1</v>
      </c>
      <c r="I9" s="12" cm="1">
        <f t="array" ref="I9">SUMPRODUCT(((Başvuru!J2:K1142)="Doç. Dr. Kübra AYKAÇ")*(Başvuru!G2:G1142="Bireysel Araştırma")*(Başvuru!L2:L1142="KAPSAM DIŞI"))</f>
        <v>0</v>
      </c>
      <c r="J9" s="12" cm="1">
        <f t="array" ref="J9">SUMPRODUCT(((Başvuru!J2:K1142)="Doç. Dr. Kübra AYKAÇ")*(Başvuru!G2:G1142="Bireysel Araştırma")*(Başvuru!L2:L1142="GERİ ÇEKİLDİ"))</f>
        <v>0</v>
      </c>
      <c r="K9" s="12">
        <f t="shared" si="1"/>
        <v>30</v>
      </c>
      <c r="L9" s="12" cm="1">
        <f t="array" ref="L9">SUMPRODUCT(((Başvuru!J2:K1142)="Doç. Dr. Kübra AYKAÇ")*(Başvuru!G2:G1142="Yüksek Lisans Tezi")*(Başvuru!L2:L1142="ONAY"))</f>
        <v>0</v>
      </c>
      <c r="M9" s="12" cm="1">
        <f t="array" ref="M9">SUMPRODUCT(((Başvuru!J2:K1142)="Doç. Dr. Kübra AYKAÇ")*(Başvuru!G2:G1142="Yüksek Lisans Tezi")*(Başvuru!L2:L1142="DÜZELTME"))</f>
        <v>1</v>
      </c>
      <c r="N9" s="12" cm="1">
        <f t="array" ref="N9">SUMPRODUCT(((Başvuru!J2:K1142)="Doç. Dr. Kübra AYKAÇ")*(Başvuru!G2:G1142="Yüksek Lisans Tezi")*(Başvuru!L2:L1142="KAEK"))</f>
        <v>0</v>
      </c>
      <c r="O9" s="12" cm="1">
        <f t="array" ref="O9">SUMPRODUCT(((Başvuru!J2:K1142)="Doç. Dr. Kübra AYKAÇ")*(Başvuru!G2:G1142="Yüksek Lisans Tezi")*(Başvuru!L2:L1142="GÖRÜŞ"))</f>
        <v>0</v>
      </c>
      <c r="P9" s="12" cm="1">
        <f t="array" ref="P9">SUMPRODUCT(((Başvuru!J2:K1142)="Doç. Dr. Kübra AYKAÇ")*(Başvuru!G2:G1142="Yüksek Lisans Tezi")*(Başvuru!L2:L1142="RET"))</f>
        <v>0</v>
      </c>
      <c r="Q9" s="12" cm="1">
        <f t="array" ref="Q9">SUMPRODUCT(((Başvuru!J2:K1142)="Doç. Dr. Kübra AYKAÇ")*(Başvuru!G2:G1142="Yüksek Lisans Tezi")*(Başvuru!L2:L1142="KAPSAM DIŞI"))</f>
        <v>0</v>
      </c>
      <c r="R9" s="12" cm="1">
        <f t="array" ref="R9">SUMPRODUCT(((Başvuru!J2:K1142)="Doç. Dr. Kübra AYKAÇ")*(Başvuru!G2:G1142="Yüksek Lisans Tezi")*(Başvuru!L2:L1142="GERİ ÇEKİLDİ"))</f>
        <v>0</v>
      </c>
      <c r="S9" s="12">
        <f t="shared" si="2"/>
        <v>1</v>
      </c>
      <c r="T9" s="12" cm="1">
        <f t="array" ref="T9">SUMPRODUCT(((Başvuru!J2:K1142)="Doç. Dr. Kübra AYKAÇ")*(Başvuru!G2:G1142="Doktora Tezi")*(Başvuru!L2:L1142="ONAY"))</f>
        <v>0</v>
      </c>
      <c r="U9" s="12" cm="1">
        <f t="array" ref="U9">SUMPRODUCT(((Başvuru!J2:K1142)="Doç. Dr. Kübra AYKAÇ")*(Başvuru!G2:G1142="Doktora Tezi")*(Başvuru!L2:L1142="DÜZELTME"))</f>
        <v>1</v>
      </c>
      <c r="V9" s="12" cm="1">
        <f t="array" ref="V9">SUMPRODUCT(((Başvuru!J2:K1142)="Doç. Dr. Kübra AYKAÇ")*(Başvuru!G2:G1142="Doktora Tezi")*(Başvuru!L2:L1142="KAEK"))</f>
        <v>0</v>
      </c>
      <c r="W9" s="12" cm="1">
        <f t="array" ref="W9">SUMPRODUCT(((Başvuru!J2:K1142)="Doç. Dr. Kübra AYKAÇ")*(Başvuru!G2:G1142="Doktora Tezi")*(Başvuru!L2:L1142="GÖRÜŞ"))</f>
        <v>0</v>
      </c>
      <c r="X9" s="12" cm="1">
        <f t="array" ref="X9">SUMPRODUCT(((Başvuru!J2:K1142)="Doç. Dr. Kübra AYKAÇ")*(Başvuru!G2:G1142="Doktora Tezi")*(Başvuru!L2:L1142="RET"))</f>
        <v>0</v>
      </c>
      <c r="Y9" s="12" cm="1">
        <f t="array" ref="Y9">SUMPRODUCT(((Başvuru!J2:K1142)="Doç. Dr. Kübra AYKAÇ")*(Başvuru!G2:G1142="Doktora Tezi")*(Başvuru!L2:L1142="KAPSAM DIŞI"))</f>
        <v>0</v>
      </c>
      <c r="Z9" s="12" cm="1">
        <f t="array" ref="Z9">SUMPRODUCT(((Başvuru!J2:K1142)="Doç. Dr. Kübra AYKAÇ")*(Başvuru!G2:G1142="Doktora Tezi")*(Başvuru!L2:L1142="GERİ ÇEKİLDİ"))</f>
        <v>0</v>
      </c>
      <c r="AA9" s="12">
        <f t="shared" si="3"/>
        <v>1</v>
      </c>
      <c r="AB9" s="12" cm="1">
        <f t="array" ref="AB9">SUMPRODUCT(((Başvuru!J2:K1142)="Doç. Dr. Kübra AYKAÇ")*(Başvuru!G2:G1142="Uzmanlık Tezi")*(Başvuru!L2:L1142="ONAY"))</f>
        <v>3</v>
      </c>
      <c r="AC9" s="12" cm="1">
        <f t="array" ref="AC9">SUMPRODUCT(((Başvuru!J2:K1142)="Doç. Dr. Kübra AYKAÇ")*(Başvuru!G2:G1142="Uzmanlık Tezi")*(Başvuru!L2:L1142="DÜZELTME"))</f>
        <v>2</v>
      </c>
      <c r="AD9" s="12" cm="1">
        <f t="array" ref="AD9">SUMPRODUCT(((Başvuru!J2:K1142)="Doç. Dr. Kübra AYKAÇ")*(Başvuru!G2:G1142="Uzmanlık Tezi")*(Başvuru!L2:L1142="KAEK"))</f>
        <v>0</v>
      </c>
      <c r="AE9" s="12" cm="1">
        <f t="array" ref="AE9">SUMPRODUCT(((Başvuru!J2:K1142)="Doç. Dr. Kübra AYKAÇ")*(Başvuru!G2:G1142="Uzmanlık Tezi")*(Başvuru!L2:L1142="GÖRÜŞ"))</f>
        <v>0</v>
      </c>
      <c r="AF9" s="12" cm="1">
        <f t="array" ref="AF9">SUMPRODUCT(((Başvuru!J2:K1142)="Doç. Dr. Kübra AYKAÇ")*(Başvuru!G2:G1142="Uzmanlık Tezi")*(Başvuru!L2:L1142="RET"))</f>
        <v>0</v>
      </c>
      <c r="AG9" s="12" cm="1">
        <f t="array" ref="AG9">SUMPRODUCT(((Başvuru!J2:K1142)="Doç. Dr. Kübra AYKAÇ")*(Başvuru!G2:G1142="Uzmanlık Tezi")*(Başvuru!L2:L1142="KAPSAM DIŞI"))</f>
        <v>0</v>
      </c>
      <c r="AH9" s="12" cm="1">
        <f t="array" ref="AH9">SUMPRODUCT(((Başvuru!J2:K1142)="Doç. Dr. Kübra AYKAÇ")*(Başvuru!G2:G1142="Uzmanlık Tezi")*(Başvuru!L2:L1142="GERİ ÇEKİLDİ"))</f>
        <v>0</v>
      </c>
      <c r="AI9" s="12">
        <f t="shared" si="4"/>
        <v>5</v>
      </c>
      <c r="AJ9" s="31">
        <f t="shared" si="5"/>
        <v>18</v>
      </c>
      <c r="AK9" s="31">
        <f t="shared" si="5"/>
        <v>17</v>
      </c>
      <c r="AL9" s="31">
        <f t="shared" si="0"/>
        <v>1</v>
      </c>
      <c r="AM9" s="31">
        <f t="shared" si="0"/>
        <v>0</v>
      </c>
      <c r="AN9" s="31">
        <f t="shared" si="0"/>
        <v>1</v>
      </c>
      <c r="AO9" s="31">
        <f t="shared" si="0"/>
        <v>0</v>
      </c>
      <c r="AP9" s="31">
        <f t="shared" si="0"/>
        <v>0</v>
      </c>
      <c r="AQ9" s="31">
        <f t="shared" si="6"/>
        <v>37</v>
      </c>
    </row>
    <row r="10" spans="1:43" s="14" customFormat="1" ht="30" customHeight="1" x14ac:dyDescent="0.25">
      <c r="A10" s="21" t="s">
        <v>9</v>
      </c>
      <c r="B10" s="22" t="s">
        <v>95</v>
      </c>
      <c r="C10" s="12">
        <f>COUNTIF(Başvuru!J2:K1142,"Doç. Dr. Tolga ÇAKMAK")</f>
        <v>25</v>
      </c>
      <c r="D10" s="12" cm="1">
        <f t="array" ref="D10">SUMPRODUCT(((Başvuru!J2:K1142)="Doç. Dr. Tolga ÇAKMAK")*(Başvuru!G2:G1142="Bireysel Araştırma")*(Başvuru!L2:L1142="ONAY"))</f>
        <v>7</v>
      </c>
      <c r="E10" s="12" cm="1">
        <f t="array" ref="E10">SUMPRODUCT(((Başvuru!J2:K1142)="Doç. Dr. Tolga ÇAKMAK")*(Başvuru!G2:G1142="Bireysel Araştırma")*(Başvuru!L2:L1142="DÜZELTME"))</f>
        <v>3</v>
      </c>
      <c r="F10" s="12" cm="1">
        <f t="array" ref="F10">SUMPRODUCT(((Başvuru!J2:K1142)="Doç. Dr. Tolga ÇAKMAK")*(Başvuru!G2:G1142="Bireysel Araştırma")*(Başvuru!L2:L1142="KAEK"))</f>
        <v>0</v>
      </c>
      <c r="G10" s="12" cm="1">
        <f t="array" ref="G10">SUMPRODUCT(((Başvuru!J2:K1142)="Doç. Dr. Tolga ÇAKMAK")*(Başvuru!G2:G1142="Bireysel Araştırma")*(Başvuru!L2:L1142="GÖRÜŞ"))</f>
        <v>1</v>
      </c>
      <c r="H10" s="12" cm="1">
        <f t="array" ref="H10">SUMPRODUCT(((Başvuru!J2:K1142)="Doç. Dr. Tolga ÇAKMAK")*(Başvuru!G2:G1142="Bireysel Araştırma")*(Başvuru!L2:L1142="RET"))</f>
        <v>3</v>
      </c>
      <c r="I10" s="12" cm="1">
        <f t="array" ref="I10">SUMPRODUCT(((Başvuru!J2:K1142)="Doç. Dr. Tolga ÇAKMAK")*(Başvuru!G2:G1142="Bireysel Araştırma")*(Başvuru!L2:L1142="KAPSAM DIŞI"))</f>
        <v>0</v>
      </c>
      <c r="J10" s="12" cm="1">
        <f t="array" ref="J10">SUMPRODUCT(((Başvuru!J2:K1142)="Doç. Dr. Tolga ÇAKMAK")*(Başvuru!G2:G1142="Bireysel Araştırma")*(Başvuru!L2:L1142="GERİ ÇEKİLDİ"))</f>
        <v>0</v>
      </c>
      <c r="K10" s="12">
        <f t="shared" si="1"/>
        <v>14</v>
      </c>
      <c r="L10" s="12" cm="1">
        <f t="array" ref="L10">SUMPRODUCT(((Başvuru!J2:K1142)="Doç. Dr. Tolga ÇAKMAK")*(Başvuru!G2:G1142="Yüksek Lisans Tezi")*(Başvuru!L2:L1142="ONAY"))</f>
        <v>0</v>
      </c>
      <c r="M10" s="12" cm="1">
        <f t="array" ref="M10">SUMPRODUCT(((Başvuru!J2:K1142)="Doç. Dr. Tolga ÇAKMAK")*(Başvuru!G2:G1142="Yüksek Lisans Tezi")*(Başvuru!L2:L1142="DÜZELTME"))</f>
        <v>2</v>
      </c>
      <c r="N10" s="12" cm="1">
        <f t="array" ref="N10">SUMPRODUCT(((Başvuru!J2:K1142)="Doç. Dr. Tolga ÇAKMAK")*(Başvuru!G2:G1142="Yüksek Lisans Tezi")*(Başvuru!L2:L1142="KAEK"))</f>
        <v>0</v>
      </c>
      <c r="O10" s="12" cm="1">
        <f t="array" ref="O10">SUMPRODUCT(((Başvuru!J2:K1142)="Doç. Dr. Tolga ÇAKMAK")*(Başvuru!G2:G1142="Yüksek Lisans Tezi")*(Başvuru!L2:L1142="GÖRÜŞ"))</f>
        <v>0</v>
      </c>
      <c r="P10" s="12" cm="1">
        <f t="array" ref="P10">SUMPRODUCT(((Başvuru!J2:K1142)="Doç. Dr. Tolga ÇAKMAK")*(Başvuru!G2:G1142="Yüksek Lisans Tezi")*(Başvuru!L2:L1142="RET"))</f>
        <v>0</v>
      </c>
      <c r="Q10" s="12" cm="1">
        <f t="array" ref="Q10">SUMPRODUCT(((Başvuru!J2:K1142)="Doç. Dr. Tolga ÇAKMAK")*(Başvuru!G2:G1142="Yüksek Lisans Tezi")*(Başvuru!L2:L1142="KAPSAM DIŞI"))</f>
        <v>0</v>
      </c>
      <c r="R10" s="12" cm="1">
        <f t="array" ref="R10">SUMPRODUCT(((Başvuru!J2:K1142)="Doç. Dr. Tolga ÇAKMAK")*(Başvuru!G2:G1142="Yüksek Lisans Tezi")*(Başvuru!L2:L1142="GERİ ÇEKİLDİ"))</f>
        <v>0</v>
      </c>
      <c r="S10" s="12">
        <f t="shared" si="2"/>
        <v>2</v>
      </c>
      <c r="T10" s="12" cm="1">
        <f t="array" ref="T10">SUMPRODUCT(((Başvuru!J2:K1142)="Doç. Dr. Tolga ÇAKMAK")*(Başvuru!G2:G1142="Doktora Tezi")*(Başvuru!L2:L1142="ONAY"))</f>
        <v>2</v>
      </c>
      <c r="U10" s="12" cm="1">
        <f t="array" ref="U10">SUMPRODUCT(((Başvuru!J2:K1142)="Doç. Dr. Tolga ÇAKMAK")*(Başvuru!G2:G1142="Doktora Tezi")*(Başvuru!L2:L1142="DÜZELTME"))</f>
        <v>2</v>
      </c>
      <c r="V10" s="12" cm="1">
        <f t="array" ref="V10">SUMPRODUCT(((Başvuru!J2:K1142)="Doç. Dr. Tolga ÇAKMAK")*(Başvuru!G2:G1142="Doktora Tezi")*(Başvuru!L2:L1142="KAEK"))</f>
        <v>0</v>
      </c>
      <c r="W10" s="12" cm="1">
        <f t="array" ref="W10">SUMPRODUCT(((Başvuru!J2:K1142)="Doç. Dr. Tolga ÇAKMAK")*(Başvuru!G2:G1142="Doktora Tezi")*(Başvuru!L2:L1142="GÖRÜŞ"))</f>
        <v>0</v>
      </c>
      <c r="X10" s="12" cm="1">
        <f t="array" ref="X10">SUMPRODUCT(((Başvuru!J2:K1142)="Doç. Dr. Tolga ÇAKMAK")*(Başvuru!G2:G1142="Doktora Tezi")*(Başvuru!L2:L1142="RET"))</f>
        <v>0</v>
      </c>
      <c r="Y10" s="12" cm="1">
        <f t="array" ref="Y10">SUMPRODUCT(((Başvuru!J2:K1142)="Doç. Dr. Tolga ÇAKMAK")*(Başvuru!G2:G1142="Doktora Tezi")*(Başvuru!L2:L1142="KAPSAM DIŞI"))</f>
        <v>0</v>
      </c>
      <c r="Z10" s="12" cm="1">
        <f t="array" ref="Z10">SUMPRODUCT(((Başvuru!J2:K1142)="Doç. Dr. Tolga ÇAKMAK")*(Başvuru!G2:G1142="Doktora Tezi")*(Başvuru!L2:L1142="GERİ ÇEKİLDİ"))</f>
        <v>0</v>
      </c>
      <c r="AA10" s="12">
        <f t="shared" si="3"/>
        <v>4</v>
      </c>
      <c r="AB10" s="12" cm="1">
        <f t="array" ref="AB10">SUMPRODUCT(((Başvuru!J2:K1142)="Doç. Dr. Tolga ÇAKMAK")*(Başvuru!G2:G1142="Uzmanlık Tezi")*(Başvuru!L2:L1142="ONAY"))</f>
        <v>3</v>
      </c>
      <c r="AC10" s="12" cm="1">
        <f t="array" ref="AC10">SUMPRODUCT(((Başvuru!J2:K1142)="Doç. Dr. Tolga ÇAKMAK")*(Başvuru!G2:G1142="Uzmanlık Tezi")*(Başvuru!L2:L1142="DÜZELTME"))</f>
        <v>1</v>
      </c>
      <c r="AD10" s="12" cm="1">
        <f t="array" ref="AD10">SUMPRODUCT(((Başvuru!J2:K1142)="Doç. Dr. Tolga ÇAKMAK")*(Başvuru!G2:G1142="Uzmanlık Tezi")*(Başvuru!L2:L1142="KAEK"))</f>
        <v>0</v>
      </c>
      <c r="AE10" s="12" cm="1">
        <f t="array" ref="AE10">SUMPRODUCT(((Başvuru!J2:K1142)="Doç. Dr. Tolga ÇAKMAK")*(Başvuru!G2:G1142="Uzmanlık Tezi")*(Başvuru!L2:L1142="GÖRÜŞ"))</f>
        <v>0</v>
      </c>
      <c r="AF10" s="12" cm="1">
        <f t="array" ref="AF10">SUMPRODUCT(((Başvuru!J2:K1142)="Doç. Dr. Tolga ÇAKMAK")*(Başvuru!G2:G1142="Uzmanlık Tezi")*(Başvuru!L2:L1142="RET"))</f>
        <v>0</v>
      </c>
      <c r="AG10" s="12" cm="1">
        <f t="array" ref="AG10">SUMPRODUCT(((Başvuru!J2:K1142)="Doç. Dr. Tolga ÇAKMAK")*(Başvuru!G2:G1142="Uzmanlık Tezi")*(Başvuru!L2:L1142="KAPSAM DIŞI"))</f>
        <v>0</v>
      </c>
      <c r="AH10" s="12" cm="1">
        <f t="array" ref="AH10">SUMPRODUCT(((Başvuru!J2:K1142)="Doç. Dr. Tolga ÇAKMAK")*(Başvuru!G2:G1142="Uzmanlık Tezi")*(Başvuru!L2:L1142="GERİ ÇEKİLDİ"))</f>
        <v>0</v>
      </c>
      <c r="AI10" s="12">
        <f t="shared" si="4"/>
        <v>4</v>
      </c>
      <c r="AJ10" s="31">
        <f t="shared" si="5"/>
        <v>12</v>
      </c>
      <c r="AK10" s="31">
        <f t="shared" si="5"/>
        <v>8</v>
      </c>
      <c r="AL10" s="31">
        <f t="shared" si="0"/>
        <v>0</v>
      </c>
      <c r="AM10" s="31">
        <f t="shared" si="0"/>
        <v>1</v>
      </c>
      <c r="AN10" s="31">
        <f t="shared" si="0"/>
        <v>3</v>
      </c>
      <c r="AO10" s="31">
        <f t="shared" si="0"/>
        <v>0</v>
      </c>
      <c r="AP10" s="31">
        <f t="shared" si="0"/>
        <v>0</v>
      </c>
      <c r="AQ10" s="31">
        <f t="shared" si="6"/>
        <v>24</v>
      </c>
    </row>
    <row r="11" spans="1:43" s="14" customFormat="1" ht="30" customHeight="1" x14ac:dyDescent="0.25">
      <c r="A11" s="21" t="s">
        <v>10</v>
      </c>
      <c r="B11" s="22" t="s">
        <v>84</v>
      </c>
      <c r="C11" s="12">
        <f>COUNTIF(Başvuru!J2:K1142,"Doç. Dr. Burcu ERSÖZ ALAN")</f>
        <v>36</v>
      </c>
      <c r="D11" s="12" cm="1">
        <f t="array" ref="D11">SUMPRODUCT(((Başvuru!J2:K1142)="Doç. Dr. Burcu ERSÖZ ALAN")*(Başvuru!G2:G1142="Bireysel Araştırma")*(Başvuru!L2:L1142="ONAY"))</f>
        <v>17</v>
      </c>
      <c r="E11" s="12" cm="1">
        <f t="array" ref="E11">SUMPRODUCT(((Başvuru!J2:K1142)="Doç. Dr. Burcu ERSÖZ ALAN")*(Başvuru!G2:G1142="Bireysel Araştırma")*(Başvuru!L2:L1142="DÜZELTME"))</f>
        <v>8</v>
      </c>
      <c r="F11" s="12" cm="1">
        <f t="array" ref="F11">SUMPRODUCT(((Başvuru!J2:K1142)="Doç. Dr. Burcu ERSÖZ ALAN")*(Başvuru!G2:G1142="Bireysel Araştırma")*(Başvuru!L2:L1142="KAEK"))</f>
        <v>0</v>
      </c>
      <c r="G11" s="12" cm="1">
        <f t="array" ref="G11">SUMPRODUCT(((Başvuru!J2:K1142)="Doç. Dr. Burcu ERSÖZ ALAN")*(Başvuru!G2:G1142="Bireysel Araştırma")*(Başvuru!L2:L1142="GÖRÜŞ"))</f>
        <v>0</v>
      </c>
      <c r="H11" s="12" cm="1">
        <f t="array" ref="H11">SUMPRODUCT(((Başvuru!J2:K1142)="Doç. Dr. Burcu ERSÖZ ALAN")*(Başvuru!G2:G1142="Bireysel Araştırma")*(Başvuru!L2:L1142="RET"))</f>
        <v>0</v>
      </c>
      <c r="I11" s="12" cm="1">
        <f t="array" ref="I11">SUMPRODUCT(((Başvuru!J2:K1142)="Doç. Dr. Burcu ERSÖZ ALAN")*(Başvuru!G2:G1142="Bireysel Araştırma")*(Başvuru!L2:L1142="KAPSAM DIŞI"))</f>
        <v>0</v>
      </c>
      <c r="J11" s="12" cm="1">
        <f t="array" ref="J11">SUMPRODUCT(((Başvuru!J2:K1142)="Doç. Dr. Burcu ERSÖZ ALAN")*(Başvuru!G2:G1142="Bireysel Araştırma")*(Başvuru!L2:L1142="GERİ ÇEKİLDİ"))</f>
        <v>0</v>
      </c>
      <c r="K11" s="12">
        <f t="shared" si="1"/>
        <v>25</v>
      </c>
      <c r="L11" s="12" cm="1">
        <f t="array" ref="L11">SUMPRODUCT(((Başvuru!J2:K1142)="Doç. Dr. Burcu ERSÖZ ALAN")*(Başvuru!G2:G1142="Yüksek Lisans Tezi")*(Başvuru!L2:L1142="ONAY"))</f>
        <v>0</v>
      </c>
      <c r="M11" s="12" cm="1">
        <f t="array" ref="M11">SUMPRODUCT(((Başvuru!J2:K1142)="Doç. Dr. Burcu ERSÖZ ALAN")*(Başvuru!G2:G1142="Yüksek Lisans Tezi")*(Başvuru!L2:L1142="DÜZELTME"))</f>
        <v>0</v>
      </c>
      <c r="N11" s="12" cm="1">
        <f t="array" ref="N11">SUMPRODUCT(((Başvuru!J2:K1142)="Doç. Dr. Burcu ERSÖZ ALAN")*(Başvuru!G2:G1142="Yüksek Lisans Tezi")*(Başvuru!L2:L1142="KAEK"))</f>
        <v>0</v>
      </c>
      <c r="O11" s="12" cm="1">
        <f t="array" ref="O11">SUMPRODUCT(((Başvuru!J2:K1142)="Doç. Dr. Burcu ERSÖZ ALAN")*(Başvuru!G2:G1142="Yüksek Lisans Tezi")*(Başvuru!L2:L1142="GÖRÜŞ"))</f>
        <v>0</v>
      </c>
      <c r="P11" s="12" cm="1">
        <f t="array" ref="P11">SUMPRODUCT(((Başvuru!J2:K1142)="Doç. Dr. Burcu ERSÖZ ALAN")*(Başvuru!G2:G1142="Yüksek Lisans Tezi")*(Başvuru!L2:L1142="RET"))</f>
        <v>0</v>
      </c>
      <c r="Q11" s="12" cm="1">
        <f t="array" ref="Q11">SUMPRODUCT(((Başvuru!J2:K1142)="Doç. Dr. Burcu ERSÖZ ALAN")*(Başvuru!G2:G1142="Yüksek Lisans Tezi")*(Başvuru!L2:L1142="KAPSAM DIŞI"))</f>
        <v>0</v>
      </c>
      <c r="R11" s="12" cm="1">
        <f t="array" ref="R11">SUMPRODUCT(((Başvuru!J2:K1142)="Doç. Dr. Burcu ERSÖZ ALAN")*(Başvuru!G2:G1142="Yüksek Lisans Tezi")*(Başvuru!L2:L1142="GERİ ÇEKİLDİ"))</f>
        <v>0</v>
      </c>
      <c r="S11" s="12">
        <f t="shared" si="2"/>
        <v>0</v>
      </c>
      <c r="T11" s="12" cm="1">
        <f t="array" ref="T11">SUMPRODUCT(((Başvuru!J2:K1142)="Doç. Dr. Burcu ERSÖZ ALAN")*(Başvuru!G2:G1142="Doktora Tezi")*(Başvuru!L2:L1142="ONAY"))</f>
        <v>3</v>
      </c>
      <c r="U11" s="12" cm="1">
        <f t="array" ref="U11">SUMPRODUCT(((Başvuru!J2:K1142)="Doç. Dr. Burcu ERSÖZ ALAN")*(Başvuru!G2:G1142="Doktora Tezi")*(Başvuru!L2:L1142="DÜZELTME"))</f>
        <v>1</v>
      </c>
      <c r="V11" s="12" cm="1">
        <f t="array" ref="V11">SUMPRODUCT(((Başvuru!J2:K1142)="Doç. Dr. Burcu ERSÖZ ALAN")*(Başvuru!G2:G1142="Doktora Tezi")*(Başvuru!L2:L1142="KAEK"))</f>
        <v>0</v>
      </c>
      <c r="W11" s="12" cm="1">
        <f t="array" ref="W11">SUMPRODUCT(((Başvuru!J2:K1142)="Doç. Dr. Burcu ERSÖZ ALAN")*(Başvuru!G2:G1142="Doktora Tezi")*(Başvuru!L2:L1142="GÖRÜŞ"))</f>
        <v>0</v>
      </c>
      <c r="X11" s="12" cm="1">
        <f t="array" ref="X11">SUMPRODUCT(((Başvuru!J2:K1142)="Doç. Dr. Burcu ERSÖZ ALAN")*(Başvuru!G2:G1142="Doktora Tezi")*(Başvuru!L2:L1142="RET"))</f>
        <v>0</v>
      </c>
      <c r="Y11" s="12" cm="1">
        <f t="array" ref="Y11">SUMPRODUCT(((Başvuru!J2:K1142)="Doç. Dr. Burcu ERSÖZ ALAN")*(Başvuru!G2:G1142="Doktora Tezi")*(Başvuru!L2:L1142="KAPSAM DIŞI"))</f>
        <v>0</v>
      </c>
      <c r="Z11" s="12" cm="1">
        <f t="array" ref="Z11">SUMPRODUCT(((Başvuru!J2:K1142)="Doç. Dr. Burcu ERSÖZ ALAN")*(Başvuru!G2:G1142="Doktora Tezi")*(Başvuru!L2:L1142="GERİ ÇEKİLDİ"))</f>
        <v>0</v>
      </c>
      <c r="AA11" s="12">
        <f t="shared" si="3"/>
        <v>4</v>
      </c>
      <c r="AB11" s="12" cm="1">
        <f t="array" ref="AB11">SUMPRODUCT(((Başvuru!J2:K1142)="Doç. Dr. Burcu ERSÖZ ALAN")*(Başvuru!G2:G1142="Uzmanlık Tezi")*(Başvuru!L2:L1142="ONAY"))</f>
        <v>3</v>
      </c>
      <c r="AC11" s="12" cm="1">
        <f t="array" ref="AC11">SUMPRODUCT(((Başvuru!J2:K1142)="Doç. Dr. Burcu ERSÖZ ALAN")*(Başvuru!G2:G1142="Uzmanlık Tezi")*(Başvuru!L2:L1142="DÜZELTME"))</f>
        <v>4</v>
      </c>
      <c r="AD11" s="12" cm="1">
        <f t="array" ref="AD11">SUMPRODUCT(((Başvuru!J2:K1142)="Doç. Dr. Burcu ERSÖZ ALAN")*(Başvuru!G2:G1142="Uzmanlık Tezi")*(Başvuru!L2:L1142="KAEK"))</f>
        <v>0</v>
      </c>
      <c r="AE11" s="12" cm="1">
        <f t="array" ref="AE11">SUMPRODUCT(((Başvuru!J2:K1142)="Doç. Dr. Burcu ERSÖZ ALAN")*(Başvuru!G2:G1142="Uzmanlık Tezi")*(Başvuru!L2:L1142="GÖRÜŞ"))</f>
        <v>0</v>
      </c>
      <c r="AF11" s="12" cm="1">
        <f t="array" ref="AF11">SUMPRODUCT(((Başvuru!J2:K1142)="Doç. Dr. Burcu ERSÖZ ALAN")*(Başvuru!G2:G1142="Uzmanlık Tezi")*(Başvuru!L2:L1142="RET"))</f>
        <v>0</v>
      </c>
      <c r="AG11" s="12" cm="1">
        <f t="array" ref="AG11">SUMPRODUCT(((Başvuru!J2:K1142)="Doç. Dr. Burcu ERSÖZ ALAN")*(Başvuru!G2:G1142="Uzmanlık Tezi")*(Başvuru!L2:L1142="KAPSAM DIŞI"))</f>
        <v>0</v>
      </c>
      <c r="AH11" s="12" cm="1">
        <f t="array" ref="AH11">SUMPRODUCT(((Başvuru!J2:K1142)="Doç. Dr. Burcu ERSÖZ ALAN")*(Başvuru!G2:G1142="Uzmanlık Tezi")*(Başvuru!L2:L1142="GERİ ÇEKİLDİ"))</f>
        <v>0</v>
      </c>
      <c r="AI11" s="12">
        <f t="shared" si="4"/>
        <v>7</v>
      </c>
      <c r="AJ11" s="31">
        <f t="shared" si="5"/>
        <v>23</v>
      </c>
      <c r="AK11" s="31">
        <f t="shared" si="5"/>
        <v>13</v>
      </c>
      <c r="AL11" s="31">
        <f t="shared" si="0"/>
        <v>0</v>
      </c>
      <c r="AM11" s="31">
        <f t="shared" si="0"/>
        <v>0</v>
      </c>
      <c r="AN11" s="31">
        <f t="shared" si="0"/>
        <v>0</v>
      </c>
      <c r="AO11" s="31">
        <f t="shared" si="0"/>
        <v>0</v>
      </c>
      <c r="AP11" s="31">
        <f t="shared" si="0"/>
        <v>0</v>
      </c>
      <c r="AQ11" s="31">
        <f t="shared" si="6"/>
        <v>36</v>
      </c>
    </row>
    <row r="12" spans="1:43" s="14" customFormat="1" ht="30" customHeight="1" x14ac:dyDescent="0.25">
      <c r="A12" s="21" t="s">
        <v>11</v>
      </c>
      <c r="B12" s="22" t="s">
        <v>93</v>
      </c>
      <c r="C12" s="12">
        <f>COUNTIF(Başvuru!J2:K1142,"Doç. Dr. Ekim GÜMELER")</f>
        <v>26</v>
      </c>
      <c r="D12" s="12" cm="1">
        <f t="array" ref="D12">SUMPRODUCT(((Başvuru!J2:K1142)="Doç. Dr. Ekim GÜMELER")*(Başvuru!G2:G1142="Bireysel Araştırma")*(Başvuru!L2:L1142="ONAY"))</f>
        <v>11</v>
      </c>
      <c r="E12" s="12" cm="1">
        <f t="array" ref="E12">SUMPRODUCT(((Başvuru!J2:K1142)="Doç. Dr. Ekim GÜMELER")*(Başvuru!G2:G1142="Bireysel Araştırma")*(Başvuru!L2:L1142="DÜZELTME"))</f>
        <v>7</v>
      </c>
      <c r="F12" s="12" cm="1">
        <f t="array" ref="F12">SUMPRODUCT(((Başvuru!J2:K1142)="Doç. Dr. Ekim GÜMELER")*(Başvuru!G2:G1142="Bireysel Araştırma")*(Başvuru!L2:L1142="KAEK"))</f>
        <v>2</v>
      </c>
      <c r="G12" s="12" cm="1">
        <f t="array" ref="G12">SUMPRODUCT(((Başvuru!J2:K1142)="Doç. Dr. Ekim GÜMELER")*(Başvuru!G2:G1142="Bireysel Araştırma")*(Başvuru!L2:L1142="GÖRÜŞ"))</f>
        <v>0</v>
      </c>
      <c r="H12" s="12" cm="1">
        <f t="array" ref="H12">SUMPRODUCT(((Başvuru!J2:K1142)="Doç. Dr. Ekim GÜMELER")*(Başvuru!G2:G1142="Bireysel Araştırma")*(Başvuru!L2:L1142="RET"))</f>
        <v>0</v>
      </c>
      <c r="I12" s="12" cm="1">
        <f t="array" ref="I12">SUMPRODUCT(((Başvuru!J2:K1142)="Doç. Dr. Ekim GÜMELER")*(Başvuru!G2:G1142="Bireysel Araştırma")*(Başvuru!L2:L1142="KAPSAM DIŞI"))</f>
        <v>0</v>
      </c>
      <c r="J12" s="12" cm="1">
        <f t="array" ref="J12">SUMPRODUCT(((Başvuru!J2:K1142)="Doç. Dr. Ekim GÜMELER")*(Başvuru!G2:G1142="Bireysel Araştırma")*(Başvuru!L2:L1142="GERİ ÇEKİLDİ"))</f>
        <v>0</v>
      </c>
      <c r="K12" s="12">
        <f t="shared" si="1"/>
        <v>20</v>
      </c>
      <c r="L12" s="12" cm="1">
        <f t="array" ref="L12">SUMPRODUCT(((Başvuru!J2:K1142)="Doç. Dr. Ekim GÜMELER")*(Başvuru!G2:G1142="Yüksek Lisans Tezi")*(Başvuru!L2:L1142="ONAY"))</f>
        <v>0</v>
      </c>
      <c r="M12" s="12" cm="1">
        <f t="array" ref="M12">SUMPRODUCT(((Başvuru!J2:K1142)="Doç. Dr. Ekim GÜMELER")*(Başvuru!G2:G1142="Yüksek Lisans Tezi")*(Başvuru!L2:L1142="DÜZELTME"))</f>
        <v>0</v>
      </c>
      <c r="N12" s="12" cm="1">
        <f t="array" ref="N12">SUMPRODUCT(((Başvuru!J2:K1142)="Doç. Dr. Ekim GÜMELER")*(Başvuru!G2:G1142="Yüksek Lisans Tezi")*(Başvuru!L2:L1142="KAEK"))</f>
        <v>0</v>
      </c>
      <c r="O12" s="12" cm="1">
        <f t="array" ref="O12">SUMPRODUCT(((Başvuru!J2:K1142)="Doç. Dr. Ekim GÜMELER")*(Başvuru!G2:G1142="Yüksek Lisans Tezi")*(Başvuru!L2:L1142="GÖRÜŞ"))</f>
        <v>0</v>
      </c>
      <c r="P12" s="12" cm="1">
        <f t="array" ref="P12">SUMPRODUCT(((Başvuru!J2:K1142)="Doç. Dr. Ekim GÜMELER")*(Başvuru!G2:G1142="Yüksek Lisans Tezi")*(Başvuru!L2:L1142="RET"))</f>
        <v>0</v>
      </c>
      <c r="Q12" s="12" cm="1">
        <f t="array" ref="Q12">SUMPRODUCT(((Başvuru!J2:K1142)="Doç. Dr. Ekim GÜMELER")*(Başvuru!G2:G1142="Yüksek Lisans Tezi")*(Başvuru!L2:L1142="KAPSAM DIŞI"))</f>
        <v>0</v>
      </c>
      <c r="R12" s="12" cm="1">
        <f t="array" ref="R12">SUMPRODUCT(((Başvuru!J2:K1142)="Doç. Dr. Ekim GÜMELER")*(Başvuru!G2:G1142="Yüksek Lisans Tezi")*(Başvuru!L2:L1142="GERİ ÇEKİLDİ"))</f>
        <v>0</v>
      </c>
      <c r="S12" s="12">
        <f t="shared" si="2"/>
        <v>0</v>
      </c>
      <c r="T12" s="12" cm="1">
        <f t="array" ref="T12">SUMPRODUCT(((Başvuru!J2:K1142)="Doç. Dr. Ekim GÜMELER")*(Başvuru!G2:G1142="Doktora Tezi")*(Başvuru!L2:L1142="ONAY"))</f>
        <v>1</v>
      </c>
      <c r="U12" s="12" cm="1">
        <f t="array" ref="U12">SUMPRODUCT(((Başvuru!J2:K1142)="Doç. Dr. Ekim GÜMELER")*(Başvuru!G2:G1142="Doktora Tezi")*(Başvuru!L2:L1142="DÜZELTME"))</f>
        <v>0</v>
      </c>
      <c r="V12" s="12" cm="1">
        <f t="array" ref="V12">SUMPRODUCT(((Başvuru!J2:K1142)="Doç. Dr. Ekim GÜMELER")*(Başvuru!G2:G1142="Doktora Tezi")*(Başvuru!L2:L1142="KAEK"))</f>
        <v>0</v>
      </c>
      <c r="W12" s="12" cm="1">
        <f t="array" ref="W12">SUMPRODUCT(((Başvuru!J2:K1142)="Doç. Dr. Ekim GÜMELER")*(Başvuru!G2:G1142="Doktora Tezi")*(Başvuru!L2:L1142="GÖRÜŞ"))</f>
        <v>0</v>
      </c>
      <c r="X12" s="12" cm="1">
        <f t="array" ref="X12">SUMPRODUCT(((Başvuru!J2:K1142)="Doç. Dr. Ekim GÜMELER")*(Başvuru!G2:G1142="Doktora Tezi")*(Başvuru!L2:L1142="RET"))</f>
        <v>0</v>
      </c>
      <c r="Y12" s="12" cm="1">
        <f t="array" ref="Y12">SUMPRODUCT(((Başvuru!J2:K1142)="Doç. Dr. Ekim GÜMELER")*(Başvuru!G2:G1142="Doktora Tezi")*(Başvuru!L2:L1142="KAPSAM DIŞI"))</f>
        <v>0</v>
      </c>
      <c r="Z12" s="12" cm="1">
        <f t="array" ref="Z12">SUMPRODUCT(((Başvuru!J2:K1142)="Doç. Dr. Ekim GÜMELER")*(Başvuru!G2:G1142="Doktora Tezi")*(Başvuru!L2:L1142="GERİ ÇEKİLDİ"))</f>
        <v>0</v>
      </c>
      <c r="AA12" s="12">
        <f t="shared" si="3"/>
        <v>1</v>
      </c>
      <c r="AB12" s="12" cm="1">
        <f t="array" ref="AB12">SUMPRODUCT(((Başvuru!J2:K1142)="Doç. Dr. Ekim GÜMELER")*(Başvuru!G2:G1142="Uzmanlık Tezi")*(Başvuru!L2:L1142="ONAY"))</f>
        <v>2</v>
      </c>
      <c r="AC12" s="12" cm="1">
        <f t="array" ref="AC12">SUMPRODUCT(((Başvuru!J2:K1142)="Doç. Dr. Ekim GÜMELER")*(Başvuru!G2:G1142="Uzmanlık Tezi")*(Başvuru!L2:L1142="DÜZELTME"))</f>
        <v>1</v>
      </c>
      <c r="AD12" s="12" cm="1">
        <f t="array" ref="AD12">SUMPRODUCT(((Başvuru!J2:K1142)="Doç. Dr. Ekim GÜMELER")*(Başvuru!G2:G1142="Uzmanlık Tezi")*(Başvuru!L2:L1142="KAEK"))</f>
        <v>0</v>
      </c>
      <c r="AE12" s="12" cm="1">
        <f t="array" ref="AE12">SUMPRODUCT(((Başvuru!J2:K1142)="Doç. Dr. Ekim GÜMELER")*(Başvuru!G2:G1142="Uzmanlık Tezi")*(Başvuru!L2:L1142="GÖRÜŞ"))</f>
        <v>0</v>
      </c>
      <c r="AF12" s="12" cm="1">
        <f t="array" ref="AF12">SUMPRODUCT(((Başvuru!J2:K1142)="Doç. Dr. Ekim GÜMELER")*(Başvuru!G2:G1142="Uzmanlık Tezi")*(Başvuru!L2:L1142="RET"))</f>
        <v>0</v>
      </c>
      <c r="AG12" s="12" cm="1">
        <f t="array" ref="AG12">SUMPRODUCT(((Başvuru!J2:K1142)="Doç. Dr. Ekim GÜMELER")*(Başvuru!G2:G1142="Uzmanlık Tezi")*(Başvuru!L2:L1142="KAPSAM DIŞI"))</f>
        <v>1</v>
      </c>
      <c r="AH12" s="12" cm="1">
        <f t="array" ref="AH12">SUMPRODUCT(((Başvuru!J2:K1142)="Doç. Dr. Ekim GÜMELER")*(Başvuru!G2:G1142="Uzmanlık Tezi")*(Başvuru!L2:L1142="GERİ ÇEKİLDİ"))</f>
        <v>0</v>
      </c>
      <c r="AI12" s="12">
        <f t="shared" si="4"/>
        <v>4</v>
      </c>
      <c r="AJ12" s="31">
        <f t="shared" si="5"/>
        <v>14</v>
      </c>
      <c r="AK12" s="31">
        <f t="shared" si="5"/>
        <v>8</v>
      </c>
      <c r="AL12" s="31">
        <f t="shared" si="0"/>
        <v>2</v>
      </c>
      <c r="AM12" s="31">
        <f t="shared" si="0"/>
        <v>0</v>
      </c>
      <c r="AN12" s="31">
        <f t="shared" si="0"/>
        <v>0</v>
      </c>
      <c r="AO12" s="31">
        <f t="shared" si="0"/>
        <v>1</v>
      </c>
      <c r="AP12" s="31">
        <f t="shared" si="0"/>
        <v>0</v>
      </c>
      <c r="AQ12" s="31">
        <f t="shared" si="6"/>
        <v>25</v>
      </c>
    </row>
    <row r="13" spans="1:43" s="14" customFormat="1" ht="30" customHeight="1" x14ac:dyDescent="0.25">
      <c r="A13" s="21" t="s">
        <v>12</v>
      </c>
      <c r="B13" s="22" t="s">
        <v>64</v>
      </c>
      <c r="C13" s="12">
        <f>COUNTIF(Başvuru!J2:K1142,"Dr. Öğr. Üyesi Müge DEMİR")</f>
        <v>39</v>
      </c>
      <c r="D13" s="12" cm="1">
        <f t="array" ref="D13">SUMPRODUCT(((Başvuru!J2:K1142)="Dr. Öğr. Üyesi Müge DEMİR")*(Başvuru!G2:G1142="Bireysel Araştırma")*(Başvuru!L2:L1142="ONAY"))</f>
        <v>13</v>
      </c>
      <c r="E13" s="12" cm="1">
        <f t="array" ref="E13">SUMPRODUCT(((Başvuru!J2:K1142)="Dr. Öğr. Üyesi Müge DEMİR")*(Başvuru!G2:G1142="Bireysel Araştırma")*(Başvuru!L2:L1142="DÜZELTME"))</f>
        <v>10</v>
      </c>
      <c r="F13" s="12" cm="1">
        <f t="array" ref="F13">SUMPRODUCT(((Başvuru!J2:K1142)="Dr. Öğr. Üyesi Müge DEMİR")*(Başvuru!G2:G1142="Bireysel Araştırma")*(Başvuru!L2:L1142="KAEK"))</f>
        <v>2</v>
      </c>
      <c r="G13" s="12" cm="1">
        <f t="array" ref="G13">SUMPRODUCT(((Başvuru!J2:K1142)="Dr. Öğr. Üyesi Müge DEMİR")*(Başvuru!G2:G1142="Bireysel Araştırma")*(Başvuru!L2:L1142="GÖRÜŞ"))</f>
        <v>0</v>
      </c>
      <c r="H13" s="12" cm="1">
        <f t="array" ref="H13">SUMPRODUCT(((Başvuru!J2:K1142)="Dr. Öğr. Üyesi Müge DEMİR")*(Başvuru!G2:G1142="Bireysel Araştırma")*(Başvuru!L2:L1142="RET"))</f>
        <v>0</v>
      </c>
      <c r="I13" s="12" cm="1">
        <f t="array" ref="I13">SUMPRODUCT(((Başvuru!J2:K1142)="Dr. Öğr. Üyesi Müge DEMİR")*(Başvuru!G2:G1142="Bireysel Araştırma")*(Başvuru!L2:L1142="KAPSAM DIŞI"))</f>
        <v>0</v>
      </c>
      <c r="J13" s="12" cm="1">
        <f t="array" ref="J13">SUMPRODUCT(((Başvuru!J2:K1142)="Dr. Öğr. Üyesi Müge DEMİR")*(Başvuru!G2:G1142="Bireysel Araştırma")*(Başvuru!L2:L1142="GERİ ÇEKİLDİ"))</f>
        <v>0</v>
      </c>
      <c r="K13" s="12">
        <f t="shared" si="1"/>
        <v>25</v>
      </c>
      <c r="L13" s="12" cm="1">
        <f t="array" ref="L13">SUMPRODUCT(((Başvuru!J2:K1142)="Dr. Öğr. Üyesi Müge DEMİR")*(Başvuru!G2:G1142="Yüksek Lisans Tezi")*(Başvuru!L2:L1142="ONAY"))</f>
        <v>1</v>
      </c>
      <c r="M13" s="12" cm="1">
        <f t="array" ref="M13">SUMPRODUCT(((Başvuru!J2:K1142)="Dr. Öğr. Üyesi Müge DEMİR")*(Başvuru!G2:G1142="Yüksek Lisans Tezi")*(Başvuru!L2:L1142="DÜZELTME"))</f>
        <v>1</v>
      </c>
      <c r="N13" s="12" cm="1">
        <f t="array" ref="N13">SUMPRODUCT(((Başvuru!J2:K1142)="Dr. Öğr. Üyesi Müge DEMİR")*(Başvuru!G2:G1142="Yüksek Lisans Tezi")*(Başvuru!L2:L1142="KAEK"))</f>
        <v>0</v>
      </c>
      <c r="O13" s="12" cm="1">
        <f t="array" ref="O13">SUMPRODUCT(((Başvuru!J2:K1142)="Dr. Öğr. Üyesi Müge DEMİR")*(Başvuru!G2:G1142="Yüksek Lisans Tezi")*(Başvuru!L2:L1142="GÖRÜŞ"))</f>
        <v>0</v>
      </c>
      <c r="P13" s="12" cm="1">
        <f t="array" ref="P13">SUMPRODUCT(((Başvuru!J2:K1142)="Dr. Öğr. Üyesi Müge DEMİR")*(Başvuru!G2:G1142="Yüksek Lisans Tezi")*(Başvuru!L2:L1142="RET"))</f>
        <v>0</v>
      </c>
      <c r="Q13" s="12" cm="1">
        <f t="array" ref="Q13">SUMPRODUCT(((Başvuru!J2:K1142)="Dr. Öğr. Üyesi Müge DEMİR")*(Başvuru!G2:G1142="Yüksek Lisans Tezi")*(Başvuru!L2:L1142="KAPSAM DIŞI"))</f>
        <v>0</v>
      </c>
      <c r="R13" s="12" cm="1">
        <f t="array" ref="R13">SUMPRODUCT(((Başvuru!J2:K1142)="Dr. Öğr. Üyesi Müge DEMİR")*(Başvuru!G2:G1142="Yüksek Lisans Tezi")*(Başvuru!L2:L1142="GERİ ÇEKİLDİ"))</f>
        <v>0</v>
      </c>
      <c r="S13" s="12">
        <f t="shared" si="2"/>
        <v>2</v>
      </c>
      <c r="T13" s="12" cm="1">
        <f t="array" ref="T13">SUMPRODUCT(((Başvuru!J2:K1142)="Dr. Öğr. Üyesi Müge DEMİR")*(Başvuru!G2:G1142="Doktora Tezi")*(Başvuru!L2:L1142="ONAY"))</f>
        <v>4</v>
      </c>
      <c r="U13" s="12" cm="1">
        <f t="array" ref="U13">SUMPRODUCT(((Başvuru!J2:K1142)="Dr. Öğr. Üyesi Müge DEMİR")*(Başvuru!G2:G1142="Doktora Tezi")*(Başvuru!L2:L1142="DÜZELTME"))</f>
        <v>0</v>
      </c>
      <c r="V13" s="12" cm="1">
        <f t="array" ref="V13">SUMPRODUCT(((Başvuru!J2:K1142)="Dr. Öğr. Üyesi Müge DEMİR")*(Başvuru!G2:G1142="Doktora Tezi")*(Başvuru!L2:L1142="KAEK"))</f>
        <v>0</v>
      </c>
      <c r="W13" s="12" cm="1">
        <f t="array" ref="W13">SUMPRODUCT(((Başvuru!J2:K1142)="Dr. Öğr. Üyesi Müge DEMİR")*(Başvuru!G2:G1142="Doktora Tezi")*(Başvuru!L2:L1142="GÖRÜŞ"))</f>
        <v>0</v>
      </c>
      <c r="X13" s="12" cm="1">
        <f t="array" ref="X13">SUMPRODUCT(((Başvuru!J2:K1142)="Dr. Öğr. Üyesi Müge DEMİR")*(Başvuru!G2:G1142="Doktora Tezi")*(Başvuru!L2:L1142="RET"))</f>
        <v>0</v>
      </c>
      <c r="Y13" s="12" cm="1">
        <f t="array" ref="Y13">SUMPRODUCT(((Başvuru!J2:K1142)="Dr. Öğr. Üyesi Müge DEMİR")*(Başvuru!G2:G1142="Doktora Tezi")*(Başvuru!L2:L1142="KAPSAM DIŞI"))</f>
        <v>0</v>
      </c>
      <c r="Z13" s="12" cm="1">
        <f t="array" ref="Z13">SUMPRODUCT(((Başvuru!J2:K1142)="Dr. Öğr. Üyesi Müge DEMİR")*(Başvuru!G2:G1142="Doktora Tezi")*(Başvuru!L2:L1142="GERİ ÇEKİLDİ"))</f>
        <v>0</v>
      </c>
      <c r="AA13" s="12">
        <f t="shared" si="3"/>
        <v>4</v>
      </c>
      <c r="AB13" s="12" cm="1">
        <f t="array" ref="AB13">SUMPRODUCT(((Başvuru!J2:K1142)="Dr. Öğr. Üyesi Müge DEMİR")*(Başvuru!G2:G1142="Uzmanlık Tezi")*(Başvuru!L2:L1142="ONAY"))</f>
        <v>2</v>
      </c>
      <c r="AC13" s="12" cm="1">
        <f t="array" ref="AC13">SUMPRODUCT(((Başvuru!J2:K1142)="Dr. Öğr. Üyesi Müge DEMİR")*(Başvuru!G2:G1142="Uzmanlık Tezi")*(Başvuru!L2:L1142="DÜZELTME"))</f>
        <v>3</v>
      </c>
      <c r="AD13" s="12" cm="1">
        <f t="array" ref="AD13">SUMPRODUCT(((Başvuru!J2:K1142)="Dr. Öğr. Üyesi Müge DEMİR")*(Başvuru!G2:G1142="Uzmanlık Tezi")*(Başvuru!L2:L1142="KAEK"))</f>
        <v>1</v>
      </c>
      <c r="AE13" s="12" cm="1">
        <f t="array" ref="AE13">SUMPRODUCT(((Başvuru!J2:K1142)="Dr. Öğr. Üyesi Müge DEMİR")*(Başvuru!G2:G1142="Uzmanlık Tezi")*(Başvuru!L2:L1142="GÖRÜŞ"))</f>
        <v>0</v>
      </c>
      <c r="AF13" s="12" cm="1">
        <f t="array" ref="AF13">SUMPRODUCT(((Başvuru!J2:K1142)="Dr. Öğr. Üyesi Müge DEMİR")*(Başvuru!G2:G1142="Uzmanlık Tezi")*(Başvuru!L2:L1142="RET"))</f>
        <v>0</v>
      </c>
      <c r="AG13" s="12" cm="1">
        <f t="array" ref="AG13">SUMPRODUCT(((Başvuru!J2:K1142)="Dr. Öğr. Üyesi Müge DEMİR")*(Başvuru!G2:G1142="Uzmanlık Tezi")*(Başvuru!L2:L1142="KAPSAM DIŞI"))</f>
        <v>0</v>
      </c>
      <c r="AH13" s="12" cm="1">
        <f t="array" ref="AH13">SUMPRODUCT(((Başvuru!J2:K1142)="Dr. Öğr. Üyesi Müge DEMİR")*(Başvuru!G2:G1142="Uzmanlık Tezi")*(Başvuru!L2:L1142="GERİ ÇEKİLDİ"))</f>
        <v>0</v>
      </c>
      <c r="AI13" s="12">
        <f t="shared" si="4"/>
        <v>6</v>
      </c>
      <c r="AJ13" s="31">
        <f t="shared" si="5"/>
        <v>20</v>
      </c>
      <c r="AK13" s="31">
        <f t="shared" si="5"/>
        <v>14</v>
      </c>
      <c r="AL13" s="31">
        <f t="shared" si="0"/>
        <v>3</v>
      </c>
      <c r="AM13" s="31">
        <f t="shared" si="0"/>
        <v>0</v>
      </c>
      <c r="AN13" s="31">
        <f t="shared" si="0"/>
        <v>0</v>
      </c>
      <c r="AO13" s="31">
        <f t="shared" si="0"/>
        <v>0</v>
      </c>
      <c r="AP13" s="31">
        <f t="shared" si="0"/>
        <v>0</v>
      </c>
      <c r="AQ13" s="31">
        <f t="shared" si="6"/>
        <v>37</v>
      </c>
    </row>
    <row r="14" spans="1:43" s="14" customFormat="1" ht="30" customHeight="1" x14ac:dyDescent="0.25">
      <c r="A14" s="177" t="s">
        <v>60</v>
      </c>
      <c r="B14" s="177"/>
      <c r="C14" s="20">
        <f t="shared" ref="C14:AP14" si="19">SUM(C2:C13)</f>
        <v>380</v>
      </c>
      <c r="D14" s="20">
        <f t="shared" si="19"/>
        <v>152</v>
      </c>
      <c r="E14" s="20">
        <f t="shared" si="19"/>
        <v>86</v>
      </c>
      <c r="F14" s="20">
        <f t="shared" si="19"/>
        <v>6</v>
      </c>
      <c r="G14" s="20">
        <f t="shared" si="19"/>
        <v>4</v>
      </c>
      <c r="H14" s="20">
        <f t="shared" si="19"/>
        <v>8</v>
      </c>
      <c r="I14" s="20">
        <f t="shared" si="19"/>
        <v>0</v>
      </c>
      <c r="J14" s="20">
        <f t="shared" si="19"/>
        <v>0</v>
      </c>
      <c r="K14" s="173">
        <f t="shared" si="19"/>
        <v>256</v>
      </c>
      <c r="L14" s="20">
        <f t="shared" si="19"/>
        <v>2</v>
      </c>
      <c r="M14" s="20">
        <f t="shared" si="19"/>
        <v>8</v>
      </c>
      <c r="N14" s="20">
        <f t="shared" si="19"/>
        <v>0</v>
      </c>
      <c r="O14" s="20">
        <f t="shared" si="19"/>
        <v>0</v>
      </c>
      <c r="P14" s="20">
        <f t="shared" si="19"/>
        <v>0</v>
      </c>
      <c r="Q14" s="20">
        <f t="shared" si="19"/>
        <v>0</v>
      </c>
      <c r="R14" s="20">
        <f t="shared" si="19"/>
        <v>0</v>
      </c>
      <c r="S14" s="173">
        <f t="shared" si="19"/>
        <v>10</v>
      </c>
      <c r="T14" s="20">
        <f t="shared" si="19"/>
        <v>14</v>
      </c>
      <c r="U14" s="20">
        <f t="shared" si="19"/>
        <v>14</v>
      </c>
      <c r="V14" s="20">
        <f t="shared" si="19"/>
        <v>0</v>
      </c>
      <c r="W14" s="20">
        <f t="shared" si="19"/>
        <v>2</v>
      </c>
      <c r="X14" s="20">
        <f t="shared" si="19"/>
        <v>0</v>
      </c>
      <c r="Y14" s="20">
        <f t="shared" si="19"/>
        <v>0</v>
      </c>
      <c r="Z14" s="20">
        <f t="shared" si="19"/>
        <v>0</v>
      </c>
      <c r="AA14" s="173">
        <f t="shared" si="19"/>
        <v>30</v>
      </c>
      <c r="AB14" s="20">
        <f t="shared" si="19"/>
        <v>36</v>
      </c>
      <c r="AC14" s="20">
        <f t="shared" si="19"/>
        <v>30</v>
      </c>
      <c r="AD14" s="20">
        <f t="shared" si="19"/>
        <v>2</v>
      </c>
      <c r="AE14" s="20">
        <f t="shared" si="19"/>
        <v>2</v>
      </c>
      <c r="AF14" s="20">
        <f t="shared" si="19"/>
        <v>0</v>
      </c>
      <c r="AG14" s="20">
        <f t="shared" si="19"/>
        <v>2</v>
      </c>
      <c r="AH14" s="20">
        <f t="shared" si="19"/>
        <v>0</v>
      </c>
      <c r="AI14" s="173">
        <f t="shared" si="19"/>
        <v>72</v>
      </c>
      <c r="AJ14" s="50">
        <f t="shared" si="19"/>
        <v>204</v>
      </c>
      <c r="AK14" s="50">
        <f t="shared" si="19"/>
        <v>138</v>
      </c>
      <c r="AL14" s="50">
        <f t="shared" si="19"/>
        <v>8</v>
      </c>
      <c r="AM14" s="50">
        <f t="shared" si="19"/>
        <v>8</v>
      </c>
      <c r="AN14" s="50">
        <f t="shared" si="19"/>
        <v>8</v>
      </c>
      <c r="AO14" s="50">
        <f t="shared" si="19"/>
        <v>2</v>
      </c>
      <c r="AP14" s="50">
        <f t="shared" si="19"/>
        <v>0</v>
      </c>
      <c r="AQ14" s="50">
        <f>SUM(AJ14:AP14)</f>
        <v>368</v>
      </c>
    </row>
    <row r="15" spans="1:43" s="14" customFormat="1" ht="45.75" x14ac:dyDescent="0.25">
      <c r="A15" s="24"/>
      <c r="C15" s="35">
        <f>C14/2</f>
        <v>190</v>
      </c>
      <c r="D15" s="175">
        <f>SUM(D14:J14)</f>
        <v>256</v>
      </c>
      <c r="E15" s="175"/>
      <c r="F15" s="175"/>
      <c r="G15" s="175"/>
      <c r="H15" s="175"/>
      <c r="I15" s="175"/>
      <c r="J15" s="175"/>
      <c r="K15" s="174"/>
      <c r="L15" s="175">
        <f>SUM(L14:R14)</f>
        <v>10</v>
      </c>
      <c r="M15" s="175"/>
      <c r="N15" s="175"/>
      <c r="O15" s="175"/>
      <c r="P15" s="175"/>
      <c r="Q15" s="175"/>
      <c r="R15" s="175"/>
      <c r="S15" s="174"/>
      <c r="T15" s="175">
        <f>SUM(T14:Z14)</f>
        <v>30</v>
      </c>
      <c r="U15" s="175"/>
      <c r="V15" s="175"/>
      <c r="W15" s="175"/>
      <c r="X15" s="175"/>
      <c r="Y15" s="175"/>
      <c r="Z15" s="175"/>
      <c r="AA15" s="174"/>
      <c r="AB15" s="175">
        <f>SUM(AB14:AH14)</f>
        <v>72</v>
      </c>
      <c r="AC15" s="175"/>
      <c r="AD15" s="175"/>
      <c r="AE15" s="175"/>
      <c r="AF15" s="175"/>
      <c r="AG15" s="175"/>
      <c r="AH15" s="175"/>
      <c r="AI15" s="174"/>
    </row>
    <row r="16" spans="1:43" ht="45.75" x14ac:dyDescent="0.25">
      <c r="D16" s="176">
        <f>SUM(D15:AH15)</f>
        <v>368</v>
      </c>
      <c r="E16" s="176"/>
      <c r="F16" s="176"/>
      <c r="G16" s="176"/>
      <c r="H16" s="176"/>
      <c r="I16" s="176"/>
      <c r="J16" s="176"/>
      <c r="K16" s="176"/>
      <c r="L16" s="176"/>
      <c r="M16" s="176"/>
      <c r="N16" s="176"/>
      <c r="O16" s="176"/>
      <c r="P16" s="176"/>
      <c r="Q16" s="176"/>
      <c r="R16" s="176"/>
      <c r="S16" s="176"/>
      <c r="T16" s="176"/>
      <c r="U16" s="176"/>
      <c r="V16" s="176"/>
      <c r="W16" s="176"/>
      <c r="X16" s="176"/>
      <c r="Y16" s="176"/>
      <c r="Z16" s="176"/>
      <c r="AA16" s="176"/>
      <c r="AB16" s="176"/>
      <c r="AC16" s="176"/>
      <c r="AD16" s="176"/>
      <c r="AE16" s="176"/>
      <c r="AF16" s="176"/>
      <c r="AG16" s="176"/>
      <c r="AH16" s="176"/>
      <c r="AI16" s="176"/>
      <c r="AJ16" s="172">
        <f>C14-D16</f>
        <v>12</v>
      </c>
      <c r="AK16" s="172"/>
      <c r="AL16" s="172"/>
      <c r="AM16" s="172"/>
      <c r="AN16" s="172">
        <f>C14-AQ14</f>
        <v>12</v>
      </c>
      <c r="AO16" s="172"/>
      <c r="AP16" s="172"/>
      <c r="AQ16" s="172"/>
    </row>
  </sheetData>
  <mergeCells count="12">
    <mergeCell ref="A14:B14"/>
    <mergeCell ref="K14:K15"/>
    <mergeCell ref="S14:S15"/>
    <mergeCell ref="D16:AI16"/>
    <mergeCell ref="AJ16:AM16"/>
    <mergeCell ref="D15:J15"/>
    <mergeCell ref="L15:R15"/>
    <mergeCell ref="AN16:AQ16"/>
    <mergeCell ref="AA14:AA15"/>
    <mergeCell ref="AI14:AI15"/>
    <mergeCell ref="T15:Z15"/>
    <mergeCell ref="AB15:AH15"/>
  </mergeCells>
  <phoneticPr fontId="6" type="noConversion"/>
  <conditionalFormatting sqref="A2:AI13">
    <cfRule type="expression" dxfId="35"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86" t="s">
        <v>65</v>
      </c>
      <c r="B1" s="186" t="s">
        <v>67</v>
      </c>
      <c r="C1" s="187" t="s">
        <v>66</v>
      </c>
      <c r="D1" s="178" t="s">
        <v>76</v>
      </c>
      <c r="E1" s="179"/>
      <c r="F1" s="179"/>
      <c r="G1" s="179"/>
      <c r="H1" s="179"/>
      <c r="I1" s="179"/>
      <c r="J1" s="179"/>
      <c r="K1" s="180"/>
      <c r="L1" s="178" t="s">
        <v>25</v>
      </c>
      <c r="M1" s="179"/>
      <c r="N1" s="179"/>
      <c r="O1" s="179"/>
      <c r="P1" s="179"/>
      <c r="Q1" s="179"/>
      <c r="R1" s="179"/>
      <c r="S1" s="180"/>
      <c r="T1" s="178" t="s">
        <v>23</v>
      </c>
      <c r="U1" s="179"/>
      <c r="V1" s="179"/>
      <c r="W1" s="179"/>
      <c r="X1" s="179"/>
      <c r="Y1" s="179"/>
      <c r="Z1" s="179"/>
      <c r="AA1" s="180"/>
      <c r="AB1" s="178" t="s">
        <v>24</v>
      </c>
      <c r="AC1" s="179"/>
      <c r="AD1" s="179"/>
      <c r="AE1" s="179"/>
      <c r="AF1" s="179"/>
      <c r="AG1" s="179"/>
      <c r="AH1" s="179"/>
      <c r="AI1" s="180"/>
      <c r="AJ1" s="183" t="s">
        <v>60</v>
      </c>
      <c r="AK1" s="184"/>
      <c r="AL1" s="184"/>
      <c r="AM1" s="184"/>
      <c r="AN1" s="184"/>
      <c r="AO1" s="184"/>
      <c r="AP1" s="184"/>
      <c r="AQ1" s="185"/>
    </row>
    <row r="2" spans="1:43" s="14" customFormat="1" ht="111.75" customHeight="1" x14ac:dyDescent="0.25">
      <c r="A2" s="186"/>
      <c r="B2" s="186"/>
      <c r="C2" s="186"/>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31</v>
      </c>
      <c r="D3" s="12">
        <f>COUNTIFS(Başvuru!$G:$G, "Bireysel Araştırma", Başvuru!$L:$L, D$2, Başvuru!$J:$J, $B3) + COUNTIFS(Başvuru!$G:$G, "Bireysel Araştırma", Başvuru!$L:$L, D$2, Başvuru!$K:$K, $B3)</f>
        <v>13</v>
      </c>
      <c r="E3" s="12">
        <f>COUNTIFS(Başvuru!$G:$G, "Bireysel Araştırma", Başvuru!$L:$L, E$2, Başvuru!$J:$J, $B3) + COUNTIFS(Başvuru!$G:$G, "Bireysel Araştırma", Başvuru!$L:$L, E$2, Başvuru!$K:$K, $B3)</f>
        <v>10</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23</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2</v>
      </c>
      <c r="AJ3" s="31">
        <f>SUM(D3,L3,T3,AB3)</f>
        <v>15</v>
      </c>
      <c r="AK3" s="31">
        <f>SUM(E3,M3,U3,AC3)</f>
        <v>16</v>
      </c>
      <c r="AL3" s="31">
        <f t="shared" ref="AL3:AP14" si="0">SUM(F3,N3,V3,AD3)</f>
        <v>0</v>
      </c>
      <c r="AM3" s="31">
        <f t="shared" si="0"/>
        <v>0</v>
      </c>
      <c r="AN3" s="31">
        <f t="shared" si="0"/>
        <v>0</v>
      </c>
      <c r="AO3" s="31">
        <f t="shared" si="0"/>
        <v>0</v>
      </c>
      <c r="AP3" s="31">
        <f t="shared" si="0"/>
        <v>0</v>
      </c>
      <c r="AQ3" s="31">
        <f>SUM(AJ3:AP3)</f>
        <v>31</v>
      </c>
    </row>
    <row r="4" spans="1:43" s="14" customFormat="1" ht="30" customHeight="1" x14ac:dyDescent="0.25">
      <c r="A4" s="21" t="s">
        <v>2</v>
      </c>
      <c r="B4" s="22" t="s">
        <v>63</v>
      </c>
      <c r="C4" s="12">
        <f>COUNTIF(Başvuru!$J:$K, $B4)</f>
        <v>35</v>
      </c>
      <c r="D4" s="12">
        <f>COUNTIFS(Başvuru!$G:$G, "Bireysel Araştırma", Başvuru!$L:$L, D$2, Başvuru!$J:$J, $B4) + COUNTIFS(Başvuru!$G:$G, "Bireysel Araştırma", Başvuru!$L:$L, D$2, Başvuru!$K:$K, $B4)</f>
        <v>12</v>
      </c>
      <c r="E4" s="12">
        <f>COUNTIFS(Başvuru!$G:$G, "Bireysel Araştırma", Başvuru!$L:$L, E$2, Başvuru!$J:$J, $B4) + COUNTIFS(Başvuru!$G:$G, "Bireysel Araştırma", Başvuru!$L:$L, E$2, Başvuru!$K:$K, $B4)</f>
        <v>6</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20</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21</v>
      </c>
      <c r="AK4" s="31">
        <f t="shared" si="5"/>
        <v>9</v>
      </c>
      <c r="AL4" s="31">
        <f t="shared" si="0"/>
        <v>1</v>
      </c>
      <c r="AM4" s="31">
        <f t="shared" si="0"/>
        <v>1</v>
      </c>
      <c r="AN4" s="31">
        <f t="shared" si="0"/>
        <v>1</v>
      </c>
      <c r="AO4" s="31">
        <f t="shared" si="0"/>
        <v>0</v>
      </c>
      <c r="AP4" s="31">
        <f t="shared" si="0"/>
        <v>0</v>
      </c>
      <c r="AQ4" s="31">
        <f t="shared" ref="AQ4:AQ14" si="6">SUM(AJ4:AP4)</f>
        <v>33</v>
      </c>
    </row>
    <row r="5" spans="1:43" s="14" customFormat="1" ht="30" customHeight="1" x14ac:dyDescent="0.25">
      <c r="A5" s="21" t="s">
        <v>3</v>
      </c>
      <c r="B5" s="22" t="s">
        <v>156</v>
      </c>
      <c r="C5" s="12">
        <f>COUNTIF(Başvuru!$J:$K, $B5)</f>
        <v>28</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25</v>
      </c>
      <c r="D6" s="12">
        <f>COUNTIFS(Başvuru!$G:$G, "Bireysel Araştırma", Başvuru!$L:$L, D$2, Başvuru!$J:$J, $B6) + COUNTIFS(Başvuru!$G:$G, "Bireysel Araştırma", Başvuru!$L:$L, D$2, Başvuru!$K:$K, $B6)</f>
        <v>13</v>
      </c>
      <c r="E6" s="12">
        <f>COUNTIFS(Başvuru!$G:$G, "Bireysel Araştırma", Başvuru!$L:$L, E$2, Başvuru!$J:$J, $B6) + COUNTIFS(Başvuru!$G:$G, "Bireysel Araştırma", Başvuru!$L:$L, E$2, Başvuru!$K:$K, $B6)</f>
        <v>4</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19</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2</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3</v>
      </c>
      <c r="AJ6" s="31">
        <f t="shared" si="5"/>
        <v>15</v>
      </c>
      <c r="AK6" s="31">
        <f t="shared" si="5"/>
        <v>7</v>
      </c>
      <c r="AL6" s="31">
        <f t="shared" si="0"/>
        <v>0</v>
      </c>
      <c r="AM6" s="31">
        <f t="shared" si="0"/>
        <v>2</v>
      </c>
      <c r="AN6" s="31">
        <f t="shared" si="0"/>
        <v>0</v>
      </c>
      <c r="AO6" s="31">
        <f t="shared" si="0"/>
        <v>0</v>
      </c>
      <c r="AP6" s="31">
        <f t="shared" si="0"/>
        <v>0</v>
      </c>
      <c r="AQ6" s="31">
        <f t="shared" si="6"/>
        <v>24</v>
      </c>
    </row>
    <row r="7" spans="1:43" s="14" customFormat="1" ht="30" customHeight="1" x14ac:dyDescent="0.25">
      <c r="A7" s="21" t="s">
        <v>5</v>
      </c>
      <c r="B7" s="22" t="s">
        <v>91</v>
      </c>
      <c r="C7" s="12">
        <f>COUNTIF(Başvuru!$J:$K, $B7)</f>
        <v>25</v>
      </c>
      <c r="D7" s="12">
        <f>COUNTIFS(Başvuru!$G:$G, "Bireysel Araştırma", Başvuru!$L:$L, D$2, Başvuru!$J:$J, $B7) + COUNTIFS(Başvuru!$G:$G, "Bireysel Araştırma", Başvuru!$L:$L, D$2, Başvuru!$K:$K, $B7)</f>
        <v>10</v>
      </c>
      <c r="E7" s="12">
        <f>COUNTIFS(Başvuru!$G:$G, "Bireysel Araştırma", Başvuru!$L:$L, E$2, Başvuru!$J:$J, $B7) + COUNTIFS(Başvuru!$G:$G, "Bireysel Araştırma", Başvuru!$L:$L, E$2, Başvuru!$K:$K, $B7)</f>
        <v>5</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15</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13</v>
      </c>
      <c r="AK7" s="31">
        <f t="shared" si="5"/>
        <v>11</v>
      </c>
      <c r="AL7" s="31">
        <f t="shared" si="0"/>
        <v>0</v>
      </c>
      <c r="AM7" s="31">
        <f t="shared" si="0"/>
        <v>1</v>
      </c>
      <c r="AN7" s="31">
        <f t="shared" si="0"/>
        <v>0</v>
      </c>
      <c r="AO7" s="31">
        <f t="shared" si="0"/>
        <v>0</v>
      </c>
      <c r="AP7" s="31">
        <f t="shared" si="0"/>
        <v>0</v>
      </c>
      <c r="AQ7" s="31">
        <f t="shared" si="6"/>
        <v>25</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16</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24</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21</v>
      </c>
      <c r="AK8" s="31">
        <f t="shared" si="5"/>
        <v>10</v>
      </c>
      <c r="AL8" s="31">
        <f t="shared" si="0"/>
        <v>1</v>
      </c>
      <c r="AM8" s="31">
        <f t="shared" si="0"/>
        <v>1</v>
      </c>
      <c r="AN8" s="31">
        <f t="shared" si="0"/>
        <v>1</v>
      </c>
      <c r="AO8" s="31">
        <f t="shared" si="0"/>
        <v>0</v>
      </c>
      <c r="AP8" s="31">
        <f t="shared" si="0"/>
        <v>0</v>
      </c>
      <c r="AQ8" s="31">
        <f t="shared" si="6"/>
        <v>34</v>
      </c>
    </row>
    <row r="9" spans="1:43" s="14" customFormat="1" ht="30" customHeight="1" x14ac:dyDescent="0.25">
      <c r="A9" s="21" t="s">
        <v>7</v>
      </c>
      <c r="B9" s="22" t="s">
        <v>92</v>
      </c>
      <c r="C9" s="12">
        <f>COUNTIF(Başvuru!$J:$K, $B9)</f>
        <v>36</v>
      </c>
      <c r="D9" s="12">
        <f>COUNTIFS(Başvuru!$G:$G, "Bireysel Araştırma", Başvuru!$L:$L, D$2, Başvuru!$J:$J, $B9) + COUNTIFS(Başvuru!$G:$G, "Bireysel Araştırma", Başvuru!$L:$L, D$2, Başvuru!$K:$K, $B9)</f>
        <v>15</v>
      </c>
      <c r="E9" s="12">
        <f>COUNTIFS(Başvuru!$G:$G, "Bireysel Araştırma", Başvuru!$L:$L, E$2, Başvuru!$J:$J, $B9) + COUNTIFS(Başvuru!$G:$G, "Bireysel Araştırma", Başvuru!$L:$L, E$2, Başvuru!$K:$K, $B9)</f>
        <v>7</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23</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4</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7</v>
      </c>
      <c r="AJ9" s="31">
        <f t="shared" si="5"/>
        <v>20</v>
      </c>
      <c r="AK9" s="31">
        <f t="shared" si="5"/>
        <v>12</v>
      </c>
      <c r="AL9" s="31">
        <f t="shared" si="0"/>
        <v>0</v>
      </c>
      <c r="AM9" s="31">
        <f t="shared" si="0"/>
        <v>2</v>
      </c>
      <c r="AN9" s="31">
        <f t="shared" si="0"/>
        <v>1</v>
      </c>
      <c r="AO9" s="31">
        <f t="shared" si="0"/>
        <v>0</v>
      </c>
      <c r="AP9" s="31">
        <f t="shared" si="0"/>
        <v>0</v>
      </c>
      <c r="AQ9" s="31">
        <f t="shared" si="6"/>
        <v>35</v>
      </c>
    </row>
    <row r="10" spans="1:43" s="14" customFormat="1" ht="30" customHeight="1" x14ac:dyDescent="0.25">
      <c r="A10" s="21" t="s">
        <v>8</v>
      </c>
      <c r="B10" s="22" t="s">
        <v>96</v>
      </c>
      <c r="C10" s="12">
        <f>COUNTIF(Başvuru!$J:$K, $B10)</f>
        <v>38</v>
      </c>
      <c r="D10" s="12">
        <f>COUNTIFS(Başvuru!$G:$G, "Bireysel Araştırma", Başvuru!$L:$L, D$2, Başvuru!$J:$J, $B10) + COUNTIFS(Başvuru!$G:$G, "Bireysel Araştırma", Başvuru!$L:$L, D$2, Başvuru!$K:$K, $B10)</f>
        <v>15</v>
      </c>
      <c r="E10" s="12">
        <f>COUNTIFS(Başvuru!$G:$G, "Bireysel Araştırma", Başvuru!$L:$L, E$2, Başvuru!$J:$J, $B10) + COUNTIFS(Başvuru!$G:$G, "Bireysel Araştırma", Başvuru!$L:$L, E$2, Başvuru!$K:$K, $B10)</f>
        <v>13</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30</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18</v>
      </c>
      <c r="AK10" s="31">
        <f t="shared" si="5"/>
        <v>17</v>
      </c>
      <c r="AL10" s="31">
        <f t="shared" si="0"/>
        <v>1</v>
      </c>
      <c r="AM10" s="31">
        <f t="shared" si="0"/>
        <v>0</v>
      </c>
      <c r="AN10" s="31">
        <f t="shared" si="0"/>
        <v>1</v>
      </c>
      <c r="AO10" s="31">
        <f t="shared" si="0"/>
        <v>0</v>
      </c>
      <c r="AP10" s="31">
        <f t="shared" si="0"/>
        <v>0</v>
      </c>
      <c r="AQ10" s="31">
        <f t="shared" si="6"/>
        <v>37</v>
      </c>
    </row>
    <row r="11" spans="1:43" s="14" customFormat="1" ht="30" customHeight="1" x14ac:dyDescent="0.25">
      <c r="A11" s="21" t="s">
        <v>9</v>
      </c>
      <c r="B11" s="22" t="s">
        <v>95</v>
      </c>
      <c r="C11" s="12">
        <f>COUNTIF(Başvuru!$J:$K, $B11)</f>
        <v>25</v>
      </c>
      <c r="D11" s="12">
        <f>COUNTIFS(Başvuru!$G:$G, "Bireysel Araştırma", Başvuru!$L:$L, D$2, Başvuru!$J:$J, $B11) + COUNTIFS(Başvuru!$G:$G, "Bireysel Araştırma", Başvuru!$L:$L, D$2, Başvuru!$K:$K, $B11)</f>
        <v>7</v>
      </c>
      <c r="E11" s="12">
        <f>COUNTIFS(Başvuru!$G:$G, "Bireysel Araştırma", Başvuru!$L:$L, E$2, Başvuru!$J:$J, $B11) + COUNTIFS(Başvuru!$G:$G, "Bireysel Araştırma", Başvuru!$L:$L, E$2, Başvuru!$K:$K, $B11)</f>
        <v>3</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14</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12</v>
      </c>
      <c r="AK11" s="31">
        <f t="shared" si="5"/>
        <v>8</v>
      </c>
      <c r="AL11" s="31">
        <f t="shared" si="0"/>
        <v>0</v>
      </c>
      <c r="AM11" s="31">
        <f t="shared" si="0"/>
        <v>1</v>
      </c>
      <c r="AN11" s="31">
        <f t="shared" si="0"/>
        <v>3</v>
      </c>
      <c r="AO11" s="31">
        <f t="shared" si="0"/>
        <v>0</v>
      </c>
      <c r="AP11" s="31">
        <f t="shared" si="0"/>
        <v>0</v>
      </c>
      <c r="AQ11" s="31">
        <f t="shared" si="6"/>
        <v>24</v>
      </c>
    </row>
    <row r="12" spans="1:43" s="14" customFormat="1" ht="30" customHeight="1" x14ac:dyDescent="0.25">
      <c r="A12" s="21" t="s">
        <v>10</v>
      </c>
      <c r="B12" s="22" t="s">
        <v>84</v>
      </c>
      <c r="C12" s="12">
        <f>COUNTIF(Başvuru!$J:$K, $B12)</f>
        <v>36</v>
      </c>
      <c r="D12" s="12">
        <f>COUNTIFS(Başvuru!$G:$G, "Bireysel Araştırma", Başvuru!$L:$L, D$2, Başvuru!$J:$J, $B12) + COUNTIFS(Başvuru!$G:$G, "Bireysel Araştırma", Başvuru!$L:$L, D$2, Başvuru!$K:$K, $B12)</f>
        <v>17</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25</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4</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7</v>
      </c>
      <c r="AJ12" s="31">
        <f t="shared" si="5"/>
        <v>23</v>
      </c>
      <c r="AK12" s="31">
        <f t="shared" si="5"/>
        <v>13</v>
      </c>
      <c r="AL12" s="31">
        <f t="shared" si="0"/>
        <v>0</v>
      </c>
      <c r="AM12" s="31">
        <f t="shared" si="0"/>
        <v>0</v>
      </c>
      <c r="AN12" s="31">
        <f t="shared" si="0"/>
        <v>0</v>
      </c>
      <c r="AO12" s="31">
        <f t="shared" si="0"/>
        <v>0</v>
      </c>
      <c r="AP12" s="31">
        <f t="shared" si="0"/>
        <v>0</v>
      </c>
      <c r="AQ12" s="31">
        <f t="shared" si="6"/>
        <v>36</v>
      </c>
    </row>
    <row r="13" spans="1:43" s="14" customFormat="1" ht="30" customHeight="1" x14ac:dyDescent="0.25">
      <c r="A13" s="21" t="s">
        <v>11</v>
      </c>
      <c r="B13" s="22" t="s">
        <v>93</v>
      </c>
      <c r="C13" s="12">
        <f>COUNTIF(Başvuru!$J:$K, $B13)</f>
        <v>26</v>
      </c>
      <c r="D13" s="12">
        <f>COUNTIFS(Başvuru!$G:$G, "Bireysel Araştırma", Başvuru!$L:$L, D$2, Başvuru!$J:$J, $B13) + COUNTIFS(Başvuru!$G:$G, "Bireysel Araştırma", Başvuru!$L:$L, D$2, Başvuru!$K:$K, $B13)</f>
        <v>11</v>
      </c>
      <c r="E13" s="12">
        <f>COUNTIFS(Başvuru!$G:$G, "Bireysel Araştırma", Başvuru!$L:$L, E$2, Başvuru!$J:$J, $B13) + COUNTIFS(Başvuru!$G:$G, "Bireysel Araştırma", Başvuru!$L:$L, E$2, Başvuru!$K:$K, $B13)</f>
        <v>7</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20</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2</v>
      </c>
      <c r="AC13" s="12">
        <f>COUNTIFS(Başvuru!$G:$G, "Uzmanlık Tezi", Başvuru!$L:$L, AC$2, Başvuru!$J:$J, $B13) + COUNTIFS(Başvuru!$G:$G, "Uzmanlık Tezi", Başvuru!$L:$L, AC$2, Başvuru!$K:$K, $B13)</f>
        <v>1</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4</v>
      </c>
      <c r="AJ13" s="31">
        <f t="shared" si="5"/>
        <v>14</v>
      </c>
      <c r="AK13" s="31">
        <f t="shared" si="5"/>
        <v>8</v>
      </c>
      <c r="AL13" s="31">
        <f t="shared" si="0"/>
        <v>2</v>
      </c>
      <c r="AM13" s="31">
        <f t="shared" si="0"/>
        <v>0</v>
      </c>
      <c r="AN13" s="31">
        <f t="shared" si="0"/>
        <v>0</v>
      </c>
      <c r="AO13" s="31">
        <f t="shared" si="0"/>
        <v>1</v>
      </c>
      <c r="AP13" s="31">
        <f t="shared" si="0"/>
        <v>0</v>
      </c>
      <c r="AQ13" s="31">
        <f t="shared" si="6"/>
        <v>25</v>
      </c>
    </row>
    <row r="14" spans="1:43" s="14" customFormat="1" ht="30" customHeight="1" x14ac:dyDescent="0.25">
      <c r="A14" s="21" t="s">
        <v>12</v>
      </c>
      <c r="B14" s="22" t="s">
        <v>64</v>
      </c>
      <c r="C14" s="12">
        <f>COUNTIF(Başvuru!$J:$K, $B14)</f>
        <v>39</v>
      </c>
      <c r="D14" s="12">
        <f>COUNTIFS(Başvuru!$G:$G, "Bireysel Araştırma", Başvuru!$L:$L, D$2, Başvuru!$J:$J, $B14) + COUNTIFS(Başvuru!$G:$G, "Bireysel Araştırma", Başvuru!$L:$L, D$2, Başvuru!$K:$K, $B14)</f>
        <v>13</v>
      </c>
      <c r="E14" s="12">
        <f>COUNTIFS(Başvuru!$G:$G, "Bireysel Araştırma", Başvuru!$L:$L, E$2, Başvuru!$J:$J, $B14) + COUNTIFS(Başvuru!$G:$G, "Bireysel Araştırma", Başvuru!$L:$L, E$2, Başvuru!$K:$K, $B14)</f>
        <v>10</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25</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20</v>
      </c>
      <c r="AK14" s="31">
        <f t="shared" si="5"/>
        <v>14</v>
      </c>
      <c r="AL14" s="31">
        <f t="shared" si="0"/>
        <v>3</v>
      </c>
      <c r="AM14" s="31">
        <f t="shared" si="0"/>
        <v>0</v>
      </c>
      <c r="AN14" s="31">
        <f t="shared" si="0"/>
        <v>0</v>
      </c>
      <c r="AO14" s="31">
        <f t="shared" si="0"/>
        <v>0</v>
      </c>
      <c r="AP14" s="31">
        <f t="shared" si="0"/>
        <v>0</v>
      </c>
      <c r="AQ14" s="31">
        <f t="shared" si="6"/>
        <v>37</v>
      </c>
    </row>
    <row r="15" spans="1:43" s="14" customFormat="1" ht="30" customHeight="1" x14ac:dyDescent="0.25">
      <c r="A15" s="177" t="s">
        <v>60</v>
      </c>
      <c r="B15" s="177"/>
      <c r="C15" s="20">
        <f t="shared" ref="C15:AP15" si="7">SUM(C3:C14)</f>
        <v>380</v>
      </c>
      <c r="D15" s="20">
        <f t="shared" si="7"/>
        <v>152</v>
      </c>
      <c r="E15" s="20">
        <f t="shared" si="7"/>
        <v>86</v>
      </c>
      <c r="F15" s="20">
        <f t="shared" si="7"/>
        <v>6</v>
      </c>
      <c r="G15" s="20">
        <f t="shared" si="7"/>
        <v>4</v>
      </c>
      <c r="H15" s="20">
        <f t="shared" si="7"/>
        <v>8</v>
      </c>
      <c r="I15" s="20">
        <f t="shared" si="7"/>
        <v>0</v>
      </c>
      <c r="J15" s="20">
        <f t="shared" si="7"/>
        <v>0</v>
      </c>
      <c r="K15" s="173">
        <f t="shared" si="7"/>
        <v>256</v>
      </c>
      <c r="L15" s="20">
        <f t="shared" si="7"/>
        <v>2</v>
      </c>
      <c r="M15" s="20">
        <f t="shared" si="7"/>
        <v>8</v>
      </c>
      <c r="N15" s="20">
        <f t="shared" si="7"/>
        <v>0</v>
      </c>
      <c r="O15" s="20">
        <f t="shared" si="7"/>
        <v>0</v>
      </c>
      <c r="P15" s="20">
        <f t="shared" si="7"/>
        <v>0</v>
      </c>
      <c r="Q15" s="20">
        <f t="shared" si="7"/>
        <v>0</v>
      </c>
      <c r="R15" s="20">
        <f t="shared" si="7"/>
        <v>0</v>
      </c>
      <c r="S15" s="173">
        <f t="shared" si="7"/>
        <v>10</v>
      </c>
      <c r="T15" s="20">
        <f t="shared" si="7"/>
        <v>14</v>
      </c>
      <c r="U15" s="20">
        <f t="shared" si="7"/>
        <v>14</v>
      </c>
      <c r="V15" s="20">
        <f t="shared" si="7"/>
        <v>0</v>
      </c>
      <c r="W15" s="20">
        <f t="shared" si="7"/>
        <v>2</v>
      </c>
      <c r="X15" s="20">
        <f t="shared" si="7"/>
        <v>0</v>
      </c>
      <c r="Y15" s="20">
        <f t="shared" si="7"/>
        <v>0</v>
      </c>
      <c r="Z15" s="20">
        <f t="shared" si="7"/>
        <v>0</v>
      </c>
      <c r="AA15" s="173">
        <f t="shared" si="7"/>
        <v>30</v>
      </c>
      <c r="AB15" s="20">
        <f t="shared" si="7"/>
        <v>36</v>
      </c>
      <c r="AC15" s="20">
        <f t="shared" si="7"/>
        <v>30</v>
      </c>
      <c r="AD15" s="20">
        <f t="shared" si="7"/>
        <v>2</v>
      </c>
      <c r="AE15" s="20">
        <f t="shared" si="7"/>
        <v>2</v>
      </c>
      <c r="AF15" s="20">
        <f t="shared" si="7"/>
        <v>0</v>
      </c>
      <c r="AG15" s="20">
        <f t="shared" si="7"/>
        <v>2</v>
      </c>
      <c r="AH15" s="20">
        <f t="shared" si="7"/>
        <v>0</v>
      </c>
      <c r="AI15" s="173">
        <f t="shared" si="7"/>
        <v>72</v>
      </c>
      <c r="AJ15" s="50">
        <f t="shared" si="7"/>
        <v>204</v>
      </c>
      <c r="AK15" s="50">
        <f t="shared" si="7"/>
        <v>138</v>
      </c>
      <c r="AL15" s="50">
        <f t="shared" si="7"/>
        <v>8</v>
      </c>
      <c r="AM15" s="50">
        <f t="shared" si="7"/>
        <v>8</v>
      </c>
      <c r="AN15" s="50">
        <f t="shared" si="7"/>
        <v>8</v>
      </c>
      <c r="AO15" s="50">
        <f t="shared" si="7"/>
        <v>2</v>
      </c>
      <c r="AP15" s="50">
        <f t="shared" si="7"/>
        <v>0</v>
      </c>
      <c r="AQ15" s="50">
        <f>SUM(AJ15:AP15)</f>
        <v>368</v>
      </c>
    </row>
    <row r="16" spans="1:43" s="14" customFormat="1" ht="45.75" x14ac:dyDescent="0.25">
      <c r="A16" s="24"/>
      <c r="C16" s="35">
        <f>C15/2</f>
        <v>190</v>
      </c>
      <c r="D16" s="175">
        <f>SUM(D15:J15)</f>
        <v>256</v>
      </c>
      <c r="E16" s="175"/>
      <c r="F16" s="175"/>
      <c r="G16" s="175"/>
      <c r="H16" s="175"/>
      <c r="I16" s="175"/>
      <c r="J16" s="175"/>
      <c r="K16" s="174"/>
      <c r="L16" s="175">
        <f>SUM(L15:R15)</f>
        <v>10</v>
      </c>
      <c r="M16" s="175"/>
      <c r="N16" s="175"/>
      <c r="O16" s="175"/>
      <c r="P16" s="175"/>
      <c r="Q16" s="175"/>
      <c r="R16" s="175"/>
      <c r="S16" s="174"/>
      <c r="T16" s="175">
        <f>SUM(T15:Z15)</f>
        <v>30</v>
      </c>
      <c r="U16" s="175"/>
      <c r="V16" s="175"/>
      <c r="W16" s="175"/>
      <c r="X16" s="175"/>
      <c r="Y16" s="175"/>
      <c r="Z16" s="175"/>
      <c r="AA16" s="174"/>
      <c r="AB16" s="175">
        <f>SUM(AB15:AH15)</f>
        <v>72</v>
      </c>
      <c r="AC16" s="175"/>
      <c r="AD16" s="175"/>
      <c r="AE16" s="175"/>
      <c r="AF16" s="175"/>
      <c r="AG16" s="175"/>
      <c r="AH16" s="175"/>
      <c r="AI16" s="174"/>
    </row>
    <row r="17" spans="1:43" ht="45.75" x14ac:dyDescent="0.25">
      <c r="D17" s="176">
        <f>SUM(D16:AH16)</f>
        <v>368</v>
      </c>
      <c r="E17" s="176"/>
      <c r="F17" s="176"/>
      <c r="G17" s="176"/>
      <c r="H17" s="176"/>
      <c r="I17" s="176"/>
      <c r="J17" s="176"/>
      <c r="K17" s="176"/>
      <c r="L17" s="176"/>
      <c r="M17" s="176"/>
      <c r="N17" s="176"/>
      <c r="O17" s="176"/>
      <c r="P17" s="176"/>
      <c r="Q17" s="176"/>
      <c r="R17" s="176"/>
      <c r="S17" s="176"/>
      <c r="T17" s="176"/>
      <c r="U17" s="176"/>
      <c r="V17" s="176"/>
      <c r="W17" s="176"/>
      <c r="X17" s="176"/>
      <c r="Y17" s="176"/>
      <c r="Z17" s="176"/>
      <c r="AA17" s="176"/>
      <c r="AB17" s="176"/>
      <c r="AC17" s="176"/>
      <c r="AD17" s="176"/>
      <c r="AE17" s="176"/>
      <c r="AF17" s="176"/>
      <c r="AG17" s="176"/>
      <c r="AH17" s="176"/>
      <c r="AI17" s="176"/>
      <c r="AJ17" s="172">
        <f>C15-D17</f>
        <v>12</v>
      </c>
      <c r="AK17" s="172"/>
      <c r="AL17" s="172"/>
      <c r="AM17" s="172"/>
      <c r="AN17" s="172">
        <f>C15-AQ15</f>
        <v>12</v>
      </c>
      <c r="AO17" s="172"/>
      <c r="AP17" s="172"/>
      <c r="AQ17" s="172"/>
    </row>
    <row r="21" spans="1:43" ht="30" customHeight="1" x14ac:dyDescent="0.25">
      <c r="A21" s="16" t="s">
        <v>65</v>
      </c>
      <c r="B21" s="20" t="s">
        <v>68</v>
      </c>
      <c r="C21" s="20" t="s">
        <v>66</v>
      </c>
    </row>
    <row r="22" spans="1:43" ht="30" customHeight="1" x14ac:dyDescent="0.25">
      <c r="A22" s="17" t="s">
        <v>1</v>
      </c>
      <c r="B22" s="22" t="s">
        <v>76</v>
      </c>
      <c r="C22" s="23">
        <f>COUNTIF(Başvuru!G2:G1142,"Bireysel Araştırma")</f>
        <v>158</v>
      </c>
    </row>
    <row r="23" spans="1:43" ht="30" customHeight="1" x14ac:dyDescent="0.25">
      <c r="A23" s="18" t="s">
        <v>2</v>
      </c>
      <c r="B23" s="25" t="s">
        <v>25</v>
      </c>
      <c r="C23" s="26">
        <f>COUNTIF(Başvuru!G2:G1142,"Yüksek Lisans Tezi")</f>
        <v>6</v>
      </c>
    </row>
    <row r="24" spans="1:43" ht="30" customHeight="1" x14ac:dyDescent="0.25">
      <c r="A24" s="17" t="s">
        <v>3</v>
      </c>
      <c r="B24" s="22" t="s">
        <v>23</v>
      </c>
      <c r="C24" s="23">
        <f>COUNTIF(Başvuru!G2:G1142,"Doktora Tezi")</f>
        <v>18</v>
      </c>
    </row>
    <row r="25" spans="1:43" ht="30" customHeight="1" x14ac:dyDescent="0.25">
      <c r="A25" s="18" t="s">
        <v>4</v>
      </c>
      <c r="B25" s="25" t="s">
        <v>24</v>
      </c>
      <c r="C25" s="26">
        <f>COUNTIF(Başvuru!G2:G1142,"Uzmanlık Tezi")</f>
        <v>40</v>
      </c>
    </row>
    <row r="26" spans="1:43" ht="30" customHeight="1" x14ac:dyDescent="0.25">
      <c r="A26" s="181" t="s">
        <v>60</v>
      </c>
      <c r="B26" s="182"/>
      <c r="C26" s="20">
        <f>SUM(C22:C25)</f>
        <v>222</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102</v>
      </c>
    </row>
    <row r="30" spans="1:43" ht="30" customHeight="1" x14ac:dyDescent="0.25">
      <c r="A30" s="19" t="s">
        <v>2</v>
      </c>
      <c r="B30" s="27" t="s">
        <v>71</v>
      </c>
      <c r="C30" s="23">
        <f>COUNTIF(Başvuru!L2:L1142,"DÜZELTME")</f>
        <v>69</v>
      </c>
    </row>
    <row r="31" spans="1:43" ht="30" customHeight="1" x14ac:dyDescent="0.25">
      <c r="A31" s="19" t="s">
        <v>3</v>
      </c>
      <c r="B31" s="27" t="s">
        <v>73</v>
      </c>
      <c r="C31" s="23">
        <f>COUNTIF(Başvuru!L2:L1142,"KAEK")</f>
        <v>4</v>
      </c>
    </row>
    <row r="32" spans="1:43" ht="30" customHeight="1" x14ac:dyDescent="0.25">
      <c r="A32" s="19" t="s">
        <v>4</v>
      </c>
      <c r="B32" s="27" t="s">
        <v>87</v>
      </c>
      <c r="C32" s="23">
        <f>COUNTIF(Başvuru!L2:L1142,"GÖRÜŞ")</f>
        <v>4</v>
      </c>
    </row>
    <row r="33" spans="1:6" ht="30" customHeight="1" x14ac:dyDescent="0.25">
      <c r="A33" s="19" t="s">
        <v>5</v>
      </c>
      <c r="B33" s="27" t="s">
        <v>308</v>
      </c>
      <c r="C33" s="23">
        <f>COUNTIF(Başvuru!L2:L1142,"RET")</f>
        <v>4</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81" t="s">
        <v>60</v>
      </c>
      <c r="B36" s="182"/>
      <c r="C36" s="20">
        <f>SUM(C29:C35)</f>
        <v>184</v>
      </c>
    </row>
    <row r="40" spans="1:6" ht="11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6</v>
      </c>
      <c r="B4" s="131">
        <f>IF($A$6="Kayıt Yok", 0, COUNTIFS(Başvuru!$I:$I, $E$1, Başvuru!$P:$P, B$3, Başvuru!$J:$J, $B$1) + COUNTIFS(Başvuru!$I:$I, $E$1, Başvuru!$P:$P, B$3, Başvuru!$K:$K, $B$1))</f>
        <v>5</v>
      </c>
      <c r="C4" s="131">
        <f>IF($A$6="Kayıt Yok", 0, COUNTIFS(Başvuru!$I:$I, $E$1, Başvuru!$P:$P, C$3, Başvuru!$J:$J, $B$1) + COUNTIFS(Başvuru!$I:$I, $E$1, Başvuru!$P:$P, C$3, Başvuru!$K:$K, $B$1))</f>
        <v>1</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t="str">
        <v>ONAY</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t="str">
        <v>DÜZELTME</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t="str">
        <v>ONAY</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t="str">
        <v>DÜZELTME</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t="str">
        <v>DÜZELTME</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t="str">
        <v>DÜZELTME</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t="str">
        <v>ONAY</v>
      </c>
      <c r="M12" s="102">
        <v>0</v>
      </c>
      <c r="N12" s="102">
        <v>0</v>
      </c>
      <c r="O12" s="102" t="str">
        <v>ONAY</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t="str">
        <v>DÜZELTME</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t="str">
        <v>ONAY</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t="str">
        <v>ONAY</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t="str">
        <v>KAEK</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t="str">
        <v>ONAY</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75" t="s">
        <v>4236</v>
      </c>
      <c r="Z1" s="175"/>
      <c r="AA1" s="175"/>
      <c r="AB1" s="175"/>
      <c r="AC1" s="175"/>
      <c r="AD1" s="175"/>
      <c r="AE1" s="175"/>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4</v>
      </c>
      <c r="B4" s="131">
        <f>COUNTIFS(Başvuru!$I$2:$I$10077, $E$1, Başvuru!$P$2:$P$10077, B$3, Başvuru!$D$2:$D$10077, $B$1)</f>
        <v>2</v>
      </c>
      <c r="C4" s="131">
        <f>COUNTIFS(Başvuru!$I$2:$I$10077, $E$1, Başvuru!$P$2:$P$10077, C$3, Başvuru!$D$2:$D$10077, $B$1)</f>
        <v>0</v>
      </c>
      <c r="D4" s="131">
        <f>COUNTIFS(Başvuru!$I$2:$I$10077, $E$1, Başvuru!$P$2:$P$10077, D$3, Başvuru!$D$2:$D$10077, $B$1)</f>
        <v>1</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21</v>
      </c>
      <c r="Z4" s="14">
        <f>COUNTIFS(Başvuru!$P$2:$P$10077, "DÜZELTME", Başvuru!$D$2:$D$10077, $B$1)</f>
        <v>5</v>
      </c>
      <c r="AA4" s="14">
        <f>COUNTIFS(Başvuru!$P$2:$P$10077, "KAEK", Başvuru!$D$2:$D$10077, $B$1)</f>
        <v>0</v>
      </c>
      <c r="AB4" s="14">
        <f>COUNTIFS(Başvuru!$P$2:$P$10077, "GÖRÜŞ", Başvuru!$D$2:$D$10077, $B$1)</f>
        <v>1</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t="str">
        <v>ONAY</v>
      </c>
      <c r="L6" s="148">
        <v>0</v>
      </c>
      <c r="M6" s="148">
        <v>0</v>
      </c>
      <c r="N6" s="148">
        <v>0</v>
      </c>
      <c r="O6" s="148" t="str">
        <v>ONAY</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t="str">
        <v>ONAY</v>
      </c>
      <c r="L7" s="148">
        <v>0</v>
      </c>
      <c r="M7" s="148">
        <v>0</v>
      </c>
      <c r="N7" s="148">
        <v>0</v>
      </c>
      <c r="O7" s="148" t="str">
        <v>ONAY</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t="str">
        <v>ONAY</v>
      </c>
      <c r="L8" s="148">
        <v>0</v>
      </c>
      <c r="M8" s="148">
        <v>0</v>
      </c>
      <c r="N8" s="148">
        <v>0</v>
      </c>
      <c r="O8" s="148" t="str">
        <v>ONAY</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t="str">
        <v>GÖRÜŞ</v>
      </c>
      <c r="L9" s="148">
        <v>0</v>
      </c>
      <c r="M9" s="148">
        <v>0</v>
      </c>
      <c r="N9" s="148">
        <v>0</v>
      </c>
      <c r="O9" s="148" t="str">
        <v>GÖRÜŞ</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t="str">
        <v>ONAY</v>
      </c>
      <c r="L10" s="148">
        <v>0</v>
      </c>
      <c r="M10" s="148">
        <v>0</v>
      </c>
      <c r="N10" s="148">
        <v>0</v>
      </c>
      <c r="O10" s="148" t="str">
        <v>ONAY</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t="str">
        <v>DÜZELTME</v>
      </c>
      <c r="L11" s="148">
        <v>0</v>
      </c>
      <c r="M11" s="148">
        <v>0</v>
      </c>
      <c r="N11" s="148">
        <v>0</v>
      </c>
      <c r="O11" s="148" t="str">
        <v>DÜZELTME</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t="str">
        <v>DÜZELTME</v>
      </c>
      <c r="L12" s="148">
        <v>0</v>
      </c>
      <c r="M12" s="148">
        <v>0</v>
      </c>
      <c r="N12" s="148">
        <v>0</v>
      </c>
      <c r="O12" s="148" t="str">
        <v>DÜZELTME</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188" t="s">
        <v>4237</v>
      </c>
      <c r="B1" s="189"/>
      <c r="C1" s="189"/>
      <c r="D1" s="189"/>
      <c r="E1" s="189"/>
      <c r="F1" s="189"/>
      <c r="G1" s="189"/>
      <c r="H1" s="189"/>
      <c r="I1" s="189"/>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1</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1</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1</v>
      </c>
      <c r="E11" s="141" cm="1">
        <f t="array" ref="E11">SUMPRODUCT((Başvuru!$D$2:$D$5077=$A11)*(VALUE(Başvuru!$I$2:$I$5077)=VALUE($C$4))*(Başvuru!$P$2:$P$5077=E$8))</f>
        <v>1</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2</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1</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1</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1</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1</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1</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1</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1</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4</v>
      </c>
      <c r="D20" s="141" cm="1">
        <f t="array" ref="D20">SUMPRODUCT((Başvuru!$D$2:$D$5077=$A20)*(VALUE(Başvuru!$I$2:$I$5077)=VALUE($C$4))*(Başvuru!$P$2:$P$5077=D$8))</f>
        <v>2</v>
      </c>
      <c r="E20" s="141" cm="1">
        <f t="array" ref="E20">SUMPRODUCT((Başvuru!$D$2:$D$5077=$A20)*(VALUE(Başvuru!$I$2:$I$5077)=VALUE($C$4))*(Başvuru!$P$2:$P$5077=E$8))</f>
        <v>0</v>
      </c>
      <c r="F20" s="141" cm="1">
        <f t="array" ref="F20">SUMPRODUCT((Başvuru!$D$2:$D$5077=$A20)*(VALUE(Başvuru!$I$2:$I$5077)=VALUE($C$4))*(Başvuru!$P$2:$P$5077=F$8))</f>
        <v>1</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2</v>
      </c>
      <c r="D21" s="141" cm="1">
        <f t="array" ref="D21">SUMPRODUCT((Başvuru!$D$2:$D$5077=$A21)*(VALUE(Başvuru!$I$2:$I$5077)=VALUE($C$4))*(Başvuru!$P$2:$P$5077=D$8))</f>
        <v>2</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1</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1</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1</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4</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1</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2</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1</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1</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1</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1</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3</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19</v>
      </c>
      <c r="D45" s="150">
        <f t="shared" ref="D45:I45" si="0">SUM(D9:D40)</f>
        <v>18</v>
      </c>
      <c r="E45" s="150">
        <f t="shared" si="0"/>
        <v>1</v>
      </c>
      <c r="F45" s="150">
        <f t="shared" si="0"/>
        <v>1</v>
      </c>
      <c r="G45" s="150">
        <f t="shared" si="0"/>
        <v>0</v>
      </c>
      <c r="H45" s="150">
        <f t="shared" si="0"/>
        <v>2</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56"/>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18</v>
      </c>
      <c r="D2" s="102">
        <f>COUNTIF(Başvuru!G:G, A2)</f>
        <v>18</v>
      </c>
      <c r="E2" s="102">
        <f>COUNTIFS(Başvuru!G:G, A2, Başvuru!P:P, "")</f>
        <v>0</v>
      </c>
      <c r="F2" s="108">
        <f>COUNTIFS(Başvuru!G:G, A2, Başvuru!P:P, "")</f>
        <v>0</v>
      </c>
      <c r="AQ2" t="str">
        <v>Doç. Dr. Ekim GÜMELER</v>
      </c>
      <c r="AT2" s="125" t="s">
        <v>57</v>
      </c>
      <c r="AU2" s="129">
        <f>Üye_Yeni!A4</f>
        <v>6</v>
      </c>
      <c r="AW2" t="str" cm="1">
        <f t="array" ref="AW2:AW58">_xlfn._xlws.SORT(_xlfn.UNIQUE(Başvuru!D2:D10077))</f>
        <v>Ağız, Diş ve Çene Cerrahisi Anabilim Dalı</v>
      </c>
      <c r="AY2" s="125" t="s">
        <v>57</v>
      </c>
      <c r="AZ2" s="129">
        <f>Birim_Yeni!A4</f>
        <v>4</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5</v>
      </c>
      <c r="AW3" t="str">
        <v>Ağız, Diş ve Çene Radyolojisi Anabilim Dalı</v>
      </c>
      <c r="AY3" s="126" t="s">
        <v>58</v>
      </c>
      <c r="AZ3" s="129">
        <f>Birim_Yeni!B4</f>
        <v>2</v>
      </c>
    </row>
    <row r="4" spans="1:52" ht="60" x14ac:dyDescent="0.25">
      <c r="A4" s="101" t="str" cm="1">
        <f t="array" ref="A4:P21">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9">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31</v>
      </c>
      <c r="W4" s="98" t="str" cm="1">
        <f t="array" ref="W4:X156">_xlfn._xlws.SORT(_xlfn.HSTACK(_xlfn.UNIQUE(_xlfn._xlws.FILTER(Başvuru!C2:C617, Başvuru!C2:C617&lt;&gt;"")), COUNTIF(Başvuru!C2:C617, _xlfn.UNIQUE(_xlfn._xlws.FILTER(Başvuru!C2:C617, Başvuru!C2:C617&lt;&gt;"")))))</f>
        <v>Arş. Gör. Dr. Aycan UYSAL</v>
      </c>
      <c r="X4" s="99">
        <v>1</v>
      </c>
      <c r="Y4" s="98" t="str" cm="1">
        <f t="array" ref="Y4:Z59">_xlfn._xlws.SORT(_xlfn.HSTACK(_xlfn.UNIQUE(_xlfn._xlws.FILTER(Başvuru!D2:D617, Başvuru!D2:D617&lt;&gt;"")), COUNTIF(Başvuru!D2:D617, _xlfn.UNIQUE(_xlfn._xlws.FILTER(Başvuru!D2:D617, Başvuru!D2:D617&lt;&gt;"")))), 2, -1)</f>
        <v>İç Hastalıkları Anabilim Dalı</v>
      </c>
      <c r="Z4" s="99">
        <v>31</v>
      </c>
      <c r="AA4" s="100" cm="1">
        <f t="array" ref="AA4:AA8">_xlfn._xlws.SORT(_xlfn.UNIQUE(_xlfn._xlws.FILTER(Başvuru!I2:I625, Başvuru!I2:I625&lt;&gt;"")))</f>
        <v>46028</v>
      </c>
      <c r="AB4" s="99" cm="1">
        <f t="array" ref="AB4:AB8">COUNTIFS(Başvuru!$I:$I,_xlfn.ANCHORARRAY( $AA$4), Başvuru!$G:$G, AB$3)</f>
        <v>38</v>
      </c>
      <c r="AC4" s="99" cm="1">
        <f t="array" ref="AC4:AC8">COUNTIFS(Başvuru!$I:$I,_xlfn.ANCHORARRAY( $AA$4), Başvuru!$G:$G, AC$3)</f>
        <v>1</v>
      </c>
      <c r="AD4" s="99" cm="1">
        <f t="array" ref="AD4:AD8">COUNTIFS(Başvuru!$I:$I,_xlfn.ANCHORARRAY( $AA$4), Başvuru!$G:$G, AD$3)</f>
        <v>5</v>
      </c>
      <c r="AE4" s="99" cm="1">
        <f t="array" ref="AE4:AE8">COUNTIFS(Başvuru!$I:$I,_xlfn.ANCHORARRAY( $AA$4), Başvuru!$G:$G, AE$3)</f>
        <v>11</v>
      </c>
      <c r="AF4" s="99" cm="1">
        <f t="array" ref="AF4:AF8">_xlfn.ANCHORARRAY(AB4) +_xlfn.ANCHORARRAY( AC4) +_xlfn.ANCHORARRAY( AD4) +_xlfn.ANCHORARRAY( AE4)</f>
        <v>55</v>
      </c>
      <c r="AG4" s="99" cm="1">
        <f t="array" ref="AG4:AG8">COUNTIFS(Başvuru!$I:$I,_xlfn.ANCHORARRAY( $AA$4), Başvuru!$P:$P, "ONAY")</f>
        <v>48</v>
      </c>
      <c r="AH4" s="99" cm="1">
        <f t="array" ref="AH4:AH8">COUNTIFS(Başvuru!$I:$I,_xlfn.ANCHORARRAY( $AA$4), Başvuru!$P:$P, "DÜZELTME")</f>
        <v>3</v>
      </c>
      <c r="AI4" s="99" cm="1">
        <f t="array" ref="AI4:AI8">COUNTIFS(Başvuru!$I:$I,_xlfn.ANCHORARRAY( $AA$4), Başvuru!$P:$P, "KAEK")</f>
        <v>1</v>
      </c>
      <c r="AJ4" s="99" cm="1">
        <f t="array" ref="AJ4:AJ8">COUNTIFS(Başvuru!$I:$I,_xlfn.ANCHORARRAY( $AA$4), Başvuru!$P:$P, "GÖRÜŞ")</f>
        <v>1</v>
      </c>
      <c r="AK4" s="99" cm="1">
        <f t="array" ref="AK4:AK8">COUNTIFS(Başvuru!$I:$I,_xlfn.ANCHORARRAY( $AA$4), Başvuru!$P:$P, "RET")</f>
        <v>1</v>
      </c>
      <c r="AL4" s="99" cm="1">
        <f t="array" ref="AL4:AL8">COUNTIFS(Başvuru!$I:$I,_xlfn.ANCHORARRAY( $AA$4), Başvuru!$P:$P, "KAPSAM DIŞI")</f>
        <v>1</v>
      </c>
      <c r="AM4" s="99" cm="1">
        <f t="array" ref="AM4:AM8">COUNTIFS(Başvuru!$I:$I,_xlfn.ANCHORARRAY( $AA$4), Başvuru!$P:$P, "GERİ ÇEKİLDİ")</f>
        <v>0</v>
      </c>
      <c r="AO4" s="100" cm="1">
        <f t="array" ref="AO4:AO8">_xlfn._xlws.SORT(_xlfn.UNIQUE(_xlfn._xlws.FILTER(Başvuru!I2:I625, Başvuru!I2:I625&lt;&gt;"")))</f>
        <v>46028</v>
      </c>
      <c r="AQ4" t="str">
        <v>Doç. Dr. Tolga ÇAKMAK</v>
      </c>
      <c r="AT4" s="122" t="s">
        <v>73</v>
      </c>
      <c r="AU4" s="129">
        <f>Üye_Yeni!C4</f>
        <v>1</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2</v>
      </c>
      <c r="Y5" s="98" t="str">
        <v>Çocuk Sağlığı ve Hastalıkları Anabilim Dalı</v>
      </c>
      <c r="Z5" s="99">
        <v>27</v>
      </c>
      <c r="AA5" s="100">
        <v>46042</v>
      </c>
      <c r="AB5" s="99">
        <v>30</v>
      </c>
      <c r="AC5" s="99">
        <v>1</v>
      </c>
      <c r="AD5" s="99">
        <v>5</v>
      </c>
      <c r="AE5" s="99">
        <v>9</v>
      </c>
      <c r="AF5" s="99">
        <v>45</v>
      </c>
      <c r="AG5" s="99">
        <v>31</v>
      </c>
      <c r="AH5" s="99">
        <v>10</v>
      </c>
      <c r="AI5" s="99">
        <v>0</v>
      </c>
      <c r="AJ5" s="99">
        <v>1</v>
      </c>
      <c r="AK5" s="99">
        <v>0</v>
      </c>
      <c r="AL5" s="99">
        <v>0</v>
      </c>
      <c r="AM5" s="99">
        <v>1</v>
      </c>
      <c r="AO5" s="100">
        <v>46042</v>
      </c>
      <c r="AQ5" t="str">
        <v>Dr. Öğr. Üyesi Müge DEMİR</v>
      </c>
      <c r="AT5" s="127" t="s">
        <v>86</v>
      </c>
      <c r="AU5" s="129">
        <f>Üye_Yeni!D4</f>
        <v>0</v>
      </c>
      <c r="AW5" t="str">
        <v>Anatomi Anabilim Dalı</v>
      </c>
      <c r="AY5" s="127" t="s">
        <v>86</v>
      </c>
      <c r="AZ5" s="129">
        <f>Birim_Yeni!D4</f>
        <v>1</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2</v>
      </c>
      <c r="U6" s="98" t="str">
        <v>Anatomi Anabilim Dalı</v>
      </c>
      <c r="V6" s="98">
        <v>6</v>
      </c>
      <c r="W6" s="98" t="str">
        <v>Arş. Gör. Dr. Şükran BAYRAK</v>
      </c>
      <c r="X6" s="99">
        <v>1</v>
      </c>
      <c r="Y6" s="98" t="str">
        <v>Kadın Hastalıkları ve Doğum Anabilim Dalı</v>
      </c>
      <c r="Z6" s="99">
        <v>10</v>
      </c>
      <c r="AA6" s="100">
        <v>46057</v>
      </c>
      <c r="AB6" s="99">
        <v>32</v>
      </c>
      <c r="AC6" s="99">
        <v>1</v>
      </c>
      <c r="AD6" s="99">
        <v>4</v>
      </c>
      <c r="AE6" s="99">
        <v>8</v>
      </c>
      <c r="AF6" s="99">
        <v>45</v>
      </c>
      <c r="AG6" s="99">
        <v>29</v>
      </c>
      <c r="AH6">
        <v>15</v>
      </c>
      <c r="AI6">
        <v>1</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Sağlık Yönetimi Anabilim Dalı</v>
      </c>
      <c r="V7" s="98">
        <v>3</v>
      </c>
      <c r="W7" s="98" t="str">
        <v>Arş. Gör. Dt. Dilara KARA</v>
      </c>
      <c r="X7" s="99">
        <v>1</v>
      </c>
      <c r="Y7" s="98" t="str">
        <v>Radyoloji Anabilim Dalı</v>
      </c>
      <c r="Z7" s="99">
        <v>9</v>
      </c>
      <c r="AA7" s="100">
        <v>46070</v>
      </c>
      <c r="AB7" s="99">
        <v>32</v>
      </c>
      <c r="AC7" s="99">
        <v>2</v>
      </c>
      <c r="AD7" s="99">
        <v>3</v>
      </c>
      <c r="AE7" s="99">
        <v>8</v>
      </c>
      <c r="AF7" s="99">
        <v>45</v>
      </c>
      <c r="AG7" s="99">
        <v>19</v>
      </c>
      <c r="AH7">
        <v>18</v>
      </c>
      <c r="AI7">
        <v>1</v>
      </c>
      <c r="AJ7">
        <v>1</v>
      </c>
      <c r="AK7">
        <v>2</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Sosyal Hizmet Anabilim Dalı</v>
      </c>
      <c r="V8" s="98">
        <v>3</v>
      </c>
      <c r="W8" s="98" t="str">
        <v>Doç. Dr. Adalet Elçin YILDIZ</v>
      </c>
      <c r="X8" s="99">
        <v>1</v>
      </c>
      <c r="Y8" s="98" t="str">
        <v>Göğüs Hastalıkları Anabilim Dalı</v>
      </c>
      <c r="Z8" s="99">
        <v>9</v>
      </c>
      <c r="AA8" s="100">
        <v>46084</v>
      </c>
      <c r="AB8" s="99">
        <v>26</v>
      </c>
      <c r="AC8" s="99">
        <v>1</v>
      </c>
      <c r="AD8" s="99">
        <v>1</v>
      </c>
      <c r="AE8" s="99">
        <v>4</v>
      </c>
      <c r="AF8" s="99">
        <v>32</v>
      </c>
      <c r="AG8" s="99">
        <v>0</v>
      </c>
      <c r="AH8">
        <v>0</v>
      </c>
      <c r="AI8">
        <v>0</v>
      </c>
      <c r="AJ8">
        <v>0</v>
      </c>
      <c r="AK8">
        <v>0</v>
      </c>
      <c r="AL8">
        <v>0</v>
      </c>
      <c r="AM8">
        <v>0</v>
      </c>
      <c r="AO8" s="100">
        <v>46084</v>
      </c>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Almıla Gülsün PAMUK</v>
      </c>
      <c r="X9" s="99">
        <v>1</v>
      </c>
      <c r="Y9" s="98" t="str">
        <v>Klinik Eczacılık Anabilim Dalı</v>
      </c>
      <c r="Z9" s="99">
        <v>9</v>
      </c>
      <c r="AA9" s="100"/>
      <c r="AB9" s="99"/>
      <c r="AC9" s="99"/>
      <c r="AD9" s="99"/>
      <c r="AE9" s="99"/>
      <c r="AF9" s="99"/>
      <c r="AG9" s="99"/>
      <c r="AQ9" t="str">
        <v>Prof. Dr. M. Özgür UYANIK</v>
      </c>
      <c r="AW9" t="str">
        <v>Biyoistatistik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Aslıhan AYKARA</v>
      </c>
      <c r="X10" s="99">
        <v>2</v>
      </c>
      <c r="Y10" s="98" t="str">
        <v>Göz Hastalıkları Anabilim Dalı</v>
      </c>
      <c r="Z10" s="99">
        <v>6</v>
      </c>
      <c r="AA10" s="100"/>
      <c r="AB10" s="99"/>
      <c r="AC10" s="99"/>
      <c r="AD10" s="99"/>
      <c r="AE10" s="99"/>
      <c r="AF10" s="99"/>
      <c r="AG10" s="99"/>
      <c r="AQ10" t="str">
        <v>Prof. Dr. Melih Önder BABAOĞLU</v>
      </c>
      <c r="AT10" s="130" t="s">
        <v>4225</v>
      </c>
      <c r="AW10" t="str">
        <v>Çocuk Cerrahisi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Ayhan EYMİRLİ</v>
      </c>
      <c r="X11" s="99">
        <v>1</v>
      </c>
      <c r="Y11" s="98" t="str">
        <v>Anatomi Anabilim Dalı</v>
      </c>
      <c r="Z11" s="99">
        <v>6</v>
      </c>
      <c r="AA11" s="100"/>
      <c r="AB11" s="99"/>
      <c r="AC11" s="99"/>
      <c r="AD11" s="99"/>
      <c r="AE11" s="99"/>
      <c r="AF11" s="99"/>
      <c r="AG11" s="99"/>
      <c r="AQ11" t="str">
        <v>Prof. Dr. Nazmiye Ebru ORTAÇ ERSOY</v>
      </c>
      <c r="AT11" s="125" t="s">
        <v>57</v>
      </c>
      <c r="AU11">
        <f>VLOOKUP(Üye_Yeni!$E$1, $AA$4:$AZ$2000, 7, 0)</f>
        <v>29</v>
      </c>
      <c r="AW11" t="str">
        <v>Çocuk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7</v>
      </c>
      <c r="U12" s="98" t="str">
        <v>Lokman Hekim Üniversitesi
Sağlık Hizmetleri Meslek Yüksekokulu</v>
      </c>
      <c r="V12" s="98">
        <v>1</v>
      </c>
      <c r="W12" s="98" t="str">
        <v>Doç. Dr. Basri GÜLBAKAN</v>
      </c>
      <c r="X12" s="99">
        <v>1</v>
      </c>
      <c r="Y12" s="98" t="str">
        <v>Kulak Burun Boğaz Anabilim Dalı</v>
      </c>
      <c r="Z12" s="99">
        <v>6</v>
      </c>
      <c r="AA12" s="100"/>
      <c r="AB12" s="99"/>
      <c r="AC12" s="99"/>
      <c r="AD12" s="99"/>
      <c r="AE12" s="99"/>
      <c r="AF12" s="99"/>
      <c r="AG12" s="99"/>
      <c r="AQ12" t="str">
        <v>Prof. Dr. Yavuz AYHAN</v>
      </c>
      <c r="AT12" s="126" t="s">
        <v>58</v>
      </c>
      <c r="AU12">
        <f>VLOOKUP(Üye_Yeni!$E$1, $AA$4:$AZ$2000, 8, 0)</f>
        <v>15</v>
      </c>
      <c r="AW12" t="str">
        <v>Çocuk ve Ergen Ruh Sağlığı ve Hastalıkları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Başak YALICI ARMAĞAN</v>
      </c>
      <c r="X13" s="99">
        <v>2</v>
      </c>
      <c r="Y13" s="98" t="str">
        <v>Deri ve Zührevi Hastalıklar Anabilim Dalı</v>
      </c>
      <c r="Z13" s="99">
        <v>6</v>
      </c>
      <c r="AA13" s="100"/>
      <c r="AB13" s="99"/>
      <c r="AC13" s="99"/>
      <c r="AD13" s="99"/>
      <c r="AE13" s="99"/>
      <c r="AF13" s="99"/>
      <c r="AG13" s="99"/>
      <c r="AQ13">
        <v>0</v>
      </c>
      <c r="AT13" s="122" t="s">
        <v>73</v>
      </c>
      <c r="AU13" s="129">
        <f>VLOOKUP(Üye_Yeni!$E$1, $AA$4:$AZ$2000, 9, 0)</f>
        <v>1</v>
      </c>
      <c r="AW13" t="str">
        <v>Deri ve Zührevi Hastalıklar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t="str">
        <v>ONAY</v>
      </c>
      <c r="M14" s="98">
        <v>0</v>
      </c>
      <c r="N14" s="98">
        <v>0</v>
      </c>
      <c r="O14" s="98" t="str">
        <v>ONAY</v>
      </c>
      <c r="P14" s="105">
        <v>0</v>
      </c>
      <c r="R14" s="98" t="str">
        <v>Prof. Dr. Ömür ÇELİKBIÇAK</v>
      </c>
      <c r="S14" s="98">
        <v>1</v>
      </c>
      <c r="U14" s="98" t="str">
        <v>Tıbbi Mikrobiyoloji Anabilim Dalı</v>
      </c>
      <c r="V14" s="98">
        <v>1</v>
      </c>
      <c r="W14" s="98" t="str">
        <v>Doç. Dr. Bengisu AKARSU GÜVEN</v>
      </c>
      <c r="X14" s="99">
        <v>1</v>
      </c>
      <c r="Y14" s="98" t="str">
        <v>Nöroloji Anabilim Dalı</v>
      </c>
      <c r="Z14" s="99">
        <v>6</v>
      </c>
      <c r="AA14" s="100"/>
      <c r="AB14" s="99"/>
      <c r="AC14" s="99"/>
      <c r="AD14" s="99"/>
      <c r="AE14" s="99"/>
      <c r="AF14" s="99"/>
      <c r="AG14" s="99"/>
      <c r="AT14" s="127" t="s">
        <v>86</v>
      </c>
      <c r="AU14" s="129">
        <f>VLOOKUP(Üye_Yeni!$E$1, $AA$4:$AZ$2000, 10, 0)</f>
        <v>0</v>
      </c>
      <c r="AW14" t="str">
        <v>Endodonti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t="str">
        <v>ONAY</v>
      </c>
      <c r="P15" s="105">
        <v>0</v>
      </c>
      <c r="R15" s="98" t="str">
        <v>Prof. Dr. Özgür UĞURLUOĞLU</v>
      </c>
      <c r="S15" s="98">
        <v>1</v>
      </c>
      <c r="U15" s="98" t="str">
        <v>Sosyal Pediatri Anabilim Dalı</v>
      </c>
      <c r="V15" s="98">
        <v>1</v>
      </c>
      <c r="W15" s="98" t="str">
        <v>Doç. Dr. Burcu ERSÖZ ALAN</v>
      </c>
      <c r="X15" s="99">
        <v>1</v>
      </c>
      <c r="Y15" s="98" t="str">
        <v>Çocuk Cerrahisi Anabilim Dalı</v>
      </c>
      <c r="Z15" s="99">
        <v>6</v>
      </c>
      <c r="AA15" s="100"/>
      <c r="AB15" s="99"/>
      <c r="AC15" s="99"/>
      <c r="AD15" s="99"/>
      <c r="AE15" s="99"/>
      <c r="AF15" s="99"/>
      <c r="AG15" s="99"/>
      <c r="AT15" s="123" t="s">
        <v>59</v>
      </c>
      <c r="AU15" s="129">
        <f>VLOOKUP(Üye_Yeni!$E$1, $AA$4:$AZ$2000, 11, 0)</f>
        <v>0</v>
      </c>
      <c r="AW15" t="str">
        <v>Enfeksiyon Hastalıkları ve Klinik Mikrobiyoloji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t="str">
        <v>ONAY</v>
      </c>
      <c r="M16" s="98">
        <v>0</v>
      </c>
      <c r="N16" s="98">
        <v>0</v>
      </c>
      <c r="O16" s="98" t="str">
        <v>ONAY</v>
      </c>
      <c r="P16" s="105">
        <v>0</v>
      </c>
      <c r="R16" s="98" t="str">
        <v>Prof. Dr. Salih Kutay DEMİRKAN</v>
      </c>
      <c r="S16" s="98">
        <v>3</v>
      </c>
      <c r="U16" s="98" t="str">
        <v>Farmasötik Toksikoloji Anabilim Dalı</v>
      </c>
      <c r="V16" s="98">
        <v>1</v>
      </c>
      <c r="W16" s="98" t="str">
        <v>Doç. Dr. Burcu HATİBOĞLU</v>
      </c>
      <c r="X16" s="99">
        <v>1</v>
      </c>
      <c r="Y16" s="98" t="str">
        <v>Kardiyoloji Anabilim Dalı</v>
      </c>
      <c r="Z16" s="99">
        <v>5</v>
      </c>
      <c r="AA16" s="100"/>
      <c r="AB16" s="99"/>
      <c r="AC16" s="99"/>
      <c r="AD16" s="99"/>
      <c r="AE16" s="99"/>
      <c r="AF16" s="99"/>
      <c r="AG16" s="99"/>
      <c r="AT16" s="128" t="s">
        <v>307</v>
      </c>
      <c r="AU16" s="129">
        <f>VLOOKUP(Üye_Yeni!$E$1, $AA$4:$AZ$2000, 12, 0)</f>
        <v>0</v>
      </c>
      <c r="AW16" t="str">
        <v>Farmasötik Mikrobiyoloji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t="str">
        <v>ONAY</v>
      </c>
      <c r="P17" s="105">
        <v>0</v>
      </c>
      <c r="R17" s="98" t="str">
        <v>Prof. Dr. Sıddika Songül YALÇIN</v>
      </c>
      <c r="S17" s="98">
        <v>3</v>
      </c>
      <c r="U17" s="98" t="str">
        <v>Farmasötik Mikrobiyoloji Anabilim Dalı</v>
      </c>
      <c r="V17" s="98">
        <v>1</v>
      </c>
      <c r="W17" s="98" t="str">
        <v>Doç. Dr. Ceren GÜNENÇ BEŞER</v>
      </c>
      <c r="X17" s="99">
        <v>2</v>
      </c>
      <c r="Y17" s="98" t="str">
        <v>Ortodonti Anabilim Dalı</v>
      </c>
      <c r="Z17" s="99">
        <v>5</v>
      </c>
      <c r="AB17" s="99"/>
      <c r="AT17" s="124" t="s">
        <v>78</v>
      </c>
      <c r="AU17" s="129">
        <f>VLOOKUP(Üye_Yeni!$E$1, $AA$4:$AZ$2000, 13, 0)</f>
        <v>0</v>
      </c>
      <c r="AW17" t="str">
        <v>Farmasötik Toksikoloji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t="str">
        <v>GÖRÜŞ</v>
      </c>
      <c r="L18" s="98">
        <v>0</v>
      </c>
      <c r="M18" s="98">
        <v>0</v>
      </c>
      <c r="N18" s="98">
        <v>0</v>
      </c>
      <c r="O18" s="98" t="str">
        <v>GÖRÜŞ</v>
      </c>
      <c r="P18" s="105">
        <v>0</v>
      </c>
      <c r="R18" s="98" t="str">
        <v>Prof. Dr. Ülkü ÜNDEĞER BUCURGAT</v>
      </c>
      <c r="S18" s="98">
        <v>1</v>
      </c>
      <c r="W18" s="98" t="str">
        <v>Doç. Dr. Ceren ÖZKUL KOÇAK</v>
      </c>
      <c r="X18" s="99">
        <v>1</v>
      </c>
      <c r="Y18" s="98" t="str">
        <v>Ortopedi ve Travmatoloji Anabilim Dalı</v>
      </c>
      <c r="Z18" s="99">
        <v>5</v>
      </c>
      <c r="AB18" s="99"/>
      <c r="AW18" t="str">
        <v>Fizikokimya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t="str">
        <v>ONAY</v>
      </c>
      <c r="L19" s="98">
        <v>0</v>
      </c>
      <c r="M19" s="98">
        <v>0</v>
      </c>
      <c r="N19" s="98">
        <v>0</v>
      </c>
      <c r="O19" s="98" t="str">
        <v>ONAY</v>
      </c>
      <c r="P19" s="105">
        <v>0</v>
      </c>
      <c r="R19" s="98" t="str">
        <v>Prof. Dr. Yakut AKYÖN YILMAZ</v>
      </c>
      <c r="S19" s="98">
        <v>1</v>
      </c>
      <c r="W19" s="98" t="str">
        <v>Doç. Dr. Derman BAŞARAN</v>
      </c>
      <c r="X19" s="99">
        <v>1</v>
      </c>
      <c r="Y19" s="98" t="str">
        <v>Çocuk ve Ergen Ruh Sağlığı ve Hastalıkları Anabilim Dalı</v>
      </c>
      <c r="Z19" s="99">
        <v>4</v>
      </c>
      <c r="AB19" s="99"/>
      <c r="AW19" t="str">
        <v>Fiziksel Tıp ve Rehabilitasyon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Dilek ÜNAL</v>
      </c>
      <c r="X20" s="99">
        <v>1</v>
      </c>
      <c r="Y20" s="98" t="str">
        <v>Nükleer Tıp Anabilim Dalı</v>
      </c>
      <c r="Z20" s="99">
        <v>4</v>
      </c>
      <c r="AB20" s="99"/>
      <c r="AW20" t="str">
        <v>Fizyoloji Anabilim Dalı</v>
      </c>
    </row>
    <row r="21" spans="1:49" ht="75" x14ac:dyDescent="0.25">
      <c r="A21" s="101" t="str">
        <v>SBA 26/206</v>
      </c>
      <c r="B21" s="101" t="str">
        <v>Prof. Dr. Özgür UĞURLUOĞLU</v>
      </c>
      <c r="C21" s="101" t="str">
        <v>Sağlık Yönetimi Anabilim Dalı</v>
      </c>
      <c r="D21" s="97"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7" t="str">
        <v>“Koroner Arter Bypass Greft Cerrahisinde Hastanede Yatış Süresini Etkileyen Faktörlerin Makine Öğrenmesi Modelleri ile Analizi”</v>
      </c>
      <c r="F21" s="101" t="str">
        <v>Doktora Tezi</v>
      </c>
      <c r="G21" s="100">
        <v>46072</v>
      </c>
      <c r="H21" s="100">
        <v>46084</v>
      </c>
      <c r="I21" s="98">
        <v>0</v>
      </c>
      <c r="J21" s="98">
        <v>0</v>
      </c>
      <c r="K21" s="98">
        <v>0</v>
      </c>
      <c r="L21" s="98">
        <v>0</v>
      </c>
      <c r="M21" s="98">
        <v>0</v>
      </c>
      <c r="N21" s="98">
        <v>0</v>
      </c>
      <c r="O21" s="98">
        <v>0</v>
      </c>
      <c r="P21" s="105">
        <v>0</v>
      </c>
      <c r="W21" s="98" t="str">
        <v>Doç. Dr. Duygu AYHAN BAŞER</v>
      </c>
      <c r="X21" s="99">
        <v>1</v>
      </c>
      <c r="Y21" s="98" t="str">
        <v>Üroloji Anabilim Dalı</v>
      </c>
      <c r="Z21" s="99">
        <v>4</v>
      </c>
      <c r="AB21" s="99"/>
      <c r="AW21" t="str">
        <v>Gıda Bilimleri Anabilim Dalı</v>
      </c>
    </row>
    <row r="22" spans="1:49" x14ac:dyDescent="0.25">
      <c r="A22" s="101"/>
      <c r="B22" s="101"/>
      <c r="C22" s="101"/>
      <c r="D22" s="97"/>
      <c r="E22" s="97"/>
      <c r="F22" s="101"/>
      <c r="I22" s="98"/>
      <c r="J22" s="98"/>
      <c r="K22" s="98"/>
      <c r="L22" s="98"/>
      <c r="M22" s="98"/>
      <c r="N22" s="98"/>
      <c r="O22" s="98"/>
      <c r="P22" s="105"/>
      <c r="W22" s="98" t="str">
        <v>Doç. Dr. Duygu GÜLSEREN</v>
      </c>
      <c r="X22" s="99">
        <v>2</v>
      </c>
      <c r="Y22" s="98" t="str">
        <v>Spor Hekimliği Anabilim Dalı</v>
      </c>
      <c r="Z22" s="99">
        <v>3</v>
      </c>
      <c r="AB22" s="99"/>
      <c r="AW22" t="str">
        <v>Göğüs Cerrahisi Anabilim Dalı</v>
      </c>
    </row>
    <row r="23" spans="1:49" x14ac:dyDescent="0.25">
      <c r="A23" s="101"/>
      <c r="B23" s="101"/>
      <c r="C23" s="101"/>
      <c r="D23" s="97"/>
      <c r="E23" s="97"/>
      <c r="F23" s="101"/>
      <c r="I23" s="98"/>
      <c r="J23" s="98"/>
      <c r="K23" s="98"/>
      <c r="L23" s="98"/>
      <c r="M23" s="98"/>
      <c r="N23" s="98"/>
      <c r="O23" s="98"/>
      <c r="P23" s="105"/>
      <c r="W23" s="98" t="str">
        <v>Doç. Dr. Ekim GÜMELER</v>
      </c>
      <c r="X23" s="99">
        <v>1</v>
      </c>
      <c r="Y23" s="98" t="str">
        <v>Anesteziyoloji ve Reanimasyon Anabilim Dalı</v>
      </c>
      <c r="Z23" s="99">
        <v>3</v>
      </c>
      <c r="AB23" s="99"/>
      <c r="AW23" t="str">
        <v>Göğüs Hastalıkları Anabilim Dalı</v>
      </c>
    </row>
    <row r="24" spans="1:49" x14ac:dyDescent="0.25">
      <c r="A24" s="101"/>
      <c r="B24" s="101"/>
      <c r="C24" s="101"/>
      <c r="D24" s="97"/>
      <c r="E24" s="97"/>
      <c r="F24" s="101"/>
      <c r="I24" s="98"/>
      <c r="J24" s="98"/>
      <c r="K24" s="98"/>
      <c r="L24" s="98"/>
      <c r="M24" s="98"/>
      <c r="N24" s="98"/>
      <c r="O24" s="98"/>
      <c r="P24" s="105"/>
      <c r="W24" s="98" t="str">
        <v>Doç. Dr. Emel ISIYEL</v>
      </c>
      <c r="X24" s="99">
        <v>1</v>
      </c>
      <c r="Y24" s="98" t="str">
        <v>Göğüs Cerrahisi Anabilim Dalı</v>
      </c>
      <c r="Z24" s="99">
        <v>3</v>
      </c>
      <c r="AB24" s="99"/>
      <c r="AW24" t="str">
        <v>Göz Hastalıkları Anabilim Dalı</v>
      </c>
    </row>
    <row r="25" spans="1:49" x14ac:dyDescent="0.25">
      <c r="A25" s="101"/>
      <c r="B25" s="101"/>
      <c r="C25" s="101"/>
      <c r="D25" s="97"/>
      <c r="E25" s="97"/>
      <c r="F25" s="101"/>
      <c r="I25" s="98"/>
      <c r="J25" s="98"/>
      <c r="K25" s="98"/>
      <c r="L25" s="98"/>
      <c r="M25" s="98"/>
      <c r="N25" s="98"/>
      <c r="O25" s="98"/>
      <c r="P25" s="105"/>
      <c r="W25" s="98" t="str">
        <v>Doç. Dr. Erdal SAĞ</v>
      </c>
      <c r="X25" s="99">
        <v>1</v>
      </c>
      <c r="Y25" s="98" t="str">
        <v>Sağlık Yönetimi Anabilim Dalı</v>
      </c>
      <c r="Z25" s="99">
        <v>3</v>
      </c>
      <c r="AB25" s="99"/>
      <c r="AW25" t="str">
        <v>Gülhane Sağlık Bilimleri Üniversitesi
Hemşirelik Fakültesi
Doğum ve Kadın Hastalıkları Hemşireliği Anabilim Dalı</v>
      </c>
    </row>
    <row r="26" spans="1:49" x14ac:dyDescent="0.25">
      <c r="A26" s="101"/>
      <c r="B26" s="101"/>
      <c r="C26" s="101"/>
      <c r="D26" s="97"/>
      <c r="E26" s="97"/>
      <c r="F26" s="101"/>
      <c r="I26" s="98"/>
      <c r="J26" s="98"/>
      <c r="K26" s="98"/>
      <c r="L26" s="98"/>
      <c r="M26" s="98"/>
      <c r="N26" s="98"/>
      <c r="O26" s="98"/>
      <c r="P26" s="105"/>
      <c r="W26" s="98" t="str">
        <v>Doç. Dr. Erdem FADILOĞLU</v>
      </c>
      <c r="X26" s="99">
        <v>1</v>
      </c>
      <c r="Y26" s="98" t="str">
        <v>Ağız, Diş ve Çene Cerrahisi Anabilim Dalı</v>
      </c>
      <c r="Z26" s="99">
        <v>3</v>
      </c>
      <c r="AB26" s="99"/>
      <c r="AW26" t="str">
        <v>Halk Sağlığı Anabilim Dalı</v>
      </c>
    </row>
    <row r="27" spans="1:49" x14ac:dyDescent="0.25">
      <c r="A27" s="101"/>
      <c r="B27" s="101"/>
      <c r="C27" s="101"/>
      <c r="D27" s="97"/>
      <c r="E27" s="97"/>
      <c r="F27" s="101"/>
      <c r="I27" s="98"/>
      <c r="J27" s="98"/>
      <c r="K27" s="98"/>
      <c r="L27" s="98"/>
      <c r="M27" s="98"/>
      <c r="N27" s="98"/>
      <c r="O27" s="98"/>
      <c r="P27" s="105"/>
      <c r="W27" s="98" t="str">
        <v>Doç. Dr. Ezgi ATİK</v>
      </c>
      <c r="X27" s="99">
        <v>2</v>
      </c>
      <c r="Y27" s="98" t="str">
        <v>Ruh Sağlığı ve Hastalıkları Anabilim Dalı</v>
      </c>
      <c r="Z27" s="99">
        <v>3</v>
      </c>
      <c r="AB27" s="99"/>
      <c r="AW27" t="str">
        <v>Hareket ve Antrenman Bilimleri Anabilim Dalı</v>
      </c>
    </row>
    <row r="28" spans="1:49" x14ac:dyDescent="0.25">
      <c r="A28" s="101"/>
      <c r="B28" s="101"/>
      <c r="C28" s="101"/>
      <c r="D28" s="97"/>
      <c r="E28" s="97"/>
      <c r="F28" s="101"/>
      <c r="I28" s="98"/>
      <c r="J28" s="98"/>
      <c r="K28" s="98"/>
      <c r="L28" s="98"/>
      <c r="M28" s="98"/>
      <c r="N28" s="98"/>
      <c r="O28" s="98"/>
      <c r="P28" s="105"/>
      <c r="W28" s="98" t="str">
        <v>Doç. Dr. Gamze ATAY</v>
      </c>
      <c r="X28" s="99">
        <v>1</v>
      </c>
      <c r="Y28" s="98" t="str">
        <v>Ağız, Diş ve Çene Radyolojisi Anabilim Dalı</v>
      </c>
      <c r="Z28" s="99">
        <v>3</v>
      </c>
      <c r="AB28" s="99"/>
      <c r="AW28" t="str">
        <v>Histoloji ve Embriyoloji Anabilim Dalı</v>
      </c>
    </row>
    <row r="29" spans="1:49" x14ac:dyDescent="0.25">
      <c r="A29" s="101"/>
      <c r="B29" s="101"/>
      <c r="C29" s="101"/>
      <c r="D29" s="97"/>
      <c r="E29" s="97"/>
      <c r="F29" s="101"/>
      <c r="I29" s="98"/>
      <c r="J29" s="98"/>
      <c r="K29" s="98"/>
      <c r="L29" s="98"/>
      <c r="M29" s="98"/>
      <c r="N29" s="98"/>
      <c r="O29" s="98"/>
      <c r="P29" s="105"/>
      <c r="W29" s="98" t="str">
        <v>Doç. Dr. Gamze DURHAN</v>
      </c>
      <c r="X29" s="99">
        <v>3</v>
      </c>
      <c r="Y29" s="98" t="str">
        <v>Periodontoloji Anabilim Dalı</v>
      </c>
      <c r="Z29" s="99">
        <v>3</v>
      </c>
      <c r="AB29" s="99"/>
      <c r="AW29" t="str">
        <v>İç Hastalıkları Anabilim Dalı</v>
      </c>
    </row>
    <row r="30" spans="1:49" x14ac:dyDescent="0.25">
      <c r="A30" s="101"/>
      <c r="B30" s="101"/>
      <c r="C30" s="101"/>
      <c r="D30" s="97"/>
      <c r="E30" s="97"/>
      <c r="F30" s="101"/>
      <c r="I30" s="98"/>
      <c r="J30" s="98"/>
      <c r="K30" s="98"/>
      <c r="L30" s="98"/>
      <c r="M30" s="98"/>
      <c r="N30" s="98"/>
      <c r="O30" s="98"/>
      <c r="P30" s="105"/>
      <c r="W30" s="98" t="str">
        <v>Doç. Dr. Gölşah KÖK</v>
      </c>
      <c r="X30" s="99">
        <v>1</v>
      </c>
      <c r="Y30" s="98" t="str">
        <v>Sosyal Hizmet Anabilim Dalı</v>
      </c>
      <c r="Z30" s="99">
        <v>3</v>
      </c>
      <c r="AB30" s="99"/>
      <c r="AW30" t="str">
        <v>Kadın Hastalıkları ve Doğum Anabilim Dalı</v>
      </c>
    </row>
    <row r="31" spans="1:49" x14ac:dyDescent="0.25">
      <c r="A31" s="101"/>
      <c r="B31" s="101"/>
      <c r="C31" s="101"/>
      <c r="D31" s="97"/>
      <c r="E31" s="97"/>
      <c r="F31" s="101"/>
      <c r="I31" s="98"/>
      <c r="J31" s="98"/>
      <c r="K31" s="98"/>
      <c r="L31" s="98"/>
      <c r="M31" s="98"/>
      <c r="N31" s="98"/>
      <c r="O31" s="98"/>
      <c r="P31" s="105"/>
      <c r="W31" s="98" t="str">
        <v>Doç. Dr. Hacı Hasan YETER</v>
      </c>
      <c r="X31" s="99">
        <v>1</v>
      </c>
      <c r="Y31" s="98" t="str">
        <v>Endodonti Anabilim Dalı</v>
      </c>
      <c r="Z31" s="99">
        <v>2</v>
      </c>
      <c r="AB31" s="99"/>
      <c r="AW31" t="str">
        <v>Kardiyoloji Anabilim Dalı</v>
      </c>
    </row>
    <row r="32" spans="1:49" x14ac:dyDescent="0.25">
      <c r="A32" s="101"/>
      <c r="B32" s="101"/>
      <c r="C32" s="101"/>
      <c r="D32" s="97"/>
      <c r="E32" s="97"/>
      <c r="F32" s="101"/>
      <c r="I32" s="98"/>
      <c r="J32" s="98"/>
      <c r="K32" s="98"/>
      <c r="L32" s="98"/>
      <c r="M32" s="98"/>
      <c r="N32" s="98"/>
      <c r="O32" s="98"/>
      <c r="P32" s="105"/>
      <c r="W32" s="98" t="str">
        <v>Doç. Dr. Hande GÖRÜCÜ COŞKUNER</v>
      </c>
      <c r="X32" s="99">
        <v>1</v>
      </c>
      <c r="Y32" s="98" t="str">
        <v>Histoloji ve Embriyoloji Anabilim Dalı</v>
      </c>
      <c r="Z32" s="99">
        <v>2</v>
      </c>
      <c r="AB32" s="99"/>
      <c r="AW32" t="str">
        <v>Klinik Eczacılık Anabilim Dalı</v>
      </c>
    </row>
    <row r="33" spans="1:49" x14ac:dyDescent="0.25">
      <c r="A33" s="101"/>
      <c r="B33" s="101"/>
      <c r="C33" s="101"/>
      <c r="D33" s="97"/>
      <c r="E33" s="97"/>
      <c r="F33" s="101"/>
      <c r="I33" s="98"/>
      <c r="J33" s="98"/>
      <c r="K33" s="98"/>
      <c r="L33" s="98"/>
      <c r="M33" s="98"/>
      <c r="N33" s="98"/>
      <c r="O33" s="98"/>
      <c r="P33" s="105"/>
      <c r="W33" s="98" t="str">
        <v>Doç. Dr. Hilal KORKMAZ</v>
      </c>
      <c r="X33" s="99">
        <v>1</v>
      </c>
      <c r="Y33" s="98" t="str">
        <v>Halk Sağlığı Anabilim Dalı</v>
      </c>
      <c r="Z33" s="99">
        <v>2</v>
      </c>
      <c r="AB33" s="99"/>
      <c r="AW33" t="str">
        <v>Kök Hücre Bilimleri Anabilim Dalı</v>
      </c>
    </row>
    <row r="34" spans="1:49" x14ac:dyDescent="0.25">
      <c r="A34" s="101"/>
      <c r="B34" s="101"/>
      <c r="C34" s="101"/>
      <c r="D34" s="97"/>
      <c r="E34" s="97"/>
      <c r="F34" s="101"/>
      <c r="I34" s="98"/>
      <c r="J34" s="98"/>
      <c r="K34" s="98"/>
      <c r="L34" s="98"/>
      <c r="M34" s="98"/>
      <c r="N34" s="98"/>
      <c r="O34" s="98"/>
      <c r="P34" s="105"/>
      <c r="W34" s="98" t="str">
        <v>Doç. Dr. İdil Rana USER KILIÇ</v>
      </c>
      <c r="X34" s="99">
        <v>2</v>
      </c>
      <c r="Y34" s="98" t="str">
        <v>Fiziksel Tıp ve Rehabilitasyon Anabilim Dalı</v>
      </c>
      <c r="Z34" s="99">
        <v>2</v>
      </c>
      <c r="AB34" s="99"/>
      <c r="AW34" t="str">
        <v>Kulak Burun Boğaz Anabilim Dalı</v>
      </c>
    </row>
    <row r="35" spans="1:49" x14ac:dyDescent="0.25">
      <c r="A35" s="101"/>
      <c r="B35" s="101"/>
      <c r="C35" s="101"/>
      <c r="D35" s="97"/>
      <c r="E35" s="97"/>
      <c r="F35" s="101"/>
      <c r="I35" s="98"/>
      <c r="J35" s="98"/>
      <c r="K35" s="98"/>
      <c r="L35" s="98"/>
      <c r="M35" s="98"/>
      <c r="N35" s="98"/>
      <c r="O35" s="98"/>
      <c r="P35" s="105"/>
      <c r="W35" s="98" t="str">
        <v>Doç. Dr. İlker ERTUĞRUL</v>
      </c>
      <c r="X35" s="99">
        <v>1</v>
      </c>
      <c r="Y35" s="98" t="str">
        <v>Protetik Diş Tedavisi Anabilim Dalı</v>
      </c>
      <c r="Z35" s="99">
        <v>2</v>
      </c>
      <c r="AB35" s="99"/>
      <c r="AW35" t="str">
        <v>Lokman Hekim Üniversitesi
Sağlık Hizmetleri Meslek Yüksekokulu</v>
      </c>
    </row>
    <row r="36" spans="1:49" x14ac:dyDescent="0.25">
      <c r="A36" s="101"/>
      <c r="B36" s="101"/>
      <c r="C36" s="101"/>
      <c r="D36" s="97"/>
      <c r="E36" s="97"/>
      <c r="F36" s="101"/>
      <c r="I36" s="98"/>
      <c r="J36" s="98"/>
      <c r="K36" s="98"/>
      <c r="L36" s="98"/>
      <c r="M36" s="98"/>
      <c r="N36" s="98"/>
      <c r="O36" s="98"/>
      <c r="P36" s="105"/>
      <c r="W36" s="98" t="str">
        <v>Doç. Dr. İrem KOÇ</v>
      </c>
      <c r="X36" s="99">
        <v>2</v>
      </c>
      <c r="Y36" s="98" t="str">
        <v>Hareket ve Antrenman Bilimleri Anabilim Dalı</v>
      </c>
      <c r="Z36" s="99">
        <v>2</v>
      </c>
      <c r="AB36" s="99"/>
      <c r="AW36" t="str">
        <v>Moleküler Biyoloji Anabilim Dalı</v>
      </c>
    </row>
    <row r="37" spans="1:49" x14ac:dyDescent="0.25">
      <c r="A37" s="101"/>
      <c r="B37" s="101"/>
      <c r="C37" s="101"/>
      <c r="D37" s="97"/>
      <c r="E37" s="97"/>
      <c r="F37" s="101"/>
      <c r="I37" s="98"/>
      <c r="J37" s="98"/>
      <c r="K37" s="98"/>
      <c r="L37" s="98"/>
      <c r="M37" s="98"/>
      <c r="N37" s="98"/>
      <c r="O37" s="98"/>
      <c r="P37" s="105"/>
      <c r="W37" s="98" t="str">
        <v>Doç. Dr. İzzet FİDANCI</v>
      </c>
      <c r="X37" s="99">
        <v>1</v>
      </c>
      <c r="Y37" s="98" t="str">
        <v>Pediatrik Temel Bilimler Anabilim Dalı</v>
      </c>
      <c r="Z37" s="99">
        <v>2</v>
      </c>
      <c r="AB37" s="99"/>
      <c r="AW37" t="str">
        <v>Nöroloji Anabilim Dalı</v>
      </c>
    </row>
    <row r="38" spans="1:49" x14ac:dyDescent="0.25">
      <c r="A38" s="101"/>
      <c r="B38" s="101"/>
      <c r="C38" s="101"/>
      <c r="D38" s="97"/>
      <c r="E38" s="97"/>
      <c r="F38" s="101"/>
      <c r="I38" s="98"/>
      <c r="J38" s="98"/>
      <c r="K38" s="98"/>
      <c r="L38" s="98"/>
      <c r="M38" s="98"/>
      <c r="N38" s="98"/>
      <c r="O38" s="98"/>
      <c r="P38" s="105"/>
      <c r="W38" s="98" t="str">
        <v>Doç. Dr. Kübra AYKAÇ</v>
      </c>
      <c r="X38" s="99">
        <v>2</v>
      </c>
      <c r="Y38" s="98" t="str">
        <v>Aile Hekimliği Anabilim Dalı</v>
      </c>
      <c r="Z38" s="99">
        <v>2</v>
      </c>
      <c r="AB38" s="99"/>
      <c r="AW38" t="str">
        <v>Nükleer Tıp Anabilim Dalı</v>
      </c>
    </row>
    <row r="39" spans="1:49" x14ac:dyDescent="0.25">
      <c r="A39" s="101"/>
      <c r="B39" s="101"/>
      <c r="C39" s="101"/>
      <c r="D39" s="97"/>
      <c r="E39" s="97"/>
      <c r="F39" s="101"/>
      <c r="I39" s="98"/>
      <c r="J39" s="98"/>
      <c r="K39" s="98"/>
      <c r="L39" s="98"/>
      <c r="M39" s="98"/>
      <c r="N39" s="98"/>
      <c r="O39" s="98"/>
      <c r="P39" s="105"/>
      <c r="W39" s="98" t="str">
        <v>Doç. Dr. Levent KILIÇ</v>
      </c>
      <c r="X39" s="99">
        <v>2</v>
      </c>
      <c r="Y39" s="98" t="str">
        <v>Sağlık Bilimleri Enstitüsü</v>
      </c>
      <c r="Z39" s="99">
        <v>1</v>
      </c>
      <c r="AB39" s="99"/>
      <c r="AW39" t="str">
        <v>Ortodonti Anabilim Dalı</v>
      </c>
    </row>
    <row r="40" spans="1:49" x14ac:dyDescent="0.25">
      <c r="A40" s="101"/>
      <c r="B40" s="101"/>
      <c r="C40" s="101"/>
      <c r="D40" s="97"/>
      <c r="E40" s="97"/>
      <c r="F40" s="101"/>
      <c r="I40" s="98"/>
      <c r="J40" s="98"/>
      <c r="K40" s="98"/>
      <c r="L40" s="98"/>
      <c r="M40" s="98"/>
      <c r="N40" s="98"/>
      <c r="O40" s="98"/>
      <c r="P40" s="105"/>
      <c r="W40" s="98" t="str">
        <v>Doç. Dr. Mert EŞME</v>
      </c>
      <c r="X40" s="99">
        <v>3</v>
      </c>
      <c r="Y40" s="98" t="str">
        <v>Moleküler Biyoloji Anabilim Dalı</v>
      </c>
      <c r="Z40" s="99">
        <v>1</v>
      </c>
      <c r="AB40" s="99"/>
      <c r="AW40" t="str">
        <v>Ortopedi ve Travmatoloji Anabilim Dalı</v>
      </c>
    </row>
    <row r="41" spans="1:49" x14ac:dyDescent="0.25">
      <c r="A41" s="101"/>
      <c r="B41" s="101"/>
      <c r="C41" s="101"/>
      <c r="D41" s="97"/>
      <c r="E41" s="97"/>
      <c r="F41" s="101"/>
      <c r="I41" s="98"/>
      <c r="J41" s="98"/>
      <c r="K41" s="98"/>
      <c r="L41" s="98"/>
      <c r="M41" s="98"/>
      <c r="N41" s="98"/>
      <c r="O41" s="98"/>
      <c r="P41" s="105"/>
      <c r="W41" s="98" t="str">
        <v>Doç. Dr. Mesut ALTAN</v>
      </c>
      <c r="X41" s="99">
        <v>2</v>
      </c>
      <c r="Y41" s="98" t="str">
        <v>Lokman Hekim Üniversitesi
Sağlık Hizmetleri Meslek Yüksekokulu</v>
      </c>
      <c r="Z41" s="99">
        <v>1</v>
      </c>
      <c r="AB41" s="99"/>
      <c r="AW41" t="str">
        <v>Pediatrik Temel Bilimler Anabilim Dalı</v>
      </c>
    </row>
    <row r="42" spans="1:49" x14ac:dyDescent="0.25">
      <c r="A42" s="101"/>
      <c r="B42" s="101"/>
      <c r="C42" s="101"/>
      <c r="D42" s="97"/>
      <c r="E42" s="97"/>
      <c r="F42" s="101"/>
      <c r="I42" s="98"/>
      <c r="J42" s="98"/>
      <c r="K42" s="98"/>
      <c r="L42" s="98"/>
      <c r="M42" s="98"/>
      <c r="N42" s="98"/>
      <c r="O42" s="98"/>
      <c r="P42" s="105"/>
      <c r="W42" s="98" t="str">
        <v>Doç. Dr. Neslihan AKDOĞAN</v>
      </c>
      <c r="X42" s="99">
        <v>1</v>
      </c>
      <c r="Y42" s="98" t="str">
        <v>Fizikokimya Anabilim Dalı</v>
      </c>
      <c r="Z42" s="99">
        <v>1</v>
      </c>
      <c r="AB42" s="99"/>
      <c r="AW42" t="str">
        <v>Periodontoloji Anabilim Dalı</v>
      </c>
    </row>
    <row r="43" spans="1:49" x14ac:dyDescent="0.25">
      <c r="A43" s="101"/>
      <c r="B43" s="101"/>
      <c r="C43" s="101"/>
      <c r="D43" s="97"/>
      <c r="E43" s="97"/>
      <c r="F43" s="101"/>
      <c r="I43" s="98"/>
      <c r="J43" s="98"/>
      <c r="K43" s="98"/>
      <c r="L43" s="98"/>
      <c r="M43" s="98"/>
      <c r="N43" s="98"/>
      <c r="O43" s="98"/>
      <c r="P43" s="105"/>
      <c r="W43" s="98" t="str">
        <v>Doç. Dr. Nursel ÇALIK BAŞARAN</v>
      </c>
      <c r="X43" s="99">
        <v>1</v>
      </c>
      <c r="Y43" s="98" t="str">
        <v>Tıbbi Mikrobiyoloji Anabilim Dalı</v>
      </c>
      <c r="Z43" s="99">
        <v>1</v>
      </c>
      <c r="AW43" t="str">
        <v>Plastik, Rekonstrüktif ve Estetik Cerrahi Anabilim Dalı</v>
      </c>
    </row>
    <row r="44" spans="1:49" x14ac:dyDescent="0.25">
      <c r="A44" s="101"/>
      <c r="B44" s="101"/>
      <c r="C44" s="101"/>
      <c r="D44" s="97"/>
      <c r="E44" s="97"/>
      <c r="F44" s="101"/>
      <c r="I44" s="98"/>
      <c r="J44" s="98"/>
      <c r="K44" s="98"/>
      <c r="L44" s="98"/>
      <c r="M44" s="98"/>
      <c r="N44" s="98"/>
      <c r="O44" s="98"/>
      <c r="P44" s="105"/>
      <c r="W44" s="98" t="str">
        <v>Doç. Dr. Saliha ESENBOĞA</v>
      </c>
      <c r="X44" s="99">
        <v>1</v>
      </c>
      <c r="Y44" s="98" t="str">
        <v>Tıp Eğitimi ve Bilişimi Anabilim Dalı</v>
      </c>
      <c r="Z44" s="99">
        <v>1</v>
      </c>
      <c r="AW44" t="str">
        <v>Protetik Diş Tedavisi Anabilim Dalı</v>
      </c>
    </row>
    <row r="45" spans="1:49" x14ac:dyDescent="0.25">
      <c r="A45" s="101"/>
      <c r="B45" s="101"/>
      <c r="C45" s="101"/>
      <c r="D45" s="97"/>
      <c r="E45" s="97"/>
      <c r="F45" s="101"/>
      <c r="I45" s="98"/>
      <c r="J45" s="98"/>
      <c r="K45" s="98"/>
      <c r="L45" s="98"/>
      <c r="M45" s="98"/>
      <c r="N45" s="98"/>
      <c r="O45" s="98"/>
      <c r="P45" s="105"/>
      <c r="W45" s="98" t="str">
        <v>Doç. Dr. Seda Hanife OĞUZ BAYKAL</v>
      </c>
      <c r="X45" s="99">
        <v>1</v>
      </c>
      <c r="Y45" s="98" t="str">
        <v>Sağlık Araştırmaları Anabilim Dalı</v>
      </c>
      <c r="Z45" s="99">
        <v>1</v>
      </c>
      <c r="AW45" t="str">
        <v>Radyoloji Anabilim Dalı</v>
      </c>
    </row>
    <row r="46" spans="1:49" x14ac:dyDescent="0.25">
      <c r="A46" s="101"/>
      <c r="B46" s="101"/>
      <c r="C46" s="101"/>
      <c r="D46" s="97"/>
      <c r="E46" s="97"/>
      <c r="F46" s="101"/>
      <c r="I46" s="98"/>
      <c r="J46" s="98"/>
      <c r="K46" s="98"/>
      <c r="L46" s="98"/>
      <c r="M46" s="98"/>
      <c r="N46" s="98"/>
      <c r="O46" s="98"/>
      <c r="P46" s="105"/>
      <c r="W46" s="98" t="str">
        <v>Doç. Dr. Serra ÖRSTEN</v>
      </c>
      <c r="X46" s="99">
        <v>1</v>
      </c>
      <c r="Y46" s="98" t="str">
        <v>Barcelona Institute for Global Health</v>
      </c>
      <c r="Z46" s="99">
        <v>1</v>
      </c>
      <c r="AW46" t="str">
        <v>Restoratif Diş Tedavisi Anabilim Dalı</v>
      </c>
    </row>
    <row r="47" spans="1:49" x14ac:dyDescent="0.25">
      <c r="A47" s="101"/>
      <c r="B47" s="101"/>
      <c r="C47" s="101"/>
      <c r="D47" s="97"/>
      <c r="E47" s="97"/>
      <c r="F47" s="101"/>
      <c r="I47" s="98"/>
      <c r="J47" s="98"/>
      <c r="K47" s="98"/>
      <c r="L47" s="98"/>
      <c r="M47" s="98"/>
      <c r="N47" s="98"/>
      <c r="O47" s="98"/>
      <c r="P47" s="105"/>
      <c r="W47" s="98" t="str">
        <v>Doç. Dr. Süleyman Nahit ŞENDUR</v>
      </c>
      <c r="X47" s="99">
        <v>4</v>
      </c>
      <c r="Y47" s="98" t="str">
        <v>Sosyal Pediatri Anabilim Dalı</v>
      </c>
      <c r="Z47" s="99">
        <v>1</v>
      </c>
      <c r="AW47" t="str">
        <v>Ruh Sağlığı ve Hastalıkları Anabilim Dalı</v>
      </c>
    </row>
    <row r="48" spans="1:49" x14ac:dyDescent="0.25">
      <c r="A48" s="101"/>
      <c r="B48" s="101"/>
      <c r="C48" s="101"/>
      <c r="D48" s="97"/>
      <c r="E48" s="97"/>
      <c r="F48" s="101"/>
      <c r="I48" s="98"/>
      <c r="J48" s="98"/>
      <c r="K48" s="98"/>
      <c r="L48" s="98"/>
      <c r="M48" s="98"/>
      <c r="N48" s="98"/>
      <c r="O48" s="98"/>
      <c r="P48" s="105"/>
      <c r="W48" s="98" t="str">
        <v>Doç. Dr. Ulaş KUMBASAR</v>
      </c>
      <c r="X48" s="99">
        <v>1</v>
      </c>
      <c r="Y48" s="98" t="str">
        <v>Farmasötik Toksikoloji Anabilim Dalı</v>
      </c>
      <c r="Z48" s="99">
        <v>1</v>
      </c>
      <c r="AW48" t="str">
        <v>Sağlık Araştırmaları Anabilim Dalı</v>
      </c>
    </row>
    <row r="49" spans="1:49" x14ac:dyDescent="0.25">
      <c r="A49" s="101"/>
      <c r="B49" s="101"/>
      <c r="C49" s="101"/>
      <c r="D49" s="97"/>
      <c r="E49" s="97"/>
      <c r="F49" s="101"/>
      <c r="I49" s="98"/>
      <c r="J49" s="98"/>
      <c r="K49" s="98"/>
      <c r="L49" s="98"/>
      <c r="M49" s="98"/>
      <c r="N49" s="98"/>
      <c r="O49" s="98"/>
      <c r="P49" s="105"/>
      <c r="W49" s="98" t="str">
        <v>Doç. Dr. Utku AKGÖR</v>
      </c>
      <c r="X49" s="99">
        <v>2</v>
      </c>
      <c r="Y49" s="98" t="str">
        <v>Tıbbi Laboratuvar Teknikleri Programı</v>
      </c>
      <c r="Z49" s="99">
        <v>1</v>
      </c>
      <c r="AW49" t="str">
        <v>Sağlık Bilimleri Enstitüsü</v>
      </c>
    </row>
    <row r="50" spans="1:49" x14ac:dyDescent="0.25">
      <c r="A50" s="101"/>
      <c r="B50" s="101"/>
      <c r="C50" s="101"/>
      <c r="D50" s="97"/>
      <c r="E50" s="97"/>
      <c r="F50" s="101"/>
      <c r="I50" s="98"/>
      <c r="J50" s="98"/>
      <c r="K50" s="98"/>
      <c r="L50" s="98"/>
      <c r="M50" s="98"/>
      <c r="N50" s="98"/>
      <c r="O50" s="98"/>
      <c r="P50" s="105"/>
      <c r="W50" s="98" t="str">
        <v>Doç.Dr. Tekin AKSU</v>
      </c>
      <c r="X50" s="99">
        <v>1</v>
      </c>
      <c r="Y50" s="98" t="str">
        <v>Farmasötik Mikrobiyoloji Anabilim Dalı</v>
      </c>
      <c r="Z50" s="99">
        <v>1</v>
      </c>
      <c r="AW50" t="str">
        <v>Sağlık Yönetimi Anabilim Dalı</v>
      </c>
    </row>
    <row r="51" spans="1:49" x14ac:dyDescent="0.25">
      <c r="A51" s="101"/>
      <c r="B51" s="101"/>
      <c r="C51" s="101"/>
      <c r="D51" s="97"/>
      <c r="E51" s="97"/>
      <c r="F51" s="101"/>
      <c r="I51" s="98"/>
      <c r="J51" s="98"/>
      <c r="K51" s="98"/>
      <c r="L51" s="98"/>
      <c r="M51" s="98"/>
      <c r="N51" s="98"/>
      <c r="O51" s="98"/>
      <c r="P51" s="105"/>
      <c r="W51" s="98" t="str">
        <v>Dr. Natalia RAKİSLOVA</v>
      </c>
      <c r="X51" s="99">
        <v>1</v>
      </c>
      <c r="Y51" s="98" t="str">
        <v>Biyoinformatik Anabilim Dalı</v>
      </c>
      <c r="Z51" s="99">
        <v>1</v>
      </c>
      <c r="AW51" t="str">
        <v>Sosyal Hizmet Anabilim Dalı</v>
      </c>
    </row>
    <row r="52" spans="1:49" x14ac:dyDescent="0.25">
      <c r="A52" s="101"/>
      <c r="B52" s="101"/>
      <c r="C52" s="101"/>
      <c r="D52" s="97"/>
      <c r="E52" s="97"/>
      <c r="F52" s="101"/>
      <c r="I52" s="98"/>
      <c r="J52" s="98"/>
      <c r="K52" s="98"/>
      <c r="L52" s="98"/>
      <c r="M52" s="98"/>
      <c r="N52" s="98"/>
      <c r="O52" s="98"/>
      <c r="P52" s="105"/>
      <c r="W52" s="98" t="str">
        <v>Dr. Öğr. Üyesi Ahmet KIVRAK</v>
      </c>
      <c r="X52" s="99">
        <v>3</v>
      </c>
      <c r="Y52" s="98" t="str">
        <v>Gülhane Sağlık Bilimleri Üniversitesi
Hemşirelik Fakültesi
Doğum ve Kadın Hastalıkları Hemşireliği Anabilim Dalı</v>
      </c>
      <c r="Z52" s="99">
        <v>1</v>
      </c>
      <c r="AW52" t="str">
        <v>Sosyal Pediatri Anabilim Dalı</v>
      </c>
    </row>
    <row r="53" spans="1:49" x14ac:dyDescent="0.25">
      <c r="A53" s="101"/>
      <c r="B53" s="101"/>
      <c r="C53" s="101"/>
      <c r="D53" s="97"/>
      <c r="E53" s="97"/>
      <c r="F53" s="101"/>
      <c r="I53" s="98"/>
      <c r="J53" s="98"/>
      <c r="K53" s="98"/>
      <c r="L53" s="98"/>
      <c r="M53" s="98"/>
      <c r="N53" s="98"/>
      <c r="O53" s="98"/>
      <c r="P53" s="105"/>
      <c r="W53" s="98" t="str">
        <v>Dr. Öğr. Üyesi Arda ÇETİNKAYA</v>
      </c>
      <c r="X53" s="99">
        <v>1</v>
      </c>
      <c r="Y53" s="98" t="str">
        <v>Fizyoloji Anabilim Dalı</v>
      </c>
      <c r="Z53" s="99">
        <v>1</v>
      </c>
      <c r="AW53" t="str">
        <v>Spor Hekimliği Anabilim Dalı</v>
      </c>
    </row>
    <row r="54" spans="1:49" x14ac:dyDescent="0.25">
      <c r="A54" s="101"/>
      <c r="B54" s="101"/>
      <c r="C54" s="101"/>
      <c r="D54" s="97"/>
      <c r="E54" s="97"/>
      <c r="F54" s="101"/>
      <c r="I54" s="98"/>
      <c r="J54" s="98"/>
      <c r="K54" s="98"/>
      <c r="L54" s="98"/>
      <c r="M54" s="98"/>
      <c r="N54" s="98"/>
      <c r="O54" s="98"/>
      <c r="P54" s="105"/>
      <c r="W54" s="98" t="str">
        <v>Dr. Öğr. Üyesi Aybüke USLU TEKCE</v>
      </c>
      <c r="X54" s="99">
        <v>1</v>
      </c>
      <c r="Y54" s="98" t="str">
        <v>Restoratif Diş Tedavisi Anabilim Dalı</v>
      </c>
      <c r="Z54" s="99">
        <v>1</v>
      </c>
      <c r="AW54" t="str">
        <v>Tıbbi Laboratuvar Teknikleri Programı</v>
      </c>
    </row>
    <row r="55" spans="1:49" x14ac:dyDescent="0.25">
      <c r="A55" s="101"/>
      <c r="B55" s="101"/>
      <c r="C55" s="101"/>
      <c r="D55" s="97"/>
      <c r="E55" s="97"/>
      <c r="F55" s="101"/>
      <c r="I55" s="98"/>
      <c r="J55" s="98"/>
      <c r="K55" s="98"/>
      <c r="L55" s="98"/>
      <c r="M55" s="98"/>
      <c r="N55" s="98"/>
      <c r="O55" s="98"/>
      <c r="P55" s="105"/>
      <c r="W55" s="98" t="str">
        <v>Dr. Öğr. Üyesi Aycan UYSAL</v>
      </c>
      <c r="X55" s="99">
        <v>2</v>
      </c>
      <c r="Y55" s="98" t="str">
        <v>Biyoistatistik Anabilim Dalı</v>
      </c>
      <c r="Z55" s="99">
        <v>1</v>
      </c>
      <c r="AW55" t="str">
        <v>Tıbbi Mikrobiyoloji Anabilim Dalı</v>
      </c>
    </row>
    <row r="56" spans="1:49" x14ac:dyDescent="0.25">
      <c r="A56" s="101"/>
      <c r="B56" s="101"/>
      <c r="C56" s="101"/>
      <c r="D56" s="97"/>
      <c r="E56" s="97"/>
      <c r="F56" s="101"/>
      <c r="I56" s="98"/>
      <c r="J56" s="98"/>
      <c r="K56" s="98"/>
      <c r="L56" s="98"/>
      <c r="M56" s="98"/>
      <c r="N56" s="98"/>
      <c r="O56" s="98"/>
      <c r="P56" s="105"/>
      <c r="W56" s="98" t="str">
        <v>Dr. Öğr. Üyesi Ayşe METE YEŞİL</v>
      </c>
      <c r="X56" s="99">
        <v>1</v>
      </c>
      <c r="Y56" s="98" t="str">
        <v>Gıda Bilimleri Anabilim Dalı</v>
      </c>
      <c r="Z56" s="99">
        <v>1</v>
      </c>
      <c r="AW56" t="str">
        <v>Tıp Eğitimi ve Bilişimi Anabilim Dalı</v>
      </c>
    </row>
    <row r="57" spans="1:49" x14ac:dyDescent="0.25">
      <c r="A57" s="101"/>
      <c r="B57" s="101"/>
      <c r="C57" s="101"/>
      <c r="D57" s="97"/>
      <c r="E57" s="97"/>
      <c r="F57" s="101"/>
      <c r="I57" s="98"/>
      <c r="J57" s="98"/>
      <c r="K57" s="98"/>
      <c r="L57" s="98"/>
      <c r="M57" s="98"/>
      <c r="N57" s="98"/>
      <c r="O57" s="98"/>
      <c r="P57" s="105"/>
      <c r="W57" s="98" t="str">
        <v>Dr. Öğr. Üyesi Barış KAFA</v>
      </c>
      <c r="X57" s="99">
        <v>1</v>
      </c>
      <c r="Y57" s="98" t="str">
        <v>Plastik, Rekonstrüktif ve Estetik Cerrahi Anabilim Dalı</v>
      </c>
      <c r="Z57" s="99">
        <v>1</v>
      </c>
      <c r="AW57" t="str">
        <v>Üroloji Anabilim Dalı</v>
      </c>
    </row>
    <row r="58" spans="1:49" x14ac:dyDescent="0.25">
      <c r="A58" s="101"/>
      <c r="B58" s="101"/>
      <c r="C58" s="101"/>
      <c r="D58" s="97"/>
      <c r="E58" s="97"/>
      <c r="F58" s="101"/>
      <c r="I58" s="98"/>
      <c r="J58" s="98"/>
      <c r="K58" s="98"/>
      <c r="L58" s="98"/>
      <c r="M58" s="98"/>
      <c r="N58" s="98"/>
      <c r="O58" s="98"/>
      <c r="P58" s="105"/>
      <c r="W58" s="98" t="str">
        <v>Dr. Öğr. Üyesi Burcu KELLECİ ÇAKIR</v>
      </c>
      <c r="X58" s="99">
        <v>4</v>
      </c>
      <c r="Y58" s="98" t="str">
        <v>Kök Hücre Bilimleri Anabilim Dalı</v>
      </c>
      <c r="Z58" s="99">
        <v>1</v>
      </c>
      <c r="AW58">
        <v>0</v>
      </c>
    </row>
    <row r="59" spans="1:49" x14ac:dyDescent="0.25">
      <c r="A59" s="101"/>
      <c r="B59" s="101"/>
      <c r="C59" s="101"/>
      <c r="D59" s="97"/>
      <c r="E59" s="97"/>
      <c r="F59" s="101"/>
      <c r="I59" s="98"/>
      <c r="J59" s="98"/>
      <c r="K59" s="98"/>
      <c r="L59" s="98"/>
      <c r="M59" s="98"/>
      <c r="N59" s="98"/>
      <c r="O59" s="98"/>
      <c r="P59" s="105"/>
      <c r="W59" s="98" t="str">
        <v>Dr. Öğr. Üyesi Burkay UTKU</v>
      </c>
      <c r="X59" s="99">
        <v>1</v>
      </c>
      <c r="Y59" s="98" t="str">
        <v>Enfeksiyon Hastalıkları ve Klinik Mikrobiyoloji Anabilim Dalı</v>
      </c>
      <c r="Z59" s="99">
        <v>1</v>
      </c>
    </row>
    <row r="60" spans="1:49" x14ac:dyDescent="0.25">
      <c r="A60" s="101"/>
      <c r="B60" s="101"/>
      <c r="C60" s="101"/>
      <c r="D60" s="97"/>
      <c r="E60" s="97"/>
      <c r="F60" s="101"/>
      <c r="I60" s="98"/>
      <c r="J60" s="98"/>
      <c r="K60" s="98"/>
      <c r="L60" s="98"/>
      <c r="M60" s="98"/>
      <c r="N60" s="98"/>
      <c r="O60" s="98"/>
      <c r="P60" s="105"/>
      <c r="W60" s="98" t="str">
        <v>Dr. Öğr. Üyesi Emre KARA</v>
      </c>
      <c r="X60" s="99">
        <v>1</v>
      </c>
    </row>
    <row r="61" spans="1:49" x14ac:dyDescent="0.25">
      <c r="A61" s="101"/>
      <c r="B61" s="101"/>
      <c r="C61" s="101"/>
      <c r="D61" s="97"/>
      <c r="E61" s="97"/>
      <c r="F61" s="101"/>
      <c r="I61" s="98"/>
      <c r="J61" s="98"/>
      <c r="K61" s="98"/>
      <c r="L61" s="98"/>
      <c r="M61" s="98"/>
      <c r="N61" s="98"/>
      <c r="O61" s="98"/>
      <c r="P61" s="105"/>
      <c r="W61" s="98" t="str">
        <v>Dr. Öğr. Üyesi Ergin EROĞLU</v>
      </c>
      <c r="X61" s="99">
        <v>1</v>
      </c>
    </row>
    <row r="62" spans="1:49" x14ac:dyDescent="0.25">
      <c r="A62" s="101"/>
      <c r="B62" s="101"/>
      <c r="C62" s="101"/>
      <c r="D62" s="97"/>
      <c r="E62" s="97"/>
      <c r="F62" s="101"/>
      <c r="I62" s="98"/>
      <c r="J62" s="98"/>
      <c r="K62" s="98"/>
      <c r="L62" s="98"/>
      <c r="M62" s="98"/>
      <c r="N62" s="98"/>
      <c r="O62" s="98"/>
      <c r="P62" s="105"/>
      <c r="W62" s="98" t="str">
        <v>Dr. Öğr. Üyesi Ezgi DOĞAN CÖMERT</v>
      </c>
      <c r="X62" s="99">
        <v>1</v>
      </c>
    </row>
    <row r="63" spans="1:49" x14ac:dyDescent="0.25">
      <c r="A63" s="101"/>
      <c r="B63" s="101"/>
      <c r="C63" s="101"/>
      <c r="D63" s="97"/>
      <c r="E63" s="97"/>
      <c r="F63" s="101"/>
      <c r="I63" s="98"/>
      <c r="J63" s="98"/>
      <c r="K63" s="98"/>
      <c r="L63" s="98"/>
      <c r="M63" s="98"/>
      <c r="N63" s="98"/>
      <c r="O63" s="98"/>
      <c r="P63" s="105"/>
      <c r="W63" s="98" t="str">
        <v>Dr. Öğr. Üyesi Figen BEZCİ AYGÜN</v>
      </c>
      <c r="X63" s="99">
        <v>4</v>
      </c>
    </row>
    <row r="64" spans="1:49" x14ac:dyDescent="0.25">
      <c r="A64" s="101"/>
      <c r="B64" s="101"/>
      <c r="C64" s="101"/>
      <c r="D64" s="97"/>
      <c r="E64" s="97"/>
      <c r="F64" s="101"/>
      <c r="I64" s="98"/>
      <c r="J64" s="98"/>
      <c r="K64" s="98"/>
      <c r="L64" s="98"/>
      <c r="M64" s="98"/>
      <c r="N64" s="98"/>
      <c r="O64" s="98"/>
      <c r="P64" s="105"/>
      <c r="W64" s="98" t="str">
        <v>Dr. Öğr. Üyesi Gonca ÖZTEN</v>
      </c>
      <c r="X64" s="99">
        <v>4</v>
      </c>
    </row>
    <row r="65" spans="1:24" x14ac:dyDescent="0.25">
      <c r="A65" s="101"/>
      <c r="B65" s="101"/>
      <c r="C65" s="101"/>
      <c r="D65" s="97"/>
      <c r="E65" s="97"/>
      <c r="F65" s="101"/>
      <c r="I65" s="98"/>
      <c r="J65" s="98"/>
      <c r="K65" s="98"/>
      <c r="L65" s="98"/>
      <c r="M65" s="98"/>
      <c r="N65" s="98"/>
      <c r="O65" s="98"/>
      <c r="P65" s="105"/>
      <c r="W65" s="98" t="str">
        <v>Dr. Öğr. Üyesi Gökçen AKÇİÇEK</v>
      </c>
      <c r="X65" s="99">
        <v>1</v>
      </c>
    </row>
    <row r="66" spans="1:24" x14ac:dyDescent="0.25">
      <c r="A66" s="101"/>
      <c r="B66" s="101"/>
      <c r="C66" s="101"/>
      <c r="D66" s="97"/>
      <c r="E66" s="97"/>
      <c r="F66" s="101"/>
      <c r="I66" s="98"/>
      <c r="J66" s="98"/>
      <c r="K66" s="98"/>
      <c r="L66" s="98"/>
      <c r="M66" s="98"/>
      <c r="N66" s="98"/>
      <c r="O66" s="98"/>
      <c r="P66" s="105"/>
      <c r="W66" s="98" t="str">
        <v>Dr. Öğr. Üyesi Gözde ÖZER</v>
      </c>
      <c r="X66" s="99">
        <v>1</v>
      </c>
    </row>
    <row r="67" spans="1:24" x14ac:dyDescent="0.25">
      <c r="A67" s="101"/>
      <c r="B67" s="101"/>
      <c r="C67" s="101"/>
      <c r="D67" s="97"/>
      <c r="E67" s="97"/>
      <c r="F67" s="101"/>
      <c r="I67" s="98"/>
      <c r="J67" s="98"/>
      <c r="K67" s="98"/>
      <c r="L67" s="98"/>
      <c r="M67" s="98"/>
      <c r="N67" s="98"/>
      <c r="O67" s="98"/>
      <c r="P67" s="105"/>
      <c r="W67" s="98" t="str">
        <v>Dr. Öğr. Üyesi Hanife Merva PARLAK</v>
      </c>
      <c r="X67" s="99">
        <v>1</v>
      </c>
    </row>
    <row r="68" spans="1:24" x14ac:dyDescent="0.25">
      <c r="A68" s="101"/>
      <c r="B68" s="101"/>
      <c r="C68" s="101"/>
      <c r="D68" s="97"/>
      <c r="E68" s="97"/>
      <c r="F68" s="101"/>
      <c r="I68" s="98"/>
      <c r="J68" s="98"/>
      <c r="K68" s="98"/>
      <c r="L68" s="98"/>
      <c r="M68" s="98"/>
      <c r="N68" s="98"/>
      <c r="O68" s="98"/>
      <c r="P68" s="105"/>
      <c r="W68" s="98" t="str">
        <v>Dr. Öğr. Üyesi Hatice BOYACIOĞLU ERDEN</v>
      </c>
      <c r="X68" s="99">
        <v>1</v>
      </c>
    </row>
    <row r="69" spans="1:24" x14ac:dyDescent="0.25">
      <c r="A69" s="101"/>
      <c r="B69" s="101"/>
      <c r="C69" s="101"/>
      <c r="D69" s="97"/>
      <c r="E69" s="97"/>
      <c r="F69" s="101"/>
      <c r="I69" s="98"/>
      <c r="J69" s="98"/>
      <c r="K69" s="98"/>
      <c r="L69" s="98"/>
      <c r="M69" s="98"/>
      <c r="N69" s="98"/>
      <c r="O69" s="98"/>
      <c r="P69" s="105"/>
      <c r="W69" s="98" t="str">
        <v>Dr. Öğr. Üyesi Hilal AKDEMİR AKTAŞ</v>
      </c>
      <c r="X69" s="99">
        <v>1</v>
      </c>
    </row>
    <row r="70" spans="1:24" x14ac:dyDescent="0.25">
      <c r="A70" s="101"/>
      <c r="B70" s="101"/>
      <c r="C70" s="101"/>
      <c r="D70" s="97"/>
      <c r="E70" s="97"/>
      <c r="F70" s="101"/>
      <c r="I70" s="98"/>
      <c r="J70" s="98"/>
      <c r="K70" s="98"/>
      <c r="L70" s="98"/>
      <c r="M70" s="98"/>
      <c r="N70" s="98"/>
      <c r="O70" s="98"/>
      <c r="P70" s="105"/>
      <c r="W70" s="98" t="str">
        <v>Dr. Öğr. Üyesi Irmak OCAK</v>
      </c>
      <c r="X70" s="99">
        <v>1</v>
      </c>
    </row>
    <row r="71" spans="1:24" x14ac:dyDescent="0.25">
      <c r="A71" s="101"/>
      <c r="B71" s="101"/>
      <c r="C71" s="101"/>
      <c r="D71" s="97"/>
      <c r="E71" s="97"/>
      <c r="F71" s="101"/>
      <c r="I71" s="98"/>
      <c r="J71" s="98"/>
      <c r="K71" s="98"/>
      <c r="L71" s="98"/>
      <c r="M71" s="98"/>
      <c r="N71" s="98"/>
      <c r="O71" s="98"/>
      <c r="P71" s="105"/>
      <c r="W71" s="98" t="str">
        <v>Dr. Öğr. Üyesi Merva PARLAK</v>
      </c>
      <c r="X71" s="99">
        <v>1</v>
      </c>
    </row>
    <row r="72" spans="1:24" x14ac:dyDescent="0.25">
      <c r="A72" s="101"/>
      <c r="B72" s="101"/>
      <c r="C72" s="101"/>
      <c r="F72" s="101"/>
      <c r="I72" s="98"/>
      <c r="J72" s="98"/>
      <c r="K72" s="98"/>
      <c r="L72" s="98"/>
      <c r="M72" s="98"/>
      <c r="N72" s="98"/>
      <c r="O72" s="98"/>
      <c r="P72" s="105"/>
      <c r="W72" s="98" t="str">
        <v>Dr. Öğr. Üyesi Muhammed Çağrı KÜLEKCİ</v>
      </c>
      <c r="X72" s="99">
        <v>1</v>
      </c>
    </row>
    <row r="73" spans="1:24" x14ac:dyDescent="0.25">
      <c r="A73" s="101"/>
      <c r="B73" s="101"/>
      <c r="C73" s="101"/>
      <c r="F73" s="101"/>
      <c r="I73" s="98"/>
      <c r="J73" s="98"/>
      <c r="K73" s="98"/>
      <c r="L73" s="98"/>
      <c r="M73" s="98"/>
      <c r="N73" s="98"/>
      <c r="O73" s="98"/>
      <c r="P73" s="105"/>
      <c r="W73" s="98" t="str">
        <v>Dr. Öğr. Üyesi Murat ÇAĞAN</v>
      </c>
      <c r="X73" s="99">
        <v>2</v>
      </c>
    </row>
    <row r="74" spans="1:24" x14ac:dyDescent="0.25">
      <c r="A74" s="101"/>
      <c r="B74" s="101"/>
      <c r="C74" s="101"/>
      <c r="F74" s="101"/>
      <c r="I74" s="98"/>
      <c r="J74" s="98"/>
      <c r="K74" s="98"/>
      <c r="L74" s="98"/>
      <c r="M74" s="98"/>
      <c r="N74" s="98"/>
      <c r="O74" s="98"/>
      <c r="P74" s="105"/>
      <c r="W74" s="98" t="str">
        <v>Dr. Öğr. Üyesi Özge YAVUZ SARI</v>
      </c>
      <c r="X74" s="99">
        <v>1</v>
      </c>
    </row>
    <row r="75" spans="1:24" x14ac:dyDescent="0.25">
      <c r="A75" s="101"/>
      <c r="B75" s="101"/>
      <c r="C75" s="101"/>
      <c r="F75" s="101"/>
      <c r="I75" s="98"/>
      <c r="J75" s="98"/>
      <c r="K75" s="98"/>
      <c r="L75" s="98"/>
      <c r="M75" s="98"/>
      <c r="N75" s="98"/>
      <c r="O75" s="98"/>
      <c r="P75" s="105"/>
      <c r="W75" s="98" t="str">
        <v>Dr. Öğr. Üyesi Salih Eren MERAL</v>
      </c>
      <c r="X75" s="99">
        <v>1</v>
      </c>
    </row>
    <row r="76" spans="1:24" x14ac:dyDescent="0.25">
      <c r="A76" s="101"/>
      <c r="B76" s="101"/>
      <c r="C76" s="101"/>
      <c r="F76" s="101"/>
      <c r="I76" s="98"/>
      <c r="J76" s="98"/>
      <c r="K76" s="98"/>
      <c r="L76" s="98"/>
      <c r="M76" s="98"/>
      <c r="N76" s="98"/>
      <c r="O76" s="98"/>
      <c r="P76" s="105"/>
      <c r="W76" s="98" t="str">
        <v>Dr. Öğr. Üyesi Serkan UYSAL</v>
      </c>
      <c r="X76" s="99">
        <v>2</v>
      </c>
    </row>
    <row r="77" spans="1:24" x14ac:dyDescent="0.25">
      <c r="A77" s="101"/>
      <c r="B77" s="101"/>
      <c r="C77" s="101"/>
      <c r="F77" s="101"/>
      <c r="I77" s="98"/>
      <c r="J77" s="98"/>
      <c r="K77" s="98"/>
      <c r="L77" s="98"/>
      <c r="M77" s="98"/>
      <c r="N77" s="98"/>
      <c r="O77" s="98"/>
      <c r="P77" s="105"/>
      <c r="W77" s="98" t="str">
        <v>Dr. Öğr. Üyesi Yiğitcan KARANFİL</v>
      </c>
      <c r="X77" s="99">
        <v>2</v>
      </c>
    </row>
    <row r="78" spans="1:24" x14ac:dyDescent="0.25">
      <c r="A78" s="101"/>
      <c r="B78" s="101"/>
      <c r="C78" s="101"/>
      <c r="W78" s="98" t="str">
        <v>Dr. Vet. Hek. Özgür Doğuş EROL DUYAR</v>
      </c>
      <c r="X78" s="99">
        <v>1</v>
      </c>
    </row>
    <row r="79" spans="1:24" x14ac:dyDescent="0.25">
      <c r="A79" s="101"/>
      <c r="B79" s="101"/>
      <c r="C79" s="101"/>
      <c r="W79" s="98" t="str">
        <v>Öğr. Gör. Dr. Aytekin İDİKUT</v>
      </c>
      <c r="X79" s="99">
        <v>1</v>
      </c>
    </row>
    <row r="80" spans="1:24" x14ac:dyDescent="0.25">
      <c r="W80" s="98" t="str">
        <v>Öğr. Gör. Dr. Bahattin PASLI</v>
      </c>
      <c r="X80" s="99">
        <v>2</v>
      </c>
    </row>
    <row r="81" spans="23:24" x14ac:dyDescent="0.25">
      <c r="W81" s="98" t="str">
        <v>Öğr. Gör. Dr. Buket KILIÇ</v>
      </c>
      <c r="X81" s="99">
        <v>1</v>
      </c>
    </row>
    <row r="82" spans="23:24" x14ac:dyDescent="0.25">
      <c r="W82" s="98" t="str">
        <v>Öğr. Gör. Dr. Burçay TELLİOĞLU</v>
      </c>
      <c r="X82" s="99">
        <v>1</v>
      </c>
    </row>
    <row r="83" spans="23:24" x14ac:dyDescent="0.25">
      <c r="W83" s="98" t="str">
        <v>Öğr. Gör. Dr. Helin YÜCEDAĞ GÜNDOĞDU</v>
      </c>
      <c r="X83" s="99">
        <v>1</v>
      </c>
    </row>
    <row r="84" spans="23:24" x14ac:dyDescent="0.25">
      <c r="W84" s="98" t="str">
        <v>Öğr. Gör. Dr. Pınar ÖZDEMİR YAŞAR</v>
      </c>
      <c r="X84" s="99">
        <v>1</v>
      </c>
    </row>
    <row r="85" spans="23:24" x14ac:dyDescent="0.25">
      <c r="W85" s="98" t="str">
        <v>Prof. Dr. Ali DURSUN</v>
      </c>
      <c r="X85" s="99">
        <v>1</v>
      </c>
    </row>
    <row r="86" spans="23:24" x14ac:dyDescent="0.25">
      <c r="W86" s="98" t="str">
        <v>Prof. Dr. Ali DÜZOVA</v>
      </c>
      <c r="X86" s="99">
        <v>1</v>
      </c>
    </row>
    <row r="87" spans="23:24" x14ac:dyDescent="0.25">
      <c r="W87" s="98" t="str">
        <v>Prof. Dr. Ali Fuat KALYONCU</v>
      </c>
      <c r="X87" s="99">
        <v>4</v>
      </c>
    </row>
    <row r="88" spans="23:24" x14ac:dyDescent="0.25">
      <c r="W88" s="98" t="str">
        <v>Prof. Dr. Alp ÇETİN</v>
      </c>
      <c r="X88" s="99">
        <v>1</v>
      </c>
    </row>
    <row r="89" spans="23:24" x14ac:dyDescent="0.25">
      <c r="W89" s="98" t="str">
        <v>Prof. Dr. Aygin EKİNCİOĞLU</v>
      </c>
      <c r="X89" s="99">
        <v>1</v>
      </c>
    </row>
    <row r="90" spans="23:24" x14ac:dyDescent="0.25">
      <c r="W90" s="98" t="str">
        <v>Prof. Dr. Ayşe KİN İŞLER</v>
      </c>
      <c r="X90" s="99">
        <v>2</v>
      </c>
    </row>
    <row r="91" spans="23:24" x14ac:dyDescent="0.25">
      <c r="W91" s="98" t="str">
        <v>Prof. Dr. Ayşe Tomris ERBAŞ</v>
      </c>
      <c r="X91" s="99">
        <v>2</v>
      </c>
    </row>
    <row r="92" spans="23:24" x14ac:dyDescent="0.25">
      <c r="W92" s="98" t="str">
        <v>Prof. Dr. Bahar GÜÇİZ DOĞAN</v>
      </c>
      <c r="X92" s="99">
        <v>1</v>
      </c>
    </row>
    <row r="93" spans="23:24" x14ac:dyDescent="0.25">
      <c r="W93" s="98" t="str">
        <v>Prof. Dr. Banu KILIÇASLAN</v>
      </c>
      <c r="X93" s="99">
        <v>1</v>
      </c>
    </row>
    <row r="94" spans="23:24" x14ac:dyDescent="0.25">
      <c r="W94" s="98" t="str">
        <v>Prof. Dr. Bayram ŞAHİN</v>
      </c>
      <c r="X94" s="99">
        <v>1</v>
      </c>
    </row>
    <row r="95" spans="23:24" x14ac:dyDescent="0.25">
      <c r="W95" s="98" t="str">
        <v>Prof. Dr. Betül ÇELEBİ SALTIK</v>
      </c>
      <c r="X95" s="99">
        <v>1</v>
      </c>
    </row>
    <row r="96" spans="23:24" x14ac:dyDescent="0.25">
      <c r="W96" s="98" t="str">
        <v>Prof. Dr. Bülent ALTUN</v>
      </c>
      <c r="X96" s="99">
        <v>1</v>
      </c>
    </row>
    <row r="97" spans="23:24" x14ac:dyDescent="0.25">
      <c r="W97" s="98" t="str">
        <v>Prof. Dr. Cengiz KILIÇ</v>
      </c>
      <c r="X97" s="99">
        <v>2</v>
      </c>
    </row>
    <row r="98" spans="23:24" x14ac:dyDescent="0.25">
      <c r="W98" s="98" t="str">
        <v>Prof. Dr. Çağrı Mesut TEMUÇİN</v>
      </c>
      <c r="X98" s="99">
        <v>2</v>
      </c>
    </row>
    <row r="99" spans="23:24" x14ac:dyDescent="0.25">
      <c r="W99" s="98" t="str">
        <v>Prof. Dr. Deniz ÇAĞDAŞ AYVAZ</v>
      </c>
      <c r="X99" s="99">
        <v>3</v>
      </c>
    </row>
    <row r="100" spans="23:24" x14ac:dyDescent="0.25">
      <c r="W100" s="98" t="str">
        <v>Prof. Dr. Deniz DOĞRU ERSÖZ</v>
      </c>
      <c r="X100" s="99">
        <v>1</v>
      </c>
    </row>
    <row r="101" spans="23:24" x14ac:dyDescent="0.25">
      <c r="W101" s="98" t="str">
        <v>Prof. Dr. Dilek ASLAN</v>
      </c>
      <c r="X101" s="99">
        <v>1</v>
      </c>
    </row>
    <row r="102" spans="23:24" x14ac:dyDescent="0.25">
      <c r="W102" s="98" t="str">
        <v>Prof. Dr. Dilşad FOTO ÖZDEMİR</v>
      </c>
      <c r="X102" s="99">
        <v>1</v>
      </c>
    </row>
    <row r="103" spans="23:24" x14ac:dyDescent="0.25">
      <c r="W103" s="98" t="str">
        <v>Prof. Dr. Ebru DAMADOĞLU</v>
      </c>
      <c r="X103" s="99">
        <v>2</v>
      </c>
    </row>
    <row r="104" spans="23:24" x14ac:dyDescent="0.25">
      <c r="W104" s="98" t="str">
        <v>Prof. Dr. Egemen TURHAN</v>
      </c>
      <c r="X104" s="99">
        <v>1</v>
      </c>
    </row>
    <row r="105" spans="23:24" x14ac:dyDescent="0.25">
      <c r="W105" s="98" t="str">
        <v>Prof. Dr. Emre TOSUN</v>
      </c>
      <c r="X105" s="99">
        <v>1</v>
      </c>
    </row>
    <row r="106" spans="23:24" x14ac:dyDescent="0.25">
      <c r="W106" s="98" t="str">
        <v>Prof. Dr. Esra BİRBEN</v>
      </c>
      <c r="X106" s="99">
        <v>1</v>
      </c>
    </row>
    <row r="107" spans="23:24" x14ac:dyDescent="0.25">
      <c r="W107" s="98" t="str">
        <v>Prof. Dr. Fatma Gökçem YILDIZ SARIKAYA</v>
      </c>
      <c r="X107" s="99">
        <v>1</v>
      </c>
    </row>
    <row r="108" spans="23:24" x14ac:dyDescent="0.25">
      <c r="W108" s="98" t="str">
        <v>Prof. Dr. Gül KARAKAYA</v>
      </c>
      <c r="X108" s="99">
        <v>1</v>
      </c>
    </row>
    <row r="109" spans="23:24" x14ac:dyDescent="0.25">
      <c r="W109" s="98" t="str">
        <v>Prof. Dr. Güliz Nigar GÜNCÜ</v>
      </c>
      <c r="X109" s="99">
        <v>1</v>
      </c>
    </row>
    <row r="110" spans="23:24" x14ac:dyDescent="0.25">
      <c r="W110" s="98" t="str">
        <v>Prof. Dr. Hakan Hıfzı TÜZ</v>
      </c>
      <c r="X110" s="99">
        <v>1</v>
      </c>
    </row>
    <row r="111" spans="23:24" x14ac:dyDescent="0.25">
      <c r="W111" s="98" t="str">
        <v>Prof. Dr. Hasan Serkan DOĞAN</v>
      </c>
      <c r="X111" s="99">
        <v>1</v>
      </c>
    </row>
    <row r="112" spans="23:24" x14ac:dyDescent="0.25">
      <c r="W112" s="98" t="str">
        <v>Prof. Dr. Hatice DOĞAN BUZOĞLU</v>
      </c>
      <c r="X112" s="99">
        <v>1</v>
      </c>
    </row>
    <row r="113" spans="23:24" x14ac:dyDescent="0.25">
      <c r="W113" s="98" t="str">
        <v>Prof. Dr. Hatice Yasemin BALABAN</v>
      </c>
      <c r="X113" s="99">
        <v>2</v>
      </c>
    </row>
    <row r="114" spans="23:24" x14ac:dyDescent="0.25">
      <c r="W114" s="98" t="str">
        <v>Prof. Dr. Hikmet YORGUN</v>
      </c>
      <c r="X114" s="99">
        <v>1</v>
      </c>
    </row>
    <row r="115" spans="23:24" x14ac:dyDescent="0.25">
      <c r="W115" s="98" t="str">
        <v>Prof. Dr. Hülya DEMİR</v>
      </c>
      <c r="X115" s="99">
        <v>1</v>
      </c>
    </row>
    <row r="116" spans="23:24" x14ac:dyDescent="0.25">
      <c r="W116" s="98" t="str">
        <v>Prof. Dr. Jale KARAKAYA</v>
      </c>
      <c r="X116" s="99">
        <v>1</v>
      </c>
    </row>
    <row r="117" spans="23:24" x14ac:dyDescent="0.25">
      <c r="W117" s="98" t="str">
        <v>Prof. Dr. Kıvanç AKÇA</v>
      </c>
      <c r="X117" s="99">
        <v>1</v>
      </c>
    </row>
    <row r="118" spans="23:24" x14ac:dyDescent="0.25">
      <c r="W118" s="98" t="str">
        <v>Prof. Dr. Kudret AYTEMİR</v>
      </c>
      <c r="X118" s="99">
        <v>1</v>
      </c>
    </row>
    <row r="119" spans="23:24" x14ac:dyDescent="0.25">
      <c r="W119" s="98" t="str">
        <v>Prof. Dr. Mehmet Akif TOPÇUOĞLU</v>
      </c>
      <c r="X119" s="99">
        <v>1</v>
      </c>
    </row>
    <row r="120" spans="23:24" x14ac:dyDescent="0.25">
      <c r="W120" s="98" t="str">
        <v>Prof. Dr. Mehmet AYVAZ</v>
      </c>
      <c r="X120" s="99">
        <v>3</v>
      </c>
    </row>
    <row r="121" spans="23:24" x14ac:dyDescent="0.25">
      <c r="W121" s="98" t="str">
        <v>Prof. Dr. Meltem Gülhan HALİL</v>
      </c>
      <c r="X121" s="99">
        <v>7</v>
      </c>
    </row>
    <row r="122" spans="23:24" x14ac:dyDescent="0.25">
      <c r="W122" s="98" t="str">
        <v>Prof. Dr. Mert ÇALIŞ</v>
      </c>
      <c r="X122" s="99">
        <v>1</v>
      </c>
    </row>
    <row r="123" spans="23:24" x14ac:dyDescent="0.25">
      <c r="W123" s="98" t="str">
        <v>Prof. Dr. Murat TUNCEL</v>
      </c>
      <c r="X123" s="99">
        <v>2</v>
      </c>
    </row>
    <row r="124" spans="23:24" x14ac:dyDescent="0.25">
      <c r="W124" s="98" t="str">
        <v>Prof. Dr. Mustafa Barış GÜNCÜ</v>
      </c>
      <c r="X124" s="99">
        <v>1</v>
      </c>
    </row>
    <row r="125" spans="23:24" x14ac:dyDescent="0.25">
      <c r="W125" s="98" t="str">
        <v>Prof. Dr. Mustafa CANKURTARAN</v>
      </c>
      <c r="X125" s="99">
        <v>3</v>
      </c>
    </row>
    <row r="126" spans="23:24" x14ac:dyDescent="0.25">
      <c r="W126" s="98" t="str">
        <v>Prof. Dr. Müzeyyen Pınar ÖZGEN KIRATLI</v>
      </c>
      <c r="X126" s="99">
        <v>1</v>
      </c>
    </row>
    <row r="127" spans="23:24" x14ac:dyDescent="0.25">
      <c r="W127" s="98" t="str">
        <v>Prof. Dr. N. Dilara ZEYBEK</v>
      </c>
      <c r="X127" s="99">
        <v>1</v>
      </c>
    </row>
    <row r="128" spans="23:24" x14ac:dyDescent="0.25">
      <c r="W128" s="98" t="str">
        <v>Prof. Dr. Nagehan EMİRALİOĞLU ORDUKAYA</v>
      </c>
      <c r="X128" s="99">
        <v>1</v>
      </c>
    </row>
    <row r="129" spans="23:24" x14ac:dyDescent="0.25">
      <c r="W129" s="98" t="str">
        <v>Prof. Dr. Neşe DERİCİOĞLU</v>
      </c>
      <c r="X129" s="99">
        <v>2</v>
      </c>
    </row>
    <row r="130" spans="23:24" x14ac:dyDescent="0.25">
      <c r="W130" s="98" t="str">
        <v>Prof. Dr. Oğuz IŞIK</v>
      </c>
      <c r="X130" s="99">
        <v>2</v>
      </c>
    </row>
    <row r="131" spans="23:24" x14ac:dyDescent="0.25">
      <c r="W131" s="98" t="str">
        <v>Prof. Dr. Orhan ODABAŞI</v>
      </c>
      <c r="X131" s="99">
        <v>1</v>
      </c>
    </row>
    <row r="132" spans="23:24" x14ac:dyDescent="0.25">
      <c r="W132" s="98" t="str">
        <v>Prof. Dr. Oya ÖZDEMİR</v>
      </c>
      <c r="X132" s="99">
        <v>1</v>
      </c>
    </row>
    <row r="133" spans="23:24" x14ac:dyDescent="0.25">
      <c r="W133" s="98" t="str">
        <v>Prof. Dr. Ömer KARADAĞ</v>
      </c>
      <c r="X133" s="99">
        <v>1</v>
      </c>
    </row>
    <row r="134" spans="23:24" x14ac:dyDescent="0.25">
      <c r="W134" s="98" t="str">
        <v>Prof. Dr. Ömer UĞUR</v>
      </c>
      <c r="X134" s="99">
        <v>1</v>
      </c>
    </row>
    <row r="135" spans="23:24" x14ac:dyDescent="0.25">
      <c r="W135" s="98" t="str">
        <v>Prof. Dr. Ömür ÇELİKBIÇAK</v>
      </c>
      <c r="X135" s="99">
        <v>1</v>
      </c>
    </row>
    <row r="136" spans="23:24" x14ac:dyDescent="0.25">
      <c r="W136" s="98" t="str">
        <v>Prof. Dr. Özgür UĞURLUOĞLU</v>
      </c>
      <c r="X136" s="99">
        <v>1</v>
      </c>
    </row>
    <row r="137" spans="23:24" x14ac:dyDescent="0.25">
      <c r="W137" s="98" t="str">
        <v>Prof. Dr. Özlem BOYBEYİ</v>
      </c>
      <c r="X137" s="99">
        <v>1</v>
      </c>
    </row>
    <row r="138" spans="23:24" x14ac:dyDescent="0.25">
      <c r="W138" s="98" t="str">
        <v>Prof. Dr. Petek KORKUSUZ</v>
      </c>
      <c r="X138" s="99">
        <v>1</v>
      </c>
    </row>
    <row r="139" spans="23:24" x14ac:dyDescent="0.25">
      <c r="W139" s="98" t="str">
        <v>Prof. Dr. Rıza Köksal ÖZGÜL</v>
      </c>
      <c r="X139" s="99">
        <v>1</v>
      </c>
    </row>
    <row r="140" spans="23:24" x14ac:dyDescent="0.25">
      <c r="W140" s="98" t="str">
        <v>Prof. Dr. Salih AKSU</v>
      </c>
      <c r="X140" s="99">
        <v>1</v>
      </c>
    </row>
    <row r="141" spans="23:24" x14ac:dyDescent="0.25">
      <c r="W141" s="98" t="str">
        <v>Prof. Dr. Salih Kutay DEMİRKAN</v>
      </c>
      <c r="X141" s="99">
        <v>3</v>
      </c>
    </row>
    <row r="142" spans="23:24" x14ac:dyDescent="0.25">
      <c r="W142" s="98" t="str">
        <v>Prof. Dr. Selçuk DAĞDELEN</v>
      </c>
      <c r="X142" s="99">
        <v>1</v>
      </c>
    </row>
    <row r="143" spans="23:24" x14ac:dyDescent="0.25">
      <c r="W143" s="98" t="str">
        <v>Prof. Dr. Serdar ÖZER</v>
      </c>
      <c r="X143" s="99">
        <v>1</v>
      </c>
    </row>
    <row r="144" spans="23:24" x14ac:dyDescent="0.25">
      <c r="W144" s="98" t="str">
        <v>Prof. Dr. Serdar TEKGÜL</v>
      </c>
      <c r="X144" s="99">
        <v>1</v>
      </c>
    </row>
    <row r="145" spans="23:24" x14ac:dyDescent="0.25">
      <c r="W145" s="98" t="str">
        <v>Prof. Dr. Sevinç SARINÇ</v>
      </c>
      <c r="X145" s="99">
        <v>1</v>
      </c>
    </row>
    <row r="146" spans="23:24" x14ac:dyDescent="0.25">
      <c r="W146" s="98" t="str">
        <v>Prof. Dr. Seza ÖZEN</v>
      </c>
      <c r="X146" s="99">
        <v>1</v>
      </c>
    </row>
    <row r="147" spans="23:24" x14ac:dyDescent="0.25">
      <c r="W147" s="98" t="str">
        <v>Prof. Dr. Sıddika Songül YALÇIN</v>
      </c>
      <c r="X147" s="99">
        <v>3</v>
      </c>
    </row>
    <row r="148" spans="23:24" x14ac:dyDescent="0.25">
      <c r="W148" s="98" t="str">
        <v>Prof. Dr. Sibel ERSOY EVANS</v>
      </c>
      <c r="X148" s="99">
        <v>1</v>
      </c>
    </row>
    <row r="149" spans="23:24" x14ac:dyDescent="0.25">
      <c r="W149" s="98" t="str">
        <v>Prof. Dr. Şehnaz ALP</v>
      </c>
      <c r="X149" s="99">
        <v>1</v>
      </c>
    </row>
    <row r="150" spans="23:24" x14ac:dyDescent="0.25">
      <c r="W150" s="98" t="str">
        <v>Prof. Dr. Taner YILMAZ</v>
      </c>
      <c r="X150" s="99">
        <v>1</v>
      </c>
    </row>
    <row r="151" spans="23:24" x14ac:dyDescent="0.25">
      <c r="W151" s="98" t="str">
        <v>Prof. Dr. Tutku SOYER</v>
      </c>
      <c r="X151" s="99">
        <v>3</v>
      </c>
    </row>
    <row r="152" spans="23:24" x14ac:dyDescent="0.25">
      <c r="W152" s="98" t="str">
        <v>Prof. Dr. Ülkü ÜNDEĞER BUCURGAT</v>
      </c>
      <c r="X152" s="99">
        <v>1</v>
      </c>
    </row>
    <row r="153" spans="23:24" x14ac:dyDescent="0.25">
      <c r="W153" s="98" t="str">
        <v>Prof. Dr. Yahya BÜYÜKAŞIK</v>
      </c>
      <c r="X153" s="99">
        <v>1</v>
      </c>
    </row>
    <row r="154" spans="23:24" x14ac:dyDescent="0.25">
      <c r="W154" s="98" t="str">
        <v>Prof. Dr. Yakut AKYÖN YILMAZ</v>
      </c>
      <c r="X154" s="99">
        <v>1</v>
      </c>
    </row>
    <row r="155" spans="23:24" x14ac:dyDescent="0.25">
      <c r="W155" s="98" t="str">
        <v>Prof. Dr. Yasemin ÖZSÜREKCİ</v>
      </c>
      <c r="X155" s="99">
        <v>5</v>
      </c>
    </row>
    <row r="156" spans="23:24" x14ac:dyDescent="0.25">
      <c r="W156" s="98" t="str">
        <v>Prof. Dr. Yavuz AYHAN</v>
      </c>
      <c r="X156"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190" t="s">
        <v>4251</v>
      </c>
      <c r="D1" s="191"/>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222</v>
      </c>
      <c r="B2" s="159">
        <f>COUNT(_xlfn.UNIQUE(Başvuru!$I$2:$I$2077))</f>
        <v>5</v>
      </c>
      <c r="C2" s="156" t="str">
        <f>Pivot!A2</f>
        <v>İç Hastalıkları Anabilim Dalı</v>
      </c>
      <c r="D2" s="163">
        <f>GETPIVOTDATA("BİRİMİ",Pivot!$A$1,"BİRİMİ","İç Hastalıkları Anabilim Dalı")</f>
        <v>31</v>
      </c>
      <c r="E2" s="156" t="str">
        <f>Pivot!D2</f>
        <v>Prof. Dr. Meltem Gülhan HALİL</v>
      </c>
      <c r="F2" s="162">
        <f>GETPIVOTDATA("SORUMLUSU",Pivot!$D$1,"SORUMLUSU","Prof. Dr. Meltem Gülhan HALİL")</f>
        <v>7</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222</v>
      </c>
      <c r="AD146" s="8"/>
      <c r="AE146" s="1">
        <f>COUNTIFS(Başvuru!$C$2:$C$2077, "*" &amp; AD146 &amp; "*")</f>
        <v>222</v>
      </c>
    </row>
    <row r="147" spans="28:31" x14ac:dyDescent="0.25">
      <c r="AB147" s="8"/>
      <c r="AC147" s="8">
        <f>COUNTIFS(Başvuru!$D$2:$D$2077, "*" &amp; AB147 &amp; "*")</f>
        <v>222</v>
      </c>
      <c r="AD147" s="8"/>
      <c r="AE147" s="1">
        <f>COUNTIFS(Başvuru!$C$2:$C$2077, "*" &amp; AD147 &amp; "*")</f>
        <v>222</v>
      </c>
    </row>
    <row r="148" spans="28:31" x14ac:dyDescent="0.25">
      <c r="AB148" s="8"/>
      <c r="AC148" s="8">
        <f>COUNTIFS(Başvuru!$D$2:$D$2077, "*" &amp; AB148 &amp; "*")</f>
        <v>222</v>
      </c>
      <c r="AD148" s="8"/>
      <c r="AE148" s="1">
        <f>COUNTIFS(Başvuru!$C$2:$C$2077, "*" &amp; AD148 &amp; "*")</f>
        <v>222</v>
      </c>
    </row>
    <row r="149" spans="28:31" x14ac:dyDescent="0.25">
      <c r="AB149" s="8"/>
      <c r="AC149" s="8">
        <f>COUNTIFS(Başvuru!$D$2:$D$2077, "*" &amp; AB149 &amp; "*")</f>
        <v>222</v>
      </c>
      <c r="AD149" s="8"/>
      <c r="AE149" s="1">
        <f>COUNTIFS(Başvuru!$C$2:$C$2077, "*" &amp; AD149 &amp; "*")</f>
        <v>222</v>
      </c>
    </row>
    <row r="150" spans="28:31" x14ac:dyDescent="0.25">
      <c r="AB150" s="8"/>
      <c r="AC150" s="8">
        <f>COUNTIFS(Başvuru!$D$2:$D$2077, "*" &amp; AB150 &amp; "*")</f>
        <v>222</v>
      </c>
      <c r="AD150" s="8"/>
      <c r="AE150" s="1">
        <f>COUNTIFS(Başvuru!$C$2:$C$2077, "*" &amp; AD150 &amp; "*")</f>
        <v>222</v>
      </c>
    </row>
    <row r="151" spans="28:31" x14ac:dyDescent="0.25">
      <c r="AB151" s="8"/>
      <c r="AC151" s="8">
        <f>COUNTIFS(Başvuru!$D$2:$D$2077, "*" &amp; AB151 &amp; "*")</f>
        <v>222</v>
      </c>
      <c r="AD151" s="8"/>
      <c r="AE151" s="1">
        <f>COUNTIFS(Başvuru!$C$2:$C$2077, "*" &amp; AD151 &amp; "*")</f>
        <v>222</v>
      </c>
    </row>
    <row r="152" spans="28:31" x14ac:dyDescent="0.25">
      <c r="AB152" s="8"/>
      <c r="AC152" s="8">
        <f>COUNTIFS(Başvuru!$D$2:$D$2077, "*" &amp; AB152 &amp; "*")</f>
        <v>222</v>
      </c>
      <c r="AD152" s="8"/>
      <c r="AE152" s="1">
        <f>COUNTIFS(Başvuru!$C$2:$C$2077, "*" &amp; AD152 &amp; "*")</f>
        <v>222</v>
      </c>
    </row>
    <row r="153" spans="28:31" x14ac:dyDescent="0.25">
      <c r="AB153" s="8"/>
      <c r="AC153" s="8">
        <f>COUNTIFS(Başvuru!$D$2:$D$2077, "*" &amp; AB153 &amp; "*")</f>
        <v>222</v>
      </c>
      <c r="AD153" s="8"/>
      <c r="AE153" s="1">
        <f>COUNTIFS(Başvuru!$C$2:$C$2077, "*" &amp; AD153 &amp; "*")</f>
        <v>222</v>
      </c>
    </row>
    <row r="154" spans="28:31" x14ac:dyDescent="0.25">
      <c r="AB154" s="8"/>
      <c r="AC154" s="8">
        <f>COUNTIFS(Başvuru!$D$2:$D$2077, "*" &amp; AB154 &amp; "*")</f>
        <v>222</v>
      </c>
      <c r="AD154" s="8"/>
      <c r="AE154" s="1">
        <f>COUNTIFS(Başvuru!$C$2:$C$2077, "*" &amp; AD154 &amp; "*")</f>
        <v>222</v>
      </c>
    </row>
    <row r="155" spans="28:31" x14ac:dyDescent="0.25">
      <c r="AB155" s="8"/>
      <c r="AC155" s="8">
        <f>COUNTIFS(Başvuru!$D$2:$D$2077, "*" &amp; AB155 &amp; "*")</f>
        <v>222</v>
      </c>
      <c r="AD155" s="8"/>
      <c r="AE155" s="1">
        <f>COUNTIFS(Başvuru!$C$2:$C$2077, "*" &amp; AD155 &amp; "*")</f>
        <v>222</v>
      </c>
    </row>
    <row r="156" spans="28:31" x14ac:dyDescent="0.25">
      <c r="AB156" s="8"/>
      <c r="AC156" s="8">
        <f>COUNTIFS(Başvuru!$D$2:$D$2077, "*" &amp; AB156 &amp; "*")</f>
        <v>222</v>
      </c>
      <c r="AD156" s="8"/>
      <c r="AE156" s="1">
        <f>COUNTIFS(Başvuru!$C$2:$C$2077, "*" &amp; AD156 &amp; "*")</f>
        <v>222</v>
      </c>
    </row>
    <row r="157" spans="28:31" x14ac:dyDescent="0.25">
      <c r="AB157" s="8"/>
      <c r="AC157" s="8">
        <f>COUNTIFS(Başvuru!$D$2:$D$2077, "*" &amp; AB157 &amp; "*")</f>
        <v>222</v>
      </c>
      <c r="AD157" s="8"/>
      <c r="AE157" s="1">
        <f>COUNTIFS(Başvuru!$C$2:$C$2077, "*" &amp; AD157 &amp; "*")</f>
        <v>222</v>
      </c>
    </row>
    <row r="158" spans="28:31" x14ac:dyDescent="0.25">
      <c r="AB158" s="8"/>
      <c r="AC158" s="8">
        <f>COUNTIFS(Başvuru!$D$2:$D$2077, "*" &amp; AB158 &amp; "*")</f>
        <v>222</v>
      </c>
      <c r="AD158" s="8"/>
      <c r="AE158" s="1">
        <f>COUNTIFS(Başvuru!$C$2:$C$2077, "*" &amp; AD158 &amp; "*")</f>
        <v>222</v>
      </c>
    </row>
    <row r="159" spans="28:31" x14ac:dyDescent="0.25">
      <c r="AB159" s="8"/>
      <c r="AC159" s="8">
        <f>COUNTIFS(Başvuru!$D$2:$D$2077, "*" &amp; AB159 &amp; "*")</f>
        <v>222</v>
      </c>
      <c r="AD159" s="8"/>
      <c r="AE159" s="1">
        <f>COUNTIFS(Başvuru!$C$2:$C$2077, "*" &amp; AD159 &amp; "*")</f>
        <v>222</v>
      </c>
    </row>
    <row r="160" spans="28:31" x14ac:dyDescent="0.25">
      <c r="AB160" s="8"/>
      <c r="AC160" s="8">
        <f>COUNTIFS(Başvuru!$D$2:$D$2077, "*" &amp; AB160 &amp; "*")</f>
        <v>222</v>
      </c>
      <c r="AD160" s="8"/>
      <c r="AE160" s="1">
        <f>COUNTIFS(Başvuru!$C$2:$C$2077, "*" &amp; AD160 &amp; "*")</f>
        <v>222</v>
      </c>
    </row>
    <row r="161" spans="28:31" x14ac:dyDescent="0.25">
      <c r="AB161" s="8"/>
      <c r="AC161" s="8">
        <f>COUNTIFS(Başvuru!$D$2:$D$2077, "*" &amp; AB161 &amp; "*")</f>
        <v>222</v>
      </c>
      <c r="AD161" s="8"/>
      <c r="AE161" s="1">
        <f>COUNTIFS(Başvuru!$C$2:$C$2077, "*" &amp; AD161 &amp; "*")</f>
        <v>222</v>
      </c>
    </row>
    <row r="162" spans="28:31" x14ac:dyDescent="0.25">
      <c r="AB162" s="8"/>
      <c r="AC162" s="8">
        <f>COUNTIFS(Başvuru!$D$2:$D$2077, "*" &amp; AB162 &amp; "*")</f>
        <v>222</v>
      </c>
      <c r="AD162" s="8"/>
      <c r="AE162" s="1">
        <f>COUNTIFS(Başvuru!$C$2:$C$2077, "*" &amp; AD162 &amp; "*")</f>
        <v>222</v>
      </c>
    </row>
    <row r="163" spans="28:31" x14ac:dyDescent="0.25">
      <c r="AB163" s="8"/>
      <c r="AC163" s="8">
        <f>COUNTIFS(Başvuru!$D$2:$D$2077, "*" &amp; AB163 &amp; "*")</f>
        <v>222</v>
      </c>
      <c r="AD163" s="8"/>
      <c r="AE163" s="1">
        <f>COUNTIFS(Başvuru!$C$2:$C$2077, "*" &amp; AD163 &amp; "*")</f>
        <v>222</v>
      </c>
    </row>
    <row r="164" spans="28:31" x14ac:dyDescent="0.25">
      <c r="AB164" s="8"/>
      <c r="AC164" s="8">
        <f>COUNTIFS(Başvuru!$D$2:$D$2077, "*" &amp; AB164 &amp; "*")</f>
        <v>222</v>
      </c>
      <c r="AD164" s="8"/>
      <c r="AE164" s="1">
        <f>COUNTIFS(Başvuru!$C$2:$C$2077, "*" &amp; AD164 &amp; "*")</f>
        <v>222</v>
      </c>
    </row>
    <row r="165" spans="28:31" x14ac:dyDescent="0.25">
      <c r="AB165" s="8"/>
      <c r="AC165" s="8">
        <f>COUNTIFS(Başvuru!$D$2:$D$2077, "*" &amp; AB165 &amp; "*")</f>
        <v>222</v>
      </c>
      <c r="AD165" s="8"/>
      <c r="AE165" s="1">
        <f>COUNTIFS(Başvuru!$C$2:$C$2077, "*" &amp; AD165 &amp; "*")</f>
        <v>222</v>
      </c>
    </row>
    <row r="166" spans="28:31" x14ac:dyDescent="0.25">
      <c r="AB166" s="8"/>
      <c r="AC166" s="8">
        <f>COUNTIFS(Başvuru!$D$2:$D$2077, "*" &amp; AB166 &amp; "*")</f>
        <v>222</v>
      </c>
      <c r="AD166" s="8"/>
      <c r="AE166" s="1">
        <f>COUNTIFS(Başvuru!$C$2:$C$2077, "*" &amp; AD166 &amp; "*")</f>
        <v>222</v>
      </c>
    </row>
    <row r="167" spans="28:31" x14ac:dyDescent="0.25">
      <c r="AB167" s="8"/>
      <c r="AC167" s="8">
        <f>COUNTIFS(Başvuru!$D$2:$D$2077, "*" &amp; AB167 &amp; "*")</f>
        <v>222</v>
      </c>
      <c r="AD167" s="8"/>
      <c r="AE167" s="1">
        <f>COUNTIFS(Başvuru!$C$2:$C$2077, "*" &amp; AD167 &amp; "*")</f>
        <v>222</v>
      </c>
    </row>
    <row r="168" spans="28:31" x14ac:dyDescent="0.25">
      <c r="AB168" s="8"/>
      <c r="AC168" s="8">
        <f>COUNTIFS(Başvuru!$D$2:$D$2077, "*" &amp; AB168 &amp; "*")</f>
        <v>222</v>
      </c>
      <c r="AD168" s="8"/>
      <c r="AE168" s="1">
        <f>COUNTIFS(Başvuru!$C$2:$C$2077, "*" &amp; AD168 &amp; "*")</f>
        <v>222</v>
      </c>
    </row>
    <row r="169" spans="28:31" x14ac:dyDescent="0.25">
      <c r="AB169" s="8"/>
      <c r="AC169" s="8">
        <f>COUNTIFS(Başvuru!$D$2:$D$2077, "*" &amp; AB169 &amp; "*")</f>
        <v>222</v>
      </c>
      <c r="AD169" s="8"/>
      <c r="AE169" s="1">
        <f>COUNTIFS(Başvuru!$C$2:$C$2077, "*" &amp; AD169 &amp; "*")</f>
        <v>222</v>
      </c>
    </row>
    <row r="170" spans="28:31" x14ac:dyDescent="0.25">
      <c r="AB170" s="8"/>
      <c r="AC170" s="8">
        <f>COUNTIFS(Başvuru!$D$2:$D$2077, "*" &amp; AB170 &amp; "*")</f>
        <v>222</v>
      </c>
      <c r="AD170" s="8"/>
      <c r="AE170" s="1">
        <f>COUNTIFS(Başvuru!$C$2:$C$2077, "*" &amp; AD170 &amp; "*")</f>
        <v>222</v>
      </c>
    </row>
    <row r="171" spans="28:31" x14ac:dyDescent="0.25">
      <c r="AB171" s="8"/>
      <c r="AC171" s="8">
        <f>COUNTIFS(Başvuru!$D$2:$D$2077, "*" &amp; AB171 &amp; "*")</f>
        <v>222</v>
      </c>
      <c r="AD171" s="8"/>
      <c r="AE171" s="1">
        <f>COUNTIFS(Başvuru!$C$2:$C$2077, "*" &amp; AD171 &amp; "*")</f>
        <v>222</v>
      </c>
    </row>
    <row r="172" spans="28:31" x14ac:dyDescent="0.25">
      <c r="AB172" s="8"/>
      <c r="AC172" s="8">
        <f>COUNTIFS(Başvuru!$D$2:$D$2077, "*" &amp; AB172 &amp; "*")</f>
        <v>222</v>
      </c>
      <c r="AD172" s="8"/>
      <c r="AE172" s="1">
        <f>COUNTIFS(Başvuru!$C$2:$C$2077, "*" &amp; AD172 &amp; "*")</f>
        <v>222</v>
      </c>
    </row>
    <row r="173" spans="28:31" x14ac:dyDescent="0.25">
      <c r="AB173" s="8"/>
      <c r="AC173" s="8">
        <f>COUNTIFS(Başvuru!$D$2:$D$2077, "*" &amp; AB173 &amp; "*")</f>
        <v>222</v>
      </c>
      <c r="AD173" s="8"/>
      <c r="AE173" s="1">
        <f>COUNTIFS(Başvuru!$C$2:$C$2077, "*" &amp; AD173 &amp; "*")</f>
        <v>222</v>
      </c>
    </row>
    <row r="174" spans="28:31" x14ac:dyDescent="0.25">
      <c r="AC174" s="8">
        <f>COUNTIFS(Başvuru!$D$2:$D$2077, "*" &amp; AB174 &amp; "*")</f>
        <v>222</v>
      </c>
      <c r="AE174" s="1">
        <f>COUNTIFS(Başvuru!$C$2:$C$2077, "*" &amp; AD174 &amp; "*")</f>
        <v>222</v>
      </c>
    </row>
    <row r="175" spans="28:31" x14ac:dyDescent="0.25">
      <c r="AC175" s="8">
        <f>COUNTIFS(Başvuru!$D$2:$D$2077, "*" &amp; AB175 &amp; "*")</f>
        <v>222</v>
      </c>
      <c r="AE175" s="1">
        <f>COUNTIFS(Başvuru!$C$2:$C$2077, "*" &amp; AD175 &amp; "*")</f>
        <v>222</v>
      </c>
    </row>
    <row r="176" spans="28:31" x14ac:dyDescent="0.25">
      <c r="AC176" s="8">
        <f>COUNTIF(Başvuru!$D$2:$D$2077, AB176)</f>
        <v>0</v>
      </c>
      <c r="AE176" s="1">
        <f>COUNTIFS(Başvuru!$C$2:$C$2077, "*" &amp; AD176 &amp; "*")</f>
        <v>222</v>
      </c>
    </row>
    <row r="177" spans="29:31" x14ac:dyDescent="0.25">
      <c r="AC177" s="8">
        <f>COUNTIF(Başvuru!$D$2:$D$2077, AB177)</f>
        <v>0</v>
      </c>
      <c r="AE177" s="1">
        <f>COUNTIFS(Başvuru!$C$2:$C$2077, "*" &amp; AD177 &amp; "*")</f>
        <v>222</v>
      </c>
    </row>
    <row r="178" spans="29:31" x14ac:dyDescent="0.25">
      <c r="AC178" s="8">
        <f>COUNTIF(Başvuru!$D$2:$D$2077, AB178)</f>
        <v>0</v>
      </c>
      <c r="AE178" s="1">
        <f>COUNTIFS(Başvuru!$C$2:$C$2077, "*" &amp; AD178 &amp; "*")</f>
        <v>222</v>
      </c>
    </row>
    <row r="179" spans="29:31" x14ac:dyDescent="0.25">
      <c r="AC179" s="8">
        <f>COUNTIF(Başvuru!$D$2:$D$2077, AB179)</f>
        <v>0</v>
      </c>
      <c r="AE179" s="1">
        <f>COUNTIFS(Başvuru!$C$2:$C$2077, "*" &amp; AD179 &amp; "*")</f>
        <v>222</v>
      </c>
    </row>
    <row r="180" spans="29:31" x14ac:dyDescent="0.25">
      <c r="AC180" s="8">
        <f>COUNTIF(Başvuru!$D$2:$D$2077, AB180)</f>
        <v>0</v>
      </c>
      <c r="AE180" s="1">
        <f>COUNTIFS(Başvuru!$C$2:$C$2077, "*" &amp; AD180 &amp; "*")</f>
        <v>222</v>
      </c>
    </row>
    <row r="181" spans="29:31" x14ac:dyDescent="0.25">
      <c r="AC181" s="8">
        <f>COUNTIF(Başvuru!$D$2:$D$2077, AB181)</f>
        <v>0</v>
      </c>
      <c r="AE181" s="1">
        <f>COUNTIFS(Başvuru!$C$2:$C$2077, "*" &amp; AD181 &amp; "*")</f>
        <v>222</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56"/>
  <sheetViews>
    <sheetView tabSelected="1" workbookViewId="0">
      <selection activeCell="I15" sqref="I15"/>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5" t="s">
        <v>4253</v>
      </c>
      <c r="B1" t="s">
        <v>4256</v>
      </c>
      <c r="D1" s="155" t="s">
        <v>4253</v>
      </c>
      <c r="E1" t="s">
        <v>4257</v>
      </c>
    </row>
    <row r="2" spans="1:5" x14ac:dyDescent="0.25">
      <c r="A2" s="108" t="s">
        <v>361</v>
      </c>
      <c r="B2" s="192">
        <v>31</v>
      </c>
      <c r="D2" s="108" t="s">
        <v>360</v>
      </c>
      <c r="E2" s="192">
        <v>7</v>
      </c>
    </row>
    <row r="3" spans="1:5" x14ac:dyDescent="0.25">
      <c r="A3" s="108" t="s">
        <v>402</v>
      </c>
      <c r="B3" s="192">
        <v>27</v>
      </c>
      <c r="D3" s="108" t="s">
        <v>569</v>
      </c>
      <c r="E3" s="192">
        <v>5</v>
      </c>
    </row>
    <row r="4" spans="1:5" x14ac:dyDescent="0.25">
      <c r="A4" s="108" t="s">
        <v>405</v>
      </c>
      <c r="B4" s="192">
        <v>10</v>
      </c>
      <c r="D4" s="108" t="s">
        <v>390</v>
      </c>
      <c r="E4" s="192">
        <v>4</v>
      </c>
    </row>
    <row r="5" spans="1:5" x14ac:dyDescent="0.25">
      <c r="A5" s="108" t="s">
        <v>3948</v>
      </c>
      <c r="B5" s="192">
        <v>9</v>
      </c>
      <c r="D5" s="108" t="s">
        <v>4186</v>
      </c>
      <c r="E5" s="192">
        <v>4</v>
      </c>
    </row>
    <row r="6" spans="1:5" x14ac:dyDescent="0.25">
      <c r="A6" s="108" t="s">
        <v>355</v>
      </c>
      <c r="B6" s="192">
        <v>9</v>
      </c>
      <c r="D6" s="108" t="s">
        <v>382</v>
      </c>
      <c r="E6" s="192">
        <v>4</v>
      </c>
    </row>
    <row r="7" spans="1:5" x14ac:dyDescent="0.25">
      <c r="A7" s="108" t="s">
        <v>383</v>
      </c>
      <c r="B7" s="192">
        <v>9</v>
      </c>
      <c r="D7" s="108" t="s">
        <v>2933</v>
      </c>
      <c r="E7" s="192">
        <v>4</v>
      </c>
    </row>
    <row r="8" spans="1:5" x14ac:dyDescent="0.25">
      <c r="A8" s="108" t="s">
        <v>3943</v>
      </c>
      <c r="B8" s="192">
        <v>6</v>
      </c>
      <c r="D8" s="108" t="s">
        <v>404</v>
      </c>
      <c r="E8" s="192">
        <v>4</v>
      </c>
    </row>
    <row r="9" spans="1:5" x14ac:dyDescent="0.25">
      <c r="A9" s="108" t="s">
        <v>392</v>
      </c>
      <c r="B9" s="192">
        <v>6</v>
      </c>
      <c r="D9" s="108" t="s">
        <v>354</v>
      </c>
      <c r="E9" s="192">
        <v>3</v>
      </c>
    </row>
    <row r="10" spans="1:5" x14ac:dyDescent="0.25">
      <c r="A10" s="108" t="s">
        <v>715</v>
      </c>
      <c r="B10" s="192">
        <v>6</v>
      </c>
      <c r="D10" s="108" t="s">
        <v>580</v>
      </c>
      <c r="E10" s="192">
        <v>3</v>
      </c>
    </row>
    <row r="11" spans="1:5" x14ac:dyDescent="0.25">
      <c r="A11" s="108" t="s">
        <v>1162</v>
      </c>
      <c r="B11" s="192">
        <v>6</v>
      </c>
      <c r="D11" s="108" t="s">
        <v>3991</v>
      </c>
      <c r="E11" s="192">
        <v>3</v>
      </c>
    </row>
    <row r="12" spans="1:5" x14ac:dyDescent="0.25">
      <c r="A12" s="108" t="s">
        <v>426</v>
      </c>
      <c r="B12" s="192">
        <v>6</v>
      </c>
      <c r="D12" s="108" t="s">
        <v>817</v>
      </c>
      <c r="E12" s="192">
        <v>3</v>
      </c>
    </row>
    <row r="13" spans="1:5" x14ac:dyDescent="0.25">
      <c r="A13" s="108" t="s">
        <v>3896</v>
      </c>
      <c r="B13" s="192">
        <v>6</v>
      </c>
      <c r="D13" s="108" t="s">
        <v>840</v>
      </c>
      <c r="E13" s="192">
        <v>3</v>
      </c>
    </row>
    <row r="14" spans="1:5" x14ac:dyDescent="0.25">
      <c r="A14" s="108" t="s">
        <v>416</v>
      </c>
      <c r="B14" s="192">
        <v>5</v>
      </c>
      <c r="D14" s="108" t="s">
        <v>3868</v>
      </c>
      <c r="E14" s="192">
        <v>3</v>
      </c>
    </row>
    <row r="15" spans="1:5" x14ac:dyDescent="0.25">
      <c r="A15" s="108" t="s">
        <v>3946</v>
      </c>
      <c r="B15" s="192">
        <v>5</v>
      </c>
      <c r="D15" s="108" t="s">
        <v>492</v>
      </c>
      <c r="E15" s="192">
        <v>3</v>
      </c>
    </row>
    <row r="16" spans="1:5" x14ac:dyDescent="0.25">
      <c r="A16" s="108" t="s">
        <v>407</v>
      </c>
      <c r="B16" s="192">
        <v>5</v>
      </c>
      <c r="D16" s="108" t="s">
        <v>927</v>
      </c>
      <c r="E16" s="192">
        <v>3</v>
      </c>
    </row>
    <row r="17" spans="1:5" x14ac:dyDescent="0.25">
      <c r="A17" s="108" t="s">
        <v>370</v>
      </c>
      <c r="B17" s="192">
        <v>4</v>
      </c>
      <c r="D17" s="108" t="s">
        <v>1418</v>
      </c>
      <c r="E17" s="192">
        <v>3</v>
      </c>
    </row>
    <row r="18" spans="1:5" x14ac:dyDescent="0.25">
      <c r="A18" s="108" t="s">
        <v>1514</v>
      </c>
      <c r="B18" s="192">
        <v>4</v>
      </c>
      <c r="D18" s="108" t="s">
        <v>393</v>
      </c>
      <c r="E18" s="192">
        <v>2</v>
      </c>
    </row>
    <row r="19" spans="1:5" x14ac:dyDescent="0.25">
      <c r="A19" s="108" t="s">
        <v>3952</v>
      </c>
      <c r="B19" s="192">
        <v>4</v>
      </c>
      <c r="D19" s="108" t="s">
        <v>1284</v>
      </c>
      <c r="E19" s="192">
        <v>2</v>
      </c>
    </row>
    <row r="20" spans="1:5" x14ac:dyDescent="0.25">
      <c r="A20" s="108" t="s">
        <v>381</v>
      </c>
      <c r="B20" s="192">
        <v>3</v>
      </c>
      <c r="D20" s="108" t="s">
        <v>525</v>
      </c>
      <c r="E20" s="192">
        <v>2</v>
      </c>
    </row>
    <row r="21" spans="1:5" x14ac:dyDescent="0.25">
      <c r="A21" s="108" t="s">
        <v>4021</v>
      </c>
      <c r="B21" s="192">
        <v>3</v>
      </c>
      <c r="D21" s="108" t="s">
        <v>3712</v>
      </c>
      <c r="E21" s="192">
        <v>2</v>
      </c>
    </row>
    <row r="22" spans="1:5" x14ac:dyDescent="0.25">
      <c r="A22" s="108" t="s">
        <v>391</v>
      </c>
      <c r="B22" s="192">
        <v>3</v>
      </c>
      <c r="D22" s="108" t="s">
        <v>1087</v>
      </c>
      <c r="E22" s="192">
        <v>2</v>
      </c>
    </row>
    <row r="23" spans="1:5" x14ac:dyDescent="0.25">
      <c r="A23" s="108" t="s">
        <v>394</v>
      </c>
      <c r="B23" s="192">
        <v>3</v>
      </c>
      <c r="D23" s="108" t="s">
        <v>2725</v>
      </c>
      <c r="E23" s="192">
        <v>2</v>
      </c>
    </row>
    <row r="24" spans="1:5" x14ac:dyDescent="0.25">
      <c r="A24" s="108" t="s">
        <v>3964</v>
      </c>
      <c r="B24" s="192">
        <v>3</v>
      </c>
      <c r="D24" s="108" t="s">
        <v>96</v>
      </c>
      <c r="E24" s="192">
        <v>2</v>
      </c>
    </row>
    <row r="25" spans="1:5" x14ac:dyDescent="0.25">
      <c r="A25" s="108" t="s">
        <v>4055</v>
      </c>
      <c r="B25" s="192">
        <v>3</v>
      </c>
      <c r="D25" s="108" t="s">
        <v>4153</v>
      </c>
      <c r="E25" s="192">
        <v>2</v>
      </c>
    </row>
    <row r="26" spans="1:5" x14ac:dyDescent="0.25">
      <c r="A26" s="108" t="s">
        <v>387</v>
      </c>
      <c r="B26" s="192">
        <v>3</v>
      </c>
      <c r="D26" s="108" t="s">
        <v>1886</v>
      </c>
      <c r="E26" s="192">
        <v>2</v>
      </c>
    </row>
    <row r="27" spans="1:5" x14ac:dyDescent="0.25">
      <c r="A27" s="108" t="s">
        <v>3995</v>
      </c>
      <c r="B27" s="192">
        <v>3</v>
      </c>
      <c r="D27" s="108" t="s">
        <v>1253</v>
      </c>
      <c r="E27" s="192">
        <v>2</v>
      </c>
    </row>
    <row r="28" spans="1:5" x14ac:dyDescent="0.25">
      <c r="A28" s="108" t="s">
        <v>399</v>
      </c>
      <c r="B28" s="192">
        <v>3</v>
      </c>
      <c r="D28" s="108" t="s">
        <v>409</v>
      </c>
      <c r="E28" s="192">
        <v>2</v>
      </c>
    </row>
    <row r="29" spans="1:5" x14ac:dyDescent="0.25">
      <c r="A29" s="108" t="s">
        <v>3887</v>
      </c>
      <c r="B29" s="192">
        <v>2</v>
      </c>
      <c r="D29" s="108" t="s">
        <v>1503</v>
      </c>
      <c r="E29" s="192">
        <v>2</v>
      </c>
    </row>
    <row r="30" spans="1:5" x14ac:dyDescent="0.25">
      <c r="A30" s="108" t="s">
        <v>4179</v>
      </c>
      <c r="B30" s="192">
        <v>2</v>
      </c>
      <c r="D30" s="108" t="s">
        <v>1310</v>
      </c>
      <c r="E30" s="192">
        <v>2</v>
      </c>
    </row>
    <row r="31" spans="1:5" x14ac:dyDescent="0.25">
      <c r="A31" s="108" t="s">
        <v>837</v>
      </c>
      <c r="B31" s="192">
        <v>2</v>
      </c>
      <c r="D31" s="108" t="s">
        <v>88</v>
      </c>
      <c r="E31" s="192">
        <v>2</v>
      </c>
    </row>
    <row r="32" spans="1:5" x14ac:dyDescent="0.25">
      <c r="A32" s="108" t="s">
        <v>4162</v>
      </c>
      <c r="B32" s="192">
        <v>2</v>
      </c>
      <c r="D32" s="108" t="s">
        <v>906</v>
      </c>
      <c r="E32" s="192">
        <v>2</v>
      </c>
    </row>
    <row r="33" spans="1:5" x14ac:dyDescent="0.25">
      <c r="A33" s="108" t="s">
        <v>376</v>
      </c>
      <c r="B33" s="192">
        <v>2</v>
      </c>
      <c r="D33" s="108" t="s">
        <v>637</v>
      </c>
      <c r="E33" s="192">
        <v>2</v>
      </c>
    </row>
    <row r="34" spans="1:5" x14ac:dyDescent="0.25">
      <c r="A34" s="108" t="s">
        <v>4360</v>
      </c>
      <c r="B34" s="192">
        <v>2</v>
      </c>
      <c r="D34" s="108" t="s">
        <v>634</v>
      </c>
      <c r="E34" s="192">
        <v>2</v>
      </c>
    </row>
    <row r="35" spans="1:5" x14ac:dyDescent="0.25">
      <c r="A35" s="108" t="s">
        <v>365</v>
      </c>
      <c r="B35" s="192">
        <v>2</v>
      </c>
      <c r="D35" s="108" t="s">
        <v>1538</v>
      </c>
      <c r="E35" s="192">
        <v>2</v>
      </c>
    </row>
    <row r="36" spans="1:5" x14ac:dyDescent="0.25">
      <c r="A36" s="108" t="s">
        <v>3957</v>
      </c>
      <c r="B36" s="192">
        <v>2</v>
      </c>
      <c r="D36" s="108" t="s">
        <v>2457</v>
      </c>
      <c r="E36" s="192">
        <v>2</v>
      </c>
    </row>
    <row r="37" spans="1:5" x14ac:dyDescent="0.25">
      <c r="A37" s="108" t="s">
        <v>4375</v>
      </c>
      <c r="B37" s="192">
        <v>1</v>
      </c>
      <c r="D37" s="108" t="s">
        <v>2563</v>
      </c>
      <c r="E37" s="192">
        <v>2</v>
      </c>
    </row>
    <row r="38" spans="1:5" x14ac:dyDescent="0.25">
      <c r="A38" s="108" t="s">
        <v>359</v>
      </c>
      <c r="B38" s="192">
        <v>1</v>
      </c>
      <c r="D38" s="108" t="s">
        <v>4451</v>
      </c>
      <c r="E38" s="192">
        <v>2</v>
      </c>
    </row>
    <row r="39" spans="1:5" x14ac:dyDescent="0.25">
      <c r="A39" s="108" t="s">
        <v>4508</v>
      </c>
      <c r="B39" s="192">
        <v>1</v>
      </c>
      <c r="D39" s="108" t="s">
        <v>535</v>
      </c>
      <c r="E39" s="192">
        <v>2</v>
      </c>
    </row>
    <row r="40" spans="1:5" x14ac:dyDescent="0.25">
      <c r="A40" s="108" t="s">
        <v>3984</v>
      </c>
      <c r="B40" s="192">
        <v>1</v>
      </c>
      <c r="D40" s="108" t="s">
        <v>2031</v>
      </c>
      <c r="E40" s="192">
        <v>2</v>
      </c>
    </row>
    <row r="41" spans="1:5" x14ac:dyDescent="0.25">
      <c r="A41" s="108" t="s">
        <v>4328</v>
      </c>
      <c r="B41" s="192">
        <v>1</v>
      </c>
      <c r="D41" s="108" t="s">
        <v>380</v>
      </c>
      <c r="E41" s="192">
        <v>2</v>
      </c>
    </row>
    <row r="42" spans="1:5" x14ac:dyDescent="0.25">
      <c r="A42" s="108" t="s">
        <v>3891</v>
      </c>
      <c r="B42" s="192">
        <v>1</v>
      </c>
      <c r="D42" s="108" t="s">
        <v>1161</v>
      </c>
      <c r="E42" s="192">
        <v>2</v>
      </c>
    </row>
    <row r="43" spans="1:5" x14ac:dyDescent="0.25">
      <c r="A43" s="108" t="s">
        <v>4465</v>
      </c>
      <c r="B43" s="192">
        <v>1</v>
      </c>
      <c r="D43" s="108" t="s">
        <v>2144</v>
      </c>
      <c r="E43" s="192">
        <v>2</v>
      </c>
    </row>
    <row r="44" spans="1:5" x14ac:dyDescent="0.25">
      <c r="A44" s="108" t="s">
        <v>351</v>
      </c>
      <c r="B44" s="192">
        <v>1</v>
      </c>
      <c r="D44" s="108" t="s">
        <v>4199</v>
      </c>
      <c r="E44" s="192">
        <v>1</v>
      </c>
    </row>
    <row r="45" spans="1:5" x14ac:dyDescent="0.25">
      <c r="A45" s="108" t="s">
        <v>4194</v>
      </c>
      <c r="B45" s="192">
        <v>1</v>
      </c>
      <c r="D45" s="108" t="s">
        <v>4219</v>
      </c>
      <c r="E45" s="192">
        <v>1</v>
      </c>
    </row>
    <row r="46" spans="1:5" x14ac:dyDescent="0.25">
      <c r="A46" s="108" t="s">
        <v>4216</v>
      </c>
      <c r="B46" s="192">
        <v>1</v>
      </c>
      <c r="D46" s="108" t="s">
        <v>4136</v>
      </c>
      <c r="E46" s="192">
        <v>1</v>
      </c>
    </row>
    <row r="47" spans="1:5" x14ac:dyDescent="0.25">
      <c r="A47" s="108" t="s">
        <v>4261</v>
      </c>
      <c r="B47" s="192">
        <v>1</v>
      </c>
      <c r="D47" s="108" t="s">
        <v>415</v>
      </c>
      <c r="E47" s="192">
        <v>1</v>
      </c>
    </row>
    <row r="48" spans="1:5" x14ac:dyDescent="0.25">
      <c r="A48" s="108" t="s">
        <v>357</v>
      </c>
      <c r="B48" s="192">
        <v>1</v>
      </c>
      <c r="D48" s="108" t="s">
        <v>2530</v>
      </c>
      <c r="E48" s="192">
        <v>1</v>
      </c>
    </row>
    <row r="49" spans="1:5" x14ac:dyDescent="0.25">
      <c r="A49" s="108" t="s">
        <v>4005</v>
      </c>
      <c r="B49" s="192">
        <v>1</v>
      </c>
      <c r="D49" s="108" t="s">
        <v>1038</v>
      </c>
      <c r="E49" s="192">
        <v>1</v>
      </c>
    </row>
    <row r="50" spans="1:5" x14ac:dyDescent="0.25">
      <c r="A50" s="108" t="s">
        <v>3992</v>
      </c>
      <c r="B50" s="192">
        <v>1</v>
      </c>
      <c r="D50" s="108" t="s">
        <v>4276</v>
      </c>
      <c r="E50" s="192">
        <v>1</v>
      </c>
    </row>
    <row r="51" spans="1:5" x14ac:dyDescent="0.25">
      <c r="A51" s="108" t="s">
        <v>4448</v>
      </c>
      <c r="B51" s="192">
        <v>1</v>
      </c>
      <c r="D51" s="108" t="s">
        <v>1826</v>
      </c>
      <c r="E51" s="192">
        <v>1</v>
      </c>
    </row>
    <row r="52" spans="1:5" x14ac:dyDescent="0.25">
      <c r="A52" s="108" t="s">
        <v>353</v>
      </c>
      <c r="B52" s="192">
        <v>1</v>
      </c>
      <c r="D52" s="108" t="s">
        <v>947</v>
      </c>
      <c r="E52" s="192">
        <v>1</v>
      </c>
    </row>
    <row r="53" spans="1:5" x14ac:dyDescent="0.25">
      <c r="A53" s="108" t="s">
        <v>4497</v>
      </c>
      <c r="B53" s="192">
        <v>1</v>
      </c>
      <c r="D53" s="108" t="s">
        <v>364</v>
      </c>
      <c r="E53" s="192">
        <v>1</v>
      </c>
    </row>
    <row r="54" spans="1:5" x14ac:dyDescent="0.25">
      <c r="A54" s="108" t="s">
        <v>4174</v>
      </c>
      <c r="B54" s="192">
        <v>1</v>
      </c>
      <c r="D54" s="108" t="s">
        <v>498</v>
      </c>
      <c r="E54" s="192">
        <v>1</v>
      </c>
    </row>
    <row r="55" spans="1:5" x14ac:dyDescent="0.25">
      <c r="A55" s="108" t="s">
        <v>4511</v>
      </c>
      <c r="B55" s="192">
        <v>1</v>
      </c>
      <c r="D55" s="108" t="s">
        <v>350</v>
      </c>
      <c r="E55" s="192">
        <v>1</v>
      </c>
    </row>
    <row r="56" spans="1:5" x14ac:dyDescent="0.25">
      <c r="A56" s="108" t="s">
        <v>372</v>
      </c>
      <c r="B56" s="192">
        <v>1</v>
      </c>
      <c r="D56" s="108" t="s">
        <v>401</v>
      </c>
      <c r="E56" s="192">
        <v>1</v>
      </c>
    </row>
    <row r="57" spans="1:5" x14ac:dyDescent="0.25">
      <c r="A57" s="108" t="s">
        <v>378</v>
      </c>
      <c r="B57" s="192">
        <v>1</v>
      </c>
      <c r="D57" s="108" t="s">
        <v>4142</v>
      </c>
      <c r="E57" s="192">
        <v>1</v>
      </c>
    </row>
    <row r="58" spans="1:5" x14ac:dyDescent="0.25">
      <c r="A58" s="108" t="s">
        <v>4254</v>
      </c>
      <c r="B58" s="192"/>
      <c r="D58" s="108" t="s">
        <v>4150</v>
      </c>
      <c r="E58" s="192">
        <v>1</v>
      </c>
    </row>
    <row r="59" spans="1:5" x14ac:dyDescent="0.25">
      <c r="A59" s="108" t="s">
        <v>4255</v>
      </c>
      <c r="B59" s="192">
        <v>222</v>
      </c>
      <c r="D59" s="108" t="s">
        <v>4193</v>
      </c>
      <c r="E59" s="192">
        <v>1</v>
      </c>
    </row>
    <row r="60" spans="1:5" x14ac:dyDescent="0.25">
      <c r="D60" s="108" t="s">
        <v>4288</v>
      </c>
      <c r="E60" s="192">
        <v>1</v>
      </c>
    </row>
    <row r="61" spans="1:5" x14ac:dyDescent="0.25">
      <c r="D61" s="108" t="s">
        <v>369</v>
      </c>
      <c r="E61" s="192">
        <v>1</v>
      </c>
    </row>
    <row r="62" spans="1:5" x14ac:dyDescent="0.25">
      <c r="D62" s="108" t="s">
        <v>614</v>
      </c>
      <c r="E62" s="192">
        <v>1</v>
      </c>
    </row>
    <row r="63" spans="1:5" x14ac:dyDescent="0.25">
      <c r="D63" s="108" t="s">
        <v>3859</v>
      </c>
      <c r="E63" s="192">
        <v>1</v>
      </c>
    </row>
    <row r="64" spans="1:5" x14ac:dyDescent="0.25">
      <c r="D64" s="108" t="s">
        <v>2606</v>
      </c>
      <c r="E64" s="192">
        <v>1</v>
      </c>
    </row>
    <row r="65" spans="4:5" x14ac:dyDescent="0.25">
      <c r="D65" s="108" t="s">
        <v>3878</v>
      </c>
      <c r="E65" s="192">
        <v>1</v>
      </c>
    </row>
    <row r="66" spans="4:5" x14ac:dyDescent="0.25">
      <c r="D66" s="108" t="s">
        <v>4468</v>
      </c>
      <c r="E66" s="192">
        <v>1</v>
      </c>
    </row>
    <row r="67" spans="4:5" x14ac:dyDescent="0.25">
      <c r="D67" s="108" t="s">
        <v>397</v>
      </c>
      <c r="E67" s="192">
        <v>1</v>
      </c>
    </row>
    <row r="68" spans="4:5" x14ac:dyDescent="0.25">
      <c r="D68" s="108" t="s">
        <v>888</v>
      </c>
      <c r="E68" s="192">
        <v>1</v>
      </c>
    </row>
    <row r="69" spans="4:5" x14ac:dyDescent="0.25">
      <c r="D69" s="108" t="s">
        <v>441</v>
      </c>
      <c r="E69" s="192">
        <v>1</v>
      </c>
    </row>
    <row r="70" spans="4:5" x14ac:dyDescent="0.25">
      <c r="D70" s="108" t="s">
        <v>1027</v>
      </c>
      <c r="E70" s="192">
        <v>1</v>
      </c>
    </row>
    <row r="71" spans="4:5" x14ac:dyDescent="0.25">
      <c r="D71" s="108" t="s">
        <v>1348</v>
      </c>
      <c r="E71" s="192">
        <v>1</v>
      </c>
    </row>
    <row r="72" spans="4:5" x14ac:dyDescent="0.25">
      <c r="D72" s="108" t="s">
        <v>3225</v>
      </c>
      <c r="E72" s="192">
        <v>1</v>
      </c>
    </row>
    <row r="73" spans="4:5" x14ac:dyDescent="0.25">
      <c r="D73" s="108" t="s">
        <v>93</v>
      </c>
      <c r="E73" s="192">
        <v>1</v>
      </c>
    </row>
    <row r="74" spans="4:5" x14ac:dyDescent="0.25">
      <c r="D74" s="108" t="s">
        <v>459</v>
      </c>
      <c r="E74" s="192">
        <v>1</v>
      </c>
    </row>
    <row r="75" spans="4:5" x14ac:dyDescent="0.25">
      <c r="D75" s="108" t="s">
        <v>746</v>
      </c>
      <c r="E75" s="192">
        <v>1</v>
      </c>
    </row>
    <row r="76" spans="4:5" x14ac:dyDescent="0.25">
      <c r="D76" s="108" t="s">
        <v>4260</v>
      </c>
      <c r="E76" s="192">
        <v>1</v>
      </c>
    </row>
    <row r="77" spans="4:5" x14ac:dyDescent="0.25">
      <c r="D77" s="108" t="s">
        <v>3890</v>
      </c>
      <c r="E77" s="192">
        <v>1</v>
      </c>
    </row>
    <row r="78" spans="4:5" x14ac:dyDescent="0.25">
      <c r="D78" s="108" t="s">
        <v>2453</v>
      </c>
      <c r="E78" s="192">
        <v>1</v>
      </c>
    </row>
    <row r="79" spans="4:5" x14ac:dyDescent="0.25">
      <c r="D79" s="108" t="s">
        <v>388</v>
      </c>
      <c r="E79" s="192">
        <v>1</v>
      </c>
    </row>
    <row r="80" spans="4:5" x14ac:dyDescent="0.25">
      <c r="D80" s="108" t="s">
        <v>4327</v>
      </c>
      <c r="E80" s="192">
        <v>1</v>
      </c>
    </row>
    <row r="81" spans="4:5" x14ac:dyDescent="0.25">
      <c r="D81" s="108" t="s">
        <v>356</v>
      </c>
      <c r="E81" s="192">
        <v>1</v>
      </c>
    </row>
    <row r="82" spans="4:5" x14ac:dyDescent="0.25">
      <c r="D82" s="108" t="s">
        <v>2232</v>
      </c>
      <c r="E82" s="192">
        <v>1</v>
      </c>
    </row>
    <row r="83" spans="4:5" x14ac:dyDescent="0.25">
      <c r="D83" s="108" t="s">
        <v>643</v>
      </c>
      <c r="E83" s="192">
        <v>1</v>
      </c>
    </row>
    <row r="84" spans="4:5" x14ac:dyDescent="0.25">
      <c r="D84" s="108" t="s">
        <v>4365</v>
      </c>
      <c r="E84" s="192">
        <v>1</v>
      </c>
    </row>
    <row r="85" spans="4:5" x14ac:dyDescent="0.25">
      <c r="D85" s="108" t="s">
        <v>366</v>
      </c>
      <c r="E85" s="192">
        <v>1</v>
      </c>
    </row>
    <row r="86" spans="4:5" x14ac:dyDescent="0.25">
      <c r="D86" s="108" t="s">
        <v>4429</v>
      </c>
      <c r="E86" s="192">
        <v>1</v>
      </c>
    </row>
    <row r="87" spans="4:5" x14ac:dyDescent="0.25">
      <c r="D87" s="108" t="s">
        <v>554</v>
      </c>
      <c r="E87" s="192">
        <v>1</v>
      </c>
    </row>
    <row r="88" spans="4:5" x14ac:dyDescent="0.25">
      <c r="D88" s="108" t="s">
        <v>4442</v>
      </c>
      <c r="E88" s="192">
        <v>1</v>
      </c>
    </row>
    <row r="89" spans="4:5" x14ac:dyDescent="0.25">
      <c r="D89" s="108" t="s">
        <v>936</v>
      </c>
      <c r="E89" s="192">
        <v>1</v>
      </c>
    </row>
    <row r="90" spans="4:5" x14ac:dyDescent="0.25">
      <c r="D90" s="108" t="s">
        <v>660</v>
      </c>
      <c r="E90" s="192">
        <v>1</v>
      </c>
    </row>
    <row r="91" spans="4:5" x14ac:dyDescent="0.25">
      <c r="D91" s="108" t="s">
        <v>1602</v>
      </c>
      <c r="E91" s="192">
        <v>1</v>
      </c>
    </row>
    <row r="92" spans="4:5" x14ac:dyDescent="0.25">
      <c r="D92" s="108" t="s">
        <v>2379</v>
      </c>
      <c r="E92" s="192">
        <v>1</v>
      </c>
    </row>
    <row r="93" spans="4:5" x14ac:dyDescent="0.25">
      <c r="D93" s="108" t="s">
        <v>1330</v>
      </c>
      <c r="E93" s="192">
        <v>1</v>
      </c>
    </row>
    <row r="94" spans="4:5" x14ac:dyDescent="0.25">
      <c r="D94" s="108" t="s">
        <v>3071</v>
      </c>
      <c r="E94" s="192">
        <v>1</v>
      </c>
    </row>
    <row r="95" spans="4:5" x14ac:dyDescent="0.25">
      <c r="D95" s="108" t="s">
        <v>480</v>
      </c>
      <c r="E95" s="192">
        <v>1</v>
      </c>
    </row>
    <row r="96" spans="4:5" x14ac:dyDescent="0.25">
      <c r="D96" s="108" t="s">
        <v>4507</v>
      </c>
      <c r="E96" s="192">
        <v>1</v>
      </c>
    </row>
    <row r="97" spans="4:5" x14ac:dyDescent="0.25">
      <c r="D97" s="108" t="s">
        <v>4173</v>
      </c>
      <c r="E97" s="192">
        <v>1</v>
      </c>
    </row>
    <row r="98" spans="4:5" x14ac:dyDescent="0.25">
      <c r="D98" s="108" t="s">
        <v>1923</v>
      </c>
      <c r="E98" s="192">
        <v>1</v>
      </c>
    </row>
    <row r="99" spans="4:5" x14ac:dyDescent="0.25">
      <c r="D99" s="108" t="s">
        <v>398</v>
      </c>
      <c r="E99" s="192">
        <v>1</v>
      </c>
    </row>
    <row r="100" spans="4:5" x14ac:dyDescent="0.25">
      <c r="D100" s="108" t="s">
        <v>930</v>
      </c>
      <c r="E100" s="192">
        <v>1</v>
      </c>
    </row>
    <row r="101" spans="4:5" x14ac:dyDescent="0.25">
      <c r="D101" s="108" t="s">
        <v>352</v>
      </c>
      <c r="E101" s="192">
        <v>1</v>
      </c>
    </row>
    <row r="102" spans="4:5" x14ac:dyDescent="0.25">
      <c r="D102" s="108" t="s">
        <v>4215</v>
      </c>
      <c r="E102" s="192">
        <v>1</v>
      </c>
    </row>
    <row r="103" spans="4:5" x14ac:dyDescent="0.25">
      <c r="D103" s="108" t="s">
        <v>2328</v>
      </c>
      <c r="E103" s="192">
        <v>1</v>
      </c>
    </row>
    <row r="104" spans="4:5" x14ac:dyDescent="0.25">
      <c r="D104" s="108" t="s">
        <v>2552</v>
      </c>
      <c r="E104" s="192">
        <v>1</v>
      </c>
    </row>
    <row r="105" spans="4:5" x14ac:dyDescent="0.25">
      <c r="D105" s="108" t="s">
        <v>385</v>
      </c>
      <c r="E105" s="192">
        <v>1</v>
      </c>
    </row>
    <row r="106" spans="4:5" x14ac:dyDescent="0.25">
      <c r="D106" s="108" t="s">
        <v>4004</v>
      </c>
      <c r="E106" s="192">
        <v>1</v>
      </c>
    </row>
    <row r="107" spans="4:5" x14ac:dyDescent="0.25">
      <c r="D107" s="108" t="s">
        <v>4020</v>
      </c>
      <c r="E107" s="192">
        <v>1</v>
      </c>
    </row>
    <row r="108" spans="4:5" x14ac:dyDescent="0.25">
      <c r="D108" s="108" t="s">
        <v>371</v>
      </c>
      <c r="E108" s="192">
        <v>1</v>
      </c>
    </row>
    <row r="109" spans="4:5" x14ac:dyDescent="0.25">
      <c r="D109" s="108" t="s">
        <v>933</v>
      </c>
      <c r="E109" s="192">
        <v>1</v>
      </c>
    </row>
    <row r="110" spans="4:5" x14ac:dyDescent="0.25">
      <c r="D110" s="108" t="s">
        <v>91</v>
      </c>
      <c r="E110" s="192">
        <v>1</v>
      </c>
    </row>
    <row r="111" spans="4:5" x14ac:dyDescent="0.25">
      <c r="D111" s="108" t="s">
        <v>1302</v>
      </c>
      <c r="E111" s="192">
        <v>1</v>
      </c>
    </row>
    <row r="112" spans="4:5" x14ac:dyDescent="0.25">
      <c r="D112" s="108" t="s">
        <v>2017</v>
      </c>
      <c r="E112" s="192">
        <v>1</v>
      </c>
    </row>
    <row r="113" spans="4:5" x14ac:dyDescent="0.25">
      <c r="D113" s="108" t="s">
        <v>3971</v>
      </c>
      <c r="E113" s="192">
        <v>1</v>
      </c>
    </row>
    <row r="114" spans="4:5" x14ac:dyDescent="0.25">
      <c r="D114" s="108" t="s">
        <v>4279</v>
      </c>
      <c r="E114" s="192">
        <v>1</v>
      </c>
    </row>
    <row r="115" spans="4:5" x14ac:dyDescent="0.25">
      <c r="D115" s="108" t="s">
        <v>406</v>
      </c>
      <c r="E115" s="192">
        <v>1</v>
      </c>
    </row>
    <row r="116" spans="4:5" x14ac:dyDescent="0.25">
      <c r="D116" s="108" t="s">
        <v>3658</v>
      </c>
      <c r="E116" s="192">
        <v>1</v>
      </c>
    </row>
    <row r="117" spans="4:5" x14ac:dyDescent="0.25">
      <c r="D117" s="108" t="s">
        <v>1564</v>
      </c>
      <c r="E117" s="192">
        <v>1</v>
      </c>
    </row>
    <row r="118" spans="4:5" x14ac:dyDescent="0.25">
      <c r="D118" s="108" t="s">
        <v>1735</v>
      </c>
      <c r="E118" s="192">
        <v>1</v>
      </c>
    </row>
    <row r="119" spans="4:5" x14ac:dyDescent="0.25">
      <c r="D119" s="108" t="s">
        <v>3956</v>
      </c>
      <c r="E119" s="192">
        <v>1</v>
      </c>
    </row>
    <row r="120" spans="4:5" x14ac:dyDescent="0.25">
      <c r="D120" s="108" t="s">
        <v>477</v>
      </c>
      <c r="E120" s="192">
        <v>1</v>
      </c>
    </row>
    <row r="121" spans="4:5" x14ac:dyDescent="0.25">
      <c r="D121" s="108" t="s">
        <v>413</v>
      </c>
      <c r="E121" s="192">
        <v>1</v>
      </c>
    </row>
    <row r="122" spans="4:5" x14ac:dyDescent="0.25">
      <c r="D122" s="108" t="s">
        <v>631</v>
      </c>
      <c r="E122" s="192">
        <v>1</v>
      </c>
    </row>
    <row r="123" spans="4:5" x14ac:dyDescent="0.25">
      <c r="D123" s="108" t="s">
        <v>1951</v>
      </c>
      <c r="E123" s="192">
        <v>1</v>
      </c>
    </row>
    <row r="124" spans="4:5" x14ac:dyDescent="0.25">
      <c r="D124" s="108" t="s">
        <v>4355</v>
      </c>
      <c r="E124" s="192">
        <v>1</v>
      </c>
    </row>
    <row r="125" spans="4:5" x14ac:dyDescent="0.25">
      <c r="D125" s="108" t="s">
        <v>3585</v>
      </c>
      <c r="E125" s="192">
        <v>1</v>
      </c>
    </row>
    <row r="126" spans="4:5" x14ac:dyDescent="0.25">
      <c r="D126" s="108" t="s">
        <v>435</v>
      </c>
      <c r="E126" s="192">
        <v>1</v>
      </c>
    </row>
    <row r="127" spans="4:5" x14ac:dyDescent="0.25">
      <c r="D127" s="108" t="s">
        <v>389</v>
      </c>
      <c r="E127" s="192">
        <v>1</v>
      </c>
    </row>
    <row r="128" spans="4:5" x14ac:dyDescent="0.25">
      <c r="D128" s="108" t="s">
        <v>4369</v>
      </c>
      <c r="E128" s="192">
        <v>1</v>
      </c>
    </row>
    <row r="129" spans="4:5" x14ac:dyDescent="0.25">
      <c r="D129" s="108" t="s">
        <v>2092</v>
      </c>
      <c r="E129" s="192">
        <v>1</v>
      </c>
    </row>
    <row r="130" spans="4:5" x14ac:dyDescent="0.25">
      <c r="D130" s="108" t="s">
        <v>4374</v>
      </c>
      <c r="E130" s="192">
        <v>1</v>
      </c>
    </row>
    <row r="131" spans="4:5" x14ac:dyDescent="0.25">
      <c r="D131" s="108" t="s">
        <v>375</v>
      </c>
      <c r="E131" s="192">
        <v>1</v>
      </c>
    </row>
    <row r="132" spans="4:5" x14ac:dyDescent="0.25">
      <c r="D132" s="108" t="s">
        <v>4432</v>
      </c>
      <c r="E132" s="192">
        <v>1</v>
      </c>
    </row>
    <row r="133" spans="4:5" x14ac:dyDescent="0.25">
      <c r="D133" s="108" t="s">
        <v>1937</v>
      </c>
      <c r="E133" s="192">
        <v>1</v>
      </c>
    </row>
    <row r="134" spans="4:5" x14ac:dyDescent="0.25">
      <c r="D134" s="108" t="s">
        <v>4437</v>
      </c>
      <c r="E134" s="192">
        <v>1</v>
      </c>
    </row>
    <row r="135" spans="4:5" x14ac:dyDescent="0.25">
      <c r="D135" s="108" t="s">
        <v>518</v>
      </c>
      <c r="E135" s="192">
        <v>1</v>
      </c>
    </row>
    <row r="136" spans="4:5" x14ac:dyDescent="0.25">
      <c r="D136" s="108" t="s">
        <v>4447</v>
      </c>
      <c r="E136" s="192">
        <v>1</v>
      </c>
    </row>
    <row r="137" spans="4:5" x14ac:dyDescent="0.25">
      <c r="D137" s="108" t="s">
        <v>3983</v>
      </c>
      <c r="E137" s="192">
        <v>1</v>
      </c>
    </row>
    <row r="138" spans="4:5" x14ac:dyDescent="0.25">
      <c r="D138" s="108" t="s">
        <v>84</v>
      </c>
      <c r="E138" s="192">
        <v>1</v>
      </c>
    </row>
    <row r="139" spans="4:5" x14ac:dyDescent="0.25">
      <c r="D139" s="108" t="s">
        <v>377</v>
      </c>
      <c r="E139" s="192">
        <v>1</v>
      </c>
    </row>
    <row r="140" spans="4:5" x14ac:dyDescent="0.25">
      <c r="D140" s="108" t="s">
        <v>4464</v>
      </c>
      <c r="E140" s="192">
        <v>1</v>
      </c>
    </row>
    <row r="141" spans="4:5" x14ac:dyDescent="0.25">
      <c r="D141" s="108" t="s">
        <v>3886</v>
      </c>
      <c r="E141" s="192">
        <v>1</v>
      </c>
    </row>
    <row r="142" spans="4:5" x14ac:dyDescent="0.25">
      <c r="D142" s="108" t="s">
        <v>1401</v>
      </c>
      <c r="E142" s="192">
        <v>1</v>
      </c>
    </row>
    <row r="143" spans="4:5" x14ac:dyDescent="0.25">
      <c r="D143" s="108" t="s">
        <v>373</v>
      </c>
      <c r="E143" s="192">
        <v>1</v>
      </c>
    </row>
    <row r="144" spans="4:5" x14ac:dyDescent="0.25">
      <c r="D144" s="108" t="s">
        <v>4477</v>
      </c>
      <c r="E144" s="192">
        <v>1</v>
      </c>
    </row>
    <row r="145" spans="4:5" x14ac:dyDescent="0.25">
      <c r="D145" s="108" t="s">
        <v>3978</v>
      </c>
      <c r="E145" s="192">
        <v>1</v>
      </c>
    </row>
    <row r="146" spans="4:5" x14ac:dyDescent="0.25">
      <c r="D146" s="108" t="s">
        <v>1059</v>
      </c>
      <c r="E146" s="192">
        <v>1</v>
      </c>
    </row>
    <row r="147" spans="4:5" x14ac:dyDescent="0.25">
      <c r="D147" s="108" t="s">
        <v>358</v>
      </c>
      <c r="E147" s="192">
        <v>1</v>
      </c>
    </row>
    <row r="148" spans="4:5" x14ac:dyDescent="0.25">
      <c r="D148" s="108" t="s">
        <v>703</v>
      </c>
      <c r="E148" s="192">
        <v>1</v>
      </c>
    </row>
    <row r="149" spans="4:5" x14ac:dyDescent="0.25">
      <c r="D149" s="108" t="s">
        <v>1246</v>
      </c>
      <c r="E149" s="192">
        <v>1</v>
      </c>
    </row>
    <row r="150" spans="4:5" x14ac:dyDescent="0.25">
      <c r="D150" s="108" t="s">
        <v>2449</v>
      </c>
      <c r="E150" s="192">
        <v>1</v>
      </c>
    </row>
    <row r="151" spans="4:5" x14ac:dyDescent="0.25">
      <c r="D151" s="108" t="s">
        <v>3881</v>
      </c>
      <c r="E151" s="192">
        <v>1</v>
      </c>
    </row>
    <row r="152" spans="4:5" x14ac:dyDescent="0.25">
      <c r="D152" s="108" t="s">
        <v>4510</v>
      </c>
      <c r="E152" s="192">
        <v>1</v>
      </c>
    </row>
    <row r="153" spans="4:5" x14ac:dyDescent="0.25">
      <c r="D153" s="108" t="s">
        <v>692</v>
      </c>
      <c r="E153" s="192">
        <v>1</v>
      </c>
    </row>
    <row r="154" spans="4:5" x14ac:dyDescent="0.25">
      <c r="D154" s="108" t="s">
        <v>507</v>
      </c>
      <c r="E154" s="192">
        <v>1</v>
      </c>
    </row>
    <row r="155" spans="4:5" x14ac:dyDescent="0.25">
      <c r="D155" s="108" t="s">
        <v>4254</v>
      </c>
      <c r="E155" s="192"/>
    </row>
    <row r="156" spans="4:5" x14ac:dyDescent="0.25">
      <c r="D156" s="108" t="s">
        <v>4255</v>
      </c>
      <c r="E156" s="192">
        <v>222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E34" sqref="E34"/>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70" t="s">
        <v>155</v>
      </c>
      <c r="B1" s="170"/>
      <c r="C1" s="170"/>
      <c r="D1" s="170"/>
      <c r="E1" s="170"/>
      <c r="F1" s="170"/>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32</v>
      </c>
      <c r="D8" s="39">
        <v>17</v>
      </c>
      <c r="E8" s="39">
        <v>6</v>
      </c>
      <c r="F8" s="39">
        <f t="shared" si="0"/>
        <v>55</v>
      </c>
    </row>
    <row r="9" spans="1:6" x14ac:dyDescent="0.25">
      <c r="A9" s="42" t="s">
        <v>6</v>
      </c>
      <c r="B9" s="40"/>
      <c r="C9" s="39"/>
      <c r="D9" s="39"/>
      <c r="E9" s="39"/>
      <c r="F9" s="39">
        <f t="shared" si="0"/>
        <v>0</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71" t="s">
        <v>60</v>
      </c>
      <c r="B27" s="171"/>
      <c r="C27" s="43">
        <f>SUM(C4:C26)</f>
        <v>222</v>
      </c>
      <c r="D27" s="43">
        <f>SUM(D4:D26)</f>
        <v>75</v>
      </c>
      <c r="E27" s="44">
        <f>SUM(E4:E26)</f>
        <v>47</v>
      </c>
      <c r="F27" s="43">
        <f>SUM(F4:F26)</f>
        <v>344</v>
      </c>
    </row>
    <row r="28" spans="1:6" x14ac:dyDescent="0.25">
      <c r="D28" s="167">
        <f>SUM(D27:E27)</f>
        <v>122</v>
      </c>
      <c r="E28" s="168"/>
    </row>
    <row r="29" spans="1:6" x14ac:dyDescent="0.25">
      <c r="D29" s="169">
        <f>F27-D28</f>
        <v>222</v>
      </c>
      <c r="E29" s="169"/>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C74"/>
  <sheetViews>
    <sheetView showZeros="0" zoomScaleNormal="100" workbookViewId="0"/>
  </sheetViews>
  <sheetFormatPr defaultColWidth="64" defaultRowHeight="15.75" x14ac:dyDescent="0.25"/>
  <cols>
    <col min="1" max="1" width="41" style="62" bestFit="1" customWidth="1"/>
    <col min="2" max="3" width="38.5703125" style="62" bestFit="1" customWidth="1"/>
    <col min="4" max="16384" width="64" style="63"/>
  </cols>
  <sheetData>
    <row r="1" spans="1:3" x14ac:dyDescent="0.25">
      <c r="A1" s="154"/>
      <c r="B1" s="62" cm="1">
        <f t="array" ref="B1">INDEX($A:$A, (ROW()-1)*2 + COLUMN()-1)</f>
        <v>0</v>
      </c>
      <c r="C1" s="62" cm="1">
        <f t="array" ref="C1">INDEX($A:$A, (ROW()-1)*2 + COLUMN()-1)</f>
        <v>0</v>
      </c>
    </row>
    <row r="2" spans="1:3" x14ac:dyDescent="0.25">
      <c r="A2" s="154"/>
      <c r="B2" s="62" cm="1">
        <f t="array" ref="B2">INDEX($A:$A, (ROW()-1)*2 + COLUMN()-1)</f>
        <v>0</v>
      </c>
      <c r="C2" s="62" cm="1">
        <f t="array" ref="C2">INDEX($A:$A, (ROW()-1)*2 + COLUMN()-1)</f>
        <v>0</v>
      </c>
    </row>
    <row r="3" spans="1:3" x14ac:dyDescent="0.25">
      <c r="A3" s="154"/>
      <c r="B3" s="62" cm="1">
        <f t="array" ref="B3">INDEX($A:$A, (ROW()-1)*2 + COLUMN()-1)</f>
        <v>0</v>
      </c>
      <c r="C3" s="62" cm="1">
        <f t="array" ref="C3">INDEX($A:$A, (ROW()-1)*2 + COLUMN()-1)</f>
        <v>0</v>
      </c>
    </row>
    <row r="4" spans="1:3" x14ac:dyDescent="0.25">
      <c r="A4" s="154"/>
      <c r="B4" s="62" cm="1">
        <f t="array" ref="B4">INDEX($A:$A, (ROW()-1)*2 + COLUMN()-1)</f>
        <v>0</v>
      </c>
      <c r="C4" s="62" cm="1">
        <f t="array" ref="C4">INDEX($A:$A, (ROW()-1)*2 + COLUMN()-1)</f>
        <v>0</v>
      </c>
    </row>
    <row r="5" spans="1:3" x14ac:dyDescent="0.25">
      <c r="A5" s="154"/>
      <c r="B5" s="62" cm="1">
        <f t="array" ref="B5">INDEX($A:$A, (ROW()-1)*2 + COLUMN()-1)</f>
        <v>0</v>
      </c>
      <c r="C5" s="62" cm="1">
        <f t="array" ref="C5">INDEX($A:$A, (ROW()-1)*2 + COLUMN()-1)</f>
        <v>0</v>
      </c>
    </row>
    <row r="6" spans="1:3" x14ac:dyDescent="0.25">
      <c r="A6" s="154"/>
      <c r="B6" s="62" cm="1">
        <f t="array" ref="B6">INDEX($A:$A, (ROW()-1)*2 + COLUMN()-1)</f>
        <v>0</v>
      </c>
      <c r="C6" s="62" cm="1">
        <f t="array" ref="C6">INDEX($A:$A, (ROW()-1)*2 + COLUMN()-1)</f>
        <v>0</v>
      </c>
    </row>
    <row r="7" spans="1:3" x14ac:dyDescent="0.25">
      <c r="A7" s="154"/>
      <c r="B7" s="62" cm="1">
        <f t="array" ref="B7">INDEX($A:$A, (ROW()-1)*2 + COLUMN()-1)</f>
        <v>0</v>
      </c>
      <c r="C7" s="62" cm="1">
        <f t="array" ref="C7">INDEX($A:$A, (ROW()-1)*2 + COLUMN()-1)</f>
        <v>0</v>
      </c>
    </row>
    <row r="8" spans="1:3" x14ac:dyDescent="0.25">
      <c r="A8" s="154"/>
      <c r="B8" s="62" cm="1">
        <f t="array" ref="B8">INDEX($A:$A, (ROW()-1)*2 + COLUMN()-1)</f>
        <v>0</v>
      </c>
      <c r="C8" s="62" cm="1">
        <f t="array" ref="C8">INDEX($A:$A, (ROW()-1)*2 + COLUMN()-1)</f>
        <v>0</v>
      </c>
    </row>
    <row r="9" spans="1:3" x14ac:dyDescent="0.25">
      <c r="A9" s="154"/>
      <c r="B9" s="62" cm="1">
        <f t="array" ref="B9">INDEX($A:$A, (ROW()-1)*2 + COLUMN()-1)</f>
        <v>0</v>
      </c>
      <c r="C9" s="62" cm="1">
        <f t="array" ref="C9">INDEX($A:$A, (ROW()-1)*2 + COLUMN()-1)</f>
        <v>0</v>
      </c>
    </row>
    <row r="10" spans="1:3" x14ac:dyDescent="0.25">
      <c r="A10" s="154"/>
      <c r="B10" s="62" cm="1">
        <f t="array" ref="B10">INDEX($A:$A, (ROW()-1)*2 + COLUMN()-1)</f>
        <v>0</v>
      </c>
      <c r="C10" s="62" cm="1">
        <f t="array" ref="C10">INDEX($A:$A, (ROW()-1)*2 + COLUMN()-1)</f>
        <v>0</v>
      </c>
    </row>
    <row r="11" spans="1:3" x14ac:dyDescent="0.25">
      <c r="A11" s="154"/>
      <c r="B11" s="62" cm="1">
        <f t="array" ref="B11">INDEX($A:$A, (ROW()-1)*2 + COLUMN()-1)</f>
        <v>0</v>
      </c>
      <c r="C11" s="62" cm="1">
        <f t="array" ref="C11">INDEX($A:$A, (ROW()-1)*2 + COLUMN()-1)</f>
        <v>0</v>
      </c>
    </row>
    <row r="12" spans="1:3" x14ac:dyDescent="0.25">
      <c r="A12" s="154"/>
      <c r="B12" s="62" cm="1">
        <f t="array" ref="B12">INDEX($A:$A, (ROW()-1)*2 + COLUMN()-1)</f>
        <v>0</v>
      </c>
      <c r="C12" s="62" cm="1">
        <f t="array" ref="C12">INDEX($A:$A, (ROW()-1)*2 + COLUMN()-1)</f>
        <v>0</v>
      </c>
    </row>
    <row r="13" spans="1:3" x14ac:dyDescent="0.25">
      <c r="A13" s="154"/>
      <c r="B13" s="62" cm="1">
        <f t="array" ref="B13">INDEX($A:$A, (ROW()-1)*2 + COLUMN()-1)</f>
        <v>0</v>
      </c>
      <c r="C13" s="62" cm="1">
        <f t="array" ref="C13">INDEX($A:$A, (ROW()-1)*2 + COLUMN()-1)</f>
        <v>0</v>
      </c>
    </row>
    <row r="14" spans="1:3" x14ac:dyDescent="0.25">
      <c r="A14" s="154"/>
      <c r="B14" s="62" cm="1">
        <f t="array" ref="B14">INDEX($A:$A, (ROW()-1)*2 + COLUMN()-1)</f>
        <v>0</v>
      </c>
      <c r="C14" s="62" cm="1">
        <f t="array" ref="C14">INDEX($A:$A, (ROW()-1)*2 + COLUMN()-1)</f>
        <v>0</v>
      </c>
    </row>
    <row r="15" spans="1:3" x14ac:dyDescent="0.25">
      <c r="A15" s="154"/>
      <c r="B15" s="62" cm="1">
        <f t="array" ref="B15">INDEX($A:$A, (ROW()-1)*2 + COLUMN()-1)</f>
        <v>0</v>
      </c>
      <c r="C15" s="62" cm="1">
        <f t="array" ref="C15">INDEX($A:$A, (ROW()-1)*2 + COLUMN()-1)</f>
        <v>0</v>
      </c>
    </row>
    <row r="16" spans="1:3" x14ac:dyDescent="0.25">
      <c r="A16" s="154"/>
      <c r="B16" s="62" cm="1">
        <f t="array" ref="B16">INDEX($A:$A, (ROW()-1)*2 + COLUMN()-1)</f>
        <v>0</v>
      </c>
      <c r="C16" s="62" cm="1">
        <f t="array" ref="C16">INDEX($A:$A, (ROW()-1)*2 + COLUMN()-1)</f>
        <v>0</v>
      </c>
    </row>
    <row r="17" spans="1:3" x14ac:dyDescent="0.25">
      <c r="A17" s="154"/>
      <c r="B17" s="62" cm="1">
        <f t="array" ref="B17">INDEX($A:$A, (ROW()-1)*2 + COLUMN()-1)</f>
        <v>0</v>
      </c>
      <c r="C17" s="62" cm="1">
        <f t="array" ref="C17">INDEX($A:$A, (ROW()-1)*2 + COLUMN()-1)</f>
        <v>0</v>
      </c>
    </row>
    <row r="18" spans="1:3" x14ac:dyDescent="0.25">
      <c r="A18" s="154"/>
      <c r="B18" s="62" cm="1">
        <f t="array" ref="B18">INDEX($A:$A, (ROW()-1)*2 + COLUMN()-1)</f>
        <v>0</v>
      </c>
      <c r="C18" s="62" cm="1">
        <f t="array" ref="C18">INDEX($A:$A, (ROW()-1)*2 + COLUMN()-1)</f>
        <v>0</v>
      </c>
    </row>
    <row r="19" spans="1:3" x14ac:dyDescent="0.25">
      <c r="A19" s="154"/>
      <c r="B19" s="62" cm="1">
        <f t="array" ref="B19">INDEX($A:$A, (ROW()-1)*2 + COLUMN()-1)</f>
        <v>0</v>
      </c>
      <c r="C19" s="62" cm="1">
        <f t="array" ref="C19">INDEX($A:$A, (ROW()-1)*2 + COLUMN()-1)</f>
        <v>0</v>
      </c>
    </row>
    <row r="20" spans="1:3" x14ac:dyDescent="0.25">
      <c r="A20" s="154"/>
      <c r="B20" s="62" cm="1">
        <f t="array" ref="B20">INDEX($A:$A, (ROW()-1)*2 + COLUMN()-1)</f>
        <v>0</v>
      </c>
      <c r="C20" s="62" cm="1">
        <f t="array" ref="C20">INDEX($A:$A, (ROW()-1)*2 + COLUMN()-1)</f>
        <v>0</v>
      </c>
    </row>
    <row r="21" spans="1:3" x14ac:dyDescent="0.25">
      <c r="A21" s="154"/>
      <c r="B21" s="62" cm="1">
        <f t="array" ref="B21">INDEX($A:$A, (ROW()-1)*2 + COLUMN()-1)</f>
        <v>0</v>
      </c>
      <c r="C21" s="62" cm="1">
        <f t="array" ref="C21">INDEX($A:$A, (ROW()-1)*2 + COLUMN()-1)</f>
        <v>0</v>
      </c>
    </row>
    <row r="22" spans="1:3" x14ac:dyDescent="0.25">
      <c r="A22" s="154"/>
      <c r="B22" s="62" cm="1">
        <f t="array" ref="B22">INDEX($A:$A, (ROW()-1)*2 + COLUMN()-1)</f>
        <v>0</v>
      </c>
      <c r="C22" s="62" cm="1">
        <f t="array" ref="C22">INDEX($A:$A, (ROW()-1)*2 + COLUMN()-1)</f>
        <v>0</v>
      </c>
    </row>
    <row r="23" spans="1:3" x14ac:dyDescent="0.25">
      <c r="A23" s="154"/>
      <c r="B23" s="62" cm="1">
        <f t="array" ref="B23">INDEX($A:$A, (ROW()-1)*2 + COLUMN()-1)</f>
        <v>0</v>
      </c>
      <c r="C23" s="62" cm="1">
        <f t="array" ref="C23">INDEX($A:$A, (ROW()-1)*2 + COLUMN()-1)</f>
        <v>0</v>
      </c>
    </row>
    <row r="24" spans="1:3" x14ac:dyDescent="0.25">
      <c r="B24" s="62" cm="1">
        <f t="array" ref="B24">INDEX($A:$A, (ROW()-1)*2 + COLUMN()-1)</f>
        <v>0</v>
      </c>
      <c r="C24" s="62" cm="1">
        <f t="array" ref="C24">INDEX($A:$A, (ROW()-1)*2 + COLUMN()-1)</f>
        <v>0</v>
      </c>
    </row>
    <row r="25" spans="1:3" x14ac:dyDescent="0.25">
      <c r="B25" s="62" cm="1">
        <f t="array" ref="B25">INDEX($A:$A, (ROW()-1)*2 + COLUMN()-1)</f>
        <v>0</v>
      </c>
      <c r="C25" s="62" cm="1">
        <f t="array" ref="C25">INDEX($A:$A, (ROW()-1)*2 + COLUMN()-1)</f>
        <v>0</v>
      </c>
    </row>
    <row r="26" spans="1:3" x14ac:dyDescent="0.25">
      <c r="B26" s="62" cm="1">
        <f t="array" ref="B26">INDEX($A:$A, (ROW()-1)*2 + COLUMN()-1)</f>
        <v>0</v>
      </c>
      <c r="C26" s="62" cm="1">
        <f t="array" ref="C26">INDEX($A:$A, (ROW()-1)*2 + COLUMN()-1)</f>
        <v>0</v>
      </c>
    </row>
    <row r="27" spans="1:3" x14ac:dyDescent="0.25">
      <c r="B27" s="62" cm="1">
        <f t="array" ref="B27">INDEX($A:$A, (ROW()-1)*2 + COLUMN()-1)</f>
        <v>0</v>
      </c>
      <c r="C27" s="62" cm="1">
        <f t="array" ref="C27">INDEX($A:$A, (ROW()-1)*2 + COLUMN()-1)</f>
        <v>0</v>
      </c>
    </row>
    <row r="28" spans="1:3" x14ac:dyDescent="0.25">
      <c r="B28" s="62" cm="1">
        <f t="array" ref="B28">INDEX($A:$A, (ROW()-1)*2 + COLUMN()-1)</f>
        <v>0</v>
      </c>
      <c r="C28" s="62" cm="1">
        <f t="array" ref="C28">INDEX($A:$A, (ROW()-1)*2 + COLUMN()-1)</f>
        <v>0</v>
      </c>
    </row>
    <row r="29" spans="1:3" x14ac:dyDescent="0.25">
      <c r="B29" s="62" cm="1">
        <f t="array" ref="B29">INDEX($A:$A, (ROW()-1)*2 + COLUMN()-1)</f>
        <v>0</v>
      </c>
      <c r="C29" s="62" cm="1">
        <f t="array" ref="C29">INDEX($A:$A, (ROW()-1)*2 + COLUMN()-1)</f>
        <v>0</v>
      </c>
    </row>
    <row r="30" spans="1:3" x14ac:dyDescent="0.25">
      <c r="B30" s="62" cm="1">
        <f t="array" ref="B30">INDEX($A:$A, (ROW()-1)*2 + COLUMN()-1)</f>
        <v>0</v>
      </c>
      <c r="C30" s="62" cm="1">
        <f t="array" ref="C30">INDEX($A:$A, (ROW()-1)*2 + COLUMN()-1)</f>
        <v>0</v>
      </c>
    </row>
    <row r="31" spans="1:3" x14ac:dyDescent="0.25">
      <c r="B31" s="62" cm="1">
        <f t="array" ref="B31">INDEX($A:$A, (ROW()-1)*2 + COLUMN()-1)</f>
        <v>0</v>
      </c>
      <c r="C31" s="62" cm="1">
        <f t="array" ref="C31">INDEX($A:$A, (ROW()-1)*2 + COLUMN()-1)</f>
        <v>0</v>
      </c>
    </row>
    <row r="32" spans="1:3" x14ac:dyDescent="0.25">
      <c r="B32" s="62" cm="1">
        <f t="array" ref="B32">INDEX($A:$A, (ROW()-1)*2 + COLUMN()-1)</f>
        <v>0</v>
      </c>
      <c r="C32" s="62" cm="1">
        <f t="array" ref="C32">INDEX($A:$A, (ROW()-1)*2 + COLUMN()-1)</f>
        <v>0</v>
      </c>
    </row>
    <row r="33" spans="2:3" x14ac:dyDescent="0.25">
      <c r="B33" s="62" cm="1">
        <f t="array" ref="B33">INDEX($A:$A, (ROW()-1)*2 + COLUMN()-1)</f>
        <v>0</v>
      </c>
      <c r="C33" s="62" cm="1">
        <f t="array" ref="C33">INDEX($A:$A, (ROW()-1)*2 + COLUMN()-1)</f>
        <v>0</v>
      </c>
    </row>
    <row r="34" spans="2:3" x14ac:dyDescent="0.25">
      <c r="B34" s="62" cm="1">
        <f t="array" ref="B34">INDEX($A:$A, (ROW()-1)*2 + COLUMN()-1)</f>
        <v>0</v>
      </c>
      <c r="C34" s="62" cm="1">
        <f t="array" ref="C34">INDEX($A:$A, (ROW()-1)*2 + COLUMN()-1)</f>
        <v>0</v>
      </c>
    </row>
    <row r="35" spans="2:3" x14ac:dyDescent="0.25">
      <c r="B35" s="62" cm="1">
        <f t="array" ref="B35">INDEX($A:$A, (ROW()-1)*2 + COLUMN()-1)</f>
        <v>0</v>
      </c>
      <c r="C35" s="62" cm="1">
        <f t="array" ref="C35">INDEX($A:$A, (ROW()-1)*2 + COLUMN()-1)</f>
        <v>0</v>
      </c>
    </row>
    <row r="36" spans="2:3" x14ac:dyDescent="0.25">
      <c r="B36" s="62" cm="1">
        <f t="array" ref="B36">INDEX($A:$A, (ROW()-1)*2 + COLUMN()-1)</f>
        <v>0</v>
      </c>
      <c r="C36" s="62" cm="1">
        <f t="array" ref="C36">INDEX($A:$A, (ROW()-1)*2 + COLUMN()-1)</f>
        <v>0</v>
      </c>
    </row>
    <row r="37" spans="2:3" x14ac:dyDescent="0.25">
      <c r="B37" s="62" cm="1">
        <f t="array" ref="B37">INDEX($A:$A, (ROW()-1)*2 + COLUMN()-1)</f>
        <v>0</v>
      </c>
      <c r="C37" s="62" cm="1">
        <f t="array" ref="C37">INDEX($A:$A, (ROW()-1)*2 + COLUMN()-1)</f>
        <v>0</v>
      </c>
    </row>
    <row r="38" spans="2:3" x14ac:dyDescent="0.25">
      <c r="B38" s="62" cm="1">
        <f t="array" ref="B38">INDEX($A:$A, (ROW()-1)*2 + COLUMN()-1)</f>
        <v>0</v>
      </c>
      <c r="C38" s="62" cm="1">
        <f t="array" ref="C38">INDEX($A:$A, (ROW()-1)*2 + COLUMN()-1)</f>
        <v>0</v>
      </c>
    </row>
    <row r="39" spans="2:3" x14ac:dyDescent="0.25">
      <c r="B39" s="62" cm="1">
        <f t="array" ref="B39">INDEX($A:$A, (ROW()-1)*2 + COLUMN()-1)</f>
        <v>0</v>
      </c>
      <c r="C39" s="62" cm="1">
        <f t="array" ref="C39">INDEX($A:$A, (ROW()-1)*2 + COLUMN()-1)</f>
        <v>0</v>
      </c>
    </row>
    <row r="40" spans="2:3" x14ac:dyDescent="0.25">
      <c r="B40" s="62" cm="1">
        <f t="array" ref="B40">INDEX($A:$A, (ROW()-1)*2 + COLUMN()-1)</f>
        <v>0</v>
      </c>
      <c r="C40" s="62" cm="1">
        <f t="array" ref="C40">INDEX($A:$A, (ROW()-1)*2 + COLUMN()-1)</f>
        <v>0</v>
      </c>
    </row>
    <row r="41" spans="2:3" x14ac:dyDescent="0.25">
      <c r="B41" s="62" cm="1">
        <f t="array" ref="B41">INDEX($A:$A, (ROW()-1)*2 + COLUMN()-1)</f>
        <v>0</v>
      </c>
      <c r="C41" s="62" cm="1">
        <f t="array" ref="C41">INDEX($A:$A, (ROW()-1)*2 + COLUMN()-1)</f>
        <v>0</v>
      </c>
    </row>
    <row r="42" spans="2:3" x14ac:dyDescent="0.25">
      <c r="B42" s="62" cm="1">
        <f t="array" ref="B42">INDEX($A:$A, (ROW()-1)*2 + COLUMN()-1)</f>
        <v>0</v>
      </c>
      <c r="C42" s="62" cm="1">
        <f t="array" ref="C42">INDEX($A:$A, (ROW()-1)*2 + COLUMN()-1)</f>
        <v>0</v>
      </c>
    </row>
    <row r="43" spans="2:3" x14ac:dyDescent="0.25">
      <c r="B43" s="62" cm="1">
        <f t="array" ref="B43">INDEX($A:$A, (ROW()-1)*2 + COLUMN()-1)</f>
        <v>0</v>
      </c>
      <c r="C43" s="62" cm="1">
        <f t="array" ref="C43">INDEX($A:$A, (ROW()-1)*2 + COLUMN()-1)</f>
        <v>0</v>
      </c>
    </row>
    <row r="44" spans="2:3" x14ac:dyDescent="0.25">
      <c r="B44" s="62" cm="1">
        <f t="array" ref="B44">INDEX($A:$A, (ROW()-1)*2 + COLUMN()-1)</f>
        <v>0</v>
      </c>
      <c r="C44" s="62" cm="1">
        <f t="array" ref="C44">INDEX($A:$A, (ROW()-1)*2 + COLUMN()-1)</f>
        <v>0</v>
      </c>
    </row>
    <row r="45" spans="2:3" x14ac:dyDescent="0.25">
      <c r="B45" s="62" cm="1">
        <f t="array" ref="B45">INDEX($A:$A, (ROW()-1)*2 + COLUMN()-1)</f>
        <v>0</v>
      </c>
      <c r="C45" s="62" cm="1">
        <f t="array" ref="C45">INDEX($A:$A, (ROW()-1)*2 + COLUMN()-1)</f>
        <v>0</v>
      </c>
    </row>
    <row r="46" spans="2:3" x14ac:dyDescent="0.25">
      <c r="B46" s="62" cm="1">
        <f t="array" ref="B46">INDEX($A:$A, (ROW()-1)*2 + COLUMN()-1)</f>
        <v>0</v>
      </c>
      <c r="C46" s="62" cm="1">
        <f t="array" ref="C46">INDEX($A:$A, (ROW()-1)*2 + COLUMN()-1)</f>
        <v>0</v>
      </c>
    </row>
    <row r="47" spans="2:3" x14ac:dyDescent="0.25">
      <c r="B47" s="62" cm="1">
        <f t="array" ref="B47">INDEX($A:$A, (ROW()-1)*2 + COLUMN()-1)</f>
        <v>0</v>
      </c>
      <c r="C47" s="62" cm="1">
        <f t="array" ref="C47">INDEX($A:$A, (ROW()-1)*2 + COLUMN()-1)</f>
        <v>0</v>
      </c>
    </row>
    <row r="48" spans="2:3" x14ac:dyDescent="0.25">
      <c r="B48" s="62" cm="1">
        <f t="array" ref="B48">INDEX($A:$A, (ROW()-1)*2 + COLUMN()-1)</f>
        <v>0</v>
      </c>
      <c r="C48" s="62" cm="1">
        <f t="array" ref="C48">INDEX($A:$A, (ROW()-1)*2 + COLUMN()-1)</f>
        <v>0</v>
      </c>
    </row>
    <row r="49" spans="2:3" x14ac:dyDescent="0.25">
      <c r="B49" s="62" cm="1">
        <f t="array" ref="B49">INDEX($A:$A, (ROW()-1)*2 + COLUMN()-1)</f>
        <v>0</v>
      </c>
      <c r="C49" s="62" cm="1">
        <f t="array" ref="C49">INDEX($A:$A, (ROW()-1)*2 + COLUMN()-1)</f>
        <v>0</v>
      </c>
    </row>
    <row r="50" spans="2:3" x14ac:dyDescent="0.25">
      <c r="B50" s="62" cm="1">
        <f t="array" ref="B50">INDEX($A:$A, (ROW()-1)*2 + COLUMN()-1)</f>
        <v>0</v>
      </c>
      <c r="C50" s="62" cm="1">
        <f t="array" ref="C50">INDEX($A:$A, (ROW()-1)*2 + COLUMN()-1)</f>
        <v>0</v>
      </c>
    </row>
    <row r="51" spans="2:3" x14ac:dyDescent="0.25">
      <c r="B51" s="62" cm="1">
        <f t="array" ref="B51">INDEX($A:$A, (ROW()-1)*2 + COLUMN()-1)</f>
        <v>0</v>
      </c>
      <c r="C51" s="62" cm="1">
        <f t="array" ref="C51">INDEX($A:$A, (ROW()-1)*2 + COLUMN()-1)</f>
        <v>0</v>
      </c>
    </row>
    <row r="52" spans="2:3" x14ac:dyDescent="0.25">
      <c r="B52" s="62" cm="1">
        <f t="array" ref="B52">INDEX($A:$A, (ROW()-1)*2 + COLUMN()-1)</f>
        <v>0</v>
      </c>
      <c r="C52" s="62" cm="1">
        <f t="array" ref="C52">INDEX($A:$A, (ROW()-1)*2 + COLUMN()-1)</f>
        <v>0</v>
      </c>
    </row>
    <row r="53" spans="2:3" x14ac:dyDescent="0.25">
      <c r="B53" s="62" cm="1">
        <f t="array" ref="B53">INDEX($A:$A, (ROW()-1)*2 + COLUMN()-1)</f>
        <v>0</v>
      </c>
      <c r="C53" s="62" cm="1">
        <f t="array" ref="C53">INDEX($A:$A, (ROW()-1)*2 + COLUMN()-1)</f>
        <v>0</v>
      </c>
    </row>
    <row r="54" spans="2:3" x14ac:dyDescent="0.25">
      <c r="C54" s="62" cm="1">
        <f t="array" ref="C54">INDEX($A:$A, (ROW()-1)*2 + COLUMN()-1)</f>
        <v>0</v>
      </c>
    </row>
    <row r="55" spans="2:3" x14ac:dyDescent="0.25">
      <c r="C55" s="62" cm="1">
        <f t="array" ref="C55">INDEX($A:$A, (ROW()-1)*2 + COLUMN()-1)</f>
        <v>0</v>
      </c>
    </row>
    <row r="56" spans="2:3" x14ac:dyDescent="0.25">
      <c r="C56" s="62" cm="1">
        <f t="array" ref="C56">INDEX($A:$A, (ROW()-1)*2 + COLUMN()-1)</f>
        <v>0</v>
      </c>
    </row>
    <row r="57" spans="2:3" x14ac:dyDescent="0.25">
      <c r="C57" s="62" cm="1">
        <f t="array" ref="C57">INDEX($A:$A, (ROW()-1)*2 + COLUMN()-1)</f>
        <v>0</v>
      </c>
    </row>
    <row r="58" spans="2:3" x14ac:dyDescent="0.25">
      <c r="C58" s="62" cm="1">
        <f t="array" ref="C58">INDEX($A:$A, (ROW()-1)*2 + COLUMN()-1)</f>
        <v>0</v>
      </c>
    </row>
    <row r="59" spans="2:3" x14ac:dyDescent="0.25">
      <c r="C59" s="62" cm="1">
        <f t="array" ref="C59">INDEX($A:$A, (ROW()-1)*2 + COLUMN()-1)</f>
        <v>0</v>
      </c>
    </row>
    <row r="60" spans="2:3" x14ac:dyDescent="0.25">
      <c r="C60" s="62" cm="1">
        <f t="array" ref="C60">INDEX($A:$A, (ROW()-1)*2 + COLUMN()-1)</f>
        <v>0</v>
      </c>
    </row>
    <row r="61" spans="2:3" x14ac:dyDescent="0.25">
      <c r="C61" s="62" cm="1">
        <f t="array" ref="C61">INDEX($A:$A, (ROW()-1)*2 + COLUMN()-1)</f>
        <v>0</v>
      </c>
    </row>
    <row r="62" spans="2:3" x14ac:dyDescent="0.25">
      <c r="C62" s="62" cm="1">
        <f t="array" ref="C62">INDEX($A:$A, (ROW()-1)*2 + COLUMN()-1)</f>
        <v>0</v>
      </c>
    </row>
    <row r="63" spans="2:3" x14ac:dyDescent="0.25">
      <c r="C63" s="62" cm="1">
        <f t="array" ref="C63">INDEX($A:$A, (ROW()-1)*2 + COLUMN()-1)</f>
        <v>0</v>
      </c>
    </row>
    <row r="64" spans="2:3" x14ac:dyDescent="0.25">
      <c r="C64" s="62" cm="1">
        <f t="array" ref="C64">INDEX($A:$A, (ROW()-1)*2 + COLUMN()-1)</f>
        <v>0</v>
      </c>
    </row>
    <row r="65" spans="3:3" x14ac:dyDescent="0.25">
      <c r="C65" s="62" cm="1">
        <f t="array" ref="C65">INDEX($A:$A, (ROW()-1)*2 + COLUMN()-1)</f>
        <v>0</v>
      </c>
    </row>
    <row r="66" spans="3:3" x14ac:dyDescent="0.25">
      <c r="C66" s="62" cm="1">
        <f t="array" ref="C66">INDEX($A:$A, (ROW()-1)*2 + COLUMN()-1)</f>
        <v>0</v>
      </c>
    </row>
    <row r="67" spans="3:3" x14ac:dyDescent="0.25">
      <c r="C67" s="62" cm="1">
        <f t="array" ref="C67">INDEX($A:$A, (ROW()-1)*2 + COLUMN()-1)</f>
        <v>0</v>
      </c>
    </row>
    <row r="68" spans="3:3" x14ac:dyDescent="0.25">
      <c r="C68" s="62" cm="1">
        <f t="array" ref="C68">INDEX($A:$A, (ROW()-1)*2 + COLUMN()-1)</f>
        <v>0</v>
      </c>
    </row>
    <row r="69" spans="3:3" x14ac:dyDescent="0.25">
      <c r="C69" s="62" cm="1">
        <f t="array" ref="C69">INDEX($A:$A, (ROW()-1)*2 + COLUMN()-1)</f>
        <v>0</v>
      </c>
    </row>
    <row r="70" spans="3:3" x14ac:dyDescent="0.25">
      <c r="C70" s="62" cm="1">
        <f t="array" ref="C70">INDEX($A:$A, (ROW()-1)*2 + COLUMN()-1)</f>
        <v>0</v>
      </c>
    </row>
    <row r="71" spans="3:3" x14ac:dyDescent="0.25">
      <c r="C71" s="62" cm="1">
        <f t="array" ref="C71">INDEX($A:$A, (ROW()-1)*2 + COLUMN()-1)</f>
        <v>0</v>
      </c>
    </row>
    <row r="72" spans="3:3" x14ac:dyDescent="0.25">
      <c r="C72" s="62" cm="1">
        <f t="array" ref="C72">INDEX($A:$A, (ROW()-1)*2 + COLUMN()-1)</f>
        <v>0</v>
      </c>
    </row>
    <row r="73" spans="3:3" x14ac:dyDescent="0.25">
      <c r="C73" s="62" cm="1">
        <f t="array" ref="C73">INDEX($A:$A, (ROW()-1)*2 + COLUMN()-1)</f>
        <v>0</v>
      </c>
    </row>
    <row r="74" spans="3:3" x14ac:dyDescent="0.25">
      <c r="C74" s="62" cm="1">
        <f t="array" ref="C74">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2026-02-25T08:08:36Z</dcterms:modified>
</cp:coreProperties>
</file>