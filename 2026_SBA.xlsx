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şvuru" sheetId="1" state="visible" r:id="rId3"/>
    <sheet name="Raportör" sheetId="2" state="visible" r:id="rId4"/>
    <sheet name="Düzeltme_Takip" sheetId="3" state="visible" r:id="rId5"/>
    <sheet name="Sayılar" sheetId="4" state="visible" r:id="rId6"/>
  </sheets>
  <definedNames>
    <definedName function="false" hidden="true" localSheetId="0" name="_xlnm._FilterDatabase" vbProcedure="false">Başvuru!$A$2:$AB$2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<sst xmlns="http://schemas.openxmlformats.org/spreadsheetml/2006/main" count="3212" uniqueCount="1272">
  <si>
    <t xml:space="preserve">TEMEL BİLGİLER</t>
  </si>
  <si>
    <t xml:space="preserve">RAPORTÖRLER</t>
  </si>
  <si>
    <t xml:space="preserve">1. TUR DEĞERLENDİRME</t>
  </si>
  <si>
    <t xml:space="preserve">2. TUR DEĞERLENDİRME</t>
  </si>
  <si>
    <t xml:space="preserve">3. TUR DEĞERLENDİRME</t>
  </si>
  <si>
    <t xml:space="preserve">4. TUR DEĞERLENDİRME</t>
  </si>
  <si>
    <t xml:space="preserve">DURUM</t>
  </si>
  <si>
    <t xml:space="preserve">S.NO</t>
  </si>
  <si>
    <t xml:space="preserve">SBA NUMARASI</t>
  </si>
  <si>
    <t xml:space="preserve">SORUMLUSU</t>
  </si>
  <si>
    <t xml:space="preserve">BİRİMİ</t>
  </si>
  <si>
    <t xml:space="preserve">YERİ</t>
  </si>
  <si>
    <t xml:space="preserve">ADI</t>
  </si>
  <si>
    <t xml:space="preserve">NİTELİĞİ</t>
  </si>
  <si>
    <t xml:space="preserve">BAŞVURU TARİHİ</t>
  </si>
  <si>
    <t xml:space="preserve">KURUL TARİHİ</t>
  </si>
  <si>
    <t xml:space="preserve">RAPORTÖR 1</t>
  </si>
  <si>
    <t xml:space="preserve">RAPORTÖR 2</t>
  </si>
  <si>
    <t xml:space="preserve">R1K1</t>
  </si>
  <si>
    <t xml:space="preserve">R2K1</t>
  </si>
  <si>
    <t xml:space="preserve">KK1</t>
  </si>
  <si>
    <t xml:space="preserve">K1 DİLEKÇE</t>
  </si>
  <si>
    <t xml:space="preserve">R1K2</t>
  </si>
  <si>
    <t xml:space="preserve">R2K2</t>
  </si>
  <si>
    <t xml:space="preserve">KK2</t>
  </si>
  <si>
    <t xml:space="preserve">K2 DİLEKÇE</t>
  </si>
  <si>
    <t xml:space="preserve">R1K3</t>
  </si>
  <si>
    <t xml:space="preserve">R2K3</t>
  </si>
  <si>
    <t xml:space="preserve">KK3</t>
  </si>
  <si>
    <t xml:space="preserve">K3 DİLEKÇE</t>
  </si>
  <si>
    <t xml:space="preserve">R1K4</t>
  </si>
  <si>
    <t xml:space="preserve">R2K4</t>
  </si>
  <si>
    <t xml:space="preserve">KK4</t>
  </si>
  <si>
    <t xml:space="preserve">K4 DİLEKÇE</t>
  </si>
  <si>
    <t xml:space="preserve">GÜNCEL DURUM</t>
  </si>
  <si>
    <t xml:space="preserve">1.0</t>
  </si>
  <si>
    <t xml:space="preserve">SBA 26/001</t>
  </si>
  <si>
    <t xml:space="preserve">Dr. Vet. Hek. Özgür Doğuş EROL DUYAR</t>
  </si>
  <si>
    <t xml:space="preserve">Sağlık Bilimleri Enstitüsü</t>
  </si>
  <si>
    <t xml:space="preserve">Üniversitemiz Sağlık Bilimleri Enstitüsü doktora sonrası araştırmacısı olan Dr. Özgür Doğuş EROL DUYAR’ın sorumlu araştırmacı olduğu, Doç. Dr. Fatima S. F. AERTS KAYA ve Prof. Dr. Y. Çetin KOCAEFE ile birlikte çalışacakları,</t>
  </si>
  <si>
    <t xml:space="preserve">“Griscelli Sendromu Tip 2 Gen Tedavisinin İn Vivo Fonksiyonel Değerlendirilmesi”</t>
  </si>
  <si>
    <t xml:space="preserve">Bireysel Araştırma</t>
  </si>
  <si>
    <t xml:space="preserve">2026-01-06 00:00:00</t>
  </si>
  <si>
    <t xml:space="preserve">Prof. Dr. Ayşe Nurten AKARSU</t>
  </si>
  <si>
    <t xml:space="preserve">Doç. Dr. Kübra AYKAÇ</t>
  </si>
  <si>
    <t xml:space="preserve">ONAY</t>
  </si>
  <si>
    <t xml:space="preserve">2.0</t>
  </si>
  <si>
    <t xml:space="preserve">SBA 26/002</t>
  </si>
  <si>
    <t xml:space="preserve">Prof. Dr. Esra BİRBEN</t>
  </si>
  <si>
    <t xml:space="preserve">Moleküler Biyoloji Anabilim Dalı</t>
  </si>
  <si>
    <t xml:space="preserve">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</si>
  <si>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 xml:space="preserve">“IgE Aracılı ve IgE Aracılı Olmayan Besin Alerjilerinde Kodlamayan RNAların Rolünün ve Bağırsak Mikrobiyatası ile İlişkisinin Belirlenmesi”</t>
  </si>
  <si>
    <t xml:space="preserve">Prof. Dr. Gözde GİRGİN</t>
  </si>
  <si>
    <t xml:space="preserve">3.0</t>
  </si>
  <si>
    <t xml:space="preserve">SBA 26/003</t>
  </si>
  <si>
    <t xml:space="preserve">Doç. Dr. Gamze DURHAN</t>
  </si>
  <si>
    <t xml:space="preserve">Radyoloji Anabilim Dalı</t>
  </si>
  <si>
    <t xml:space="preserve">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</si>
  <si>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 xml:space="preserve">“Akciğer Grafisinde Kardiyomegali Değerlendirmesinde Yapay Zeka: Bulguların Toraks BT Bulgulan ile Karşılaştırılması”</t>
  </si>
  <si>
    <t xml:space="preserve">Dr. Öğr. Üyesi Müge DEMİR</t>
  </si>
  <si>
    <t xml:space="preserve">Doç. Dr. Ekim GÜMELER</t>
  </si>
  <si>
    <t xml:space="preserve">4.0</t>
  </si>
  <si>
    <t xml:space="preserve">SBA 26/004</t>
  </si>
  <si>
    <t xml:space="preserve">Prof. Dr. Bayram ŞAHİN</t>
  </si>
  <si>
    <t xml:space="preserve">Lokman Hekim Üniversitesi
Sağlık Hizmetleri Meslek Yüksekokulu</t>
  </si>
  <si>
    <t xml:space="preserve">Lokman Hekim Üniversitesi Sağlık Hizmetleri Meslek Yüksekokulu öğretim üyelerinden Prof. Dr. Bayram ŞAHİN'in sorumlu araştırmacı olduğu; Prof. Dr. Müberra AKDOĞAN, Uzm. Dr. Aykut Burak BAYAV ile birlikte çalışacakları ve Gülcan AYDIN’ın doktora tezi olan,</t>
  </si>
  <si>
    <t xml:space="preserve">“Katarakt Cerrahisinin Uygunluğunun Değerlendirilmesi”</t>
  </si>
  <si>
    <t xml:space="preserve">Doktora Tezi</t>
  </si>
  <si>
    <t xml:space="preserve">Doç. Dr. Tolga ÇAKMAK</t>
  </si>
  <si>
    <t xml:space="preserve">Doç. Dr. Burcu ERSÖZ ALAN</t>
  </si>
  <si>
    <t xml:space="preserve">DÜZELTME</t>
  </si>
  <si>
    <t xml:space="preserve">5.0</t>
  </si>
  <si>
    <t xml:space="preserve">SBA 26/005</t>
  </si>
  <si>
    <t xml:space="preserve">Prof. Dr. Ömür ÇELİKBIÇAK</t>
  </si>
  <si>
    <t xml:space="preserve">Fizikokimya Anabilim Dalı</t>
  </si>
  <si>
    <t xml:space="preserve">Üniversitemiz Fen Fakültesi Fizikokimya Anabilim Dalı öğretim üyelerinden Prof. Dr. Ömür ÇELİKBIÇAK’ın sorumlu araştırmacı olduğu, Neslihan ZENCİRCİ’nin doktora tezi olan,</t>
  </si>
  <si>
    <t xml:space="preserve">“Sentetik Peptit Temelli Yeni Nesil Biyosidal Malzemelerin Geliştirilmesi”</t>
  </si>
  <si>
    <t xml:space="preserve">Prof. Dr. Yavuz AYHAN</t>
  </si>
  <si>
    <t xml:space="preserve">Prof. Dr. Melih Önder BABAOĞLU</t>
  </si>
  <si>
    <t xml:space="preserve">6.0</t>
  </si>
  <si>
    <t xml:space="preserve">SBA 26/006</t>
  </si>
  <si>
    <t xml:space="preserve">Prof. Dr. Meltem Gülhan HALİL</t>
  </si>
  <si>
    <t xml:space="preserve">İç Hastalıkları Anabilim Dalı</t>
  </si>
  <si>
    <t xml:space="preserve">Üniversitemiz Tıp Fakültesi İç Hastalıkları Anabilim Dalı öğretim üyelerinden Prof. Dr. Meltem Gülhan HALİL’in sorumlu araştırmacı olduğu, Prof. Dr. Salih Kutay DEMİRKAN, Arş. Gör. Dr. Mihriban GÜNGÖR ile birlikte çalışacakları,</t>
  </si>
  <si>
    <t xml:space="preserve">“Hastanede Oral ve Enteral Nütrisyon Ürünlerinin Erişilebilirliği ve Reçeleme Pratikleri: Retrospektif Gözlemsel Çalışma”</t>
  </si>
  <si>
    <t xml:space="preserve">Prof. Dr. Ayşe KİN İŞLER</t>
  </si>
  <si>
    <t xml:space="preserve">7.0</t>
  </si>
  <si>
    <t xml:space="preserve">SBA 26/007</t>
  </si>
  <si>
    <t xml:space="preserve">Doç. Dr. Ayhan EYMİRLİ</t>
  </si>
  <si>
    <t xml:space="preserve">Endodonti Anabilim Dalı</t>
  </si>
  <si>
    <t xml:space="preserve">Üniversitemiz Diş Hekimliği Fakültesi Endodonti Anabilim Dalı öğretim üyelerinden Doç. Dr. Ayhan EYMİRLİ’nin sorumlu araştırmacı olduğu, Dt. Zeynep Buket DAĞ’ın uzmanlık tezi olan,</t>
  </si>
  <si>
    <t xml:space="preserve">“Gümüş Nanopartikül İçeren İrrigasyon ve Aktivasyon Tekniklerinin Dentin Mikrosertliği ve Tübül Penetrasyonu Üzerine Etkisi”</t>
  </si>
  <si>
    <t xml:space="preserve">Uzmanlık Tezi</t>
  </si>
  <si>
    <t xml:space="preserve">Prof. Dr. M. Özgür UYANIK</t>
  </si>
  <si>
    <t xml:space="preserve">8.0</t>
  </si>
  <si>
    <t xml:space="preserve">SBA 26/008</t>
  </si>
  <si>
    <t xml:space="preserve">Doç. Dr. Nursel ÇALIK BAŞARAN</t>
  </si>
  <si>
    <t xml:space="preserve">Üniversitemiz Tıp Fakültesi İç Hastalıkları Anabilim Dalı öğretim üyelerinden Doç. Dr. Nursel Çalık BAŞARAN’ın sorumlu araştırmacı olduğu,  Arş. Gör. Dr. Ahmet Burak ARSLAN’ın uzmanlık tezi olan,</t>
  </si>
  <si>
    <t xml:space="preserve">“Hacettepe Üniversitesi Tıp Fakültesi Hastanesinde Görev Yapan Asistan Hekimlerin Doğal Afet Farkındalığı ve Afetlere Hazırlık Düzeylerinin Değerlendirilmesi ”</t>
  </si>
  <si>
    <t xml:space="preserve">Prof. Dr. Nazmiye Ebru ORTAÇ ERSOY</t>
  </si>
  <si>
    <t xml:space="preserve">9.0</t>
  </si>
  <si>
    <t xml:space="preserve">SBA 26/009</t>
  </si>
  <si>
    <t xml:space="preserve">Öğr. Gör. Dr. Buket KILIÇ</t>
  </si>
  <si>
    <t xml:space="preserve">Çocuk ve Ergen Ruh Sağlığı ve Hastalıkları Anabilim Dalı</t>
  </si>
  <si>
    <t xml:space="preserve">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</si>
  <si>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 xml:space="preserve">“Ergenlerde Akran Zorbalığının Özerklik, Kimlik Özellikleri ve Bağlanma ile İlişkisi”</t>
  </si>
  <si>
    <t xml:space="preserve">10.0</t>
  </si>
  <si>
    <t xml:space="preserve">SBA 26/010</t>
  </si>
  <si>
    <t xml:space="preserve">Prof. Dr. Yakut AKYÖN YILMAZ</t>
  </si>
  <si>
    <t xml:space="preserve">Tıbbi Mikrobiyoloji Anabilim Dalı</t>
  </si>
  <si>
    <t xml:space="preserve">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</si>
  <si>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 xml:space="preserve">“Apikal Periyodontitis Etiyopatogenezinde İnflamatuar Sitokin Polimorfizmleri -Mikrobiyom İlişkisinin Araştırılması”</t>
  </si>
  <si>
    <t xml:space="preserve">11.0</t>
  </si>
  <si>
    <t xml:space="preserve">SBA 26/011</t>
  </si>
  <si>
    <t xml:space="preserve">Prof. Dr. Ömer KARADAĞ</t>
  </si>
  <si>
    <t xml:space="preserve">Üniversitemiz Tıp Fakültesi İç Hastalıkları Anabilim Dalı öğretim üyelerinden Prof. Dr. Ömer KARADAĞ’ın sorumlu araştırmacı olduğu, Arş. Gör. Dr. Büşra FIRLATAN YAZGAN ile birlikte çalışacakları,</t>
  </si>
  <si>
    <t xml:space="preserve">“Poliarteritis Nodoza (PAN) Hastalarında Organ Tutulum Paternlerinin Latent Sınıf ve Faktör Analizi ile Değerlendirilmesi (Evaluation of Organ Involvement Patterns in Patients With Polyarteritis Nodosa Using Latent Classand Factor Analysis)</t>
  </si>
  <si>
    <t xml:space="preserve">12.0</t>
  </si>
  <si>
    <t xml:space="preserve">SBA 26/012</t>
  </si>
  <si>
    <t xml:space="preserve">Prof. Dr. N. Dilara ZEYBEK</t>
  </si>
  <si>
    <t xml:space="preserve">Histoloji ve Embriyoloji Anabilim Dalı</t>
  </si>
  <si>
    <t xml:space="preserve">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</si>
  <si>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 xml:space="preserve">“Meme Kanseri Hücrelerinde Cx43 ve YAP Arasındaki İlişkinin Araştırılması”</t>
  </si>
  <si>
    <t xml:space="preserve">KAPSAM DIŞI</t>
  </si>
  <si>
    <t xml:space="preserve">13.0</t>
  </si>
  <si>
    <t xml:space="preserve">SBA 26/013</t>
  </si>
  <si>
    <t xml:space="preserve">Prof. Dr. Orhan ODABAŞI</t>
  </si>
  <si>
    <t xml:space="preserve">Tıp Eğitimi ve Bilişimi Anabilim Dalı</t>
  </si>
  <si>
    <t xml:space="preserve">Üniversitemiz Tıp Fakültesi Tıp Eğitimi ve Bilişimi Anabilim Dalı öğretim üyelerinden Prof. Dr. Orhan ODABAŞI’nın sorumlu araştırmacı olduğu, Uzm. Dr. Emel ALTINTAŞ’ın yüksek lisans tezi olan,</t>
  </si>
  <si>
    <t xml:space="preserve">“Acil Tıp Uzmanlık Eğitiminde Ölümcül Göğüs Ağrısı Tanılarında Seprit Konkordans Test Oluşturmak için Büyük Dil Modellerinden ChatGPT ve Claude'nin Kullanılması”</t>
  </si>
  <si>
    <t xml:space="preserve">Yüksek Lisans Tezi</t>
  </si>
  <si>
    <t xml:space="preserve">14.0</t>
  </si>
  <si>
    <t xml:space="preserve">SBA 26/014</t>
  </si>
  <si>
    <t xml:space="preserve">Dr. Öğr. Üyesi Yiğitcan KARANFİL</t>
  </si>
  <si>
    <t xml:space="preserve">Spor Hekimliği Anabilim Dalı</t>
  </si>
  <si>
    <t xml:space="preserve">Üniversitemiz Tıp Fakültesi Spor Hekimliği Anabilim Dalı öğretim üyelerinden Dr. Öğr. Üyesi Yiğitcan KARANFİL'in sorumlu araştırmacı olduğu, Dr. Öğr. Üyesi Burkay UTKU, Arş. Gör. Batuhan Erhan AKTAS, Uzm. Dr. Yiğitcan MENDERES ile birlikte çalışacakları</t>
  </si>
  <si>
    <t xml:space="preserve">“Kadın Hentbolcularda Ultrasonografik Ölçümler ile Omuz Hareket Açıklığı ve Omuz Kuvvetinin Değerlendirilmesi”</t>
  </si>
  <si>
    <t xml:space="preserve">15.0</t>
  </si>
  <si>
    <t xml:space="preserve">SBA 26/015</t>
  </si>
  <si>
    <t xml:space="preserve">Prof. Dr. Ali Fuat KALYONCU</t>
  </si>
  <si>
    <t xml:space="preserve">Göğüs Hastalıkları Anabilim Dalı</t>
  </si>
  <si>
    <t xml:space="preserve">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</si>
  <si>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 xml:space="preserve">“Sülfonamid Türeyi İlaçlara Bağlı Aşırı Duyarlılık Reaksiyonlarında Klinik Sonuçlar”</t>
  </si>
  <si>
    <t xml:space="preserve">RET</t>
  </si>
  <si>
    <t xml:space="preserve">16.0</t>
  </si>
  <si>
    <t xml:space="preserve">SBA 26/016</t>
  </si>
  <si>
    <t xml:space="preserve">Prof. Dr. Gül KARAKAYA</t>
  </si>
  <si>
    <t xml:space="preserve">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</si>
  <si>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 xml:space="preserve">“Herediter Anjioödem Hastalarının Hastalık Farkındalığı ve Karşılanmamış İhtiyaçların Değerlendirilmesi ”</t>
  </si>
  <si>
    <t xml:space="preserve">17.0</t>
  </si>
  <si>
    <t xml:space="preserve">SBA 26/017</t>
  </si>
  <si>
    <t xml:space="preserve">Prof. Dr. Banu KILIÇASLAN</t>
  </si>
  <si>
    <t xml:space="preserve">Anesteziyoloji ve Reanimasyon Anabilim Dalı</t>
  </si>
  <si>
    <t xml:space="preserve">Üniversitemiz Tıp Fakültesi Anesteziyoloji ve Reanimasyon Anabilim Dalı öğretim üyelerinden Prof. Dr. Banu KILIÇASLAN’ın sorumlu araştırmacı olduğu, Arş. Gör. Dr. Celal AVAN’ın uzmanlık tezi olan,</t>
  </si>
  <si>
    <t xml:space="preserve">“Türkiye'deki Anestezi ve Kadın Doğum Doktorlarının Doğum Analjezisi Konusundaki Bakış Açısı Farklılıklarının Değerlendirilmesi”</t>
  </si>
  <si>
    <t xml:space="preserve">18.0</t>
  </si>
  <si>
    <t xml:space="preserve">SBA 26/018</t>
  </si>
  <si>
    <t xml:space="preserve">Doç. Dr. Ulaş KUMBASAR</t>
  </si>
  <si>
    <t xml:space="preserve">Göğüs Cerrahisi Anabilim Dalı</t>
  </si>
  <si>
    <t xml:space="preserve">Üniversitemiz Tıp Fakültesi Göğüs Cerrahisi Anabilim Dalı öğretim üyelerinden Doç. Dr. Ulaş KUMBASAR’ın sorumlu araştırmacı olduğu, Dr. Öğr. Gör. Yiğit YILMAZ, Arş. Gör. Dr. Zeynep TOKMAK ile birlikte çalışacakları,</t>
  </si>
  <si>
    <t xml:space="preserve">“Kolorektal Karsinomlarda Pulmoner Metastaz Paterninin Retrospektif Analizi: Primer Tümör Lokalizasyonunun Rolü”</t>
  </si>
  <si>
    <t xml:space="preserve">19.0</t>
  </si>
  <si>
    <t xml:space="preserve">SBA 26/019</t>
  </si>
  <si>
    <t xml:space="preserve">Dr. Öğr. Üyesi Figen BEZCİ AYGÜN</t>
  </si>
  <si>
    <t xml:space="preserve">Göz Hastalıkları Anabilim Dalı</t>
  </si>
  <si>
    <t xml:space="preserve">Üniversitemiz Tıp Fakültesi Göz Hastalıkları Anabilim Dalı öğretim üyelerinden Dr. Öğr. Üyesi Figen BEZCİ AYGÜN'ün sorumlu araştırmacı olduğu, Prof. Dr. Sibel KADAYIFÇILAR ve Araş. Gör. Dr. Kezban Azra KARGALI KATI ile birlikte çalışacakları,</t>
  </si>
  <si>
    <t xml:space="preserve">“Perifoveal Eksüdatif Vasküler Anomali Kompleksi ve Benzeri Lezyonun Klinik Özellikleri, Görüntüleme Bulguları ve Tedavi Sonuçları”</t>
  </si>
  <si>
    <t xml:space="preserve">20.0</t>
  </si>
  <si>
    <t xml:space="preserve">SBA 26/020</t>
  </si>
  <si>
    <t xml:space="preserve">Üniversitemiz Tıp Fakültesi Göz Hastalıkları Anabilim Dalı öğretim üyelerinden Dr. Öğr. Üyesi Figen BEZCİ AYGÜN'ün sorumlu araştırmacı olduğu, Prof. Dr. Sibel KADAYIFÇILAR ve Arş. Gör. Dr. Kezban Azra KARGALI KATI ile birlikte çalışacakları,</t>
  </si>
  <si>
    <t xml:space="preserve">“Anjioid Strialı Hastaların Demografik, Klinik Özelliklerinin Prognozla İlişkisinin Değerlendirilmesi ve Uzun Dönem Sonuçları”</t>
  </si>
  <si>
    <t xml:space="preserve">21.0</t>
  </si>
  <si>
    <t xml:space="preserve">SBA 26/021</t>
  </si>
  <si>
    <t xml:space="preserve">Prof. Dr. Oğuz IŞIK</t>
  </si>
  <si>
    <t xml:space="preserve">Sağlık Yönetimi Anabilim Dalı</t>
  </si>
  <si>
    <t xml:space="preserve">Üniversitemiz İktisadi İdari Bilimler Fakültesi Sağlık Yönetimi Anabilim Dalı öğretim üyelerinden Prof. Dr. Oğuz IŞIK’ın sorumlu araştırmacı olduğu, Kübra TEKAYAK’ın doktora tezi olan,</t>
  </si>
  <si>
    <t xml:space="preserve">“Sağlık Hizmetlerinde Aşırı Kullanım Algısı: Nedenleri, Sonuçları ve Hekime Güven ile İlişkisinin Hasta Perspektifinden Değerlendirilmesi”</t>
  </si>
  <si>
    <t xml:space="preserve">GÖRÜŞ</t>
  </si>
  <si>
    <t xml:space="preserve">22.0</t>
  </si>
  <si>
    <t xml:space="preserve">SBA 26/022</t>
  </si>
  <si>
    <t xml:space="preserve">Doç. Dr. Dilek ÜNAL</t>
  </si>
  <si>
    <t xml:space="preserve">Üniversitemiz Tıp Fakültesi Çocuk ve Ergen Ruh Sağlığı ve Hastalıkları Anabilim Dalı öğretim üyelerinden Doç. Dr. Dilek ÜNAL’ın sorumlu araştırmacı olduğu, Arş. Gör. Dr. Beray BAHAR'ın uzmanlık tezi olan,</t>
  </si>
  <si>
    <t xml:space="preserve">“Ekran Bağımlılığı ile İnflamasyon İlişkisi”</t>
  </si>
  <si>
    <t xml:space="preserve">23.0</t>
  </si>
  <si>
    <t xml:space="preserve">SBA 26/023</t>
  </si>
  <si>
    <t xml:space="preserve">Prof. Dr. Emre TOSUN</t>
  </si>
  <si>
    <t xml:space="preserve">Ağız, Diş ve Çene Cerrahisi Anabilim Dalı</t>
  </si>
  <si>
    <t xml:space="preserve">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</si>
  <si>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 xml:space="preserve">“Maksiller Sinüs Lift Cerrahisinin Komşu Dişlerin Pulpa Vitalitesi Üzerine Etkisinin Elektriksel ve Termal Testlerle Değerlendirilmesi”</t>
  </si>
  <si>
    <t xml:space="preserve">KAEK</t>
  </si>
  <si>
    <t xml:space="preserve">24.0</t>
  </si>
  <si>
    <t xml:space="preserve">SBA 26/024</t>
  </si>
  <si>
    <t xml:space="preserve">Prof. Dr. Seza ÖZEN</t>
  </si>
  <si>
    <t xml:space="preserve">Çocuk Sağlığı ve Hastalıkları Anabilim Dalı</t>
  </si>
  <si>
    <t xml:space="preserve">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</si>
  <si>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 xml:space="preserve">“Kawasaki Hastalığının Viral Enfeksiyonlar ve Hava Kirliliği ile İlişkisi”</t>
  </si>
  <si>
    <t xml:space="preserve">25.0</t>
  </si>
  <si>
    <t xml:space="preserve">SBA 26/025</t>
  </si>
  <si>
    <t xml:space="preserve">Dr. Öğr. Üyesi Gonca ÖZTEN</t>
  </si>
  <si>
    <t xml:space="preserve">Kadın Hastalıkları ve Doğum Anabilim Dalı</t>
  </si>
  <si>
    <t xml:space="preserve">Üniversitemiz Tıp Fakültesi Kadın Hastalıkları ve Doğum Anabilim Dalı öğretim üyelerinden Dr. Öğr. Üyesi Gonca ÖZTEN DERE’nin sorumlu araştırmacı olduğu, Dr. Haticegül TUNCER ile birlikte çalışacakları,</t>
  </si>
  <si>
    <t xml:space="preserve">“Düşük Antimüllerian Hormon Düzeyine Sahip Kadınlarda Gerçekleşen Gebelik Kayıplarının Retrospektif Olarak Araştırılması”</t>
  </si>
  <si>
    <t xml:space="preserve">26.0</t>
  </si>
  <si>
    <t xml:space="preserve">SBA 26/026</t>
  </si>
  <si>
    <t xml:space="preserve">Prof. Dr. Hikmet YORGUN</t>
  </si>
  <si>
    <t xml:space="preserve">Kardiyoloji Anabilim Dalı</t>
  </si>
  <si>
    <t xml:space="preserve">Üniversitemiz Tıp Fakültesi Kardiyoloji Anabilim Dalı öğretim üyelerinden Prof. Dr. Hikmet YORGUN’un sorumlu araştırmacı olduğu, Prof. Dr. Kudret AYTEMİR, Doç. Dr. Cem ÇÖTELİ ve Arş. Gör. Dr. Hüseyin Alper BULUT ile birlikte çalışacakları,</t>
  </si>
  <si>
    <t xml:space="preserve">“Reenterant Sol Atriyal Taşikardi İndüklenen Atriyal Fibrilasyon Hastalarında Fonksiyonel Harita Özelliklerinin Prognoza Etkisi”</t>
  </si>
  <si>
    <t xml:space="preserve">27.0</t>
  </si>
  <si>
    <t xml:space="preserve">SBA 26/027</t>
  </si>
  <si>
    <t xml:space="preserve">Üniversitemiz Tıp Fakültesi Spor Hekimliği Anabilim Dalı öğretim üyelerinden Dr. Öğr. Üyesi Yiğitcan KARANFİL'in sorumlu araştırmacı olduğu, Arş. Gör. Dr. Batuhan Erhan AKTAŞ ile birlikte çalışacakları,</t>
  </si>
  <si>
    <t xml:space="preserve">“Eskrim Sporcularında Diz ve Omuz Eklemi Ultrasonografik Parametrelerinin Değerlendirilmesi"</t>
  </si>
  <si>
    <t xml:space="preserve">28.0</t>
  </si>
  <si>
    <t xml:space="preserve">SBA 26/028</t>
  </si>
  <si>
    <t xml:space="preserve">Doç. Dr. Levent KILIÇ</t>
  </si>
  <si>
    <t xml:space="preserve">Üniversitemiz Tıp Fakültesi İç Hastalıkları Anabilim Dalı öğretim üyelerinden Doç. Dr. Levent KILIÇ’ın sorumlu araştırmacı olduğu, Arş. Gör. Dr. Buğu BULAT ile birlikte çalışacakları,</t>
  </si>
  <si>
    <t xml:space="preserve">“Aksiyel Spondiloartritli Hastalarda Fiziksel Aktiviteyi Değerlendirmek İçin Türkçeleştirilen mSQUASH Anketinin Validasyonu”</t>
  </si>
  <si>
    <t xml:space="preserve">29.0</t>
  </si>
  <si>
    <t xml:space="preserve">SBA 26/029</t>
  </si>
  <si>
    <t xml:space="preserve">Prof. Dr. Kudret AYTEMİR</t>
  </si>
  <si>
    <t xml:space="preserve">Üniversitemiz Tıp Fakültesi Kardiyoloji Anabilim Dalı öğretim üyelerinden Prof. Dr. Kudret AYTEMİR’in sorumlu araştırmacı olduğu, Prof. Dr. Hikmet YORGUN, Doç. Dr. Cem ÇÖTELİ ve Arş. Gör. Dr. Selahattin ÇÖP ile birlikte çalışacakları,</t>
  </si>
  <si>
    <t xml:space="preserve">“Atrial Fibrilasyon Ablasyonu Uygulanan Hastalarda Yüzey EKG P Dalga Parametreleri ile Sol Atrial Skar Arasındaki İlişkinin Değerlendirilmesi”</t>
  </si>
  <si>
    <t xml:space="preserve">2025-12-26 00:00:00</t>
  </si>
  <si>
    <t xml:space="preserve">30.0</t>
  </si>
  <si>
    <t xml:space="preserve">SBA 26/030</t>
  </si>
  <si>
    <t xml:space="preserve">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</si>
  <si>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 xml:space="preserve">“Nonsteroid Anti-inflamatuar İlaçlar ile Tetiklenen Hava Yolu Hastalığı Tanısı Olan Hastalarda Çoklu İlaç Alerjilerinin Değerlendirilmesi”</t>
  </si>
  <si>
    <t xml:space="preserve">31.0</t>
  </si>
  <si>
    <t xml:space="preserve">SBA 26/031</t>
  </si>
  <si>
    <t xml:space="preserve">“Tip 2 Biyolojik Ajan Endikasyonlarını Karşılamayan Hastalarda Biyolojik Tedavi Yanıtlarının ve Klinik Özelliklerin Değerlendirilmesi”</t>
  </si>
  <si>
    <t xml:space="preserve">32.0</t>
  </si>
  <si>
    <t xml:space="preserve">SBA 26/032</t>
  </si>
  <si>
    <t xml:space="preserve">Prof. Dr. Ebru DAMADOĞLU</t>
  </si>
  <si>
    <t xml:space="preserve">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</si>
  <si>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 xml:space="preserve">“Kronik Ürtikerde Sistemik Semptomlarla Giden Alevlenmeler: MCAS Olabilir Mi?”</t>
  </si>
  <si>
    <t xml:space="preserve">33.0</t>
  </si>
  <si>
    <t xml:space="preserve">SBA 26/033</t>
  </si>
  <si>
    <t xml:space="preserve">Üniversitemiz Tıp Fakültesi İç Hastalıklrı Anabilim Dalı öğretim üyelerinden Prof. Dr. Meltem Gülhan HALİL'in sorumlu araştırmacı olduğu, Arş. Gör. Dr. Özge ÖZGÜN ile birlikte çalışacakları ve Arş. Gör. Dr. Emrach CHOUSEIN'in uzmanlık tezi olan,</t>
  </si>
  <si>
    <t xml:space="preserve">“Dehidratasyonun Geritritk Klinik Göstergelerle İlişkisi:65 Yaş Üzeri Bireylerde Retrospektif Kesitsel Analiz”</t>
  </si>
  <si>
    <t xml:space="preserve">34.0</t>
  </si>
  <si>
    <t xml:space="preserve">SBA 26/034</t>
  </si>
  <si>
    <t xml:space="preserve">Öğr. Gör. Dr. Bahattin PASLI</t>
  </si>
  <si>
    <t xml:space="preserve">Anatomi Anabilim Dalı</t>
  </si>
  <si>
    <t xml:space="preserve">Üniversitemiz Tıp Fakültesi Anatomi Anabilim Dalı öğretim görevlilerinden Öğr. Gör. Dr. Bahattin PASLI'nın sorumlu araştırmacı olduğu, Uzm. Dr. Mehmet ÜLKİR ile birlikte çalışacakları,</t>
  </si>
  <si>
    <t xml:space="preserve">“Proksimal Femur Morfometrisinin Ortopedik İmplant ve Protez Tasarımındaki Önemi”</t>
  </si>
  <si>
    <t xml:space="preserve">35.0</t>
  </si>
  <si>
    <t xml:space="preserve">SBA 26/035</t>
  </si>
  <si>
    <t xml:space="preserve">Üniversitemiz Tıp Fakültesi Anatomi Anabilim Dalı öğretim görevlilerinden Öğr. Gör. Dr. Bahattin PASLI'nın sorumlu araştırmacı olduğu, Öğr. Gör. Dr. Helin YÜCEDAĞ GÜNDOĞDU ve Uzm. Dr. Mehmet ÜLKİR ile birlikte çalışacakları,</t>
  </si>
  <si>
    <t xml:space="preserve">“Beden Bağışı Başvurularında Sosyodemografik ve Zamansal Eğilimler: Hacettepe Üniversitesi Deneyimi”</t>
  </si>
  <si>
    <t xml:space="preserve">36.0</t>
  </si>
  <si>
    <t xml:space="preserve">SBA 26/036</t>
  </si>
  <si>
    <t xml:space="preserve">Prof. Dr. Müzeyyen Pınar ÖZGEN KIRATLI</t>
  </si>
  <si>
    <t xml:space="preserve">Nükleer Tıp Anabilim Dalı</t>
  </si>
  <si>
    <t xml:space="preserve">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</si>
  <si>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 xml:space="preserve">“Kronik Tromboembolik Pulmoner Hipertansiyonun Tanısında ve Tedavi Yanıtı Değerlendirmesinde Akciğer Ventilasyon/Perfüzyon Sintigrafisinin Prognostik Gücü”</t>
  </si>
  <si>
    <t xml:space="preserve">37.0</t>
  </si>
  <si>
    <t xml:space="preserve">SBA 26/037</t>
  </si>
  <si>
    <t xml:space="preserve">Prof. Dr. Yasemin ÖZSÜREKCİ</t>
  </si>
  <si>
    <t xml:space="preserve">Üniversitemiz Tıp Fakültesi Çocuk Sağlığı ve Hastalıkları Anabilim Dalı öğretim üyelerinden Prof. Dr. Yasemin ÖZSÜREKCİ’nin sorumlu araştırmacı olduğu, Enes Muzaffer KANDUR ve Gülsena KANDUR ile birlikte çalışacakları</t>
  </si>
  <si>
    <t xml:space="preserve">“Tıp ve Mühendislik Öğrencilerinin Yapay Zekaya Karşı Tutumu”</t>
  </si>
  <si>
    <t xml:space="preserve">38.0</t>
  </si>
  <si>
    <t xml:space="preserve">SBA 26/038</t>
  </si>
  <si>
    <t xml:space="preserve">Öğr. Gör. Dr. Burçay TELLİOĞLU</t>
  </si>
  <si>
    <t xml:space="preserve">Kulak Burun Boğaz Anabilim Dalı</t>
  </si>
  <si>
    <t xml:space="preserve">Üniversitemiz Tıp Fakültesi Kulak Burun Boğaz Anabilim Dalı öğretim üyelerinden Öğr. Gör. Dr. Burçay TELLİOĞLU’nun sorumlu araştırmacı olduğu, Prof. Dr. Serdar ÖZER ve Arş. Gör. Dr. Cem Mustafa Kemal HATAY ile birlikte çalışacakları,</t>
  </si>
  <si>
    <t xml:space="preserve">“Antrakoanal Polip Cerrahisinde Orta Mea Antrostomisi ve Caldwell-Luc Yaklaşımlarının Cerrahi Sonuçlar Açısından Karşılaştırılması”</t>
  </si>
  <si>
    <t xml:space="preserve">39.0</t>
  </si>
  <si>
    <t xml:space="preserve">SBA 26/039</t>
  </si>
  <si>
    <t xml:space="preserve">Doç. Dr. Hande GÖRÜCÜ COŞKUNER</t>
  </si>
  <si>
    <t xml:space="preserve">Ortodonti Anabilim Dalı</t>
  </si>
  <si>
    <t xml:space="preserve">Üniversitemiz Diş Hekimliği Fakültesi Ortodonti Anabilim Dalı öğretim üyelerinden Doç. Dr. Hande GÖRÜCÜ COŞKUNER'in sorumlu araştırmacı olduğu,</t>
  </si>
  <si>
    <t xml:space="preserve">“Ortodontik Tedavi Sürecinde Yapay Zekâ ve Sosyal Medya Kullanım Alışkanlıklarının Değerlendirilmesi”</t>
  </si>
  <si>
    <t xml:space="preserve">40.0</t>
  </si>
  <si>
    <t xml:space="preserve">SBA 26/040</t>
  </si>
  <si>
    <t xml:space="preserve">Doç. Dr. Saliha ESENBOĞA</t>
  </si>
  <si>
    <t xml:space="preserve">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</si>
  <si>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 xml:space="preserve">“Kronik Granülomatöz Hastalık Tanısı ile İzlenen Hastalarda Gastrointestinal ve Hepatik Bulguların Değerlendirilmesi”</t>
  </si>
  <si>
    <t xml:space="preserve">41.0</t>
  </si>
  <si>
    <t xml:space="preserve">SBA 26/041</t>
  </si>
  <si>
    <t xml:space="preserve">Dr. Öğr. Üyesi Ahmet KIVRAK</t>
  </si>
  <si>
    <t xml:space="preserve">Üniversitemiz Tıp Fakültesi Kardiyoloji Anabilim Dalı öğretim üyelerinden Dr. Öğr. Üyesi Ahmet KIVRAK’ın sorumlu araştırmacı olduğu, Doç. Dr. Ahmet Hakan ATEŞ ile birlikte çalışacakları ve Arş. Gör. Dr. Begüm TUNÇ ATEŞSAÇAN’ın uzmanlık tezi olan,</t>
  </si>
  <si>
    <t xml:space="preserve">“Periferik Arter Hastalarında Femoropopliteal Endovasküler Girişim Başarısını Belirleyen Faktörlerin Değerlendirilmesi”</t>
  </si>
  <si>
    <t xml:space="preserve">42.0</t>
  </si>
  <si>
    <t xml:space="preserve">SBA 26/042</t>
  </si>
  <si>
    <t xml:space="preserve">Üniversitemiz Tıp Fakültesi Kardiyoloji Anabilim Dalı öğretim üyelerinden Dr. Öğr. Üyesi Ahmet KIVRAK’ın sorumlu araştırmacı olduğu, Doç. Dr. Ahmet Hakan ATEŞ ve Arş. Gör. Dr. Can SEZER ile birlikte çalışacakları,</t>
  </si>
  <si>
    <t xml:space="preserve">“Şiddetli Koroner Kalsifikasyona Yönelik Girişimlerde Intravasküler Litotripsinin Kullanımının Klinik Sonlanıma Etkisi”</t>
  </si>
  <si>
    <t xml:space="preserve">43.0</t>
  </si>
  <si>
    <t xml:space="preserve">SBA 26/043</t>
  </si>
  <si>
    <t xml:space="preserve">“Sol Atriyal Apendiks Kapama İşlemlerinde Amulet Cihazının Kullanımının Perikardiyal Efüzyon ile İlişkisinin İncelenmesi”</t>
  </si>
  <si>
    <t xml:space="preserve">44.0</t>
  </si>
  <si>
    <t xml:space="preserve">SBA 26/044</t>
  </si>
  <si>
    <t xml:space="preserve">Prof. Dr. Bülent ALTUN</t>
  </si>
  <si>
    <t xml:space="preserve">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</si>
  <si>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 xml:space="preserve">“Diyabetik Böbrek Hastalığında Albuminürik ve Non-Albuminürik Fenotiplerin Karşılaştırmalı Üriner Metabolomik Analizi”</t>
  </si>
  <si>
    <t xml:space="preserve">45.0</t>
  </si>
  <si>
    <t xml:space="preserve">SBA 26/045</t>
  </si>
  <si>
    <t xml:space="preserve">Prof. Dr. Dilek ASLAN</t>
  </si>
  <si>
    <t xml:space="preserve">Halk Sağlığı Anabilim Dalı</t>
  </si>
  <si>
    <t xml:space="preserve">Üniversitemiz Tıp Fakültesi Halk Sağlığı Anabilim öğretim üyelerinden Prof. Dr. Dilek ASLAN’ın sorumlu araştırmacı olduğu, Dr. Nur Sima SEKBAN’ın doktora tezi olan,</t>
  </si>
  <si>
    <t xml:space="preserve">“Aile Hekimliği Polikliniklerine Başvuran 18 Yaş ve Üzeri Hipertansiyon Hastalarının Hastalık Yönetim Süreçlerine Uyumları ve İlişkili Faktörler”</t>
  </si>
  <si>
    <t xml:space="preserve">46.0</t>
  </si>
  <si>
    <t xml:space="preserve">SBA 26/046</t>
  </si>
  <si>
    <t xml:space="preserve">Prof. Dr. Ali DÜZOVA</t>
  </si>
  <si>
    <t xml:space="preserve">Üniversitemiz Tıp Fakültesi Çocuk Sağlığı ve Hastalıkları Anabilim Dalı öğretim üyelerinden Prof. Dr. Ali DÜZOVA’nın sorumlu araştırmacı olduğu, Hem. Vahide GERÇEKEROL ile birlikte çalışacakları,</t>
  </si>
  <si>
    <t xml:space="preserve">''Çocuk Böbrek Nakli Alıcılarının Ailelerinin Bakım Yükünün Belirlenmesi: Tek Merkez Örneği''</t>
  </si>
  <si>
    <t xml:space="preserve">47.0</t>
  </si>
  <si>
    <t xml:space="preserve">SBA 26/047</t>
  </si>
  <si>
    <t xml:space="preserve">Prof. Dr. Petek KORKUSUZ</t>
  </si>
  <si>
    <t xml:space="preserve">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</si>
  <si>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 xml:space="preserve">“Pediatrik IgA Nefropatisi için Üriner EV Temelli Biyobelirteçler ile iUPKH Kaynaklı Kişiselleştirilmiş Organoid Platformlarının Geliştirilmesi”</t>
  </si>
  <si>
    <t xml:space="preserve">48.0</t>
  </si>
  <si>
    <t xml:space="preserve">SBA 26/048</t>
  </si>
  <si>
    <t xml:space="preserve">Prof. Dr. Sibel ERSOY EVANS</t>
  </si>
  <si>
    <t xml:space="preserve">Deri ve Zührevi Hastalıklar Anabilim Dalı</t>
  </si>
  <si>
    <t xml:space="preserve">Üniversitemiz Tıp Fakültesi Deri ve Zührevi Hastalıklar Anabilim Dalı öğretim üyelerinden Prof. Dr. Sibel ERSOY EVANS’ın sorumlu araştırmacı olduğu, Arş. Gör. Dr. Lütfi Can ŞEN ile birlikte çalışacakları,</t>
  </si>
  <si>
    <t xml:space="preserve">“Türk Erişkin ve Adölesan Popülasyonunda Trunkal Aknenin Demografik, Klinik Özelliklerinin Değerlendirilmesi ve Trunkal Aknenin Yaşam Kalitesi Üzerine Etkisinin Araştırılması”</t>
  </si>
  <si>
    <t xml:space="preserve">49.0</t>
  </si>
  <si>
    <t xml:space="preserve">SBA 26/049</t>
  </si>
  <si>
    <t xml:space="preserve">Prof. Dr. Oya ÖZDEMİR</t>
  </si>
  <si>
    <t xml:space="preserve">Fiziksel Tıp ve Rehabilitasyon Anabilim Dalı</t>
  </si>
  <si>
    <t xml:space="preserve">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</si>
  <si>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 xml:space="preserve">“Lipödemli Hastalarda Fiziksel Performansın, Alt Ekstremite Fonksiyonunun, Vücut Kompozisyonunun Fibromiyalji Sendromu ve Hipermobilite Sıklığının Değerlendirilmesi”</t>
  </si>
  <si>
    <t xml:space="preserve">2025-12-29 00:00:00</t>
  </si>
  <si>
    <t xml:space="preserve">50.0</t>
  </si>
  <si>
    <t xml:space="preserve">SBA 26/050</t>
  </si>
  <si>
    <t xml:space="preserve">Prof. Dr. Bahar GÜÇİZ DOĞAN</t>
  </si>
  <si>
    <t xml:space="preserve">Sağlık Araştırmaları Anabilim Dalı</t>
  </si>
  <si>
    <t xml:space="preserve">Üniversitemiz Halk Sağlığı Enstitüsü Sağlık Araştırmaları Anabilim Dalı öğretim üyelerinden Prof. Dr. Bahar GÜÇİZ DOĞAN’ın sorumlu araştırmacı olduğu, Dt. Yaprak Öyküm KESİM ile birlikte çalışacakları,</t>
  </si>
  <si>
    <t xml:space="preserve">“Yetişkin Erkek Tutuklu ve Hükümlülerdeki Çeşitli Bireysel Özelliklere Göre Ağız Diş Sağlığının Durumu: Tanımlayıcı Çalışma”</t>
  </si>
  <si>
    <t xml:space="preserve">51.0</t>
  </si>
  <si>
    <t xml:space="preserve">SBA 26/051</t>
  </si>
  <si>
    <t xml:space="preserve">Doç. Dr. Erdem FADILOĞLU</t>
  </si>
  <si>
    <t xml:space="preserve">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</si>
  <si>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 xml:space="preserve">“Preterm Eylem Tehdidi Nedeniyle Antenatal Kortikosteroid Uygulanan Gebelerde Maternal İdrar Metabolomik Profilinin Belirlenmesi ve Gestasyonel Yaş Uyumlu Sağlıklı Gebelerle Karşılaştırılması”</t>
  </si>
  <si>
    <t xml:space="preserve">2025-12-30 00:00:00</t>
  </si>
  <si>
    <t xml:space="preserve">52.0</t>
  </si>
  <si>
    <t xml:space="preserve">SBA 26/052</t>
  </si>
  <si>
    <t xml:space="preserve">Prof. Dr. Mehmet Akif TOPÇUOĞLU</t>
  </si>
  <si>
    <t xml:space="preserve">Nöroloji Anabilim Dalı</t>
  </si>
  <si>
    <t xml:space="preserve">Üniversitemiz Tıp Fakültesi Nöroloji Anabilim Dalı öğretim üyelerinden Prof. Dr. Mehmet Akif TOPÇUOĞLU’nun sorumlu araştırmacı olduğu, Öğr. Gör. Dr. Ezgi YILMAZ, ile birlikte çalışacakları,</t>
  </si>
  <si>
    <t xml:space="preserve">“Türkiye'de İnme Seyir ve Sonuç Metrikleri [STORM-Türkiye]”</t>
  </si>
  <si>
    <t xml:space="preserve">53.0</t>
  </si>
  <si>
    <t xml:space="preserve">SBA 26/053</t>
  </si>
  <si>
    <t xml:space="preserve">Doç. Dr. Başak YALICI ARMAĞAN</t>
  </si>
  <si>
    <t xml:space="preserve">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</si>
  <si>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 xml:space="preserve">“Androgenetik Alopesi Hastalarında Topikal Minoksidil Kullanımının Göz Bulguları ile Plazma VEGF ve Plazma Minoksidil Düzeyleri Üzerine Etkisinin Vaka-Kontrol Analizi”</t>
  </si>
  <si>
    <t xml:space="preserve">54.0</t>
  </si>
  <si>
    <t xml:space="preserve">SBA 26/054</t>
  </si>
  <si>
    <t xml:space="preserve">Doç. Dr. Neslihan AKDOĞAN</t>
  </si>
  <si>
    <t xml:space="preserve">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</si>
  <si>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 xml:space="preserve">“Geriatrik Hastalardaki Kronik Pruritus ile Sarkopeni ve Frailty Arasındaki İlişkinin Değerlendirilmesi”</t>
  </si>
  <si>
    <t xml:space="preserve">55.0</t>
  </si>
  <si>
    <t xml:space="preserve">SBA 26/055</t>
  </si>
  <si>
    <t xml:space="preserve">Prof. Dr. Deniz ÇAĞDAŞ AYVAZ</t>
  </si>
  <si>
    <t xml:space="preserve">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</si>
  <si>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 xml:space="preserve">“.Epstein-Barr Virüs DNA Pozitifliği Saptanan Primer İmmün Yetmezlik Tanılı Hastaların İmmunofenotipik ve Genetik Özelliklerinin Araştırılması”</t>
  </si>
  <si>
    <t xml:space="preserve">56.0</t>
  </si>
  <si>
    <t xml:space="preserve">SBA 26/056</t>
  </si>
  <si>
    <t xml:space="preserve">Prof. Dr. Tutku SOYER</t>
  </si>
  <si>
    <t xml:space="preserve">Çocuk Cerrahisi Anabilim Dalı</t>
  </si>
  <si>
    <t xml:space="preserve">Üniversitemiz Tıp Fakültesi Çocuk Cerrahisi Anabilim Dalı öğretim üyelerinden Prof. Dr. Tutku SOYER'in sorumlu araştırmacı olduğu, Prof. Dr. Özlem BOYBEYİ ve Arş. Gör. Dr. Gizem KORKMAZ ile birlikte çalışacakları,</t>
  </si>
  <si>
    <t xml:space="preserve">“Koledok Kisti Nedeniyle Ameliyat Edilen Hastaların Uzun Dönemde Gastrointestinal Sistem ilişkili Hayat Kalitelerinin Değerlendirilmesi”</t>
  </si>
  <si>
    <t xml:space="preserve">2026-01-02 00:00:00</t>
  </si>
  <si>
    <t xml:space="preserve">2026-01-20 00:00:00</t>
  </si>
  <si>
    <t xml:space="preserve">57.0</t>
  </si>
  <si>
    <t xml:space="preserve">SBA 26/057</t>
  </si>
  <si>
    <t xml:space="preserve">Prof. Dr. Mehmet AYVAZ</t>
  </si>
  <si>
    <t xml:space="preserve">Ortopedi ve Travmatoloji Anabilim Dalı</t>
  </si>
  <si>
    <t xml:space="preserve">Üniversitemiz Tıp Fakültesi Ortopedi ve Travmatoloji Anabilim Dalı öğretim üyelerinden Prof. Dr. Mehmet AYVAZ’ın sorumlu araştırmacı olduğu, Arş. Gör. Dr. Hüseyin Esat BULDUK ile birlikte çalışacakları,</t>
  </si>
  <si>
    <t xml:space="preserve">“Ortopedik Tümör Hastalarında Büyük Dil Modellerinin MRG ve Patoloji Raporlarından Tanı Koyma Yeterliliğinin Değerlendirilmesi”</t>
  </si>
  <si>
    <t xml:space="preserve">58.0</t>
  </si>
  <si>
    <t xml:space="preserve">SBA 26/058</t>
  </si>
  <si>
    <t xml:space="preserve">Prof. Dr. Salih Kutay DEMİRKAN</t>
  </si>
  <si>
    <t xml:space="preserve">Klinik Eczacılık Anabilim Dalı</t>
  </si>
  <si>
    <t xml:space="preserve">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</si>
  <si>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 xml:space="preserve">“Diyabetik Yaşlı Hastalarda Sarkopeni ile Kullandıkları İlaçlar Arasındaki İlişkinin Değerlendirilmesi”</t>
  </si>
  <si>
    <t xml:space="preserve">59.0</t>
  </si>
  <si>
    <t xml:space="preserve">SBA 26/059</t>
  </si>
  <si>
    <t xml:space="preserve">Prof. Dr. Hasan Serkan DOĞAN</t>
  </si>
  <si>
    <t xml:space="preserve">Üroloji Anabilim Dalı</t>
  </si>
  <si>
    <t xml:space="preserve">Üniversitemiz Tıp Fakültesi Üroloji Anabilim Dalı öğretim üyelerinden Prof. Dr. Hasan Serkan DOĞAN’ın sorumlu araştırmacı olduğu, Arş. Gör. Dr. Hayrunnisa HOROZCU, Arş. Gör. Dr. Rabiz HİZARCİ BAL, Arş. Gör. Dr. Tayyip KILIÇSOKAN ile birlikte çalışacakları,</t>
  </si>
  <si>
    <t xml:space="preserve">“Bilateral Primer Vezikoüreteral Reflü (VUR) Tanısı Olan Çocuklarda Yapılan Mathisen Modifikasyonu ile Cohen Cross-Trigonal Reimplantasyon Cerrahi Tekniğinin Sonuçları”</t>
  </si>
  <si>
    <t xml:space="preserve">GERİ ÇEKİLDİ</t>
  </si>
  <si>
    <t xml:space="preserve">60.0</t>
  </si>
  <si>
    <t xml:space="preserve">SBA 26/060</t>
  </si>
  <si>
    <t xml:space="preserve">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</si>
  <si>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 xml:space="preserve">“Kistik Fibroziste Modülatör Tedavi Cevabının Miyeloid-Kökenli Baskılayıcı Hücre ve İmmünoregülatuvar Parametrelere Etkisi”</t>
  </si>
  <si>
    <t xml:space="preserve">61.0</t>
  </si>
  <si>
    <t xml:space="preserve">SBA 26/061</t>
  </si>
  <si>
    <t xml:space="preserve">Prof. Dr. Kıvanç AKÇA</t>
  </si>
  <si>
    <t xml:space="preserve">Protetik Diş Tedavisi Anabilim Dalı</t>
  </si>
  <si>
    <t xml:space="preserve">Üniversitemiz Diş Hekimliği Fakültesi Protetik Diş Tedavisi Anabilim Dalı öğretim üyelerinden Prof. Dr. Kıvanç AKÇA'nın sorumlu araştırmacı olduğu, Uzm. Dt. Sinem KARACA ile birlikte çalışacakları,</t>
  </si>
  <si>
    <t xml:space="preserve">“Dijital Tam Protezlerde Yüzey Taraması ve Çene Hareket Takibi ile Tam Dijital İş Akışı: Yeni Bir Teknik"</t>
  </si>
  <si>
    <t xml:space="preserve">62.0</t>
  </si>
  <si>
    <t xml:space="preserve">SBA 26/062</t>
  </si>
  <si>
    <t xml:space="preserve">Dr. Öğr. Üyesi Burcu KELLECİ ÇAKIR</t>
  </si>
  <si>
    <t xml:space="preserve">Üniversitemiz Eczacılık Fakültesi Klinik Eczacılık Anabilim Dalı öğretim üyelerinden Dr. Öğr. Üyesi Burcu KELLECİ ÇAKIR’ın sorumlu araştırmacı olduğu, Ece AYDIN ile birlikte çalışacakları,</t>
  </si>
  <si>
    <t xml:space="preserve">“Sürdürülebilir Klinik Nütrisyon Tedavisinde Sağlık Profesyonellerinin Rolü”</t>
  </si>
  <si>
    <t xml:space="preserve">63.0</t>
  </si>
  <si>
    <t xml:space="preserve">SBA 26/063</t>
  </si>
  <si>
    <t xml:space="preserve">Prof. Dr. Fatma Gökçem YILDIZ SARIKAYA</t>
  </si>
  <si>
    <t xml:space="preserve">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</si>
  <si>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 xml:space="preserve">''Mononöritis Multipleks Değerlendirmesinde Elektrofizyolojik Özelliklerin Yeri''</t>
  </si>
  <si>
    <t xml:space="preserve">64.0</t>
  </si>
  <si>
    <t xml:space="preserve">SBA 26/064</t>
  </si>
  <si>
    <t xml:space="preserve">Prof. Dr. Cengiz KILIÇ</t>
  </si>
  <si>
    <t xml:space="preserve">Ruh Sağlığı ve Hastalıkları Anabilim Dalı</t>
  </si>
  <si>
    <t xml:space="preserve">Üniversitemiz Tıp FakültesiRuh Sağlığı ve Hastalıkları Anabilim Dalı öğretim üyelerinden Prof. Dr. Cengiz KILIÇ’ın sorumlu araştırmacı olduğu, Arş. Gör. Dr. Dicle DERİNSU’nun uzmanlık tezi olan,</t>
  </si>
  <si>
    <t xml:space="preserve">“6 Şubat 2023 Depremi Erişkin Depremzedelerinde Yakin Kaybı Sonucu Uzamış Yas; Koruyucu Faktörler ve Risk Faktörleri”</t>
  </si>
  <si>
    <t xml:space="preserve">65.0</t>
  </si>
  <si>
    <t xml:space="preserve">SBA 26/065</t>
  </si>
  <si>
    <t xml:space="preserve">Üniversitemiz Tıp Fakültesi Ruh Sağlığı ve Hastalıkları Anabilim Dalı öğretim üyelerinden Prof. Dr. Cengiz KILIÇ’ın sorumlu araştırmacı olduğu, Arş. Gör. Dr. Esra BALİ MUTLU'nun uzmanlık tezi olan,</t>
  </si>
  <si>
    <t xml:space="preserve">“6 Şubat 2023 Kahramanmaraş Depremini Yaşamış Kişilerde Travma Sonrası Stres Bozukluğu ve Depresyonun Bir arada Görülmesini Yordayan Faktörler”</t>
  </si>
  <si>
    <t xml:space="preserve">66.0</t>
  </si>
  <si>
    <t xml:space="preserve">SBA 26/066</t>
  </si>
  <si>
    <t xml:space="preserve">Dr. Öğr. Üyesi Serkan UYSAL</t>
  </si>
  <si>
    <t xml:space="preserve">Üniversitemiz Tıp Fakültesi Göğüs Cerrahisi Anabilim Dalı öğretim üyelerinden Dr. Öğr. Üyesi Serkan UYSAL’ın sorumlu araştırmacı olduğu, Arş. Gör. Dr. Ayşe ALİ HASAN, Prof. Dr. Mustafa YILMAZ, Doç. Dr.  İlker ERTUĞRUL ile birlikte çalışacakları,</t>
  </si>
  <si>
    <t xml:space="preserve">“Kalıtsal Aritmi sendromlu Çocuk Hastalarda Bilateral Kardiyak Sempatik Denervasyon: Tek Merkez Deneyimi''</t>
  </si>
  <si>
    <t xml:space="preserve">2026-01-05 00:00:00</t>
  </si>
  <si>
    <t xml:space="preserve">67.0</t>
  </si>
  <si>
    <t xml:space="preserve">SBA 26/067</t>
  </si>
  <si>
    <t xml:space="preserve">Arş. Gör. Dr. Aycan UYSAL</t>
  </si>
  <si>
    <t xml:space="preserve">Üniversitemiz Tıp Fakültesi Radyoloji Anabilim Dalı öğretim elemanlarından Arş. Gör. Dr. Aycan UYSAL'ın sorumlu araştırmacı olduğu, Arş. Gör. Dr. Mert GÖL, Doç. Dr. Emre ÜNAL ve Prof. Dr. Türkmen Turan ÇİFTÇİ ile birlikte çalışacakları,</t>
  </si>
  <si>
    <t xml:space="preserve">“Kolon Obstrüksiyonu, Postoperatif Fistül ve Anastomoz Kaçaklarında Cerrahiye Köprü veya Alternatif Olarak Kolorektal Stentleme İşlemi”</t>
  </si>
  <si>
    <t xml:space="preserve">68.0</t>
  </si>
  <si>
    <t xml:space="preserve">SBA 26/068</t>
  </si>
  <si>
    <t xml:space="preserve">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</si>
  <si>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 xml:space="preserve">“İnsanlarda Oküler Glenfatik Sistemin ve Optik Sinirin Manyetik Rezonans Görüntüleme ile Değerlendirilmesi”</t>
  </si>
  <si>
    <t xml:space="preserve">69.0</t>
  </si>
  <si>
    <t xml:space="preserve">SBA 26/069</t>
  </si>
  <si>
    <t xml:space="preserve">Üniversitemiz Eczacılık Fakültesi Klinik Eczacılık Anabilim Dalı öğretim üyelerinden Dr. Öğr. Üyesi Burcu KELLECİ ÇAKIR’ın sorumlu araştırmacı olduğu, Doç. Dr. Cafer BALCI ile birlikte çalışacakları,</t>
  </si>
  <si>
    <t xml:space="preserve">“Yaşlı Hastalarda Metabolik Disfonskiyonla İlişkili Steatotik Karaciğer Hastalığı için Güncel Tanı Kriterlerine Göre Protokol Geliştirilmesi”</t>
  </si>
  <si>
    <t xml:space="preserve">70.0</t>
  </si>
  <si>
    <t xml:space="preserve">SBA 26/070</t>
  </si>
  <si>
    <t xml:space="preserve">Prof. Dr. Ömer UĞUR</t>
  </si>
  <si>
    <t xml:space="preserve">Üniversitemiz Tıp Fakültesi Nükleer Tıp Anabilim Dalı öğretim üyelerinden Prof. Dr. Ömer UĞUR'un sorumlu araştırmacı olduğu, Prof. Dr. Murat TUNCEL ve Prof. Dr. Eser ERGÜN ile birlikte çalışacakları,</t>
  </si>
  <si>
    <t xml:space="preserve">“PET Rekonstrüksiyon Algoritmalarının Karşılaştırmalı Değerlendirilmesi: OSEM, BPL, DDG”</t>
  </si>
  <si>
    <t xml:space="preserve">71.0</t>
  </si>
  <si>
    <t xml:space="preserve">SBA 26/071</t>
  </si>
  <si>
    <t xml:space="preserve">Dr. Natalia RAKİSLOVA</t>
  </si>
  <si>
    <t xml:space="preserve">Barcelona Institute for Global Health</t>
  </si>
  <si>
    <t xml:space="preserve">Barcelona Institute for Global Health (ISGlobal) araştırmacılarından Dr. Natalia RAKİSLOVA’nın sorumlu araştırmacı olduğu, Prof. Dr. Alp USUBÜTÜN ile birlikte çalışacakları,</t>
  </si>
  <si>
    <t xml:space="preserve">Klinikopatolojik Özellikleri Entegre Eden Moleküler Sınıflandırma ve Analiz: HPV Bağımsız Vulvar Skuamöz Hücreli Karsinom için Moleküler-Klinikopatolojik Bir Prognostik İmzanın Geliştirilmesi ve Uluslararası Geçerliliğinin Doğrulanması”</t>
  </si>
  <si>
    <t xml:space="preserve">2026-01-07 00:00:00</t>
  </si>
  <si>
    <t xml:space="preserve">72.0</t>
  </si>
  <si>
    <t xml:space="preserve">SBA 26/072</t>
  </si>
  <si>
    <t xml:space="preserve">Doç. Dr. İlker ERTUĞRUL</t>
  </si>
  <si>
    <t xml:space="preserve">Üniversitemiz Tıp Fakültesi Çocuk Sağlığı ve Hastalıkları Anabilim Dalı öğretim üyelerinden Doç. Dr. İlker ERTUĞRUL'un sorumlu araştırmacı olduğu, Arş. Gör. Dr. Betül Seda GÜZELHAN ile birlikte çalışacakları,</t>
  </si>
  <si>
    <t xml:space="preserve">"Pediatrik İdiopatik Ventriküler Fibrilasyon Olgularında Katekolaminerjik Polimorfik Ventriküler Taşikardiye Yol Açan Genetik Varyantların Sıklığı ve Moleküler Otopsi Uygulamasının Tanısal Katkısı"</t>
  </si>
  <si>
    <t xml:space="preserve">73.0</t>
  </si>
  <si>
    <t xml:space="preserve">SBA 26/073</t>
  </si>
  <si>
    <t xml:space="preserve">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</si>
  <si>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 xml:space="preserve">“Klinik Nütrisyon Öğrenci Kongresine Katılan Öğrencilerin Beklentileri ve Kazanımları”</t>
  </si>
  <si>
    <t xml:space="preserve">74.0</t>
  </si>
  <si>
    <t xml:space="preserve">SBA 26/074</t>
  </si>
  <si>
    <t xml:space="preserve">Prof. Dr. Sıddika Songül YALÇIN</t>
  </si>
  <si>
    <t xml:space="preserve">Sosyal Pediatri Anabilim Dalı</t>
  </si>
  <si>
    <t xml:space="preserve">Üniversitemiz Çocuk Sağlığı Enstitüsü Sosyal Pediatri Anabilim Dalı öğretim üyelerinden Prof. Dr. Sıddika Songül YALÇIN’ın sorumlu araştırmacı olduğu, Uzm. Dr. Murat GÜLŞEN’in doktora tezi olan,</t>
  </si>
  <si>
    <t xml:space="preserve">“Nadir Hastalığı Olan Çocuklar Özelinde Ebeveynlerinin Tutumu, Sağlık Okuryazarlığı ve Ekran Kullanımı”</t>
  </si>
  <si>
    <t xml:space="preserve">2026-01-08 00:00:00</t>
  </si>
  <si>
    <t xml:space="preserve">75.0</t>
  </si>
  <si>
    <t xml:space="preserve">SBA 26/075</t>
  </si>
  <si>
    <t xml:space="preserve">Dr. Öğr. Üyesi Gökçen AKÇİÇEK</t>
  </si>
  <si>
    <t xml:space="preserve">Ağız, Diş ve Çene Radyolojisi Anabilim Dalı</t>
  </si>
  <si>
    <t xml:space="preserve">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</si>
  <si>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 xml:space="preserve">“Mandibular Lingula Morfolojisi ile Mandibular Kanal Varyasyonları, Mental ve Mandibular Foramen Boyutları Arasındaki Korelasyonun Konik Işınlı Bilgisayar Tomografi ile İncelenmesi”</t>
  </si>
  <si>
    <t xml:space="preserve">76.0</t>
  </si>
  <si>
    <t xml:space="preserve">SBA 26/076</t>
  </si>
  <si>
    <t xml:space="preserve">Doç. Dr. Ezgi ATİK</t>
  </si>
  <si>
    <t xml:space="preserve">Üniversitemiz Diş Hekimliği Fakültesi Ortodonti Anabilim Dalı öğretim üyelerinden Doç. Dr. Dt. Ezgi ATİK’in sorumlu araştırmacı olduğu, Dr. Öğr. Üyesi Irmak OCAK ve Arş. Gör. Dt. Kübra Hilal TÜRKOĞLU BOYNUYOĞUN ile birlikte çalışacakları,</t>
  </si>
  <si>
    <t xml:space="preserve">“Şeffaf Plak Tedavilerinde Mor Işık Altında Yapılan Debonding İşleminin Diş Minesine Etkilerinin 3 Boyutlu Olarak İncelenmesi: İn-vitro Çalışma”</t>
  </si>
  <si>
    <t xml:space="preserve">2026-01-09 00:00:00</t>
  </si>
  <si>
    <t xml:space="preserve">77.0</t>
  </si>
  <si>
    <t xml:space="preserve">SBA 26/077</t>
  </si>
  <si>
    <t xml:space="preserve">Prof. Dr. Özlem BOYBEYİ</t>
  </si>
  <si>
    <t xml:space="preserve">Üniversitemiz Tıp Fakültesi Çocuk Cerrahisi Anabilim Dalı öğretim üyelerinden Prof. Dr. Özlem BOYBEYİ’nin sorumlu araştırmacı olduğu, Prof. Dr. Tutku SOYER ve Arş. Gör. Dr. Mustafa Ünal SAYILIR ile birlikte çalışacakları,</t>
  </si>
  <si>
    <t xml:space="preserve">“Çocuklarda Yabancı Cisim Yutmalarına Klinik Yaklaşım”</t>
  </si>
  <si>
    <t xml:space="preserve">78.0</t>
  </si>
  <si>
    <t xml:space="preserve">SBA 26/078</t>
  </si>
  <si>
    <t xml:space="preserve">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</si>
  <si>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 xml:space="preserve">“Mevsimsel Koronavirüs Enfeksiyonlarının 0–18 Yaş Arası Hastalarda Morbidite ve Mortalite Üzerine Etkisinin Değerlendirilmesi”</t>
  </si>
  <si>
    <t xml:space="preserve">79.0</t>
  </si>
  <si>
    <t xml:space="preserve">SBA 26/079</t>
  </si>
  <si>
    <t xml:space="preserve">Prof. Dr. Ülkü ÜNDEĞER BUCURGAT</t>
  </si>
  <si>
    <t xml:space="preserve">Farmasötik Toksikoloji Anabilim Dalı</t>
  </si>
  <si>
    <t xml:space="preserve">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</si>
  <si>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 xml:space="preserve">“Kaynakçılarda Demir Metabolizmasının Gözden Geçirilmesi ve Sistemik Aşırı Demir Fazlalığı Olan ve Olmayan Aktif Kaynakçılarda Genotoksisitenin Comet Yöntemi ile Değerlendirilmesi”</t>
  </si>
  <si>
    <t xml:space="preserve">80.0</t>
  </si>
  <si>
    <t xml:space="preserve">SBA 26/080</t>
  </si>
  <si>
    <t xml:space="preserve">Doç. Dr. Erdal SAĞ</t>
  </si>
  <si>
    <t xml:space="preserve">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</si>
  <si>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 xml:space="preserve">“Juvenil İdiopatik Artritte Erken Dönem Sitokin ve Kemokin Profillerinin Klinik Seyir ile Uzun Dönem İlişkisi”</t>
  </si>
  <si>
    <t xml:space="preserve">2026-01-12 00:00:00</t>
  </si>
  <si>
    <t xml:space="preserve">81.0</t>
  </si>
  <si>
    <t xml:space="preserve">SBA 26/081</t>
  </si>
  <si>
    <t xml:space="preserve">Prof. Dr. Taner YILMAZ</t>
  </si>
  <si>
    <t xml:space="preserve">Üniversitemiz Tıp Fakültesi Kulak Burun Boğaz Anabilim Dalı öğretim üyelerinden Prof. Dr. Taner YILMAZ’ın sorumlu araştırmacı olduğu, Dr. Öğr. Üyesi Oğuzhan KATAR ile birlikte çalışacakları,</t>
  </si>
  <si>
    <t xml:space="preserve">“Medializasyon Laringoplasti ve Aritenoid Addüksiyonu İşlemi Yapılan Tek Taraflı Ses Teli Felci Hastalarında Vücut Kitle İndeksinin Ameliyat Sonrası Dispne Üzerine Etkisinin Araştırılması"</t>
  </si>
  <si>
    <t xml:space="preserve">82.0</t>
  </si>
  <si>
    <t xml:space="preserve">SBA 26/082</t>
  </si>
  <si>
    <t xml:space="preserve">Prof. Dr. Neşe DERİCİOĞLU</t>
  </si>
  <si>
    <t xml:space="preserve">Üniversitemiz Tıp Fakültesi Nöroloji Anabilim Dalı öğretim üyelerinden Prof. Dr. Neşe DERİCİOĞLU’nun sorumlu araştırmacı olduğu, Doç. Dr. Rahşan GÖÇMEN, Dr. Öğr. Üyesi Ezgi Yetim ARSAVA ve Arş. Gör. Dr. Zhala NAZARLI ile birlikte çalışacakları,</t>
  </si>
  <si>
    <t xml:space="preserve">“İdiyopatik Jeneralize Epilepsi Hastalarında Beyin Atrofisi: Zamanla Artar Mı ve Nöro-Psikiyatrik Testlerle İlişkili mi?”</t>
  </si>
  <si>
    <t xml:space="preserve">83.0</t>
  </si>
  <si>
    <t xml:space="preserve">SBA 26/083</t>
  </si>
  <si>
    <t xml:space="preserve">Doç. Dr. Mert EŞME</t>
  </si>
  <si>
    <t xml:space="preserve">Üniversitemiz Tıp Fakültesi İç Hastalıkları Anabilim Dalı öğretim üyelerinden Doç. Dr. Mert EŞME’nin sorumlu araştırmacı olduğu, Arş. Gör. Dr. Meryem ASLAN, Arş. Gör. Dr. Elif GECEGELEN ile birlikte çalışacakları,</t>
  </si>
  <si>
    <t xml:space="preserve">“Demans Bilgilendirme Eğitiminin Klinik Bakım Süreçleriyle İlişkisi”</t>
  </si>
  <si>
    <t xml:space="preserve">84.0</t>
  </si>
  <si>
    <t xml:space="preserve">SBA 26/084</t>
  </si>
  <si>
    <t xml:space="preserve">Üniversitemiz Tıp Fakültesi İç Hastalıkları Anabilim Dalı öğretim üyelerinde Prof. Dr. Meltem Gülhan HALİL’in sorumlu araştırmacı olduğu, Arş. Gör. Dr. Elif GECEGELEN, Arş Gör. Dr. Meryem ASLAN ile birlikte çalışacakları,</t>
  </si>
  <si>
    <t xml:space="preserve">“Geriatrik Serviste Yatan Hastalarda Glisemik Değişkenlik ile Beslenme Yaklaşımları, Geriatrik Sendromlar ve Basınç Yaralanmaları Arasındaki İlişkinin Prospektif Gözlemsel İncelenmesi”</t>
  </si>
  <si>
    <t xml:space="preserve">85.0</t>
  </si>
  <si>
    <t xml:space="preserve">SBA 26/085</t>
  </si>
  <si>
    <t xml:space="preserve">Prof. Dr. Salih AKSU</t>
  </si>
  <si>
    <t xml:space="preserve">Üniversitemiz Tıp Fakültesi İç Hastalıkları Anabilim Dalı öğretim üyelerinden Prof. Dr. Salih AKSU’nun sorumlu araştırmacı olduğu, Arş. Gör. Dr. Fatma Tuğba ÇATAN ERDEKLİ ile birlikte çalışacakları,</t>
  </si>
  <si>
    <t xml:space="preserve">“Antikoagulan Kullanan Yetişkin Hematoloji Hastalarında Yaşam Kalitesinin Değerlendirilmesi”</t>
  </si>
  <si>
    <t xml:space="preserve">2026-01-14 00:00:00</t>
  </si>
  <si>
    <t xml:space="preserve">86.0</t>
  </si>
  <si>
    <t xml:space="preserve">SBA 26/086</t>
  </si>
  <si>
    <t xml:space="preserve">Prof. Dr. Güliz Nigar GÜNCÜ</t>
  </si>
  <si>
    <t xml:space="preserve">Periodontoloji Anabilim Dalı</t>
  </si>
  <si>
    <t xml:space="preserve">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</si>
  <si>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 xml:space="preserve">“Anterior Bölge İmplant Üstü Köprülerde Farklı Protez Tasarımlarının ve Arayüz Temizlik Araçlarının Biyofilm Temizlenebilirliği Üzerine Etkisinin Değerlendirilmesi: Bir İn Vitro Çalışma”</t>
  </si>
  <si>
    <t xml:space="preserve">87.0</t>
  </si>
  <si>
    <t xml:space="preserve">SBA 26/087</t>
  </si>
  <si>
    <t xml:space="preserve">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</si>
  <si>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 xml:space="preserve">“Türkiye’de Ebeveynlerin Geliştiren Bakım Konusundaki Bilgi, Tutum ve Uygulamalarının Değerlendirilmesi Araştırması”</t>
  </si>
  <si>
    <t xml:space="preserve">88.0</t>
  </si>
  <si>
    <t xml:space="preserve">SBA 26/088</t>
  </si>
  <si>
    <t xml:space="preserve">Doç. Dr. İrem KOÇ</t>
  </si>
  <si>
    <t xml:space="preserve">Üniversitemiz Tıp Fakültesi Göz Hastalıkları Anabilim Dalı öğretim üyelerinden Doç. Dr. İrem KOÇ'un sorumlu araştırmacı olduğu, Prof. Dr. Hayyam KIRATLI ve Arş. Gör. Dr. Kezban Azra KARGALI ile birlikte çalışacakları,</t>
  </si>
  <si>
    <t xml:space="preserve">“Vitreoretinal Cerrahi Geçiren Koroidal Malign Melanom Hastalarında Klinik Özellikler ve Sonuçların Değerlendirilmesi”</t>
  </si>
  <si>
    <t xml:space="preserve">89.0</t>
  </si>
  <si>
    <t xml:space="preserve">SBA 26/089</t>
  </si>
  <si>
    <t xml:space="preserve">“Posterior Üveal Nevüslerde Oftalmolojik Muayene Bulguları ile Multimodal Görüntüleme Bulguları Arasındaki Korelasyonun Değerlendirilmesi”</t>
  </si>
  <si>
    <t xml:space="preserve">90.0</t>
  </si>
  <si>
    <t xml:space="preserve">SBA 26/090</t>
  </si>
  <si>
    <t xml:space="preserve">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</si>
  <si>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 xml:space="preserve">“İnvajinasyon ve Bağırsak Obstrüksiyonu Tanısı Alan Primer İmmün Yetmezlikli Hastaların Klinik ve Laboratuvar Özelliklerinin Değerlendirilmesi”</t>
  </si>
  <si>
    <t xml:space="preserve">91.0</t>
  </si>
  <si>
    <t xml:space="preserve">SBA 26/091</t>
  </si>
  <si>
    <t xml:space="preserve">Doç. Dr. Hacı Hasan YETER</t>
  </si>
  <si>
    <t xml:space="preserve">Üniversitemiz Tıp Fakültesi İç Hastalıkları Anabilim Dalı öğretim üyelerinden Doç. Dr. Hacı Hasan YETER’in sorumlu araştırmacı olduğu, Arş. Gör. Dr. Yağmur KINACI GÜMÜŞÇUBUK ile birlikte çalışacakları,</t>
  </si>
  <si>
    <t xml:space="preserve">“Böbrek Nakli Alıcılarında İşe Dönüş Durumu ile Yaşam Kalitesi ve Komorbidite İlişkisi”</t>
  </si>
  <si>
    <t xml:space="preserve">92.0</t>
  </si>
  <si>
    <t xml:space="preserve">SBA 26/092</t>
  </si>
  <si>
    <t xml:space="preserve">Üniversitemiz Tıp Fakültesi Göz Hastalıkları Anabilim Dalı öğretim üyelerinden Dr. Öğr. Üyesi Figen BEZCİ AYGÜN'ün sorumlu araştırmacı olduğu, Prof. Dr. Sibel KADAYIFÇILAR ve Arş. Gör. Dr. Kezban Azra KARGALI ile birlikte çalışacakları,</t>
  </si>
  <si>
    <t xml:space="preserve">“Retinal İskemik Perivasküler Lezyonların Kardiyovasküler ve Serebrovasküler Hastalıklarla İlişkisi ve Biyobelirteç Potansiyelinin İncelenmesi”</t>
  </si>
  <si>
    <t xml:space="preserve">93.0</t>
  </si>
  <si>
    <t xml:space="preserve">SBA 26/093</t>
  </si>
  <si>
    <t xml:space="preserve">Üniversitemiz Tıp Fakültesi Çocuk Sağlığı ve Hastalıkları Anabilim Dalı öğretim üyelerinden Doç. Dr. Kübra AYKAÇ’ın sorumlu araştırmacı olduğu ve Arş. Gör. Dr. Günel YUSIFOVA’nın uzmanlık tezi olan,</t>
  </si>
  <si>
    <t xml:space="preserve">“Epstein–Barr Virüs (EBV) Enfeksiyonu Tanısı Alan Çocuk Hastaların Retrospektif Olarak Klinik ve Laboratuvar Verilerinin Değerlendirilmesi”</t>
  </si>
  <si>
    <t xml:space="preserve">94.0</t>
  </si>
  <si>
    <t xml:space="preserve">SBA 26/094</t>
  </si>
  <si>
    <t xml:space="preserve">Doç. Dr. Emel ISIYEL</t>
  </si>
  <si>
    <t xml:space="preserve">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</si>
  <si>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 xml:space="preserve">“Genel Pediatri Servislerine Yatan Hastalarda Malnütrisyonun Sıklığının Belirlenmesi ve Malnütrisyonu Olan Hastalarda Kas Kütlesi ile Cilt Altı Yağ Dokusu Kalınlığının Ultrasonografik Olarak Değerlendirilmesi”</t>
  </si>
  <si>
    <t xml:space="preserve">95.0</t>
  </si>
  <si>
    <t xml:space="preserve">SBA 26/095</t>
  </si>
  <si>
    <t xml:space="preserve">Prof. Dr. Ayşe Tomris ERBAŞ</t>
  </si>
  <si>
    <t xml:space="preserve">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</si>
  <si>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 xml:space="preserve">"Prolaktinoma ve Akromegali Hastalarında Tiroid Hastalıklarının Karşılaştırmalı Değerlendirilmesi”</t>
  </si>
  <si>
    <t xml:space="preserve">96.0</t>
  </si>
  <si>
    <t xml:space="preserve">SBA 26/096</t>
  </si>
  <si>
    <t xml:space="preserve">Doç. Dr. Aslıhan AYKARA</t>
  </si>
  <si>
    <t xml:space="preserve">Sosyal Hizmet Anabilim Dalı</t>
  </si>
  <si>
    <t xml:space="preserve">Üniversitemiz İktisadi ve İdari Bilimler Fakültesi Sosyal Hizmet Anabilim Dalı öğretim üyelerinden Doç. Dr. Aslıhan AYKARA’nın sorumlu araştırmacı olduğu, Derya AKKURT'un doktora tezi olan,</t>
  </si>
  <si>
    <t xml:space="preserve">“Post-Neoliberal Bir Gündem Olarak Bakım Krizi: Engelli Bakım Politika ve Hizmetlerinin Toplumsal Yeniden Üretim Açısından Değerlendirilmesi”</t>
  </si>
  <si>
    <t xml:space="preserve">2026-01-15 00:00:00</t>
  </si>
  <si>
    <t xml:space="preserve">97.0</t>
  </si>
  <si>
    <t xml:space="preserve">SBA 26/097</t>
  </si>
  <si>
    <t xml:space="preserve">Üniversitemiz Tıp Fakültesi İç Hastalıları Anabilim Dalı öğretim üyelerinden Prof. Dr. Meltem Gülhan HALİL’in sorumlu araştırmacı olduğu,</t>
  </si>
  <si>
    <t xml:space="preserve">“Geriatrik Hastalarda Yutma Yaşam Kalitesi Anketi ile Sarkopeni Arasındaki İlişki”</t>
  </si>
  <si>
    <t xml:space="preserve">98.0</t>
  </si>
  <si>
    <t xml:space="preserve">SBA 26/098</t>
  </si>
  <si>
    <t xml:space="preserve">“Yaşlı Erişkinlerde Laringofarengeal Reflü Belirtileri ile Geriatrik Sendromlar Arasındaki İlişki”</t>
  </si>
  <si>
    <t xml:space="preserve">99.0</t>
  </si>
  <si>
    <t xml:space="preserve">SBA 26/099</t>
  </si>
  <si>
    <t xml:space="preserve">Üniversitemiz İktisadi ve İdari Bilimler Fakültesi Sosyal Hizmet Anabilim Dalı öğretim üyelerinden Doç. Dr. Aslıhan AYKARA’nın sorumlu araştırmacı olduğu, Dilara KESER GÜNENÇ’in doktora tezi olan,</t>
  </si>
  <si>
    <t xml:space="preserve">“Feminist Sosyal Hizmet Perspektifinden Engelli Kadınların Yaşantıları ve Aktivizm Deneyimleri”</t>
  </si>
  <si>
    <t xml:space="preserve">100.0</t>
  </si>
  <si>
    <t xml:space="preserve">SBA 26/100</t>
  </si>
  <si>
    <t xml:space="preserve">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</si>
  <si>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 xml:space="preserve">“2023 Kahramanmaraş (Turkey–Syria) Depremlerinde Emzirme ve Beslenme Desteğinin Değerlendirilmesi ve Uygulanması"</t>
  </si>
  <si>
    <t xml:space="preserve">101.0</t>
  </si>
  <si>
    <t xml:space="preserve">SBA 26/101</t>
  </si>
  <si>
    <t xml:space="preserve">Prof. Dr. Hakan Hıfzı TÜZ</t>
  </si>
  <si>
    <t xml:space="preserve">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</si>
  <si>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 xml:space="preserve">“Fabrikasyon ve Kişiye Özel Plak Fiksasyonlarının Ortognatik Cerrahi Sonrası Yumuşak Doku Değişikliklerine Etkisinin Üç Boyutlu Karşılaştırması”</t>
  </si>
  <si>
    <t xml:space="preserve">2026-01-22 00:00:00</t>
  </si>
  <si>
    <t xml:space="preserve">2026-02-04 00:00:00</t>
  </si>
  <si>
    <t xml:space="preserve">102.0</t>
  </si>
  <si>
    <t xml:space="preserve">SBA 26/102</t>
  </si>
  <si>
    <t xml:space="preserve">Dr. Öğr. Üyesi Burkay UTKU</t>
  </si>
  <si>
    <t xml:space="preserve">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</si>
  <si>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 xml:space="preserve">“Bale Dansçıları ve Modern Dansçılarda Kas-İskelet Sistemi Yaralanma Deneyimleri ve Risk Faktörlerinin Niteliksel Olarak Değerlendirilmesi”</t>
  </si>
  <si>
    <t xml:space="preserve">103.0</t>
  </si>
  <si>
    <t xml:space="preserve">SBA 26/103</t>
  </si>
  <si>
    <t xml:space="preserve">Üniversitemiz Tıp Fakültesi Çocuk ve Ergen Ruh Sağlığı ve Hastalıkları Anabilim Dalı öğretim üyelerinden Doç. Dr. Burcu ERSÖZ ALAN’ın sorumlu araştırmacı olduğu, Arş. Gör. Dr. Sema ERASLAN’ın uzmanlık tezi olan,</t>
  </si>
  <si>
    <t xml:space="preserve">“Yeme Bozukluğu Tanılı Ergenlerde Sosyal Medya Kullanımının Beden Algısı ve Psikopatolojik Belirtiler Üzerine Etkileri”</t>
  </si>
  <si>
    <t xml:space="preserve">104.0</t>
  </si>
  <si>
    <t xml:space="preserve">SBA 26/104</t>
  </si>
  <si>
    <t xml:space="preserve">Prof. Dr. Selçuk DAĞDELEN</t>
  </si>
  <si>
    <t xml:space="preserve">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</si>
  <si>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 xml:space="preserve">“Tiroid Orbitopatide İmmünsüpresif Tedaviye Klinik Yanıtı Öngören Faktörlerin Değerlendirilmesi”</t>
  </si>
  <si>
    <t xml:space="preserve">105.0</t>
  </si>
  <si>
    <t xml:space="preserve">SBA 26/105</t>
  </si>
  <si>
    <t xml:space="preserve">Öğr. Gör. Dr. Aytekin İDİKUT</t>
  </si>
  <si>
    <t xml:space="preserve">Üniversitemiz Tıp Fakültesi Göğüs Hastalıkları Anabilim Dalı öğretim elemanlarından Öğr. Gör. Dr. Aytekin İDİKUT'un sorumlu araştırmacı olduğu, Arş. Gör. Dr. Yusuf YALÇIN, Öğr. Gör. Dr. Aslı ALKAN ve Doç. Dr. Oğuz KARCIOĞLU ile birlikte çalışacakları,</t>
  </si>
  <si>
    <t xml:space="preserve">“Kistik Fibrozis Hastalarında CFTR Modülatör Tedavisi Öncesi ve Sonrasında Diyabet ve Hepatobiliyer Tutulumun Değerlendirilmesi”</t>
  </si>
  <si>
    <t xml:space="preserve">106.0</t>
  </si>
  <si>
    <t xml:space="preserve">SBA 26/106</t>
  </si>
  <si>
    <t xml:space="preserve">Dr. Öğr. Üyesi Murat ÇAĞAN</t>
  </si>
  <si>
    <t xml:space="preserve">Üniversitemiz Tıp Fakültesi Kadın Hastalıkları ve Doğum Anabilim Dalı öğretim üyelerinden Dr. Öğr. Üyesi Murat ÇAĞAN'ın sorumlu araştırmacı olduğu, Arş. Gör. Dr. Edip Alptuğ KIR ile birlikte çalışacakları,</t>
  </si>
  <si>
    <t xml:space="preserve">“Gebelikte Uterin Myomların Maternal ve Perinatal Sonuçlara Etkisi: Tek Merkezli Retrospektif Analiz”</t>
  </si>
  <si>
    <t xml:space="preserve">107.0</t>
  </si>
  <si>
    <t xml:space="preserve">SBA 26/107</t>
  </si>
  <si>
    <t xml:space="preserve">Doç. Dr. Utku AKGÖR</t>
  </si>
  <si>
    <t xml:space="preserve">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</si>
  <si>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 xml:space="preserve">“Over Kanserinde Mikroplastikler ve Metabolomik Etkileri”</t>
  </si>
  <si>
    <t xml:space="preserve">108.0</t>
  </si>
  <si>
    <t xml:space="preserve">SBA 26/108</t>
  </si>
  <si>
    <t xml:space="preserve">Arş. Gör. Dt. Dilara KARA</t>
  </si>
  <si>
    <t xml:space="preserve">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</si>
  <si>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 xml:space="preserve">“Diş Hekimliği Branşlarında Konik Işınlı Bilgisayarlı Tomografi İstem Eğilimleri ve Etkileyen Faktörler: Retrospektif Kesitsel Bir Çalışma”</t>
  </si>
  <si>
    <t xml:space="preserve">109.0</t>
  </si>
  <si>
    <t xml:space="preserve">SBA 26/109</t>
  </si>
  <si>
    <t xml:space="preserve">Arş. Gör. Dr. Sebiha Şükran GÜNDEŞLİ</t>
  </si>
  <si>
    <t xml:space="preserve">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</si>
  <si>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 xml:space="preserve">“Çocuk Acil Serviste Akut Karın Ağrısı ile Değerlendirilen Hastalarda İleri Görüntüleme Seçimini Etkileyen Faktörlerin Değerlendirilmesi"</t>
  </si>
  <si>
    <t xml:space="preserve">110.0</t>
  </si>
  <si>
    <t xml:space="preserve">SBA 26/110</t>
  </si>
  <si>
    <t xml:space="preserve">Üniversitemiz Eczacılık Fakültesi Klinik Eczacılık Anabilim Dalı öğretim üyelerinden Prof. Dr. Salih Kutay DEMİRKAN’ın sorumlu araştırmacı olduğu, Prof. Dr. Selçuk DAĞDELEN ve Arş. Gör. Özgenur GERİDÖNMEZ ile birlikte çalışacakları,</t>
  </si>
  <si>
    <t xml:space="preserve">“Diyabet İlaçlarının Kilo Kaybı Amaçlı Kullanımına İlişkin Eczane Eczacılarının Bilgi, Tutum ve Davranışlarının Değerlendirilmesi"</t>
  </si>
  <si>
    <t xml:space="preserve">111.0</t>
  </si>
  <si>
    <t xml:space="preserve">SBA 26/111</t>
  </si>
  <si>
    <t xml:space="preserve">Prof. Dr. Çağrı Mesut TEMUÇİN</t>
  </si>
  <si>
    <t xml:space="preserve">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</si>
  <si>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 xml:space="preserve">“Guillain Barre Sendromu ile Uyumlu Elektrofizyolojik Bulguları Olan Pediatrik Hastalarda Kompleman CD59 Eksikliği”</t>
  </si>
  <si>
    <t xml:space="preserve">112.0</t>
  </si>
  <si>
    <t xml:space="preserve">SBA 26/112</t>
  </si>
  <si>
    <t xml:space="preserve">Dr. Öğr. Üyesi Irmak OCAK</t>
  </si>
  <si>
    <t xml:space="preserve">Üniversitemiz Diş Hekimliği Fakültesi Ortodonti Anabilim Dalı öğretim üyelerinden Dr. Öğr. Üyesi Irmak OCAK'ın sorumlu araştırmacı olduğu, Arş. Gör. Dt. Mehmet Tolga ÇETİN ile birlikte çalışacakları,</t>
  </si>
  <si>
    <t xml:space="preserve">“Mandibular Asimetrisi Bulunan Sınıf II ve Sınıf III Hastalarda Orta Yüz Asimetrilerinin Anteroposterior Sefalometrik Filmler Üzerinden İncelenmesi”</t>
  </si>
  <si>
    <t xml:space="preserve">113.0</t>
  </si>
  <si>
    <t xml:space="preserve">SBA 26/113</t>
  </si>
  <si>
    <t xml:space="preserve">Hareket ve Antrenman Bilimleri Anabilim Dalı</t>
  </si>
  <si>
    <t xml:space="preserve">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</si>
  <si>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 xml:space="preserve">“Bilateral ve Unilateral Ön-Kondisyonlanma Protokollerinin Cimnastikçilerde Performans Asimetrileri Üzerine Etkisi”</t>
  </si>
  <si>
    <t xml:space="preserve">114.0</t>
  </si>
  <si>
    <t xml:space="preserve">SBA 26/114</t>
  </si>
  <si>
    <t xml:space="preserve">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</si>
  <si>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 xml:space="preserve">'İlaç Provokasyon Testi Pozitif Olan Hastaların Klinik Özellikleri ve Müdahale Gereksinimleri'</t>
  </si>
  <si>
    <t xml:space="preserve">115.0</t>
  </si>
  <si>
    <t xml:space="preserve">SBA 26/115</t>
  </si>
  <si>
    <t xml:space="preserve">Prof. Dr. Alp ÇETİN</t>
  </si>
  <si>
    <t xml:space="preserve">Üniversitemiz Tıp Fakültesi Fiziksel Tıp ve Rehabilitasyon Anabilim Dalı öğretim üyelerinden Prof. Dr. Alp ÇETİN"in sorumlu araştırmacı olduğu, Arş. Gör. Dr. Hazal SEVİNÇ’in uzmanlık tezi olan,</t>
  </si>
  <si>
    <t xml:space="preserve">“Fibromiyalji Sendromu Olan ve Olmayan Bireylerde Trapezius ve Rektus Femoris Kaslarının Elastisitesinin Ultrasonografi ile Karşılaştırılması”</t>
  </si>
  <si>
    <t xml:space="preserve">116.0</t>
  </si>
  <si>
    <t xml:space="preserve">SBA 26/116</t>
  </si>
  <si>
    <t xml:space="preserve">Doç. Dr. Ceren GÜNENÇ BEŞER</t>
  </si>
  <si>
    <t xml:space="preserve">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</si>
  <si>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 xml:space="preserve">“Arteria Mesenterica Superior ve Vena Mesenterica Superior'un Anatomik İlişkisi: Radyolojik Ölçümlerle Cerrahi Risk Açısından Değerlendirme”</t>
  </si>
  <si>
    <t xml:space="preserve">117.0</t>
  </si>
  <si>
    <t xml:space="preserve">SBA 26/117</t>
  </si>
  <si>
    <t xml:space="preserve">Prof. Dr. Hatice Yasemin BALABAN</t>
  </si>
  <si>
    <t xml:space="preserve">Üniversitemiz Tıp Fakültesi İç Hastalıkları Anabilim Dalı öğretim üyelerinden Prof. Dr. Hatice Yasemin BALABAN’ın sorumlu araştırmacı olduğu, Arş. Gör. Dr. Burcu GÜRBÜZ ve Arş. Gör. Dr. Deniz ŞİMŞEK ile birlikte çalışacakları,</t>
  </si>
  <si>
    <t xml:space="preserve">“Çölyak Hastalığında Otoimmün Komorbidite Riskinin Öngörülmesi – Seroloji Temelli Stratifikasyon Modeli: İki Uluslu Çalışma”</t>
  </si>
  <si>
    <t xml:space="preserve">118.0</t>
  </si>
  <si>
    <t xml:space="preserve">SBA 26/118</t>
  </si>
  <si>
    <t xml:space="preserve">Doç. Dr. Serra ÖRSTEN</t>
  </si>
  <si>
    <t xml:space="preserve">Tıbbi Laboratuvar Teknikleri Programı</t>
  </si>
  <si>
    <t xml:space="preserve">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</si>
  <si>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 xml:space="preserve">“Kistik Ekinokokkoz Tanısında miRNA Biyobelirteçleri: Körleme Örnekleme ve Radyolojik Bulgularla Uyum Üzerinden Klinik Entegrasyon Değerlendirilmesi”</t>
  </si>
  <si>
    <t xml:space="preserve">2026-01-23 00:00:00</t>
  </si>
  <si>
    <t xml:space="preserve">119.0</t>
  </si>
  <si>
    <t xml:space="preserve">SBA 26/119</t>
  </si>
  <si>
    <t xml:space="preserve">Dr. Öğr. Üyesi Hilal AKDEMİR AKTAŞ</t>
  </si>
  <si>
    <t xml:space="preserve">Üniversitemiz Tıp Fakültesi Anatomi Anabilim Dalı öğretim üyelerinden Dr. Öğr. Üyesi Hilal AKDEMİR AKTAŞ’ın sorumlu araştırmacı olduğu, Dr. Öğr. Üyesi Hasan Barış ILGAZ ile birlikte çalışacakları,</t>
  </si>
  <si>
    <t xml:space="preserve">“Anatomi Eğitiminde Büyük Dil Modelleri: Farklı Sağlık Disiplinlerindeki Öğrencilerin Tutum ve Görüşleri”</t>
  </si>
  <si>
    <t xml:space="preserve">120.0</t>
  </si>
  <si>
    <t xml:space="preserve">SBA 26/120</t>
  </si>
  <si>
    <t xml:space="preserve">Prof. Dr. Rıza Köksal ÖZGÜL</t>
  </si>
  <si>
    <t xml:space="preserve">Pediatrik Temel Bilimler Anabilim Dalı</t>
  </si>
  <si>
    <t xml:space="preserve">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</si>
  <si>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 xml:space="preserve">“İndüklenmiş Pluripotent Kök Hücrelerden Astrosit Farklılaştırılması ve Stres Uyaranları ile ECM Değişimlerinin İncelenerek Patolojilerin Modellenmesi”</t>
  </si>
  <si>
    <t xml:space="preserve">121.0</t>
  </si>
  <si>
    <t xml:space="preserve">SBA 26/121</t>
  </si>
  <si>
    <t xml:space="preserve">Üniversitemiz Spor Bilimleri Fakültesi Hareket ve Antrenman Bilimleri Anabilim Dalı öğretim üyelerinden Prof. Dr. Ayşe KİN İŞLER'in sorumlu araştırmacı olduğu, Nazlı ÖZGÖR, Taylan AYTAÇ ve Arş. Gör. Dr. Mehmet Gören KÖSE ile birlikte çalışacakları,</t>
  </si>
  <si>
    <t xml:space="preserve">“Genç Cimnastikçilerde Bilateral ve Unilateral Ön-Kondisyonlanma Uygulamalarının Ekstremiteler Arası Asimetriye Etkisi ve Olgunlaşma Düzeyine Göre Değişimi"</t>
  </si>
  <si>
    <t xml:space="preserve">122.0</t>
  </si>
  <si>
    <t xml:space="preserve">SBA 26/122</t>
  </si>
  <si>
    <t xml:space="preserve">Üniversitemiz Tıp Fakültesi Göğüs Cerrahisi Anabilim Dalı öğretim üyelerinden Dr. Öğr. Üyesi Serkan UYSAL’ın sorumlu araştırmacı olduğu, Arş. Gör. Dr. Ayşe ALİ HASAN birlikte çalışacakları,</t>
  </si>
  <si>
    <t xml:space="preserve">“Pulmoner Karsinoid Tümörlerde Cerrahi Tedavi, Patolojik Evreleme ve Sağkalım: 2004–2024 Retrospektif Kohort Çalışması”</t>
  </si>
  <si>
    <t xml:space="preserve">123.0</t>
  </si>
  <si>
    <t xml:space="preserve">SBA 26/123</t>
  </si>
  <si>
    <t xml:space="preserve">Doç. Dr. Süleyman Nahit ŞENDUR</t>
  </si>
  <si>
    <t xml:space="preserve">Üniversitemiz Tıp Fakültesi İç Hastalıkları Anabilim Dalı öğretim üyelerinden Doç. Dr. Süleyman Nahit ŞENDUR’un sorumlu araştırmacı olduğu, Doç. Dr. Seda Hanife OĞUZ BAYKAL, Uzm. Dr. Nergis BASMACI, Uzm. Dr. Alperen Onur İŞLER ile birlikte çalışacakları,</t>
  </si>
  <si>
    <t xml:space="preserve">“Diyabetik Ketoasidoz ile Başvuran Hastaların Klinik, Tedavi ve Sonlanımlarının Retrospektif Değerlendirilmesi”</t>
  </si>
  <si>
    <t xml:space="preserve">124.0</t>
  </si>
  <si>
    <t xml:space="preserve">SBA 26/124</t>
  </si>
  <si>
    <t xml:space="preserve">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</si>
  <si>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 xml:space="preserve">"Depresyon ve Parkinson Hastalığında beyinden Gelen Nöronal Ekstraselüler Veziküllerin Tespiti ve Karakterizasyonu"</t>
  </si>
  <si>
    <t xml:space="preserve">125.0</t>
  </si>
  <si>
    <t xml:space="preserve">SBA 26/125</t>
  </si>
  <si>
    <t xml:space="preserve">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</si>
  <si>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 xml:space="preserve">"Nonsteroid Anti-İnflamatuar İlaçlarla Alevlenen Solunum Yolu Hastalığı Tanılı Kadınlarda Polikistik Over Sendromu Sıklığının Değerlendirilmesi"</t>
  </si>
  <si>
    <t xml:space="preserve">126.0</t>
  </si>
  <si>
    <t xml:space="preserve">SBA 26/126</t>
  </si>
  <si>
    <t xml:space="preserve">Doç. Dr. Ceren ÖZKUL KOÇAK</t>
  </si>
  <si>
    <t xml:space="preserve">Farmasötik Mikrobiyoloji Anabilim Dalı</t>
  </si>
  <si>
    <t xml:space="preserve">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</si>
  <si>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 xml:space="preserve">“Kistik Fibrozis Hastalarından İzole Edilen Pseudomonas aeruginosa İzolatlarında Kolistin ve Tobramisinin Sub-inhibitör Düzeydeki Etkilerinin Karşılaştırmalı Transkriptomik ve Metabolomik Analizi”</t>
  </si>
  <si>
    <t xml:space="preserve">127.0</t>
  </si>
  <si>
    <t xml:space="preserve">SBA 26/127</t>
  </si>
  <si>
    <t xml:space="preserve">Üniversitemiz İktisadi ve İdari Bilimler Fakültesi Sağlık Yönetimi Anabilim Dalı öğretim üyelerinden Prof. Dr. Oğuz IŞIK’ın sorumlu araştırmacı olduğu, Arş. Gör. Hamza SIĞIRCI’nın doktora tezi olan,</t>
  </si>
  <si>
    <t xml:space="preserve">“Sağlık Hizmetlerinde Yalın Yönetim: Ağız ve Diş Sağlığı Merkezi Örneği”</t>
  </si>
  <si>
    <t xml:space="preserve">128.0</t>
  </si>
  <si>
    <t xml:space="preserve">SBA 26/128</t>
  </si>
  <si>
    <t xml:space="preserve">Dr. Öğr. Üyesi Ayşe METE YEŞİL</t>
  </si>
  <si>
    <t xml:space="preserve">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</si>
  <si>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 xml:space="preserve">“Çocukluk Çağı Kalp Hastalıklarında Uyku Sorunları ve Gelişimsel Endişeler"</t>
  </si>
  <si>
    <t xml:space="preserve">129.0</t>
  </si>
  <si>
    <t xml:space="preserve">SBA 26/129</t>
  </si>
  <si>
    <t xml:space="preserve">Prof. Dr. Dilşad FOTO ÖZDEMİR</t>
  </si>
  <si>
    <t xml:space="preserve">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</si>
  <si>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 xml:space="preserve">“Otizm Spektrum Bozukluğu Olan Çocuklarda Ebeveyn Çocuk İlişki Kalitesi, Ebeveyn Oksitosin Düzeyi ve Ebeveynlerin Bakım Paylaşım Dengesinin Duygu Düzenleme ile İlişkisinin İncelenmesi”</t>
  </si>
  <si>
    <t xml:space="preserve">130.0</t>
  </si>
  <si>
    <t xml:space="preserve">SBA 26/130</t>
  </si>
  <si>
    <t xml:space="preserve">Prof. Dr. Serdar ÖZER</t>
  </si>
  <si>
    <t xml:space="preserve">Üniversitemiz Tıp Fakültesi Kulak Burun Boğaz Anabilim Dalı öğretim üyelerinden Prof. Dr. Serdar ÖZER’in sorumlu araştırmacı olduğu, Öğr. Gör. Dr. Burçay TELLİOĞLU ile birlikte çalışacakları ve Arş. Gör. Dr. Yaşar ATAY’ın uzmanlık tezi olan,</t>
  </si>
  <si>
    <t xml:space="preserve">“Pediatrik Hastalarda Adenoidektomi ve Parasentez Sonrası Otolojik İyileşme ve Yaşam Kalitesi Değişimleri”</t>
  </si>
  <si>
    <t xml:space="preserve">131.0</t>
  </si>
  <si>
    <t xml:space="preserve">SBA 26/131</t>
  </si>
  <si>
    <t xml:space="preserve">“Çölyak Hastalığında İşe Devam ve İşe Devamsızlık – Çok Merkezli Bir Çalışma”</t>
  </si>
  <si>
    <t xml:space="preserve">132.0</t>
  </si>
  <si>
    <t xml:space="preserve">SBA 26/132</t>
  </si>
  <si>
    <t xml:space="preserve">Prof. Dr. Yahya BÜYÜKAŞIK</t>
  </si>
  <si>
    <t xml:space="preserve">Üniversitemiz Tıp Fakültesi İç Hastalıkları Anabilim Dalı öğretim üyelerinden Prof. Dr. Yahya BÜYÜKAŞIK’ın sorumlu araştırmacı olduğu, Arş. Gör. Dr. Dilan KAYAALP'in uzmanlık tezi olan,</t>
  </si>
  <si>
    <t xml:space="preserve">“Kemik İliği Metastazı ile Solid Tümör Tanısı Alan Hastaların Klinik ve Laboratuvar Özelliklerinin Retrospektif Analizi”</t>
  </si>
  <si>
    <t xml:space="preserve">133.0</t>
  </si>
  <si>
    <t xml:space="preserve">SBA 26/133</t>
  </si>
  <si>
    <t xml:space="preserve">Prof. Dr. Aygin EKİNCİOĞLU</t>
  </si>
  <si>
    <t xml:space="preserve">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</si>
  <si>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 xml:space="preserve">“Pediatrik Hastalarda Kortikosteroid Kullanımına Yönelik Ebeveyn/Bakım Veren Görüşlerini Değerlendiren Bir Ölçeğin Geliştirilmesi ve Değerlendirilmesi”</t>
  </si>
  <si>
    <t xml:space="preserve">134.0</t>
  </si>
  <si>
    <t xml:space="preserve">SBA 26/134</t>
  </si>
  <si>
    <t xml:space="preserve">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</si>
  <si>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 xml:space="preserve">“Portabl Akciğer Grafilerinde Endotrakeal Tüp Pozisyonunun Belirlenmesi ve Pnömotoraks Teşhisinde Yapay Zeka: İki Programın Karşılaştırması”</t>
  </si>
  <si>
    <t xml:space="preserve">135.0</t>
  </si>
  <si>
    <t xml:space="preserve">SBA 26/135</t>
  </si>
  <si>
    <t xml:space="preserve">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</si>
  <si>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 xml:space="preserve">“Maksiller Darlığı Olan Hastalarda Diş-Kemik Destekli ve Saf Kemik Destekli Maksiller Ekspansiyon Yöntemlerinin Üç Boyutlu Karşılaştırılması”</t>
  </si>
  <si>
    <t xml:space="preserve">136.0</t>
  </si>
  <si>
    <t xml:space="preserve">SBA 26/136</t>
  </si>
  <si>
    <t xml:space="preserve">Dr. Öğr. Üyesi Arda ÇETİNKAYA</t>
  </si>
  <si>
    <t xml:space="preserve">Biyoinformatik Anabilim Dalı</t>
  </si>
  <si>
    <t xml:space="preserve">Üniversitemiz Sağlık Bilimleri Enstitüsü Biyoinformatik Anabilim Dalı öğretim üyelerinden Dr. Öğr. Üyesi Arda ÇETİNKAYA’nın sorumlu araştırmacı olduğu, Dilay Deniz AYDOĞDU’nun yüksek lisans tezi olan,</t>
  </si>
  <si>
    <t xml:space="preserve">“Ebeveyn-Çocuk Üçlüsü Tüm Genom Dizileme Verilerinde De Novo Varyantların Güvenilir Tespitinin Araştırılması”</t>
  </si>
  <si>
    <t xml:space="preserve">137.0</t>
  </si>
  <si>
    <t xml:space="preserve">SBA 26/137</t>
  </si>
  <si>
    <t xml:space="preserve">Dr. Öğr. Üyesi Ergin EROĞLU</t>
  </si>
  <si>
    <t xml:space="preserve">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</si>
  <si>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 xml:space="preserve">“İşitsel Beyinsapı İmplantasyonu Sonrası Revizyon Cerrahisi Geçirmiş Olgularda Revizyon Nedenlerinin İncelenmesi”</t>
  </si>
  <si>
    <t xml:space="preserve">2026-01-26 00:00:00</t>
  </si>
  <si>
    <t xml:space="preserve">138.0</t>
  </si>
  <si>
    <t xml:space="preserve">SBA 26/138</t>
  </si>
  <si>
    <t xml:space="preserve">Prof. Dr. Hülya DEMİR</t>
  </si>
  <si>
    <t xml:space="preserve">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</si>
  <si>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 xml:space="preserve">“Karaciğer Nakli Yapılan Çocukların Değerlendirilmesi, Alıcı ve Vericinin Nakil Komplikasyonlarına Etkisi Olan Parametrelerinin Araştırılması”</t>
  </si>
  <si>
    <t xml:space="preserve">139.0</t>
  </si>
  <si>
    <t xml:space="preserve">SBA 26/139</t>
  </si>
  <si>
    <t xml:space="preserve">Doç. Dr. Seda Hanife OĞUZ BAYKAL</t>
  </si>
  <si>
    <t xml:space="preserve">Üniversitemiz Tıp Fakültesi İç Hastalıkları Anabilim Dalı öğretim üyelerinden Doç. Dr. Seda Hanife OĞUZ BAYKAL'ın sorumlu araştırmacı olduğu, Prof. Dr. Uğur ÜNLÜTÜRK ve Uzm. Dr. Alperen Onur İŞLER ile birlikte çalışacakları,</t>
  </si>
  <si>
    <t xml:space="preserve">“Talasemi Hastalarında Endokrin Bozuklukların Yaşam Kalitesi Üzerine Etkisinin Değerlendirilmesi”</t>
  </si>
  <si>
    <t xml:space="preserve">140.0</t>
  </si>
  <si>
    <t xml:space="preserve">SBA 26/140</t>
  </si>
  <si>
    <t xml:space="preserve">Üniversitemiz Tıp Fakültesi, İç Hastalıkları Anabilim Dalı öğretim üyelerinden Prof. Dr. Ayşe Tomris ERBAŞ’ın sorumlu araştırmacı olduğu, Prof. Dr. Selçuk DAĞDELEN, Doç. Dr. Süleyman Nahit ŞENDUR, Uzm. Dr. Nergis BASMACI ile birlikte çalışacakları,</t>
  </si>
  <si>
    <t xml:space="preserve">“Cushing Hastalarında Tedavi Geçmişi ve Sonlanımlar: Tek Merkez Deneyimi"</t>
  </si>
  <si>
    <t xml:space="preserve">141.0</t>
  </si>
  <si>
    <t xml:space="preserve">SBA 26/141</t>
  </si>
  <si>
    <t xml:space="preserve">Prof. Dr. Deniz DOĞRU ERSÖZ</t>
  </si>
  <si>
    <t xml:space="preserve">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</si>
  <si>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 xml:space="preserve">“Kistik Fibrozis Hastalarında Solunum Fonksiyonlarını Düzeltmeye Yönelik Kalite İyileştirme Programının Geliştirilmesi”</t>
  </si>
  <si>
    <t xml:space="preserve">142.0</t>
  </si>
  <si>
    <t xml:space="preserve">SBA 26/142</t>
  </si>
  <si>
    <t xml:space="preserve">Dr. Öğr. Üyesi Emre KARA</t>
  </si>
  <si>
    <t xml:space="preserve">Üniversitemiz Eczacılık Fakültesi Klinik Eczacılık Anabilim Dalı öğretim üyelerinden Dr. Öğr. Üyesi Emre KARA’nın sorumlu araştırmacı olduğu, Prof. Dr. Murat AKOVA ve Arş. Gör. Bahar ERBAY ile birlikte çalışacakları,</t>
  </si>
  <si>
    <t xml:space="preserve">“Asiklovir ve Valasiklovir İlişkili Sitopeni: Retrospektif Bir Kohort Çalışması”</t>
  </si>
  <si>
    <t xml:space="preserve">143.0</t>
  </si>
  <si>
    <t xml:space="preserve">SBA 26/143</t>
  </si>
  <si>
    <t xml:space="preserve">Üniversitemiz Tıp Fakültesi Çocuk Cerrahisi Anabilim Dalı öğretim üyelerinden Prof. Dr. Tutku SOYER'in sorumlu araştırmacı olduğu, Doç. Dr. Numan DEMİR, Prof. Dr. Ali Şefik HOŞAL ile birlikte çalışacakları,</t>
  </si>
  <si>
    <t xml:space="preserve">“Özofagus Atrezili Olgularda Fiberoptik Endoskopik Yutma Testi ve Videofloroskopik Yutma Testi Değerlendirme Sonuçlarının Karşılaştırılması”</t>
  </si>
  <si>
    <t xml:space="preserve">2026-01-27 00:00:00</t>
  </si>
  <si>
    <t xml:space="preserve">144.0</t>
  </si>
  <si>
    <t xml:space="preserve">SBA 26/144</t>
  </si>
  <si>
    <t xml:space="preserve">Prof. Dr. Nagehan EMİRALİOĞLU ORDUKAYA</t>
  </si>
  <si>
    <t xml:space="preserve">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</si>
  <si>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 xml:space="preserve">“Çocukluk Çağı İnterstisyel Akciğer Hastalıklarında Beslenme Durumunun Solunum Fonksiyonları ve Yaşam Kalitesi Skorları ile İlişkisinin İncelenmesi”</t>
  </si>
  <si>
    <t xml:space="preserve">145.0</t>
  </si>
  <si>
    <t xml:space="preserve">SBA 26/145</t>
  </si>
  <si>
    <t xml:space="preserve">Üniversitemiz Eczacılık Fakültesi Klinik Eczacılık Anabilim Dalı öğretim üyelerinden Dr. Öğr. Üyesi Burcu KELLECİ ÇAKIR’ın sorumlu araştırmacı olduğu,Prof. Dr. Erdinç ÇETİNKAYA ve Dr. Rana Elçin SEZER ile birlikte çalışacakları,</t>
  </si>
  <si>
    <t xml:space="preserve">“Gastrointestinal Sistem Cerrahisinde Eczacı İş Birliği ile İlaç Kullanımı Modeli Geliştirilmesi”</t>
  </si>
  <si>
    <t xml:space="preserve">146.0</t>
  </si>
  <si>
    <t xml:space="preserve">SBA 26/146</t>
  </si>
  <si>
    <t xml:space="preserve">Doç. Dr. Gölşah KÖK</t>
  </si>
  <si>
    <t xml:space="preserve">Gülhane Sağlık Bilimleri Üniversitesi
Hemşirelik Fakültesi
Doğum ve Kadın Hastalıkları Hemşireliği Anabilim Dalı</t>
  </si>
  <si>
    <t xml:space="preserve">Gülhane Sağlık Bilimleri Üniversitesi Hemşirelik Fakültesi Doğum ve Kadın Hastalıkları Hemşireliği Anabilim Dalı öğretim üyelerinden Doç. Dr. Gölşah KÖK'ün sorumlu araştırmacı olduğu, Seda TEMEL ve Dr. Havva ÖZDEMIR ile birlikte çalışacakları,</t>
  </si>
  <si>
    <t xml:space="preserve">"Multiple Skleroz Tamil Kadınların Menopoz Semptomları ile Menopoza Yönelik Yaşam Kalitelerinin İncelenmesi"</t>
  </si>
  <si>
    <t xml:space="preserve">2026-02-05 00:00:00</t>
  </si>
  <si>
    <t xml:space="preserve">2026-02-17 00:00:00</t>
  </si>
  <si>
    <t xml:space="preserve">147.0</t>
  </si>
  <si>
    <t xml:space="preserve">SBA 26/147</t>
  </si>
  <si>
    <t xml:space="preserve">Öğr. Gör. Dr. Pınar ÖZDEMİR YAŞAR</t>
  </si>
  <si>
    <t xml:space="preserve">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</si>
  <si>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 xml:space="preserve">“İntrakraniyal Kitle Tanılı Erişkin Hastalarda Preoperatif ve Postoperatif Dönemde Disfaji Varlığının Gugging Swallowing Screen (GUSS) ve Functional Oral Intake Scale (FOIS) Ölçekleri ile Değerlendirilmesi: Prospektif Gözlemsel Çalışma”</t>
  </si>
  <si>
    <t xml:space="preserve">148.0</t>
  </si>
  <si>
    <t xml:space="preserve">SBA 26/148</t>
  </si>
  <si>
    <t xml:space="preserve">Üniversitemiz Tıp Fakültesi İç Hastalıkları Anabilim Dalı öğretim üyelerinden Doç. Dr. Süleyman Nahit ŞENDUR’un sorumlu araştırmacı olduğu, Prof. Dr. Tomris ERBAŞ, Prof. Dr. Selçuk DAĞDELEN, Uzm. Dr. Selvi Selin TEKİN ile birlikte çalışacakları,</t>
  </si>
  <si>
    <t xml:space="preserve">“Büyük Adrenal Lezyonların Klinik, Endokrinolojik, Cerrahi ve Patolojik Özelliklerinin İncelenmesi”</t>
  </si>
  <si>
    <t xml:space="preserve">149.0</t>
  </si>
  <si>
    <t xml:space="preserve">SBA 26/149</t>
  </si>
  <si>
    <t xml:space="preserve">“Diyabetik Gastroparezi Hastalarında Klinik Özellikler, Tanı Süreçleri ve Klinik Sonuçların Retrospektif Değerlendirilmesi: Tek Merkez Deneyimi”</t>
  </si>
  <si>
    <t xml:space="preserve">150.0</t>
  </si>
  <si>
    <t xml:space="preserve">SBA 26/150</t>
  </si>
  <si>
    <t xml:space="preserve">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</si>
  <si>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 xml:space="preserve">“Fonksiyonel Nöroendokrin Tümör Olgularının Retrospektif Değerlendirilmesi: Tek Merkez Deneyim”</t>
  </si>
  <si>
    <t xml:space="preserve">151.0</t>
  </si>
  <si>
    <t xml:space="preserve">SBA 26/151</t>
  </si>
  <si>
    <t xml:space="preserve">Üniversitemiz Tıp Fakültesi Göz Hastalıkları Anabilim Dalı öğretim üyelerinden Dr. Öğr. Üyesi Figen BEZCİ AYGÜN'ün sorumlu araştırmacı olduğu, Prof. Dr. Sibel KADAYIFÇILAR ve Arş. Gör. Dr. Nargız RUSTAMOVA ile birlikte çalışacakları,</t>
  </si>
  <si>
    <t xml:space="preserve">“İntravitreal Deksametazon İmplantasyonu Sonrası Gelişen Oküler Komplikasyonların Değerlendirilmesi”</t>
  </si>
  <si>
    <t xml:space="preserve">152.0</t>
  </si>
  <si>
    <t xml:space="preserve">SBA 26/152</t>
  </si>
  <si>
    <t xml:space="preserve">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</si>
  <si>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 xml:space="preserve">“Santral Paranteral Beslenme Kontrol Listesinin Kateter İlişkili Komplikasyonlara Etkisinin Değerlendirilmesi”</t>
  </si>
  <si>
    <t xml:space="preserve">153.0</t>
  </si>
  <si>
    <t xml:space="preserve">SBA 26/153</t>
  </si>
  <si>
    <t xml:space="preserve">Dr. Öğr. Üyesi Barış KAFA</t>
  </si>
  <si>
    <t xml:space="preserve">Üniversitemiz Tıp Fakültesi Ortopedi ve Travmatoloji Anabilim Dalı öğretim üyelerinden Dr. Öğr. Üyesi Barış KAFA’nın sorumlu araştırmacı olduğu, Arş. Gör. Dr. Berat YÜKSEL ile birlikte çalışacakları,</t>
  </si>
  <si>
    <t xml:space="preserve">“Humerus Suprakondiler Proses ve Struthers Ligaman Varlığının Klinik ve Radyolojik Karakteristikleri: Retrospektif Bir Arşiv Taraması”</t>
  </si>
  <si>
    <t xml:space="preserve">154.0</t>
  </si>
  <si>
    <t xml:space="preserve">SBA 26/154</t>
  </si>
  <si>
    <t xml:space="preserve">Doç. Dr. Burcu HATİBOĞLU</t>
  </si>
  <si>
    <t xml:space="preserve">Üniversitemiz İktisadi ve İdari Bilimler Fakültesi Sosyal Hizmet Anabilim Dalı öğretim üyelerinden Doç. Dr. Burcu HATİBOĞLU’nun sorumlu araştırmacı olduğu, Semra GÜNDÜZ’ün doktora tezi olan,</t>
  </si>
  <si>
    <t xml:space="preserve">Toplumsal Cinsiyet ve Hegernonik Erkeklik Bağlamında Alkol Kullanım Bozukluğu olan Erkeklerin Deneyimleri: Adsız Alkolikler (AA) Örneği"</t>
  </si>
  <si>
    <t xml:space="preserve">155.0</t>
  </si>
  <si>
    <t xml:space="preserve">SBA 26/155</t>
  </si>
  <si>
    <t xml:space="preserve">Dr. Öğr. Üyesi Hanife Merva PARLAK</t>
  </si>
  <si>
    <t xml:space="preserve">Üniversitemiz Diş Hekimliği Fakültesi Periodontoloji Anabilim Dalı öğretim üyelerinden Dr. Öğr. Üyesi Hanife Merva PARLAK’ın sorumlu araştırmacı olduğu,</t>
  </si>
  <si>
    <t xml:space="preserve">“Triester Gliserol Oksit Uygulamasının Postoperatif Ağrı ve Yara İyileşmesine Etkisinin Retrospektif Olarak Değerlendirilmesi”</t>
  </si>
  <si>
    <t xml:space="preserve">156.0</t>
  </si>
  <si>
    <t xml:space="preserve">SBA 26/156</t>
  </si>
  <si>
    <t xml:space="preserve">Üniversitemiz Hacettepe Tıp Fakültesi Çocuk Sağlığı ve Hastalıkları Anabilim Dalı öğretim üyelerinden Prof. Dr. Yasemin ÖZSÜREKCİ’nin sorumlu araştırmacı olduğu, Arş. Gör. Dr. Osman ÇUBUK ve Arş. Gör. Dr. Osman Oğuz DEMİR ile birlikte çalışacakları,</t>
  </si>
  <si>
    <t xml:space="preserve">“Akademik Tıpta Yapay Zekâ: Benimseme, Tutum ve Niyetler”</t>
  </si>
  <si>
    <t xml:space="preserve">157.0</t>
  </si>
  <si>
    <t xml:space="preserve">SBA 26/157</t>
  </si>
  <si>
    <t xml:space="preserve">Prof. Dr. Hatice DOĞAN BUZOĞLU</t>
  </si>
  <si>
    <t xml:space="preserve">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</si>
  <si>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 xml:space="preserve">“Lipit Mediyatör Maresin 1'in İnflamasyon Ortamında Dental Pulpa Kök Hücreleri Üzerine Etkisi”</t>
  </si>
  <si>
    <t xml:space="preserve">158.0</t>
  </si>
  <si>
    <t xml:space="preserve">SBA 26/158</t>
  </si>
  <si>
    <t xml:space="preserve">Doç. Dr. Almıla Gülsün PAMUK</t>
  </si>
  <si>
    <t xml:space="preserve">Üniversitemiz Tıp Fakültesi Anesteziyoloji ve Reanimasyon Anabilim Dalı öğretim üyelerinden Doç. Dr. Almıla Gülsün PAMUK’un sorumlu araştırmacı olduğu, Arş. Gör. Dr. Muhammed Raşit HIZ'ın uzmanlık tezi olan,</t>
  </si>
  <si>
    <t xml:space="preserve">“Ultrasonografi ile Ölçülen Cilt-Epiglot Mesafesinin Zor Entübasyonu Öngörmedeki Değeri”</t>
  </si>
  <si>
    <t xml:space="preserve">159.0</t>
  </si>
  <si>
    <t xml:space="preserve">SBA 26/159</t>
  </si>
  <si>
    <t xml:space="preserve">Doç. Dr. Gamze ATAY</t>
  </si>
  <si>
    <t xml:space="preserve">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</si>
  <si>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 xml:space="preserve">“Hepatik Steatozun ve Fibrozisin Derecesi ile İşitsel ve Denge Fonksiyonları Arasındaki İlişkinin İncelenmesi”</t>
  </si>
  <si>
    <t xml:space="preserve">160.0</t>
  </si>
  <si>
    <t xml:space="preserve">SBA 26/160</t>
  </si>
  <si>
    <t xml:space="preserve">Üniversitemiz Tıp Fakültesi Çocuk Sağlığı ve Hastalıkları Anabilim Dalı öğretim üyelerinden Prof. Dr. Yasemin ÖZSÜREKCİ’nin sorumlu araştırmacı olduğu; Arş. Gör. Dr. Aylin Irmak KURUÇ ve Arş. Gör. Dr. Osman Oğuz DEMİR ile birlikte çalışacakları,</t>
  </si>
  <si>
    <t xml:space="preserve">“Bakteriyel Enfeksiyon Tanısı Alan ve Tedavi Edilen Çocuk Hastaların Retrospektif olarak İncelenmesi”</t>
  </si>
  <si>
    <t xml:space="preserve">2026-02-06 00:00:00</t>
  </si>
  <si>
    <t xml:space="preserve">161.0</t>
  </si>
  <si>
    <t xml:space="preserve">SBA 26/161</t>
  </si>
  <si>
    <t xml:space="preserve">Üniversitemiz Eczacılık Fakültesi Klinik Eczacılık Anabilim Dalı öğretim üyelerinden Dr. Öğr. Üyesi Burcu KELLECİ ÇAKIR'ın sorumlu araştırmacı olduğu, Doç. Dr. Cafer BALCI, Arş. Gör. Uğur BALABAN, Arş. Gör. Tubanur KOCAASLAN ile birlikte çalışacakları,</t>
  </si>
  <si>
    <t xml:space="preserve">“Yaşlı Hastalarda Stres Hiperglisemi Oranının Malnütrisyon, Kırılganlık ve Sarkopeni ile İlişkisinin Değerlendirilmesi</t>
  </si>
  <si>
    <t xml:space="preserve">162.0</t>
  </si>
  <si>
    <t xml:space="preserve">SBA 26/162</t>
  </si>
  <si>
    <t xml:space="preserve">Doç. Dr. Hilal KORKMAZ</t>
  </si>
  <si>
    <t xml:space="preserve">Fizyoloji Anabilim Dalı</t>
  </si>
  <si>
    <t xml:space="preserve">Üniversitemiz Tıp Fakültesi Fizyoloji Anabilim Dalı öğretim üyelerinden Doç. Dr. Hilal KORKMAZ'ın sorumlu araştırmacı olduğu, Aslı DEMİR, Miyase Nur ÖZTÜRK, Saliha Sena YILDIZ, Sena AYDIN ile birlikte çalışacakları,</t>
  </si>
  <si>
    <t xml:space="preserve">“Menstrüel Siklusun Farklı Fazlarında Değişen İştah ve Aşerme Düzeyleri ile Plazma Oksitosin Seviyesi Arasındaki İlişki</t>
  </si>
  <si>
    <t xml:space="preserve">163.0</t>
  </si>
  <si>
    <t xml:space="preserve">SBA 26/163</t>
  </si>
  <si>
    <t xml:space="preserve">Üniversitemiz Tıp Fakültesi İç Hastalıkları Anabilim Dalı öğretim üyelerinden Doç. Dr. Mert EŞME’nin sorumlu araştırmacı olduğu, Arş. Gör. Dr. Cansu ÇIKIN ile birlikte çalışacakları ve Arş. Gör. Dr. Mustafa Utku UĞUR’un uzmanlık tezi olan,</t>
  </si>
  <si>
    <t xml:space="preserve">“Perkütan Koroner Girişimin Geriatrik Hastalarda Fonksiyonel Performans, Kırılganlık ve Geriatrik Sendromlar ile İlişkisi”</t>
  </si>
  <si>
    <t xml:space="preserve">164.0</t>
  </si>
  <si>
    <t xml:space="preserve">SBA 26/164</t>
  </si>
  <si>
    <t xml:space="preserve">Üniversitemiz Tıp Fakültesi Kadın Hastalıkları ve Doğum Anabilim Dalı öğretim üyelerinden Dr. Öğr. Üyesi Gonca ÖZTEN'in sorumlu araştırmacı olduğu, Prof. Dr. İlkay Sedakat İDİLMAN, Arş. Gör. Dr. Fatma CANER ÇABUKOĞLU ve Arş. Gör. Dr. Onur Ege TARI ile birlikte çalışacakları,</t>
  </si>
  <si>
    <t xml:space="preserve">“Uterus Elastikiyetinin İntra Uterin İnseminasyon (IUI) Sonuçları ile İlişkisinin Prospektif Olarak İncelenmesi”</t>
  </si>
  <si>
    <t xml:space="preserve">165.0</t>
  </si>
  <si>
    <t xml:space="preserve">SBA 26/165</t>
  </si>
  <si>
    <t xml:space="preserve">“Uterus Elastikiyetinin İn Vitro Fertilizasyon Sonuçları ile İlişkisinin Prospektif Olarak İncelenmesi”</t>
  </si>
  <si>
    <t xml:space="preserve">166.0</t>
  </si>
  <si>
    <t xml:space="preserve">SBA 26/166</t>
  </si>
  <si>
    <t xml:space="preserve">Üniversitemiz Tıp Fakültesi Ortopedi ve Travmatoloji Anabilim Dalı öğretim üyelerinden Prof. Dr. Mehmet AYVAZ’ın sorumlu araştırmacı olduğu, Arş. Gör. Dr. İpek IŞIK ile birlikte çalışacakları,</t>
  </si>
  <si>
    <t xml:space="preserve">“Pediatrik Osteoid Osteoma Hastalarında Bilgisayarlı Tomografi Eşliğinde Radyofrekans Ablasyon Tedavisi Sonrası Nüks ile İlişkili Risk Faktörlerinin Değerlendirilmesi”</t>
  </si>
  <si>
    <t xml:space="preserve">167.0</t>
  </si>
  <si>
    <t xml:space="preserve">SBA 26/167</t>
  </si>
  <si>
    <t xml:space="preserve">“Elde Tendon Kılıfı Dev Hücreli Tümörlerinde Cerrahi Tedavi Sonrası Fonksiyonel ve Klinik Sonuçların Değerlendirilmesi”</t>
  </si>
  <si>
    <t xml:space="preserve">168.0</t>
  </si>
  <si>
    <t xml:space="preserve">SBA 26/168</t>
  </si>
  <si>
    <t xml:space="preserve">Üniversitemiz Tıp Fakültesi Nöroloji Anabilim Dalı öğretim üyelerinden Prof. Dr. Çağrı Mesut TEMUÇİN’in sorumlu araştırmacı olduğu, Prof. Dr. Fatma Gökçem YILDIZ SARIKAYA ve Uzm. Dr. Handan UZUNÇAKMAK UYANIK ile birlikte çalışacakları,</t>
  </si>
  <si>
    <t xml:space="preserve">“Tremor Simülasyonunda Doğruluk, Stabilite ve Uyarılabilirlik Bağlamında Metronom Tiplerinin İncelenmesi ile Burstlerin Sürüklenme Açısından Analizi”</t>
  </si>
  <si>
    <t xml:space="preserve">169.0</t>
  </si>
  <si>
    <t xml:space="preserve">SBA 26/169</t>
  </si>
  <si>
    <t xml:space="preserve">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</si>
  <si>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 xml:space="preserve">“01/01/2015-31/12/2025 Tarihleri Arasındaki Gestasyonel Trofoblastik Hastalık Olgularının Klinik, Tanı ve Tedavi Protokollerinin Etkinliği, Rekürrens, Tedavi Direnci, Fertilite Üzerindeki Etkilerinin Çok Yönlü Değerlendirilmesi”</t>
  </si>
  <si>
    <t xml:space="preserve">170.0</t>
  </si>
  <si>
    <t xml:space="preserve">SBA 26/170</t>
  </si>
  <si>
    <t xml:space="preserve">Doç. Dr. Derman BAŞARAN</t>
  </si>
  <si>
    <t xml:space="preserve">Üniversitemiz Tıp Fakültesi Kadın Hastalıkları ve Doğum Anabilim Dalı öğretim üyelerinden Doç. Dr. Derman BAŞARAN’ın sorumlu araştırmacı olduğu, Arş. Gör. Dr. Murat CENGİZ ve Arş. Gör. Dr. Fatma CANER ÇABUKOĞLU ile birlikte çalışacakları,</t>
  </si>
  <si>
    <t xml:space="preserve">“01/01/2013–01/01/2026 Tarihleri Arasında Servikal Adenokarsinoma İn Situ Tanılı Hastalarda Eksizyonel Tedavi Sonrası Rezidü Hastalık Sıklığı ve İlişkili Faktörler: Çok Merkezli Retrospektif Kohort Çalışma”</t>
  </si>
  <si>
    <t xml:space="preserve">171.0</t>
  </si>
  <si>
    <t xml:space="preserve">SBA 26/171</t>
  </si>
  <si>
    <t xml:space="preserve">Üniversitemiz Tıp Fakültesi Çocuk Sağlığı ve Hastalıkları Anabilim Dalı öğretim üyelerinden Prof. Dr. Yasemin ÖZSÜREKCİ’nin sorumlu araştırmacı olduğu; Arş. Gör. Dr. Aylin Irmak KURUÇ ve Arş. Gör. Dr. Osman Oğuz DEMİR ile birlikte çalışacakları</t>
  </si>
  <si>
    <t xml:space="preserve">“Brucella Tanısı ile İzlenen Çocuk Hastaların Klinik, Laboratuvar ve Tedavi Yanıtlarının Değerlendirmesi, Çok Merkezli Çalışma”</t>
  </si>
  <si>
    <t xml:space="preserve">172.0</t>
  </si>
  <si>
    <t xml:space="preserve">SBA 26/172</t>
  </si>
  <si>
    <t xml:space="preserve">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</si>
  <si>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 xml:space="preserve">“Geriatrik Sendromlar ile Hareket Analizi Ölçümlerinin İlişkisinin İncelenmesi”</t>
  </si>
  <si>
    <t xml:space="preserve">173.0</t>
  </si>
  <si>
    <t xml:space="preserve">SBA 26/173</t>
  </si>
  <si>
    <t xml:space="preserve">Doç. Dr. Duygu GÜLSEREN</t>
  </si>
  <si>
    <t xml:space="preserve">Üniversitemiz Tıp Fakültesi Deri ve Zührevi Hastalıkları Anabilim Dalı öğretim üyelerinden Doç. Dr. Duygu GÜLSEREN’in sorumlu araştırmacı olduğu, Dr. Öğr. Üyesi Özay GÖKÖZ, Arş. Gör. Dr. Deniz TATAR ile birlikte çalışacakları,</t>
  </si>
  <si>
    <t xml:space="preserve">“Folikülitis Dekalvans Hastalarında Histopatolojik Bulgular ve Sistemik İnflamatuvar İndekslerin Refrakter Hastalık ile İlişkisinin Değerlendirilmesi”</t>
  </si>
  <si>
    <t xml:space="preserve">174.0</t>
  </si>
  <si>
    <t xml:space="preserve">SBA 26/174</t>
  </si>
  <si>
    <t xml:space="preserve">Prof. Dr. Egemen TURHAN</t>
  </si>
  <si>
    <t xml:space="preserve">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</si>
  <si>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 xml:space="preserve">“Tenosinoviyal Dev Hücreli Tümör/Pigmente Villonodüler Sinovit (TGCT/PVNS) Hastalarında Kan Plazması ve Sinoviyal Sıvının Metabolomik Profillerinin Q-TOF LC/MS ile Karşılaştırılması”</t>
  </si>
  <si>
    <t xml:space="preserve">2026-02-09 00:00:00</t>
  </si>
  <si>
    <t xml:space="preserve">175.0</t>
  </si>
  <si>
    <t xml:space="preserve">SBA 26/175</t>
  </si>
  <si>
    <t xml:space="preserve">Prof. Dr. Sevinç SARINÇ</t>
  </si>
  <si>
    <t xml:space="preserve">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</si>
  <si>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 xml:space="preserve">“İnterstisyel Akciğer Hastalığı Tanılı Hastalarda Uyku Solunum Bozukluklarının Kapsamlı Analizi”</t>
  </si>
  <si>
    <t xml:space="preserve">176.0</t>
  </si>
  <si>
    <t xml:space="preserve">SBA 26/176</t>
  </si>
  <si>
    <t xml:space="preserve">Prof. Dr. Serdar TEKGÜL</t>
  </si>
  <si>
    <t xml:space="preserve">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</si>
  <si>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 xml:space="preserve">“Primer Vezikoüreteral Reflü Olan Çocuk Hastalarda Açık Cerrahi ile Üreteral Reimplantasyon Sonuçlarımızın Değerlendirilmesi”</t>
  </si>
  <si>
    <t xml:space="preserve">177.0</t>
  </si>
  <si>
    <t xml:space="preserve">SBA 26/177</t>
  </si>
  <si>
    <t xml:space="preserve">Doç. Dr. Mesut ALTAN</t>
  </si>
  <si>
    <t xml:space="preserve">Üniversitemiz Tıp Fakültesi Üroloji Anabilim Dalı öğretim üyelerinden Doç. Dr. Mesut ALTAN’ın sorumlu araştırmacı olduğu, Arş. Gör. Dr. Rabia HİZARCİ BAL ile birlikte çalışacakları,</t>
  </si>
  <si>
    <t xml:space="preserve">“Radikal SistoprostatektomiYapılan Hastalarda İnsidental Tespit Edlen Prostat Kanserinin Görülme Sıklığı, Klinikopatolojik Özellikleri ve Sağkalım Üzerindeki Etkisi: Tek Merkezli Bir Analiz”</t>
  </si>
  <si>
    <t xml:space="preserve">178.0</t>
  </si>
  <si>
    <t xml:space="preserve">SBA 26/178</t>
  </si>
  <si>
    <t xml:space="preserve">“Radikal Sistektomi Operasyonu Yapılan Hastalarda Nefroüreteroileal Stentlerin Uzun Dönem Sonuçları”</t>
  </si>
  <si>
    <t xml:space="preserve">179.0</t>
  </si>
  <si>
    <t xml:space="preserve">SBA 26/179</t>
  </si>
  <si>
    <t xml:space="preserve">Doç. Dr. İzzet FİDANCI</t>
  </si>
  <si>
    <t xml:space="preserve">Aile Hekimliği Anabilim Dalı</t>
  </si>
  <si>
    <t xml:space="preserve">Üniversitemiz Tıp Fakültesi Aile Hekimliği Anabilim Dalı öğretim üyelerinden Doç. Dr .İzzet FİDANCI’nın sorumlu araştırmacı olduğu, Doç. Dr. Hilal AKSOY ve Doç. Dr. Duygu AYHAN BAŞER ile birlikte çalışacakları,</t>
  </si>
  <si>
    <t xml:space="preserve">“Üniversite Öğrencilerinde Yanmalı Sigara, Elektronik Sigara ve Isıtılmış Tütün Kullanımına Göre Karbonmonoksit Düzeyleri ve Nikotin Bağımlılığı: Karma Yöntem Çalışması”</t>
  </si>
  <si>
    <t xml:space="preserve">180.0</t>
  </si>
  <si>
    <t xml:space="preserve">SBA 26/180</t>
  </si>
  <si>
    <t xml:space="preserve">Üniversitemiz Tıp Fakültesi İç Hastalıkları Anabilim Dalı öğretim üyelerinden Doç. Dr. Levent KILIÇ’ın sorumlu araştırmacı olduğu, Arş. Gör. Dr. Deniz DÖNMEZ ile birlikte çalışacakları ve Arş. Gör. Dr. Selin ÇETİN’in uzmanlık tezi olan,</t>
  </si>
  <si>
    <t xml:space="preserve">“Aksiyel Spondiloartrit ve Psöriatik Artrit Hastalarında JAK İnhibitörlerinin Etkinlik ve Güvenlik Profili: Tek Merkezli Retrospektif Gerçek Yaşam Verisi”</t>
  </si>
  <si>
    <t xml:space="preserve">181.0</t>
  </si>
  <si>
    <t xml:space="preserve">SBA 26/181</t>
  </si>
  <si>
    <t xml:space="preserve">Doç. Dr. Basri GÜLBAKAN</t>
  </si>
  <si>
    <t xml:space="preserve">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</si>
  <si>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 xml:space="preserve">“Kalıtsal Metabolik Hastalıklarda İtakonatın İnflamasyondaki Rolünün Araştırılması”</t>
  </si>
  <si>
    <t xml:space="preserve">2026-02-10 00:00:00</t>
  </si>
  <si>
    <t xml:space="preserve">182.0</t>
  </si>
  <si>
    <t xml:space="preserve">SBA 26/182</t>
  </si>
  <si>
    <t xml:space="preserve">Dr. Öğr. Üyesi Merva PARLAK</t>
  </si>
  <si>
    <t xml:space="preserve">Üniversitemiz Diş Hekimliği Fakültesi Periodontoloji Anabilim Dalı öğretim üyelerinden Dr. Öğr. Üyesi Hanife Merva PARLAK’ın sorumlu araştırmacı olduğu, Öğr. Gör. Dt. Meltem ÖZDEMİR-KABALAK ile birlikte çalışacakları,</t>
  </si>
  <si>
    <t xml:space="preserve">“Oral Cerrahi İşlem Gereken Bireylerin Preoperatif Siberkondri Ciddiyeti ile Anksiyete ve Cerrahi Korku Seviyelerinin Değerlendirilmesi”</t>
  </si>
  <si>
    <t xml:space="preserve">183.0</t>
  </si>
  <si>
    <t xml:space="preserve">SBA 26/183</t>
  </si>
  <si>
    <t xml:space="preserve">Prof. Dr. Mustafa Barış GÜNCÜ</t>
  </si>
  <si>
    <t xml:space="preserve">Üniversitemiz Diş Hekimliği Fakültesi Protetik Diş Tedavisi Anabilim Dalı öğretim üyelerinden Prof. Dr. Mustafa Barış GÜNCÜ’nün sorumlu araştırmacı olduğu, Arş. Gör. Dt. Eda Gül KAYIR'ın uzmanlık tezi olan,</t>
  </si>
  <si>
    <t xml:space="preserve">“Tam Ark İmplant Ölçülerinde Fotogrametri ve Ağız İçi Tarama Yöntemlerinin Doğruluğunun Değerlendirilmesi”</t>
  </si>
  <si>
    <t xml:space="preserve">184.0</t>
  </si>
  <si>
    <t xml:space="preserve">SBA 26/184</t>
  </si>
  <si>
    <t xml:space="preserve">Dr. Öğr. Üyesi Aybüke USLU TEKCE</t>
  </si>
  <si>
    <t xml:space="preserve">Restoratif Diş Tedavisi Anabilim Dalı</t>
  </si>
  <si>
    <t xml:space="preserve">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</si>
  <si>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 xml:space="preserve">“Farklı Remineralize Edici Ajanların Diyot Lazer ile Beyazlatma Uygulama Sırasına Bağlı Yüzey Özelliklerine Etkisi”</t>
  </si>
  <si>
    <t xml:space="preserve">2026-02-11 00:00:00</t>
  </si>
  <si>
    <t xml:space="preserve">185.0</t>
  </si>
  <si>
    <t xml:space="preserve">SBA 26/185</t>
  </si>
  <si>
    <t xml:space="preserve">Üniversitemiz Tıp Fakültesi Radyoloji Anabilim Dalı öğretim üyelerinden Doç. Dr. Gamze DURHAN’ın sorumlu araştırmacı olduğu, Prof. Dr. Sercan AKSOY ile birlikte çalışacakları ve Arş. Gör. Dr. İsmail Cihat CANKURTARAN’ın uzmanlık tezi olan,</t>
  </si>
  <si>
    <t xml:space="preserve">“Mamografide Yapay Zekanın Risk Skoru Davranışı ve İnterval Kanser Tespit Performansı”</t>
  </si>
  <si>
    <t xml:space="preserve">186.0</t>
  </si>
  <si>
    <t xml:space="preserve">SBA 26/186</t>
  </si>
  <si>
    <t xml:space="preserve">Üniversitemiz Tıp Fakültesi Kadın Hastalıkları ve Doğum Anabilim Dalı öğretim üyelerinden Dr. Öğr. Üyesi Gonca ÖZTEN’in sorumlu araştırmacı olduğu, Dr. Öğr. Üyesi Onur İNCE, Dr. Öğr. Üyesi Ali Can GÜNEŞ, Arş. Gör. Dr. Işıl Damla DİNÇ ve Arş. Gör. Dr. Fatma CANER ÇABUKOĞLU ile birlikte çalışacakları,</t>
  </si>
  <si>
    <t xml:space="preserve">“IVF Gebeliklerinde İlk Trimester Baş Popo Mesafesi Uyumsuzluğu: Gebelik Sonuçlarının Retrospektif Değerlendirilmesi”</t>
  </si>
  <si>
    <t xml:space="preserve">187.0</t>
  </si>
  <si>
    <t xml:space="preserve">SBA 26/187</t>
  </si>
  <si>
    <t xml:space="preserve">Dr. Öğr. Üyesi Muhammed Çağrı KÜLEKCİ</t>
  </si>
  <si>
    <t xml:space="preserve">Üniversitemiz Tıp Fakültesi Kulak Burun Boğaz Hastalıkları Anabilim Dalı öğretim üyelerinden Dr. Öğr. Üyesi Muhammed Çağrı KÜLEKCİ’nın sorumlu araştırmacı olduğu, Arş. Gör. Dr. Erdem Ersan AKYÜREK ile birlikte çalışacakları,</t>
  </si>
  <si>
    <t xml:space="preserve">“Nazofaringeal Stenozun Cerrahi Tedavisinde Nazoseptal Flep Etkinliğinin Araştırılması”</t>
  </si>
  <si>
    <t xml:space="preserve">188.0</t>
  </si>
  <si>
    <t xml:space="preserve">SBA 26/188</t>
  </si>
  <si>
    <t xml:space="preserve">Doç.Dr. Tekin AKSU</t>
  </si>
  <si>
    <t xml:space="preserve">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</si>
  <si>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 xml:space="preserve">“Santral Venöz Kateter İlişkili Trombozlarda Risk Faktörleri ve Risk Skorlaması: Prospektif Gözlemsel Çalışma”</t>
  </si>
  <si>
    <t xml:space="preserve">189.0</t>
  </si>
  <si>
    <t xml:space="preserve">SBA 26/189</t>
  </si>
  <si>
    <t xml:space="preserve">Öğr. Gör. Dr. Helin YÜCEDAĞ GÜNDOĞDU</t>
  </si>
  <si>
    <t xml:space="preserve">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</si>
  <si>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 xml:space="preserve">“Arteria Transversa Faciei’nin BT Anjiyografi ile Görüntülenmesi: Cerrahi Planlamaya Katkılar”</t>
  </si>
  <si>
    <t xml:space="preserve">190.0</t>
  </si>
  <si>
    <t xml:space="preserve">SBA 26/190</t>
  </si>
  <si>
    <t xml:space="preserve">Dr. Öğr. Üyesi Özge YAVUZ SARI</t>
  </si>
  <si>
    <t xml:space="preserve">Üniversitemiz Tıp Fakültesi Halk Sağlığı Anabilim Dalı öğretim üyelerinden Dr. Öğr. Üyesi Özge YAVUZ SARI’nın sorumlu araştırmacı olduğu, Prof. Dr. Cavit Işık YAVUZ ve Prof. Dr. Hakan YARDIMCI ile birlikte çalışacakları,</t>
  </si>
  <si>
    <t xml:space="preserve">“Veteriner Hekimlerin Soğuk Zincir Uygulamalarına İlişkin Bazı Bilgi ve Görüşlerinin Değerlendirilmesi”</t>
  </si>
  <si>
    <t xml:space="preserve">191.0</t>
  </si>
  <si>
    <t xml:space="preserve">SBA 26/191</t>
  </si>
  <si>
    <t xml:space="preserve">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</si>
  <si>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 xml:space="preserve">“Çocuklarda Respiratuvar Sinsityal Virüs Enfeksiyonunun Akciğer Dışı Bulguları”</t>
  </si>
  <si>
    <t xml:space="preserve">2026-02-18 00:00:00</t>
  </si>
  <si>
    <t xml:space="preserve">2026-03-03 00:00:00</t>
  </si>
  <si>
    <t xml:space="preserve">192.0</t>
  </si>
  <si>
    <t xml:space="preserve">SBA 26/192</t>
  </si>
  <si>
    <t xml:space="preserve">Arş. Gör. Dr. Şükran BAYRAK</t>
  </si>
  <si>
    <t xml:space="preserve">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</si>
  <si>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 xml:space="preserve">“Çocuk Acilde Derin Boyun Enfeksiyonlarının Retrospektif Değerlendirilmesi"</t>
  </si>
  <si>
    <t xml:space="preserve">193.0</t>
  </si>
  <si>
    <t xml:space="preserve">SBA 26/193</t>
  </si>
  <si>
    <t xml:space="preserve">Üniversitemiz Tıp Fakültesi Nöroloji Anabilim Dalı öğretim üyelerinden Prof. Dr. Neşe DERİCİOĞLU'nun sorumlu araştırmacı olduğu, Arş. Gör. Dr. İlker ARSLAN ile birlikte çalışacakları,</t>
  </si>
  <si>
    <t xml:space="preserve">“Trifazik Dalgaların Faz-Spesifik Morfolojik Özelliklerinin Kantitatif Değerlendirilmesi ve Etiyolojiye Göre Karşılaştırılması: Retrospektif Bir Çalışma”</t>
  </si>
  <si>
    <t xml:space="preserve">194.0</t>
  </si>
  <si>
    <t xml:space="preserve">SBA 26/194</t>
  </si>
  <si>
    <t xml:space="preserve">Prof. Dr. Jale KARAKAYA</t>
  </si>
  <si>
    <t xml:space="preserve">Biyoistatistik Anabilim Dalı</t>
  </si>
  <si>
    <t xml:space="preserve">Üniversitemiz Tıp Fakültesi Biyoistatistik Anabilim Dalı öğretim üyelerinden Prof. Dr. Jale KARAKAYA’nın sorumlu araştırmacı olduğu, Doç. Dr. Gamze DURHAN ve Arş. Gör. Hanife AVCI ile birlikte çalışacakları,</t>
  </si>
  <si>
    <t xml:space="preserve">“Dijital Mamografi Görüntülerinde Evrişimsel Sinir Ağları ile Meme Kitlelerinin Otomatik Tespiti, Lokalizasyonu ve Histopatolojiye Dayalı Alt Tip Sınıflandırılması”</t>
  </si>
  <si>
    <t xml:space="preserve">195.0</t>
  </si>
  <si>
    <t xml:space="preserve">SBA 26/195</t>
  </si>
  <si>
    <t xml:space="preserve">Dr. Öğr. Üyesi Aycan UYSAL</t>
  </si>
  <si>
    <t xml:space="preserve">Üniversitemiz Tıp Fakültesi Radyoloji Anabilim Dalı öğretim üyelerinden Dr. Öğr. Üyesi Aycan UYSAL’ın sorumlu araştırmacı olduğu, Prof. Dr. Emre ÜNAL ile birlikte çalışacakları,</t>
  </si>
  <si>
    <t xml:space="preserve">“Perkütan Endolüminal Forseps Biyopsilerinin Teknik ve Tanısal Performansı: Endobiliyer ve Endoüreteral Lezyonlar”</t>
  </si>
  <si>
    <t xml:space="preserve">196.0</t>
  </si>
  <si>
    <t xml:space="preserve">SBA 26/196</t>
  </si>
  <si>
    <t xml:space="preserve">Üniversitemiz Tıp Fakültesi Anatomi Anabilim Dalı öğretim üyelerinden Doç. Dr. Ceren GÜNENÇ BEŞER’in sorumlu araştırmacı olduğu, Doç. Dr. Damla HANALİOĞLU'nun yüksek lisans tezi olan,</t>
  </si>
  <si>
    <t xml:space="preserve">“Pediatrik Kardiyopulmoner Resüsitasyonda Kesintisiz Göğüs Kompresyonları Altında Video ve Direkt Laringoskopinin Karşılaştırılması: Randomize Simülasyon Çalışması”</t>
  </si>
  <si>
    <t xml:space="preserve">197.0</t>
  </si>
  <si>
    <t xml:space="preserve">SBA 26/197</t>
  </si>
  <si>
    <t xml:space="preserve">Prof. Dr. Mustafa CANKURTARAN</t>
  </si>
  <si>
    <t xml:space="preserve">Üniversitemiz Tıp Fakültesi İç Hastalıkları Anabilim Dalı öğretim üyelerinden Prof. Dr. Mustafa CANKURTARAN’ın sorumlu araştırmacı olduğu, Arş. Gör. Dr. Murat PEHLİVAN ile birlikte çalışacakları,</t>
  </si>
  <si>
    <t xml:space="preserve">“Mekanik Ventilasyon Uygulanan Geriatrik Hastalarda Solunum Yolu Mikrobiyom Disbiyozisi ve Pulmoner İnflamaging”</t>
  </si>
  <si>
    <t xml:space="preserve">198.0</t>
  </si>
  <si>
    <t xml:space="preserve">SBA 26/198</t>
  </si>
  <si>
    <t xml:space="preserve">“Akut Gastrointestinal Kanamalı Geriatrik Hastalarda İnflamatuvar, Nütrisyonel İndekslerin ve Demans Durumunun Analizi”</t>
  </si>
  <si>
    <t xml:space="preserve">199.0</t>
  </si>
  <si>
    <t xml:space="preserve">SBA 26/199</t>
  </si>
  <si>
    <t xml:space="preserve">“Suboptimal Ekokardiyografilerde Tanısal Belirsizlik ve Doğal Dil İşleme Analizi”</t>
  </si>
  <si>
    <t xml:space="preserve">200.0</t>
  </si>
  <si>
    <t xml:space="preserve">SBA 26/200</t>
  </si>
  <si>
    <t xml:space="preserve">Dr. Öğr. Üyesi Hatice BOYACIOĞLU ERDEN</t>
  </si>
  <si>
    <t xml:space="preserve">Üniversitemiz Diş Hekimliği Fakültesi Ağız, Diş ve Çene Radyolojisi Anabilim Dalı öğretim üyelerinden Dr. Öğr. Üyesi Hatice BOYACIOĞLU ERDEN’in sorumlu araştırmacı olduğu,</t>
  </si>
  <si>
    <t xml:space="preserve">“Konik Işınlı Bilgisayarlı Tomografi Kullanılarak Maksiller İkinci Premoların Sagittal Kesitinde Pulpa/Diş Alan Oranının Yetişkinlerde Yaş Tahmini İçin Değerlendirilmesi”</t>
  </si>
  <si>
    <t xml:space="preserve">201.0</t>
  </si>
  <si>
    <t xml:space="preserve">SBA 26/201</t>
  </si>
  <si>
    <t xml:space="preserve">Üniversitemiz Tıp Fakültesi İç Hastalıkları Anabilim Dalı öğretim üyelerinden Prof. Dr. Meltem Gülhan HALİL’in sorumlu araştırmacı olduğu, Arş. Gör. Dr. Ceyda KAYABAŞI ile birlikte çalışacakları,</t>
  </si>
  <si>
    <t xml:space="preserve">“Diabetes Mellitus Tanısı Olmayan Yaşlı Bireylerde Düşük Hba1c Düzeylerinin Mortalite ile İlişkisi”</t>
  </si>
  <si>
    <t xml:space="preserve">202.0</t>
  </si>
  <si>
    <t xml:space="preserve">SBA 26/202</t>
  </si>
  <si>
    <t xml:space="preserve">Dr. Öğr. Üyesi Ezgi DOĞAN CÖMERT</t>
  </si>
  <si>
    <t xml:space="preserve">Gıda Bilimleri Anabilim Dalı</t>
  </si>
  <si>
    <t xml:space="preserve">Üniversitemiz Mühendislik Fakültesi Gıda Bilimleri Anabilim Dalı öğretim üyelerinden Dr. Öğr. Üyesi Ezgi DOĞAN CÖMERT’in sorumlu araştırmacı olduğu, Prof. Dr. Vural GÖKMEN ile birlikte çalışacakları,</t>
  </si>
  <si>
    <t xml:space="preserve">“Farklı Pektin-Protein Komplekslerinin in vitro Kolonik Fermentasyon Davranışlarının İncelenmesi: Distal Kolona Yönelik İngrediyen Tasarımı”</t>
  </si>
  <si>
    <t xml:space="preserve">2026-02-19 00:00:00</t>
  </si>
  <si>
    <t xml:space="preserve">203.0</t>
  </si>
  <si>
    <t xml:space="preserve">SBA 26/203</t>
  </si>
  <si>
    <t xml:space="preserve">Dr. Öğr. Üyesi Salih Eren MERAL</t>
  </si>
  <si>
    <t xml:space="preserve">Üniversitemiz Diş Hekimliği Fakültesi Ağız, Diş ve Çene Cerrahisi Anabilim Dalı öğretim üyelerinden Dr. Öğr. Üyesi Salih Eren MERAL’in sorumlu araştırmacı olduğu, Prof. Dr. Hakan Hıfzı TÜZ ve Dr. Öğr. Üye. Onur KOÇ ile birlikte çalışacakları,</t>
  </si>
  <si>
    <t xml:space="preserve">“Dijital Cerrahi Planlama Temelli Genioplasti Uygulamalarında Konvansiyonel Miniplak ve Kişiye Özel İmplant Fiksasyonlarının Doğruluğunun Retrospektif Olarak Değerlendirilmesi”</t>
  </si>
  <si>
    <t xml:space="preserve">204.0</t>
  </si>
  <si>
    <t xml:space="preserve">SBA 26/204</t>
  </si>
  <si>
    <t xml:space="preserve">Üniversitemiz Tıp Fakültesi Deri ve Zührevi Hastalıklar Anabilim Dalı öğretim üyelerinden Doç. Dr. Duygu GÜLSEREN'in sorumlu araştırmacı olduğu, Arş. Gör. Dr. Metin ZEYREK ile birlikte çalışacakları,</t>
  </si>
  <si>
    <t xml:space="preserve">“Farklı Anatomik Bölgelerde Yerleşen Skuamöz Hücreli Karsinomların Dermoskopik Varyasyonları ve Tanısal İpuçlarının Değerlendirilmesi”</t>
  </si>
  <si>
    <t xml:space="preserve">205.0</t>
  </si>
  <si>
    <t xml:space="preserve">SBA 26/205</t>
  </si>
  <si>
    <t xml:space="preserve">Prof. Dr. Murat TUNCEL</t>
  </si>
  <si>
    <t xml:space="preserve">Üniversitemiz Tıp Fakültesi Nükleer Tıp Anabilim Dalı öğretim üyelerinden Prof. Dr. Murat TUNCEL’in sorumlu araştırmacı olduğu, Prof. Dr. Meltem ÇAĞLAR TUNCALI ile birlikte çalışacakları,</t>
  </si>
  <si>
    <t xml:space="preserve">“Baş Boyun Tümörlerinde Kullanılan Anatomik ve Moleküler Görüntülemeye Ait Tanı Kriterlerinin Performanslarının Karşılaştırılması”</t>
  </si>
  <si>
    <t xml:space="preserve">206.0</t>
  </si>
  <si>
    <t xml:space="preserve">SBA 26/206</t>
  </si>
  <si>
    <t xml:space="preserve">Prof. Dr. Özgür UĞURLUOĞLU</t>
  </si>
  <si>
    <t xml:space="preserve">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</si>
  <si>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 xml:space="preserve">“Koroner Arter Bypass Greft Cerrahisinde Hastanede Yatış Süresini Etkileyen Faktörlerin Makine Öğrenmesi Modelleri ile Analizi”</t>
  </si>
  <si>
    <t xml:space="preserve">207.0</t>
  </si>
  <si>
    <t xml:space="preserve">SBA 26/207</t>
  </si>
  <si>
    <t xml:space="preserve">Doç. Dr. Adalet Elçin YILDIZ</t>
  </si>
  <si>
    <t xml:space="preserve">Üniversitemiz Tıp Fakültesi Radyoloji Anabilim Dalı öğretim üyelerinden Doç. Dr. Adalet Elçin YILDIZ’ın sorumlu araştırmacı olduğu, Öğr. Üyesi Ahmet Gürkan ERDEMİR ile birlikte çalışacakları,</t>
  </si>
  <si>
    <t xml:space="preserve">“BONEZ – Bone ONcological Evaluation Via Zero/Ultrashort Echo Time MRI”</t>
  </si>
  <si>
    <t xml:space="preserve">2026-02-23 00:00:00</t>
  </si>
  <si>
    <t xml:space="preserve">208.0</t>
  </si>
  <si>
    <t xml:space="preserve">SBA 26/208</t>
  </si>
  <si>
    <t xml:space="preserve">Üniversitemiz Tıp Fakültesi Kadın Hastalıkları ve Doğum Anabilim Dalı öğretim üyelerinden Dr. Öğr. Üyesi Murat ÇAĞAN’ın sorumlu araştırmacı olduğu, Arş. Gör. Dr. Shahla GASIMOVA’nın uzmanlık tezi olan,</t>
  </si>
  <si>
    <t xml:space="preserve">“Hacettepe Gebe Okulu’nda Eğitim Alan Gebelerin Maternal, Fetal ve Obstetrik Sonuçlarının Prospektif Olarak Değerlendirilmesi”</t>
  </si>
  <si>
    <t xml:space="preserve">209.0</t>
  </si>
  <si>
    <t xml:space="preserve">SBA 26/209</t>
  </si>
  <si>
    <t xml:space="preserve">Doç. Dr. Duygu AYHAN BAŞER</t>
  </si>
  <si>
    <t xml:space="preserve">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</si>
  <si>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 xml:space="preserve">“Glutensiz Beslenme Nedenleri ve Glutensiz Beslenmeye Dair Bilgi Düzeyi İlişkisi: Kesitsel Çalışma”</t>
  </si>
  <si>
    <t xml:space="preserve">210.0</t>
  </si>
  <si>
    <t xml:space="preserve">SBA 26/210</t>
  </si>
  <si>
    <t xml:space="preserve">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</si>
  <si>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 xml:space="preserve">“Prostat Kanseri Hastalarında Definitif Radyoterapi Sonrası Nüksün Tespitinde Ga-68 PSMA PET/BT'nin Rolü”</t>
  </si>
  <si>
    <t xml:space="preserve">211.0</t>
  </si>
  <si>
    <t xml:space="preserve">SBA 26/211</t>
  </si>
  <si>
    <t xml:space="preserve">Doç. Dr. İdil Rana USER KILIÇ</t>
  </si>
  <si>
    <t xml:space="preserve">Üniversitemiz Tıp Fakültesi Çocuk Cerrahisi Anabilim Dalı öğretim üyelerinden Doç. Dr. İdil Rana USER KILIÇ’ın sorumlu araştırmacı olduğu, Prof. Dr. Saniye EKİNCİ, Doç. Dr. Burak ARDIÇLI, Arş. Gör. Dr. Tunç TIĞLI ile birlikte çalışacakları,</t>
  </si>
  <si>
    <t xml:space="preserve">“Kompleks Obstrüktif Üropatili Çocuklarda Geçici Üriner Diversiyon Yöntemi Olarak Üreterokütaneostominin Klinik Değerlendirmesi”</t>
  </si>
  <si>
    <t xml:space="preserve">212.0</t>
  </si>
  <si>
    <t xml:space="preserve">SBA 26/212</t>
  </si>
  <si>
    <t xml:space="preserve">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</si>
  <si>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 xml:space="preserve">“Pilonidal Hastalıkta Minimal İnvaziv Cerrahi: Ergen Olgularda Gips Prosedürünün Değerlendirilmesi”</t>
  </si>
  <si>
    <t xml:space="preserve">213.0</t>
  </si>
  <si>
    <t xml:space="preserve">SBA 26/213</t>
  </si>
  <si>
    <t xml:space="preserve">Doç. Dr. Bengisu AKARSU GÜVEN</t>
  </si>
  <si>
    <t xml:space="preserve">Üniversitemiz Diş Hekimliği Fakültesi Ortodonti Anabilim Dalı öğretim üyelerinden Doç. Dr. Bengisu AKARSU GÜVEN’in sorumlu araştırmacı olduğu, Arş. Gör. Dt. Aybüke ÖZYALIN ÖZEROL ile birlikte çalışacakları,</t>
  </si>
  <si>
    <t xml:space="preserve">“Hacettepe Üniversitesi Tıp Fakültesi Dudak Damak Yarığı ve Kraniyomaksiller Şekil Bozukluğu Tedavi Uygulama ve Araştırma Merkezi’ne Başvuran Hastaların Demografik ve Klinik Özelliklerinin Deskriptif Değerlendirilmesi"</t>
  </si>
  <si>
    <t xml:space="preserve">214.0</t>
  </si>
  <si>
    <t xml:space="preserve">SBA 26/214</t>
  </si>
  <si>
    <t xml:space="preserve">Prof. Dr. Ali DURSUN</t>
  </si>
  <si>
    <t xml:space="preserve">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</si>
  <si>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 xml:space="preserve">“Akçaağaç Şurubu İdrar Hastalığında MikroRNA İfade değişikliklerinin Araştırılması”</t>
  </si>
  <si>
    <t xml:space="preserve">215.0</t>
  </si>
  <si>
    <t xml:space="preserve">SBA 26/215</t>
  </si>
  <si>
    <t xml:space="preserve">Üniversitemiz Tıp Fakültesi Çocuk Cerrahisi Anabilim Dalı öğretim üyelerinden Prof. Dr. Tutku SOYER’in sorumlu araştırmacı olduğu, Prof. Dr. Özlem BOYBEYİ, Arş. Gör. Tunç TIĞLI ile birlikte çalışacakları,</t>
  </si>
  <si>
    <t xml:space="preserve">“Çocuklarda Malnütrisyon Tahmin Etmede Perioperatif Beslenme Taramasının Kullanılabilirliği”</t>
  </si>
  <si>
    <t xml:space="preserve">2026-02-24 00:00:00</t>
  </si>
  <si>
    <t xml:space="preserve">216.0</t>
  </si>
  <si>
    <t xml:space="preserve">SBA 26/216</t>
  </si>
  <si>
    <t xml:space="preserve">Üniversitemiz Tıp Fakültesi Deri ve Zührevi Hastalıklar Anabilim Dalı öğretim üyelerinden Doç. Dr. Başak YALICI ARMAĞAN'ın sorumlu araştırmacı olduğu, Arş. Gör. Dr. Kübra Çiçek ile birlikte çalışacakları,</t>
  </si>
  <si>
    <t xml:space="preserve">“Plak Psoriazisli Hastalarda Apremilast Tedavisinin Klinik ve Metabolik Bulgulara Etkisinin İncelenmesi”</t>
  </si>
  <si>
    <t xml:space="preserve">217.0</t>
  </si>
  <si>
    <t xml:space="preserve">SBA 26/217</t>
  </si>
  <si>
    <t xml:space="preserve">Prof. Dr. Mert ÇALIŞ</t>
  </si>
  <si>
    <t xml:space="preserve">Plastik, Rekonstrüktif ve Estetik Cerrahi Anabilim Dalı</t>
  </si>
  <si>
    <t xml:space="preserve">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</si>
  <si>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 xml:space="preserve">“Doku Mühendisliği Ürünü Vaskülarize Kas Greftlerinin Sıçan Mikrosirküler AV Loop Modelinde Yaşamsallığının ve Fonksiyonelliğinin Değerlendirilmesi”</t>
  </si>
  <si>
    <t xml:space="preserve">218.0</t>
  </si>
  <si>
    <t xml:space="preserve">SBA 26/218</t>
  </si>
  <si>
    <t xml:space="preserve">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</si>
  <si>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 xml:space="preserve">“Nöroblastom Tanılı Çocuklarda Kemoterapi Tedavisi Bitimi Sonrası Aşı Serolojik Yanıtlarının ve Aşılama Programının Değerlendirilmesi”</t>
  </si>
  <si>
    <t xml:space="preserve">219.0</t>
  </si>
  <si>
    <t xml:space="preserve">SBA 26/219</t>
  </si>
  <si>
    <t xml:space="preserve">Üniversitemiz Tıp Fakültesi Radyoloji Anabilim Dalı öğretim üyelerinden Dr. Öğr. Üyesi Aycan UYSAL’ın sorumlu araştırmacı olduğu, Arş. Gör. Dr. Mert GÖL, Doç. Dr. Emre ÜNAL ve Prof. Dr. Türkmen Turan ÇİFTÇİ ile birlikte çalışacakları,</t>
  </si>
  <si>
    <t xml:space="preserve">“Bilgisayarlı Tomografi Eşliğinde Transtorasik Akciğer Biyopsilerinin Teknik ve Tanısal Başarı Oranları ile Komplikasyon Oranlarının Değerlendirilmesi”</t>
  </si>
  <si>
    <t xml:space="preserve">220.0</t>
  </si>
  <si>
    <t xml:space="preserve">SBA 26/220</t>
  </si>
  <si>
    <t xml:space="preserve">Dr. Öğr. Üyesi Gözde ÖZER</t>
  </si>
  <si>
    <t xml:space="preserve">Üniversitemiz Tıp Fakültesi Radyoloji Anabilim Dalı öğretim üyelerinden Dr. Öğr. Üyesi Gözde ÖZER’in sorumlu araştırmacı olduğu, Doç. Dr. Ekim GÜMELER ile birlikte çalışacakları,</t>
  </si>
  <si>
    <t xml:space="preserve">“Retinoblastomun Manyetik Rezonans Görüntüleme Bulgularının Araştırılması ve Yapılandırılmış Raporlama Sisteminin Gözlemciler Arası Güvenilirliğinin Değerlendirilmesi”</t>
  </si>
  <si>
    <t xml:space="preserve">221.0</t>
  </si>
  <si>
    <t xml:space="preserve">SBA 26/221</t>
  </si>
  <si>
    <t xml:space="preserve">Prof. Dr. Betül ÇELEBİ SALTIK</t>
  </si>
  <si>
    <t xml:space="preserve">Kök Hücre Bilimleri Anabilim Dalı</t>
  </si>
  <si>
    <t xml:space="preserve">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</si>
  <si>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 xml:space="preserve">“Üç Boyutlu Yazıcı ile Üretilen Bor Nitrür, Titanyum Dioksit ve Seryum Katkılı Biyomalzemelerin Dental Pulpa Kök Hücre Üzerindeki Etkilerinin İncelenmesi”</t>
  </si>
  <si>
    <t xml:space="preserve">222.0</t>
  </si>
  <si>
    <t xml:space="preserve">SBA 26/222</t>
  </si>
  <si>
    <t xml:space="preserve">Prof. Dr. Şehnaz ALP</t>
  </si>
  <si>
    <t xml:space="preserve">Enfeksiyon Hastalıkları ve Klinik Mikrobiyoloji Anabilim Dalı</t>
  </si>
  <si>
    <t xml:space="preserve">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</si>
  <si>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 xml:space="preserve">“Kültür ile Kanıtlanmış Erşkin Tüberküloz Olgularının İrdelenmesi ve İzolatların Direnç Profillerinin Belirlenmesi”</t>
  </si>
  <si>
    <t xml:space="preserve">223.0</t>
  </si>
  <si>
    <t xml:space="preserve">SBA 26/223</t>
  </si>
  <si>
    <t xml:space="preserve">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</si>
  <si>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 xml:space="preserve">“Ateşi Olan Üç Aylıktan Küçük Bebeklerde Presepsin ve İnterlökin-6 Düzeyleri ile Ağır Bakteriyel Enfeksiyon Riskinin Değerlendirilmesi”</t>
  </si>
  <si>
    <t xml:space="preserve">2026-02-25 00:00:00</t>
  </si>
  <si>
    <t xml:space="preserve">224.0</t>
  </si>
  <si>
    <t xml:space="preserve">SBA 26/224</t>
  </si>
  <si>
    <t xml:space="preserve">Prof. Dr. Bora GÜLHAN</t>
  </si>
  <si>
    <t xml:space="preserve">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</si>
  <si>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 xml:space="preserve">“Nöroblastom ve Wilms Tümörü Tanılı Hastalarda Böbrek Koruyucu Cerrahi Sonrası Uzun Dönem Prognozun Değerlendirilmesi”</t>
  </si>
  <si>
    <t xml:space="preserve">2026-02-26 00:00:00</t>
  </si>
  <si>
    <t xml:space="preserve">225.0</t>
  </si>
  <si>
    <t xml:space="preserve">SBA 26/225</t>
  </si>
  <si>
    <t xml:space="preserve">Üniversitemiz Tıp Fakültesi İç Hastalıkları Anabilim Dalı öğretim üyelerinden Prof. Dr. Meltem Gülhan HALİL’in sorumlu araştırmacı olduğu, Arş. Gör. Dr. Okan TURHAN ile birlikte çalışacakları,</t>
  </si>
  <si>
    <t xml:space="preserve">“Geriatri Polikliniğine Başvuran Yaşlı Hastalarda C-Reaktif Protein Düzeyinin Tüm Nedenlere Bağlı Mortalite Üzerine Prognostik Etkisi: Tek Merkezli Retrospektif Kohort Çalışması”</t>
  </si>
  <si>
    <t xml:space="preserve">226.0</t>
  </si>
  <si>
    <t xml:space="preserve">SBA 26/226</t>
  </si>
  <si>
    <t xml:space="preserve">227.0</t>
  </si>
  <si>
    <t xml:space="preserve">SBA 26/227</t>
  </si>
  <si>
    <t xml:space="preserve">228.0</t>
  </si>
  <si>
    <t xml:space="preserve">SBA 26/228</t>
  </si>
  <si>
    <t xml:space="preserve">229.0</t>
  </si>
  <si>
    <t xml:space="preserve">SBA 26/229</t>
  </si>
  <si>
    <t xml:space="preserve">230.0</t>
  </si>
  <si>
    <t xml:space="preserve">SBA 26/230</t>
  </si>
  <si>
    <t xml:space="preserve">231.0</t>
  </si>
  <si>
    <t xml:space="preserve">SBA 26/231</t>
  </si>
  <si>
    <t xml:space="preserve">232.0</t>
  </si>
  <si>
    <t xml:space="preserve">SBA 26/232</t>
  </si>
  <si>
    <t xml:space="preserve">233.0</t>
  </si>
  <si>
    <t xml:space="preserve">SBA 26/233</t>
  </si>
  <si>
    <t xml:space="preserve">234.0</t>
  </si>
  <si>
    <t xml:space="preserve">SBA 26/234</t>
  </si>
  <si>
    <t xml:space="preserve">235.0</t>
  </si>
  <si>
    <t xml:space="preserve">SBA 26/235</t>
  </si>
  <si>
    <t xml:space="preserve">236.0</t>
  </si>
  <si>
    <t xml:space="preserve">SBA 26/236</t>
  </si>
  <si>
    <t xml:space="preserve">237.0</t>
  </si>
  <si>
    <t xml:space="preserve">SBA 26/237</t>
  </si>
  <si>
    <t xml:space="preserve">238.0</t>
  </si>
  <si>
    <t xml:space="preserve">SBA 26/238</t>
  </si>
  <si>
    <t xml:space="preserve">239.0</t>
  </si>
  <si>
    <t xml:space="preserve">SBA 26/239</t>
  </si>
  <si>
    <t xml:space="preserve">240.0</t>
  </si>
  <si>
    <t xml:space="preserve">SBA 26/240</t>
  </si>
  <si>
    <t xml:space="preserve">241.0</t>
  </si>
  <si>
    <t xml:space="preserve">SBA 26/241</t>
  </si>
  <si>
    <t xml:space="preserve">242.0</t>
  </si>
  <si>
    <t xml:space="preserve">SBA 26/242</t>
  </si>
  <si>
    <t xml:space="preserve">243.0</t>
  </si>
  <si>
    <t xml:space="preserve">SBA 26/243</t>
  </si>
  <si>
    <t xml:space="preserve">244.0</t>
  </si>
  <si>
    <t xml:space="preserve">SBA 26/244</t>
  </si>
  <si>
    <t xml:space="preserve">245.0</t>
  </si>
  <si>
    <t xml:space="preserve">SBA 26/245</t>
  </si>
  <si>
    <t xml:space="preserve">246.0</t>
  </si>
  <si>
    <t xml:space="preserve">SBA 26/246</t>
  </si>
  <si>
    <t xml:space="preserve">247.0</t>
  </si>
  <si>
    <t xml:space="preserve">SBA 26/247</t>
  </si>
  <si>
    <t xml:space="preserve">248.0</t>
  </si>
  <si>
    <t xml:space="preserve">SBA 26/248</t>
  </si>
  <si>
    <t xml:space="preserve">249.0</t>
  </si>
  <si>
    <t xml:space="preserve">SBA 26/249</t>
  </si>
  <si>
    <t xml:space="preserve">250.0</t>
  </si>
  <si>
    <t xml:space="preserve">SBA 26/250</t>
  </si>
  <si>
    <t xml:space="preserve">2026 — RAPORTÖR BAZLI BİREYSEL KARAR ANALİZİ</t>
  </si>
  <si>
    <t xml:space="preserve">1.TUR DEĞERLENDİRME</t>
  </si>
  <si>
    <t xml:space="preserve">2.TUR DEĞERLENDİRME</t>
  </si>
  <si>
    <t xml:space="preserve">3.TUR DEĞERLENDİRME</t>
  </si>
  <si>
    <t xml:space="preserve">4.TUR DEĞERLENDİRME</t>
  </si>
  <si>
    <t xml:space="preserve">TOPLAM</t>
  </si>
  <si>
    <t xml:space="preserve">#</t>
  </si>
  <si>
    <t xml:space="preserve">Raportör</t>
  </si>
  <si>
    <t xml:space="preserve">Toplam</t>
  </si>
  <si>
    <t xml:space="preserve">Dilekçe
Alan</t>
  </si>
  <si>
    <t xml:space="preserve">DİLEKÇE</t>
  </si>
  <si>
    <t xml:space="preserve">2026 — DÜZELTİLİP GERİ GELEN DOSYA TAKİBİ</t>
  </si>
  <si>
    <t xml:space="preserve">1.TUR DÜZELTİLİP GERİ GELEN</t>
  </si>
  <si>
    <t xml:space="preserve">2.TUR DÜZELTİLİP GERİ GELEN</t>
  </si>
  <si>
    <t xml:space="preserve">3.TUR DÜZELTİLİP GERİ GELEN</t>
  </si>
  <si>
    <t xml:space="preserve">Düz/Görüş
Alan</t>
  </si>
  <si>
    <t xml:space="preserve">Geri
Gelen</t>
  </si>
  <si>
    <t xml:space="preserve">Bekliyor</t>
  </si>
  <si>
    <t xml:space="preserve">Geri Dönüş
%</t>
  </si>
  <si>
    <t xml:space="preserve">%29</t>
  </si>
  <si>
    <t xml:space="preserve">—</t>
  </si>
  <si>
    <t xml:space="preserve">%100</t>
  </si>
  <si>
    <t xml:space="preserve">%67</t>
  </si>
  <si>
    <t xml:space="preserve">%33</t>
  </si>
  <si>
    <t xml:space="preserve">%0</t>
  </si>
  <si>
    <t xml:space="preserve">%50</t>
  </si>
  <si>
    <t xml:space="preserve">%38</t>
  </si>
  <si>
    <t xml:space="preserve">2026 SBA — GENEL İSTATİSTİKLER</t>
  </si>
  <si>
    <t xml:space="preserve">GENEL DURUM</t>
  </si>
  <si>
    <t xml:space="preserve">NİTELİK DAĞILIMI</t>
  </si>
  <si>
    <t xml:space="preserve">Toplam Başvuru</t>
  </si>
  <si>
    <t xml:space="preserve">2026 Yılı Başvurusu</t>
  </si>
  <si>
    <t xml:space="preserve">Değerlendirme Bekleyen</t>
  </si>
  <si>
    <t xml:space="preserve">Karara Bağlanan</t>
  </si>
  <si>
    <t xml:space="preserve">KURUL KARARI 1 DAĞILIMI</t>
  </si>
  <si>
    <t xml:space="preserve">TEKRAR DEĞERLENDİRME</t>
  </si>
  <si>
    <t xml:space="preserve">2. Tur Değerlendirme</t>
  </si>
  <si>
    <t xml:space="preserve">3. Tur Değerlendirme</t>
  </si>
  <si>
    <t xml:space="preserve">4. Tur Değerlendirme</t>
  </si>
</sst>
</file>

<file path=xl/styles.xml><?xml version="1.0" encoding="utf-8"?>
<styleSheet xmlns="http://schemas.openxmlformats.org/spreadsheetml/2006/main">
  <numFmts count="1">
    <numFmt numFmtId="164" formatCode="General"/>
  </numFmts>
  <fonts count="35">
    <font>
      <sz val="11"/>
      <color theme="1"/>
      <name val="Calibri"/>
      <family val="2"/>
      <charset val="1"/>
    </font>
    <font>
      <sz val="10"/>
      <name val="Arial"/>
      <family val="0"/>
    </font>
    <font>
      <sz val="10"/>
      <name val="Arial"/>
      <family val="0"/>
    </font>
    <font>
      <sz val="10"/>
      <name val="Arial"/>
      <family val="0"/>
    </font>
    <font>
      <b val="true"/>
      <sz val="10"/>
      <color rgb="FFFFFFFF"/>
      <name val="Calibri"/>
      <family val="0"/>
      <charset val="1"/>
    </font>
    <font>
      <b val="true"/>
      <sz val="8"/>
      <color rgb="FFFFFFFF"/>
      <name val="Calibri"/>
      <family val="0"/>
      <charset val="1"/>
    </font>
    <font>
      <sz val="9"/>
      <color rgb="FF1A2A34"/>
      <name val="Calibri"/>
      <family val="0"/>
      <charset val="1"/>
    </font>
    <font>
      <b val="true"/>
      <sz val="9"/>
      <color rgb="FF2E7D32"/>
      <name val="Calibri"/>
      <family val="0"/>
      <charset val="1"/>
    </font>
    <font>
      <b val="true"/>
      <sz val="9"/>
      <color rgb="FF1A2A34"/>
      <name val="Calibri"/>
      <family val="0"/>
      <charset val="1"/>
    </font>
    <font>
      <b val="true"/>
      <sz val="9"/>
      <color rgb="FFE65100"/>
      <name val="Calibri"/>
      <family val="0"/>
      <charset val="1"/>
    </font>
    <font>
      <b val="true"/>
      <sz val="9"/>
      <color rgb="FF616161"/>
      <name val="Calibri"/>
      <family val="0"/>
      <charset val="1"/>
    </font>
    <font>
      <b val="true"/>
      <sz val="9"/>
      <color rgb="FFC62828"/>
      <name val="Calibri"/>
      <family val="0"/>
      <charset val="1"/>
    </font>
    <font>
      <b val="true"/>
      <sz val="9"/>
      <color rgb="FF1565C0"/>
      <name val="Calibri"/>
      <family val="0"/>
      <charset val="1"/>
    </font>
    <font>
      <b val="true"/>
      <sz val="9"/>
      <color rgb="FF4527A0"/>
      <name val="Calibri"/>
      <family val="0"/>
      <charset val="1"/>
    </font>
    <font>
      <b val="true"/>
      <sz val="9"/>
      <color rgb="FF795548"/>
      <name val="Calibri"/>
      <family val="0"/>
      <charset val="1"/>
    </font>
    <font>
      <b val="true"/>
      <sz val="12"/>
      <color rgb="FFFFFFFF"/>
      <name val="Calibri"/>
      <family val="0"/>
      <charset val="1"/>
    </font>
    <font>
      <b val="true"/>
      <sz val="9"/>
      <color rgb="FFFFFFFF"/>
      <name val="Calibri"/>
      <family val="0"/>
      <charset val="1"/>
    </font>
    <font>
      <b val="true"/>
      <sz val="7"/>
      <color rgb="FFFFFFFF"/>
      <name val="Calibri"/>
      <family val="0"/>
      <charset val="1"/>
    </font>
    <font>
      <sz val="8"/>
      <color rgb="FF5A7A8A"/>
      <name val="Calibri"/>
      <family val="0"/>
      <charset val="1"/>
    </font>
    <font>
      <sz val="9"/>
      <color rgb="FF1A1814"/>
      <name val="Calibri"/>
      <family val="0"/>
      <charset val="1"/>
    </font>
    <font>
      <sz val="9"/>
      <color rgb="FFB0BEC5"/>
      <name val="Calibri"/>
      <family val="0"/>
      <charset val="1"/>
    </font>
    <font>
      <b val="true"/>
      <sz val="9"/>
      <color rgb="FFBF360C"/>
      <name val="Calibri"/>
      <family val="0"/>
      <charset val="1"/>
    </font>
    <font>
      <b val="true"/>
      <sz val="9"/>
      <color rgb="FF43A047"/>
      <name val="Calibri"/>
      <family val="0"/>
      <charset val="1"/>
    </font>
    <font>
      <b val="true"/>
      <sz val="9"/>
      <color rgb="FFFB8C00"/>
      <name val="Calibri"/>
      <family val="0"/>
      <charset val="1"/>
    </font>
    <font>
      <sz val="8"/>
      <color rgb="FF43A047"/>
      <name val="Calibri"/>
      <family val="0"/>
      <charset val="1"/>
    </font>
    <font>
      <sz val="8"/>
      <color rgb="FFB0BEC5"/>
      <name val="Calibri"/>
      <family val="0"/>
      <charset val="1"/>
    </font>
    <font>
      <b val="true"/>
      <sz val="14"/>
      <color rgb="FFFFFFFF"/>
      <name val="Calibri"/>
      <family val="0"/>
      <charset val="1"/>
    </font>
    <font>
      <sz val="9"/>
      <color rgb="FF2D4A5A"/>
      <name val="Calibri"/>
      <family val="0"/>
      <charset val="1"/>
    </font>
    <font>
      <b val="true"/>
      <sz val="11"/>
      <color rgb="FF1A2A34"/>
      <name val="Calibri"/>
      <family val="0"/>
      <charset val="1"/>
    </font>
    <font>
      <b val="true"/>
      <sz val="11"/>
      <color rgb="FF2E7D32"/>
      <name val="Calibri"/>
      <family val="0"/>
      <charset val="1"/>
    </font>
    <font>
      <b val="true"/>
      <sz val="11"/>
      <color rgb="FFE65100"/>
      <name val="Calibri"/>
      <family val="0"/>
      <charset val="1"/>
    </font>
    <font>
      <b val="true"/>
      <sz val="11"/>
      <color rgb="FF1565C0"/>
      <name val="Calibri"/>
      <family val="0"/>
      <charset val="1"/>
    </font>
    <font>
      <b val="true"/>
      <sz val="11"/>
      <color rgb="FFC62828"/>
      <name val="Calibri"/>
      <family val="0"/>
      <charset val="1"/>
    </font>
    <font>
      <b val="true"/>
      <sz val="11"/>
      <color rgb="FF4527A0"/>
      <name val="Calibri"/>
      <family val="0"/>
      <charset val="1"/>
    </font>
    <font>
      <b val="true"/>
      <sz val="11"/>
      <color rgb="FF616161"/>
      <name val="Calibri"/>
      <family val="0"/>
      <charset val="1"/>
    </font>
  </fonts>
  <fills count="29">
    <fill>
      <patternFill patternType="none"/>
    </fill>
    <fill>
      <patternFill patternType="gray125"/>
    </fill>
    <fill>
      <patternFill patternType="solid">
        <fgColor rgb="FF3E6B7F"/>
        <bgColor rgb="FF5A7A8A"/>
      </patternFill>
    </fill>
    <fill>
      <patternFill patternType="solid">
        <fgColor rgb="FF5A8FA8"/>
        <bgColor rgb="FF5A7A8A"/>
      </patternFill>
    </fill>
    <fill>
      <patternFill patternType="solid">
        <fgColor rgb="FF1B5E7B"/>
        <bgColor rgb="FF276B4E"/>
      </patternFill>
    </fill>
    <fill>
      <patternFill patternType="solid">
        <fgColor rgb="FF276B4E"/>
        <bgColor rgb="FF2E7D32"/>
      </patternFill>
    </fill>
    <fill>
      <patternFill patternType="solid">
        <fgColor rgb="FF7B4F1B"/>
        <bgColor rgb="FF795548"/>
      </patternFill>
    </fill>
    <fill>
      <patternFill patternType="solid">
        <fgColor rgb="FF6B1B1B"/>
        <bgColor rgb="FF800000"/>
      </patternFill>
    </fill>
    <fill>
      <patternFill patternType="solid">
        <fgColor rgb="FF2D4A5A"/>
        <bgColor rgb="FF1A3A4A"/>
      </patternFill>
    </fill>
    <fill>
      <patternFill patternType="solid">
        <fgColor rgb="FFF7FAFB"/>
        <bgColor rgb="FFF5F5F5"/>
      </patternFill>
    </fill>
    <fill>
      <patternFill patternType="solid">
        <fgColor rgb="FFE8F5E9"/>
        <bgColor rgb="FFEBF6F0"/>
      </patternFill>
    </fill>
    <fill>
      <patternFill patternType="solid">
        <fgColor rgb="FFEBF4FA"/>
        <bgColor rgb="FFF0F7FA"/>
      </patternFill>
    </fill>
    <fill>
      <patternFill patternType="solid">
        <fgColor rgb="FFEBF6F0"/>
        <bgColor rgb="FFE8F5E9"/>
      </patternFill>
    </fill>
    <fill>
      <patternFill patternType="solid">
        <fgColor rgb="FFFAF3EB"/>
        <bgColor rgb="FFFAF0EB"/>
      </patternFill>
    </fill>
    <fill>
      <patternFill patternType="solid">
        <fgColor rgb="FFFAF0EB"/>
        <bgColor rgb="FFFAF3EB"/>
      </patternFill>
    </fill>
    <fill>
      <patternFill patternType="solid">
        <fgColor rgb="FFFFFFFF"/>
        <bgColor rgb="FFF7FAFB"/>
      </patternFill>
    </fill>
    <fill>
      <patternFill patternType="solid">
        <fgColor rgb="FFFFF8E1"/>
        <bgColor rgb="FFFFF3E0"/>
      </patternFill>
    </fill>
    <fill>
      <patternFill patternType="solid">
        <fgColor rgb="FFF5F5F5"/>
        <bgColor rgb="FFF0F7FA"/>
      </patternFill>
    </fill>
    <fill>
      <patternFill patternType="solid">
        <fgColor rgb="FFFFEBEE"/>
        <bgColor rgb="FFFAF0EB"/>
      </patternFill>
    </fill>
    <fill>
      <patternFill patternType="solid">
        <fgColor rgb="FFE3F2FD"/>
        <bgColor rgb="FFEBF4FA"/>
      </patternFill>
    </fill>
    <fill>
      <patternFill patternType="solid">
        <fgColor rgb="FFEDE7F6"/>
        <bgColor rgb="FFEBF4FA"/>
      </patternFill>
    </fill>
    <fill>
      <patternFill patternType="solid">
        <fgColor rgb="FFFFF9C4"/>
        <bgColor rgb="FFFFF8E1"/>
      </patternFill>
    </fill>
    <fill>
      <patternFill patternType="solid">
        <fgColor rgb="FF1A3A4A"/>
        <bgColor rgb="FF1A2A34"/>
      </patternFill>
    </fill>
    <fill>
      <patternFill patternType="solid">
        <fgColor rgb="FF0D2733"/>
        <bgColor rgb="FF1A2A34"/>
      </patternFill>
    </fill>
    <fill>
      <patternFill patternType="solid">
        <fgColor rgb="FFF0F7FA"/>
        <bgColor rgb="FFF5F5F5"/>
      </patternFill>
    </fill>
    <fill>
      <patternFill patternType="solid">
        <fgColor rgb="FFFFF3E0"/>
        <bgColor rgb="FFFFF8E1"/>
      </patternFill>
    </fill>
    <fill>
      <patternFill patternType="solid">
        <fgColor rgb="FF2E7D32"/>
        <bgColor rgb="FF276B4E"/>
      </patternFill>
    </fill>
    <fill>
      <patternFill patternType="solid">
        <fgColor rgb="FFE65100"/>
        <bgColor rgb="FFBF360C"/>
      </patternFill>
    </fill>
    <fill>
      <patternFill patternType="solid">
        <fgColor rgb="FFBF360C"/>
        <bgColor rgb="FFC62828"/>
      </patternFill>
    </fill>
  </fills>
  <borders count="6">
    <border diagonalUp="false" diagonalDown="false">
      <left/>
      <right/>
      <top/>
      <bottom/>
      <diagonal/>
    </border>
    <border diagonalUp="false" diagonalDown="false">
      <left style="medium">
        <color rgb="FFFFFFFF"/>
      </left>
      <right/>
      <top style="medium">
        <color rgb="FFFFFFFF"/>
      </top>
      <bottom style="medium">
        <color rgb="FFFFFFFF"/>
      </bottom>
      <diagonal/>
    </border>
    <border diagonalUp="false" diagonalDown="false">
      <left style="medium">
        <color rgb="FFFFFFFF"/>
      </left>
      <right style="medium">
        <color rgb="FFFFFFFF"/>
      </right>
      <top style="medium">
        <color rgb="FFFFFFFF"/>
      </top>
      <bottom style="medium">
        <color rgb="FFFFFFFF"/>
      </bottom>
      <diagonal/>
    </border>
    <border diagonalUp="false" diagonalDown="false">
      <left style="thin">
        <color rgb="FFFFFFFF"/>
      </left>
      <right style="thin">
        <color rgb="FFFFFFFF"/>
      </right>
      <top style="medium">
        <color rgb="FFFFFFFF"/>
      </top>
      <bottom style="medium">
        <color rgb="FFFFFFFF"/>
      </bottom>
      <diagonal/>
    </border>
    <border diagonalUp="false" diagonalDown="false">
      <left style="thin">
        <color rgb="FFD4E2EA"/>
      </left>
      <right style="thin">
        <color rgb="FFD4E2EA"/>
      </right>
      <top style="thin">
        <color rgb="FFD4E2EA"/>
      </top>
      <bottom style="thin">
        <color rgb="FFD4E2EA"/>
      </bottom>
      <diagonal/>
    </border>
    <border diagonalUp="false" diagonalDown="false">
      <left style="thin">
        <color rgb="FFB8C8D4"/>
      </left>
      <right style="thin">
        <color rgb="FFB8C8D4"/>
      </right>
      <top style="thin">
        <color rgb="FFB8C8D4"/>
      </top>
      <bottom style="thin">
        <color rgb="FFB8C8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4" fillId="6" borderId="1" xfId="0" applyFont="true" applyBorder="true" applyAlignment="true" applyProtection="false">
      <alignment horizontal="center"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4" fillId="8" borderId="2" xfId="0" applyFont="true" applyBorder="true" applyAlignment="true" applyProtection="false">
      <alignment horizontal="center" vertical="center" textRotation="0" wrapText="true" indent="0" shrinkToFit="false"/>
      <protection locked="true" hidden="false"/>
    </xf>
    <xf numFmtId="164" fontId="5" fillId="2" borderId="3" xfId="0" applyFont="true" applyBorder="true" applyAlignment="true" applyProtection="false">
      <alignment horizontal="center" vertical="center" textRotation="0" wrapText="true" indent="0" shrinkToFit="false"/>
      <protection locked="true" hidden="false"/>
    </xf>
    <xf numFmtId="164" fontId="5" fillId="3" borderId="3" xfId="0" applyFont="true" applyBorder="true" applyAlignment="true" applyProtection="false">
      <alignment horizontal="center" vertical="center" textRotation="0" wrapText="true" indent="0" shrinkToFit="false"/>
      <protection locked="true" hidden="false"/>
    </xf>
    <xf numFmtId="164" fontId="5" fillId="4" borderId="3" xfId="0" applyFont="true" applyBorder="true" applyAlignment="true" applyProtection="false">
      <alignment horizontal="center" vertical="center" textRotation="0" wrapText="true" indent="0" shrinkToFit="false"/>
      <protection locked="true" hidden="false"/>
    </xf>
    <xf numFmtId="164" fontId="5" fillId="5" borderId="3" xfId="0" applyFont="true" applyBorder="true" applyAlignment="true" applyProtection="false">
      <alignment horizontal="center" vertical="center" textRotation="0" wrapText="true" indent="0" shrinkToFit="false"/>
      <protection locked="true" hidden="false"/>
    </xf>
    <xf numFmtId="164" fontId="5" fillId="6" borderId="3" xfId="0" applyFont="true" applyBorder="true" applyAlignment="true" applyProtection="false">
      <alignment horizontal="center" vertical="center" textRotation="0" wrapText="true" indent="0" shrinkToFit="false"/>
      <protection locked="true" hidden="false"/>
    </xf>
    <xf numFmtId="164" fontId="5" fillId="7" borderId="3" xfId="0" applyFont="true" applyBorder="true" applyAlignment="true" applyProtection="false">
      <alignment horizontal="center" vertical="center" textRotation="0" wrapText="true" indent="0" shrinkToFit="false"/>
      <protection locked="true" hidden="false"/>
    </xf>
    <xf numFmtId="164" fontId="5" fillId="8" borderId="3" xfId="0" applyFont="true" applyBorder="true" applyAlignment="true" applyProtection="false">
      <alignment horizontal="center" vertical="center" textRotation="0" wrapText="true" indent="0" shrinkToFit="false"/>
      <protection locked="true" hidden="false"/>
    </xf>
    <xf numFmtId="164" fontId="6" fillId="9" borderId="4" xfId="0" applyFont="true" applyBorder="true" applyAlignment="true" applyProtection="false">
      <alignment horizontal="center" vertical="center" textRotation="0" wrapText="false" indent="0" shrinkToFit="false"/>
      <protection locked="true" hidden="false"/>
    </xf>
    <xf numFmtId="164" fontId="6" fillId="9" borderId="4" xfId="0" applyFont="true" applyBorder="true" applyAlignment="true" applyProtection="false">
      <alignment horizontal="left" vertical="center" textRotation="0" wrapText="false" indent="0" shrinkToFit="false"/>
      <protection locked="true" hidden="false"/>
    </xf>
    <xf numFmtId="164" fontId="7" fillId="10" borderId="4" xfId="0" applyFont="true" applyBorder="true" applyAlignment="true" applyProtection="false">
      <alignment horizontal="center" vertical="center" textRotation="0" wrapText="false" indent="0" shrinkToFit="false"/>
      <protection locked="true" hidden="false"/>
    </xf>
    <xf numFmtId="164" fontId="6" fillId="11" borderId="4" xfId="0" applyFont="true" applyBorder="true" applyAlignment="true" applyProtection="false">
      <alignment horizontal="left" vertical="center" textRotation="0" wrapText="false" indent="0" shrinkToFit="false"/>
      <protection locked="true" hidden="false"/>
    </xf>
    <xf numFmtId="164" fontId="6" fillId="12" borderId="4" xfId="0" applyFont="true" applyBorder="true" applyAlignment="true" applyProtection="false">
      <alignment horizontal="center" vertical="center" textRotation="0" wrapText="false" indent="0" shrinkToFit="false"/>
      <protection locked="true" hidden="false"/>
    </xf>
    <xf numFmtId="164" fontId="6" fillId="12" borderId="4" xfId="0" applyFont="true" applyBorder="true" applyAlignment="true" applyProtection="false">
      <alignment horizontal="left" vertical="center" textRotation="0" wrapText="false" indent="0" shrinkToFit="false"/>
      <protection locked="true" hidden="false"/>
    </xf>
    <xf numFmtId="164" fontId="6" fillId="13" borderId="4" xfId="0" applyFont="true" applyBorder="true" applyAlignment="true" applyProtection="false">
      <alignment horizontal="center" vertical="center" textRotation="0" wrapText="false" indent="0" shrinkToFit="false"/>
      <protection locked="true" hidden="false"/>
    </xf>
    <xf numFmtId="164" fontId="6" fillId="13" borderId="4" xfId="0" applyFont="true" applyBorder="true" applyAlignment="true" applyProtection="false">
      <alignment horizontal="left" vertical="center" textRotation="0" wrapText="false" indent="0" shrinkToFit="false"/>
      <protection locked="true" hidden="false"/>
    </xf>
    <xf numFmtId="164" fontId="6" fillId="14" borderId="4" xfId="0" applyFont="true" applyBorder="true" applyAlignment="true" applyProtection="false">
      <alignment horizontal="center" vertical="center" textRotation="0" wrapText="false" indent="0" shrinkToFit="false"/>
      <protection locked="true" hidden="false"/>
    </xf>
    <xf numFmtId="164" fontId="6" fillId="14" borderId="4" xfId="0" applyFont="true" applyBorder="true" applyAlignment="true" applyProtection="false">
      <alignment horizontal="left" vertical="center" textRotation="0" wrapText="false" indent="0" shrinkToFit="false"/>
      <protection locked="true" hidden="false"/>
    </xf>
    <xf numFmtId="164" fontId="8" fillId="9" borderId="4" xfId="0" applyFont="true" applyBorder="true" applyAlignment="true" applyProtection="false">
      <alignment horizontal="center" vertical="center" textRotation="0" wrapText="false" indent="0" shrinkToFit="false"/>
      <protection locked="true" hidden="false"/>
    </xf>
    <xf numFmtId="164" fontId="6" fillId="15" borderId="4" xfId="0" applyFont="true" applyBorder="true" applyAlignment="true" applyProtection="false">
      <alignment horizontal="center" vertical="center" textRotation="0" wrapText="false" indent="0" shrinkToFit="false"/>
      <protection locked="true" hidden="false"/>
    </xf>
    <xf numFmtId="164" fontId="6" fillId="15" borderId="4" xfId="0" applyFont="true" applyBorder="true" applyAlignment="true" applyProtection="false">
      <alignment horizontal="left" vertical="center" textRotation="0" wrapText="false" indent="0" shrinkToFit="false"/>
      <protection locked="true" hidden="false"/>
    </xf>
    <xf numFmtId="164" fontId="6" fillId="11" borderId="4" xfId="0" applyFont="true" applyBorder="true" applyAlignment="true" applyProtection="false">
      <alignment horizontal="center" vertical="center" textRotation="0" wrapText="false" indent="0" shrinkToFit="false"/>
      <protection locked="true" hidden="false"/>
    </xf>
    <xf numFmtId="164" fontId="8" fillId="15" borderId="4" xfId="0" applyFont="true" applyBorder="true" applyAlignment="true" applyProtection="false">
      <alignment horizontal="center" vertical="center" textRotation="0" wrapText="false" indent="0" shrinkToFit="false"/>
      <protection locked="true" hidden="false"/>
    </xf>
    <xf numFmtId="164" fontId="6" fillId="15" borderId="4" xfId="0" applyFont="true" applyBorder="true" applyAlignment="true" applyProtection="false">
      <alignment horizontal="left" vertical="center" textRotation="0" wrapText="true" indent="0" shrinkToFit="false"/>
      <protection locked="true" hidden="false"/>
    </xf>
    <xf numFmtId="164" fontId="9" fillId="16" borderId="4" xfId="0" applyFont="true" applyBorder="true" applyAlignment="true" applyProtection="false">
      <alignment horizontal="center" vertical="center" textRotation="0" wrapText="false" indent="0" shrinkToFit="false"/>
      <protection locked="true" hidden="false"/>
    </xf>
    <xf numFmtId="164" fontId="10" fillId="17" borderId="4" xfId="0" applyFont="true" applyBorder="true" applyAlignment="true" applyProtection="false">
      <alignment horizontal="center" vertical="center" textRotation="0" wrapText="false" indent="0" shrinkToFit="false"/>
      <protection locked="true" hidden="false"/>
    </xf>
    <xf numFmtId="164" fontId="11" fillId="18" borderId="4" xfId="0" applyFont="true" applyBorder="true" applyAlignment="true" applyProtection="false">
      <alignment horizontal="center" vertical="center" textRotation="0" wrapText="false" indent="0" shrinkToFit="false"/>
      <protection locked="true" hidden="false"/>
    </xf>
    <xf numFmtId="164" fontId="12" fillId="19" borderId="4" xfId="0" applyFont="true" applyBorder="true" applyAlignment="true" applyProtection="false">
      <alignment horizontal="center" vertical="center" textRotation="0" wrapText="false" indent="0" shrinkToFit="false"/>
      <protection locked="true" hidden="false"/>
    </xf>
    <xf numFmtId="164" fontId="13" fillId="20" borderId="4" xfId="0" applyFont="true" applyBorder="true" applyAlignment="true" applyProtection="false">
      <alignment horizontal="center" vertical="center" textRotation="0" wrapText="false" indent="0" shrinkToFit="false"/>
      <protection locked="true" hidden="false"/>
    </xf>
    <xf numFmtId="164" fontId="14" fillId="21" borderId="4" xfId="0" applyFont="true" applyBorder="true" applyAlignment="true" applyProtection="false">
      <alignment horizontal="center" vertical="center" textRotation="0" wrapText="false" indent="0" shrinkToFit="false"/>
      <protection locked="true" hidden="false"/>
    </xf>
    <xf numFmtId="164" fontId="15" fillId="22" borderId="1" xfId="0" applyFont="true" applyBorder="true" applyAlignment="true" applyProtection="false">
      <alignment horizontal="center" vertical="center" textRotation="0" wrapText="true" indent="0" shrinkToFit="false"/>
      <protection locked="true" hidden="false"/>
    </xf>
    <xf numFmtId="164" fontId="16" fillId="4" borderId="1"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6" fillId="6" borderId="1" xfId="0" applyFont="true" applyBorder="true" applyAlignment="true" applyProtection="false">
      <alignment horizontal="center"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6" fillId="23" borderId="1" xfId="0" applyFont="true" applyBorder="true" applyAlignment="true" applyProtection="false">
      <alignment horizontal="center" vertical="center" textRotation="0" wrapText="true" indent="0" shrinkToFit="false"/>
      <protection locked="true" hidden="false"/>
    </xf>
    <xf numFmtId="164" fontId="5" fillId="22" borderId="5" xfId="0" applyFont="true" applyBorder="true" applyAlignment="true" applyProtection="false">
      <alignment horizontal="center" vertical="center" textRotation="0" wrapText="false" indent="0" shrinkToFit="false"/>
      <protection locked="true" hidden="false"/>
    </xf>
    <xf numFmtId="164" fontId="5" fillId="22" borderId="5" xfId="0" applyFont="true" applyBorder="true" applyAlignment="true" applyProtection="false">
      <alignment horizontal="left" vertical="center" textRotation="0" wrapText="false" indent="0" shrinkToFit="false"/>
      <protection locked="true" hidden="false"/>
    </xf>
    <xf numFmtId="164" fontId="17" fillId="4" borderId="5" xfId="0" applyFont="true" applyBorder="true" applyAlignment="true" applyProtection="false">
      <alignment horizontal="center" vertical="center" textRotation="0" wrapText="true" indent="0" shrinkToFit="false"/>
      <protection locked="true" hidden="false"/>
    </xf>
    <xf numFmtId="164" fontId="17" fillId="4" borderId="5" xfId="0" applyFont="true" applyBorder="true" applyAlignment="true" applyProtection="false">
      <alignment horizontal="center" vertical="center" textRotation="0" wrapText="fals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0" wrapText="false" indent="0" shrinkToFit="false"/>
      <protection locked="true" hidden="false"/>
    </xf>
    <xf numFmtId="164" fontId="17" fillId="6" borderId="5" xfId="0" applyFont="true" applyBorder="true" applyAlignment="true" applyProtection="false">
      <alignment horizontal="center" vertical="center" textRotation="0" wrapText="true" indent="0" shrinkToFit="false"/>
      <protection locked="true" hidden="false"/>
    </xf>
    <xf numFmtId="164" fontId="17" fillId="6" borderId="5" xfId="0" applyFont="true" applyBorder="true" applyAlignment="true" applyProtection="false">
      <alignment horizontal="center" vertical="center" textRotation="0" wrapText="fals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7" borderId="5" xfId="0" applyFont="true" applyBorder="true" applyAlignment="true" applyProtection="false">
      <alignment horizontal="center" vertical="center" textRotation="0" wrapText="false" indent="0" shrinkToFit="false"/>
      <protection locked="true" hidden="false"/>
    </xf>
    <xf numFmtId="164" fontId="17" fillId="23" borderId="5" xfId="0" applyFont="true" applyBorder="true" applyAlignment="true" applyProtection="false">
      <alignment horizontal="center" vertical="center" textRotation="0" wrapText="true" indent="0" shrinkToFit="false"/>
      <protection locked="true" hidden="false"/>
    </xf>
    <xf numFmtId="164" fontId="18" fillId="24" borderId="5" xfId="0" applyFont="true" applyBorder="true" applyAlignment="true" applyProtection="false">
      <alignment horizontal="center" vertical="center" textRotation="0" wrapText="false" indent="0" shrinkToFit="false"/>
      <protection locked="true" hidden="false"/>
    </xf>
    <xf numFmtId="164" fontId="19" fillId="24" borderId="5" xfId="0" applyFont="true" applyBorder="true" applyAlignment="true" applyProtection="false">
      <alignment horizontal="left" vertical="center" textRotation="0" wrapText="false" indent="0" shrinkToFit="false"/>
      <protection locked="true" hidden="false"/>
    </xf>
    <xf numFmtId="164" fontId="7" fillId="11" borderId="5" xfId="0" applyFont="true" applyBorder="true" applyAlignment="true" applyProtection="false">
      <alignment horizontal="center" vertical="center" textRotation="0" wrapText="false" indent="0" shrinkToFit="false"/>
      <protection locked="true" hidden="false"/>
    </xf>
    <xf numFmtId="164" fontId="9" fillId="11" borderId="5" xfId="0" applyFont="true" applyBorder="true" applyAlignment="true" applyProtection="false">
      <alignment horizontal="center" vertical="center" textRotation="0" wrapText="false" indent="0" shrinkToFit="false"/>
      <protection locked="true" hidden="false"/>
    </xf>
    <xf numFmtId="164" fontId="12" fillId="11" borderId="5" xfId="0" applyFont="true" applyBorder="true" applyAlignment="true" applyProtection="false">
      <alignment horizontal="center" vertical="center" textRotation="0" wrapText="false" indent="0" shrinkToFit="false"/>
      <protection locked="true" hidden="false"/>
    </xf>
    <xf numFmtId="164" fontId="20" fillId="11" borderId="5" xfId="0" applyFont="true" applyBorder="true" applyAlignment="true" applyProtection="false">
      <alignment horizontal="center" vertical="center" textRotation="0" wrapText="false" indent="0" shrinkToFit="false"/>
      <protection locked="true" hidden="false"/>
    </xf>
    <xf numFmtId="164" fontId="8" fillId="11" borderId="5" xfId="0" applyFont="true" applyBorder="true" applyAlignment="true" applyProtection="false">
      <alignment horizontal="center" vertical="center" textRotation="0" wrapText="false" indent="0" shrinkToFit="false"/>
      <protection locked="true" hidden="false"/>
    </xf>
    <xf numFmtId="164" fontId="20" fillId="12" borderId="5" xfId="0" applyFont="true" applyBorder="true" applyAlignment="true" applyProtection="false">
      <alignment horizontal="center" vertical="center" textRotation="0" wrapText="false" indent="0" shrinkToFit="false"/>
      <protection locked="true" hidden="false"/>
    </xf>
    <xf numFmtId="164" fontId="8" fillId="12" borderId="5" xfId="0" applyFont="true" applyBorder="true" applyAlignment="true" applyProtection="false">
      <alignment horizontal="center" vertical="center" textRotation="0" wrapText="false" indent="0" shrinkToFit="false"/>
      <protection locked="true" hidden="false"/>
    </xf>
    <xf numFmtId="164" fontId="20" fillId="13" borderId="5" xfId="0" applyFont="true" applyBorder="true" applyAlignment="true" applyProtection="false">
      <alignment horizontal="center" vertical="center" textRotation="0" wrapText="false" indent="0" shrinkToFit="false"/>
      <protection locked="true" hidden="false"/>
    </xf>
    <xf numFmtId="164" fontId="8" fillId="13" borderId="5" xfId="0" applyFont="true" applyBorder="true" applyAlignment="true" applyProtection="false">
      <alignment horizontal="center" vertical="center" textRotation="0" wrapText="false" indent="0" shrinkToFit="false"/>
      <protection locked="true" hidden="false"/>
    </xf>
    <xf numFmtId="164" fontId="20" fillId="14" borderId="5" xfId="0" applyFont="true" applyBorder="true" applyAlignment="true" applyProtection="false">
      <alignment horizontal="center" vertical="center" textRotation="0" wrapText="false" indent="0" shrinkToFit="false"/>
      <protection locked="true" hidden="false"/>
    </xf>
    <xf numFmtId="164" fontId="8" fillId="14" borderId="5" xfId="0" applyFont="true" applyBorder="true" applyAlignment="true" applyProtection="false">
      <alignment horizontal="center" vertical="center" textRotation="0" wrapText="false" indent="0" shrinkToFit="false"/>
      <protection locked="true" hidden="false"/>
    </xf>
    <xf numFmtId="164" fontId="7" fillId="10" borderId="5" xfId="0" applyFont="true" applyBorder="true" applyAlignment="true" applyProtection="false">
      <alignment horizontal="center" vertical="center" textRotation="0" wrapText="false" indent="0" shrinkToFit="false"/>
      <protection locked="true" hidden="false"/>
    </xf>
    <xf numFmtId="164" fontId="9" fillId="16" borderId="5" xfId="0" applyFont="true" applyBorder="true" applyAlignment="true" applyProtection="false">
      <alignment horizontal="center" vertical="center" textRotation="0" wrapText="false" indent="0" shrinkToFit="false"/>
      <protection locked="true" hidden="false"/>
    </xf>
    <xf numFmtId="164" fontId="21" fillId="25" borderId="5" xfId="0" applyFont="true" applyBorder="true" applyAlignment="true" applyProtection="false">
      <alignment horizontal="center" vertical="center" textRotation="0" wrapText="false" indent="0" shrinkToFit="false"/>
      <protection locked="true" hidden="false"/>
    </xf>
    <xf numFmtId="164" fontId="18" fillId="15" borderId="5" xfId="0" applyFont="true" applyBorder="true" applyAlignment="true" applyProtection="false">
      <alignment horizontal="center" vertical="center" textRotation="0" wrapText="false" indent="0" shrinkToFit="false"/>
      <protection locked="true" hidden="false"/>
    </xf>
    <xf numFmtId="164" fontId="19" fillId="15" borderId="5" xfId="0" applyFont="true" applyBorder="true" applyAlignment="true" applyProtection="false">
      <alignment horizontal="left" vertical="center" textRotation="0" wrapText="false" indent="0" shrinkToFit="false"/>
      <protection locked="true" hidden="false"/>
    </xf>
    <xf numFmtId="164" fontId="19" fillId="23" borderId="5" xfId="0" applyFont="true" applyBorder="true" applyAlignment="true" applyProtection="false">
      <alignment horizontal="left" vertical="center" textRotation="0" wrapText="false" indent="0" shrinkToFit="false"/>
      <protection locked="true" hidden="false"/>
    </xf>
    <xf numFmtId="164" fontId="4" fillId="23" borderId="5" xfId="0" applyFont="true" applyBorder="true" applyAlignment="true" applyProtection="false">
      <alignment horizontal="left" vertical="center" textRotation="0" wrapText="false" indent="0" shrinkToFit="false"/>
      <protection locked="true" hidden="false"/>
    </xf>
    <xf numFmtId="164" fontId="16" fillId="4" borderId="5" xfId="0" applyFont="true" applyBorder="true" applyAlignment="true" applyProtection="false">
      <alignment horizontal="center" vertical="center" textRotation="0" wrapText="false" indent="0" shrinkToFit="false"/>
      <protection locked="true" hidden="false"/>
    </xf>
    <xf numFmtId="164" fontId="16" fillId="5" borderId="5" xfId="0" applyFont="true" applyBorder="true" applyAlignment="true" applyProtection="false">
      <alignment horizontal="center" vertical="center" textRotation="0" wrapText="false" indent="0" shrinkToFit="false"/>
      <protection locked="true" hidden="false"/>
    </xf>
    <xf numFmtId="164" fontId="16" fillId="6" borderId="5" xfId="0" applyFont="true" applyBorder="true" applyAlignment="true" applyProtection="false">
      <alignment horizontal="center" vertical="center" textRotation="0" wrapText="false" indent="0" shrinkToFit="false"/>
      <protection locked="true" hidden="false"/>
    </xf>
    <xf numFmtId="164" fontId="16" fillId="7" borderId="5" xfId="0" applyFont="true" applyBorder="true" applyAlignment="true" applyProtection="false">
      <alignment horizontal="center" vertical="center" textRotation="0" wrapText="false" indent="0" shrinkToFit="false"/>
      <protection locked="true" hidden="false"/>
    </xf>
    <xf numFmtId="164" fontId="16" fillId="26" borderId="5" xfId="0" applyFont="true" applyBorder="true" applyAlignment="true" applyProtection="false">
      <alignment horizontal="center" vertical="center" textRotation="0" wrapText="false" indent="0" shrinkToFit="false"/>
      <protection locked="true" hidden="false"/>
    </xf>
    <xf numFmtId="164" fontId="16" fillId="27" borderId="5" xfId="0" applyFont="true" applyBorder="true" applyAlignment="true" applyProtection="false">
      <alignment horizontal="center" vertical="center" textRotation="0" wrapText="false" indent="0" shrinkToFit="false"/>
      <protection locked="true" hidden="false"/>
    </xf>
    <xf numFmtId="164" fontId="16" fillId="28" borderId="5" xfId="0" applyFont="true" applyBorder="true" applyAlignment="true" applyProtection="false">
      <alignment horizontal="center" vertical="center" textRotation="0" wrapText="false" indent="0" shrinkToFit="false"/>
      <protection locked="true" hidden="false"/>
    </xf>
    <xf numFmtId="164" fontId="22" fillId="11" borderId="5" xfId="0" applyFont="true" applyBorder="true" applyAlignment="true" applyProtection="false">
      <alignment horizontal="center" vertical="center" textRotation="0" wrapText="false" indent="0" shrinkToFit="false"/>
      <protection locked="true" hidden="false"/>
    </xf>
    <xf numFmtId="164" fontId="23" fillId="11" borderId="5" xfId="0" applyFont="true" applyBorder="true" applyAlignment="true" applyProtection="false">
      <alignment horizontal="center" vertical="center" textRotation="0" wrapText="false" indent="0" shrinkToFit="false"/>
      <protection locked="true" hidden="false"/>
    </xf>
    <xf numFmtId="164" fontId="24" fillId="11" borderId="5" xfId="0" applyFont="true" applyBorder="true" applyAlignment="true" applyProtection="false">
      <alignment horizontal="center" vertical="center" textRotation="0" wrapText="false" indent="0" shrinkToFit="false"/>
      <protection locked="true" hidden="false"/>
    </xf>
    <xf numFmtId="164" fontId="25" fillId="12" borderId="5" xfId="0" applyFont="true" applyBorder="true" applyAlignment="true" applyProtection="false">
      <alignment horizontal="center" vertical="center" textRotation="0" wrapText="false" indent="0" shrinkToFit="false"/>
      <protection locked="true" hidden="false"/>
    </xf>
    <xf numFmtId="164" fontId="25" fillId="13" borderId="5" xfId="0" applyFont="true" applyBorder="true" applyAlignment="true" applyProtection="false">
      <alignment horizontal="center" vertical="center" textRotation="0" wrapText="false" indent="0" shrinkToFit="false"/>
      <protection locked="true" hidden="false"/>
    </xf>
    <xf numFmtId="164" fontId="16" fillId="4" borderId="0" xfId="0" applyFont="true" applyBorder="false" applyAlignment="true" applyProtection="false">
      <alignment horizontal="center" vertical="center" textRotation="0" wrapText="false" indent="0" shrinkToFit="false"/>
      <protection locked="true" hidden="false"/>
    </xf>
    <xf numFmtId="164" fontId="16" fillId="5" borderId="0" xfId="0" applyFont="true" applyBorder="false" applyAlignment="true" applyProtection="false">
      <alignment horizontal="center" vertical="center" textRotation="0" wrapText="false" indent="0" shrinkToFit="false"/>
      <protection locked="true" hidden="false"/>
    </xf>
    <xf numFmtId="164" fontId="16" fillId="6" borderId="0" xfId="0" applyFont="true" applyBorder="false" applyAlignment="true" applyProtection="false">
      <alignment horizontal="center" vertical="center" textRotation="0" wrapText="false" indent="0" shrinkToFit="false"/>
      <protection locked="true" hidden="false"/>
    </xf>
    <xf numFmtId="164" fontId="26" fillId="22" borderId="0" xfId="0" applyFont="true" applyBorder="true" applyAlignment="true" applyProtection="false">
      <alignment horizontal="center" vertical="center" textRotation="0" wrapText="false" indent="0" shrinkToFit="false"/>
      <protection locked="true" hidden="false"/>
    </xf>
    <xf numFmtId="164" fontId="4" fillId="8" borderId="1" xfId="0" applyFont="true" applyBorder="true" applyAlignment="true" applyProtection="false">
      <alignment horizontal="center" vertical="center" textRotation="0" wrapText="false" indent="0" shrinkToFit="false"/>
      <protection locked="true" hidden="false"/>
    </xf>
    <xf numFmtId="164" fontId="4" fillId="5" borderId="1" xfId="0" applyFont="true" applyBorder="true" applyAlignment="true" applyProtection="false">
      <alignment horizontal="center" vertical="center" textRotation="0" wrapText="false" indent="0" shrinkToFit="false"/>
      <protection locked="true" hidden="false"/>
    </xf>
    <xf numFmtId="164" fontId="27" fillId="24" borderId="5" xfId="0" applyFont="true" applyBorder="true" applyAlignment="true" applyProtection="false">
      <alignment horizontal="left" vertical="center" textRotation="0" wrapText="false" indent="0" shrinkToFit="false"/>
      <protection locked="true" hidden="false"/>
    </xf>
    <xf numFmtId="164" fontId="28" fillId="15" borderId="5" xfId="0" applyFont="true" applyBorder="true" applyAlignment="true" applyProtection="false">
      <alignment horizontal="center" vertical="center" textRotation="0" wrapText="false" indent="0" shrinkToFit="false"/>
      <protection locked="true" hidden="false"/>
    </xf>
    <xf numFmtId="164" fontId="27" fillId="16" borderId="5" xfId="0" applyFont="true" applyBorder="true" applyAlignment="true" applyProtection="false">
      <alignment horizontal="left" vertical="center"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4" fillId="6" borderId="1" xfId="0" applyFont="true" applyBorder="true" applyAlignment="true" applyProtection="false">
      <alignment horizontal="center" vertical="center" textRotation="0" wrapText="false" indent="0" shrinkToFit="false"/>
      <protection locked="true" hidden="false"/>
    </xf>
    <xf numFmtId="164" fontId="27" fillId="10" borderId="5" xfId="0" applyFont="true" applyBorder="true" applyAlignment="true" applyProtection="false">
      <alignment horizontal="left" vertical="center" textRotation="0" wrapText="false" indent="0" shrinkToFit="false"/>
      <protection locked="true" hidden="false"/>
    </xf>
    <xf numFmtId="164" fontId="29" fillId="10" borderId="5" xfId="0" applyFont="true" applyBorder="true" applyAlignment="true" applyProtection="false">
      <alignment horizontal="center" vertical="center" textRotation="0" wrapText="false" indent="0" shrinkToFit="false"/>
      <protection locked="true" hidden="false"/>
    </xf>
    <xf numFmtId="164" fontId="30" fillId="16" borderId="5" xfId="0" applyFont="true" applyBorder="true" applyAlignment="true" applyProtection="false">
      <alignment horizontal="center" vertical="center" textRotation="0" wrapText="false" indent="0" shrinkToFit="false"/>
      <protection locked="true" hidden="false"/>
    </xf>
    <xf numFmtId="164" fontId="27" fillId="19" borderId="5" xfId="0" applyFont="true" applyBorder="true" applyAlignment="true" applyProtection="false">
      <alignment horizontal="left" vertical="center" textRotation="0" wrapText="false" indent="0" shrinkToFit="false"/>
      <protection locked="true" hidden="false"/>
    </xf>
    <xf numFmtId="164" fontId="31" fillId="19" borderId="5" xfId="0" applyFont="true" applyBorder="true" applyAlignment="true" applyProtection="false">
      <alignment horizontal="center" vertical="center" textRotation="0" wrapText="false" indent="0" shrinkToFit="false"/>
      <protection locked="true" hidden="false"/>
    </xf>
    <xf numFmtId="164" fontId="27" fillId="18" borderId="5" xfId="0" applyFont="true" applyBorder="true" applyAlignment="true" applyProtection="false">
      <alignment horizontal="left" vertical="center" textRotation="0" wrapText="false" indent="0" shrinkToFit="false"/>
      <protection locked="true" hidden="false"/>
    </xf>
    <xf numFmtId="164" fontId="32" fillId="18" borderId="5" xfId="0" applyFont="true" applyBorder="true" applyAlignment="true" applyProtection="false">
      <alignment horizontal="center" vertical="center" textRotation="0" wrapText="false" indent="0" shrinkToFit="false"/>
      <protection locked="true" hidden="false"/>
    </xf>
    <xf numFmtId="164" fontId="27" fillId="20" borderId="5" xfId="0" applyFont="true" applyBorder="true" applyAlignment="true" applyProtection="false">
      <alignment horizontal="left" vertical="center" textRotation="0" wrapText="false" indent="0" shrinkToFit="false"/>
      <protection locked="true" hidden="false"/>
    </xf>
    <xf numFmtId="164" fontId="33" fillId="20" borderId="5" xfId="0" applyFont="true" applyBorder="true" applyAlignment="true" applyProtection="false">
      <alignment horizontal="center" vertical="center" textRotation="0" wrapText="false" indent="0" shrinkToFit="false"/>
      <protection locked="true" hidden="false"/>
    </xf>
    <xf numFmtId="164" fontId="27" fillId="17" borderId="5" xfId="0" applyFont="true" applyBorder="true" applyAlignment="true" applyProtection="false">
      <alignment horizontal="left" vertical="center" textRotation="0" wrapText="false" indent="0" shrinkToFit="false"/>
      <protection locked="true" hidden="false"/>
    </xf>
    <xf numFmtId="164" fontId="34" fillId="17" borderId="5"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3E6B7F"/>
          <bgColor rgb="FF000000"/>
        </patternFill>
      </fill>
    </dxf>
    <dxf>
      <fill>
        <patternFill patternType="solid">
          <fgColor rgb="FFFFFFFF"/>
          <bgColor rgb="FF000000"/>
        </patternFill>
      </fill>
    </dxf>
    <dxf>
      <fill>
        <patternFill patternType="solid">
          <fgColor rgb="FF5A8FA8"/>
          <bgColor rgb="FF000000"/>
        </patternFill>
      </fill>
    </dxf>
    <dxf>
      <fill>
        <patternFill patternType="solid">
          <fgColor rgb="FF1B5E7B"/>
          <bgColor rgb="FF000000"/>
        </patternFill>
      </fill>
    </dxf>
    <dxf>
      <fill>
        <patternFill patternType="solid">
          <fgColor rgb="FF276B4E"/>
          <bgColor rgb="FF000000"/>
        </patternFill>
      </fill>
    </dxf>
    <dxf>
      <fill>
        <patternFill patternType="solid">
          <fgColor rgb="FF7B4F1B"/>
          <bgColor rgb="FF000000"/>
        </patternFill>
      </fill>
    </dxf>
    <dxf>
      <fill>
        <patternFill patternType="solid">
          <fgColor rgb="FF6B1B1B"/>
          <bgColor rgb="FF000000"/>
        </patternFill>
      </fill>
    </dxf>
    <dxf>
      <fill>
        <patternFill patternType="solid">
          <fgColor rgb="FF2D4A5A"/>
          <bgColor rgb="FF000000"/>
        </patternFill>
      </fill>
    </dxf>
  </dxfs>
  <colors>
    <indexedColors>
      <rgbColor rgb="FF000000"/>
      <rgbColor rgb="FFFFFFFF"/>
      <rgbColor rgb="FFFF0000"/>
      <rgbColor rgb="FF00FF00"/>
      <rgbColor rgb="FF0000FF"/>
      <rgbColor rgb="FFFFF3E0"/>
      <rgbColor rgb="FFFF00FF"/>
      <rgbColor rgb="FF00FFFF"/>
      <rgbColor rgb="FF6B1B1B"/>
      <rgbColor rgb="FF2E7D32"/>
      <rgbColor rgb="FF2D4A5A"/>
      <rgbColor rgb="FF7B4F1B"/>
      <rgbColor rgb="FF800080"/>
      <rgbColor rgb="FF1B5E7B"/>
      <rgbColor rgb="FFB0BEC5"/>
      <rgbColor rgb="FF5A8FA8"/>
      <rgbColor rgb="FFEBF4FA"/>
      <rgbColor rgb="FF795548"/>
      <rgbColor rgb="FFFFF9C4"/>
      <rgbColor rgb="FFE3F2FD"/>
      <rgbColor rgb="FF660066"/>
      <rgbColor rgb="FFF0F7FA"/>
      <rgbColor rgb="FF1565C0"/>
      <rgbColor rgb="FFB8C8D4"/>
      <rgbColor rgb="FF000080"/>
      <rgbColor rgb="FFFF00FF"/>
      <rgbColor rgb="FFFAF3EB"/>
      <rgbColor rgb="FF00FFFF"/>
      <rgbColor rgb="FF800080"/>
      <rgbColor rgb="FF800000"/>
      <rgbColor rgb="FF276B4E"/>
      <rgbColor rgb="FF0000FF"/>
      <rgbColor rgb="FF00CCFF"/>
      <rgbColor rgb="FFE8F5E9"/>
      <rgbColor rgb="FFEBF6F0"/>
      <rgbColor rgb="FFFFF8E1"/>
      <rgbColor rgb="FFD4E2EA"/>
      <rgbColor rgb="FFEDE7F6"/>
      <rgbColor rgb="FFFAF0EB"/>
      <rgbColor rgb="FFFFEBEE"/>
      <rgbColor rgb="FF3E6B7F"/>
      <rgbColor rgb="FF33CCCC"/>
      <rgbColor rgb="FFF7FAFB"/>
      <rgbColor rgb="FFF5F5F5"/>
      <rgbColor rgb="FFFB8C00"/>
      <rgbColor rgb="FFE65100"/>
      <rgbColor rgb="FF5A7A8A"/>
      <rgbColor rgb="FF616161"/>
      <rgbColor rgb="FF1A3A4A"/>
      <rgbColor rgb="FF43A047"/>
      <rgbColor rgb="FF0D2733"/>
      <rgbColor rgb="FF1A1814"/>
      <rgbColor rgb="FFBF360C"/>
      <rgbColor rgb="FFC62828"/>
      <rgbColor rgb="FF4527A0"/>
      <rgbColor rgb="FF1A2A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32"/>
    <col collapsed="false" customWidth="true" hidden="false" outlineLevel="0" max="7" min="7" style="0" width="14"/>
    <col collapsed="false" customWidth="true" hidden="false" outlineLevel="0" max="8" min="8" style="0" width="13"/>
    <col collapsed="false" customWidth="true" hidden="false" outlineLevel="0" max="9" min="9" style="0" width="12"/>
    <col collapsed="false" customWidth="true" hidden="false" outlineLevel="0" max="11" min="10" style="0" width="24"/>
    <col collapsed="false" customWidth="true" hidden="false" outlineLevel="0" max="14" min="12" style="0" width="11"/>
    <col collapsed="false" customWidth="true" hidden="false" outlineLevel="0" max="15" min="15" style="0" width="24"/>
    <col collapsed="false" customWidth="true" hidden="false" outlineLevel="0" max="18" min="16" style="0" width="11"/>
    <col collapsed="false" customWidth="true" hidden="false" outlineLevel="0" max="19" min="19" style="0" width="24"/>
    <col collapsed="false" customWidth="true" hidden="false" outlineLevel="0" max="22" min="20" style="0" width="11"/>
    <col collapsed="false" customWidth="true" hidden="false" outlineLevel="0" max="23" min="23" style="0" width="24"/>
    <col collapsed="false" customWidth="true" hidden="false" outlineLevel="0" max="26" min="24" style="0" width="11"/>
    <col collapsed="false" customWidth="true" hidden="false" outlineLevel="0" max="27" min="27" style="0" width="24"/>
    <col collapsed="false" customWidth="true" hidden="false" outlineLevel="0" max="28" min="28" style="0" width="14"/>
  </cols>
  <sheetData>
    <row r="1" customFormat="false" ht="21.75" hidden="false" customHeight="true" outlineLevel="0" collapsed="false">
      <c r="A1" s="1" t="s">
        <v>0</v>
      </c>
      <c r="B1" s="1"/>
      <c r="C1" s="1"/>
      <c r="D1" s="1"/>
      <c r="E1" s="1"/>
      <c r="F1" s="1"/>
      <c r="G1" s="1"/>
      <c r="H1" s="1"/>
      <c r="I1" s="1"/>
      <c r="J1" s="2" t="s">
        <v>1</v>
      </c>
      <c r="K1" s="2"/>
      <c r="L1" s="3" t="s">
        <v>2</v>
      </c>
      <c r="M1" s="3"/>
      <c r="N1" s="3"/>
      <c r="O1" s="3"/>
      <c r="P1" s="4" t="s">
        <v>3</v>
      </c>
      <c r="Q1" s="4"/>
      <c r="R1" s="4"/>
      <c r="S1" s="4"/>
      <c r="T1" s="5" t="s">
        <v>4</v>
      </c>
      <c r="U1" s="5"/>
      <c r="V1" s="5"/>
      <c r="W1" s="5"/>
      <c r="X1" s="6" t="s">
        <v>5</v>
      </c>
      <c r="Y1" s="6"/>
      <c r="Z1" s="6"/>
      <c r="AA1" s="6"/>
      <c r="AB1" s="7" t="s">
        <v>6</v>
      </c>
    </row>
    <row r="2" customFormat="false" ht="27.75" hidden="false" customHeight="true" outlineLevel="0" collapsed="false">
      <c r="A2" s="8" t="s">
        <v>7</v>
      </c>
      <c r="B2" s="8" t="s">
        <v>8</v>
      </c>
      <c r="C2" s="8" t="s">
        <v>9</v>
      </c>
      <c r="D2" s="8" t="s">
        <v>10</v>
      </c>
      <c r="E2" s="8" t="s">
        <v>11</v>
      </c>
      <c r="F2" s="8" t="s">
        <v>12</v>
      </c>
      <c r="G2" s="8" t="s">
        <v>13</v>
      </c>
      <c r="H2" s="8" t="s">
        <v>14</v>
      </c>
      <c r="I2" s="8" t="s">
        <v>15</v>
      </c>
      <c r="J2" s="9" t="s">
        <v>16</v>
      </c>
      <c r="K2" s="9" t="s">
        <v>17</v>
      </c>
      <c r="L2" s="10" t="s">
        <v>18</v>
      </c>
      <c r="M2" s="10" t="s">
        <v>19</v>
      </c>
      <c r="N2" s="10" t="s">
        <v>20</v>
      </c>
      <c r="O2" s="10" t="s">
        <v>21</v>
      </c>
      <c r="P2" s="11" t="s">
        <v>22</v>
      </c>
      <c r="Q2" s="11" t="s">
        <v>23</v>
      </c>
      <c r="R2" s="11" t="s">
        <v>24</v>
      </c>
      <c r="S2" s="11" t="s">
        <v>25</v>
      </c>
      <c r="T2" s="12" t="s">
        <v>26</v>
      </c>
      <c r="U2" s="12" t="s">
        <v>27</v>
      </c>
      <c r="V2" s="12" t="s">
        <v>28</v>
      </c>
      <c r="W2" s="12" t="s">
        <v>29</v>
      </c>
      <c r="X2" s="13" t="s">
        <v>30</v>
      </c>
      <c r="Y2" s="13" t="s">
        <v>31</v>
      </c>
      <c r="Z2" s="13" t="s">
        <v>32</v>
      </c>
      <c r="AA2" s="13" t="s">
        <v>33</v>
      </c>
      <c r="AB2" s="14" t="s">
        <v>34</v>
      </c>
    </row>
    <row r="3" customFormat="false" ht="27.75" hidden="false" customHeight="true" outlineLevel="0" collapsed="false">
      <c r="A3" s="15" t="s">
        <v>35</v>
      </c>
      <c r="B3" s="15" t="s">
        <v>36</v>
      </c>
      <c r="C3" s="16" t="s">
        <v>37</v>
      </c>
      <c r="D3" s="16" t="s">
        <v>38</v>
      </c>
      <c r="E3" s="16" t="s">
        <v>39</v>
      </c>
      <c r="F3" s="16" t="s">
        <v>40</v>
      </c>
      <c r="G3" s="15" t="s">
        <v>41</v>
      </c>
      <c r="H3" s="15"/>
      <c r="I3" s="15" t="s">
        <v>42</v>
      </c>
      <c r="J3" s="16" t="s">
        <v>43</v>
      </c>
      <c r="K3" s="16" t="s">
        <v>44</v>
      </c>
      <c r="L3" s="17" t="s">
        <v>45</v>
      </c>
      <c r="M3" s="17" t="s">
        <v>45</v>
      </c>
      <c r="N3" s="17" t="s">
        <v>45</v>
      </c>
      <c r="O3" s="18"/>
      <c r="P3" s="19"/>
      <c r="Q3" s="19"/>
      <c r="R3" s="19"/>
      <c r="S3" s="20"/>
      <c r="T3" s="21"/>
      <c r="U3" s="21"/>
      <c r="V3" s="21"/>
      <c r="W3" s="22"/>
      <c r="X3" s="23"/>
      <c r="Y3" s="23"/>
      <c r="Z3" s="23"/>
      <c r="AA3" s="24"/>
      <c r="AB3" s="25" t="str">
        <f aca="false">IF(Z3&lt;&gt;"",Z3,IF(V3&lt;&gt;"",V3,IF(R3&lt;&gt;"",R3,IF(N3&lt;&gt;"",N3,IF(J3&lt;&gt;"","BEKLİYOR","")))))</f>
        <v>ONAY</v>
      </c>
    </row>
    <row r="4" customFormat="false" ht="42" hidden="false" customHeight="true" outlineLevel="0" collapsed="false">
      <c r="A4" s="26" t="s">
        <v>46</v>
      </c>
      <c r="B4" s="26" t="s">
        <v>47</v>
      </c>
      <c r="C4" s="27" t="s">
        <v>48</v>
      </c>
      <c r="D4" s="27" t="s">
        <v>49</v>
      </c>
      <c r="E4" s="27" t="s">
        <v>50</v>
      </c>
      <c r="F4" s="27" t="s">
        <v>51</v>
      </c>
      <c r="G4" s="26" t="s">
        <v>41</v>
      </c>
      <c r="H4" s="26"/>
      <c r="I4" s="26" t="s">
        <v>42</v>
      </c>
      <c r="J4" s="27" t="s">
        <v>44</v>
      </c>
      <c r="K4" s="27" t="s">
        <v>52</v>
      </c>
      <c r="L4" s="17" t="s">
        <v>45</v>
      </c>
      <c r="M4" s="28"/>
      <c r="N4" s="17" t="s">
        <v>45</v>
      </c>
      <c r="O4" s="18"/>
      <c r="P4" s="19"/>
      <c r="Q4" s="19"/>
      <c r="R4" s="19"/>
      <c r="S4" s="20"/>
      <c r="T4" s="21"/>
      <c r="U4" s="21"/>
      <c r="V4" s="21"/>
      <c r="W4" s="22"/>
      <c r="X4" s="23"/>
      <c r="Y4" s="23"/>
      <c r="Z4" s="23"/>
      <c r="AA4" s="24"/>
      <c r="AB4" s="29" t="str">
        <f aca="false">IF(Z4&lt;&gt;"",Z4,IF(V4&lt;&gt;"",V4,IF(R4&lt;&gt;"",R4,IF(N4&lt;&gt;"",N4,IF(J4&lt;&gt;"","BEKLİYOR","")))))</f>
        <v>ONAY</v>
      </c>
    </row>
    <row r="5" customFormat="false" ht="27.75" hidden="false" customHeight="true" outlineLevel="0" collapsed="false">
      <c r="A5" s="15" t="s">
        <v>53</v>
      </c>
      <c r="B5" s="15" t="s">
        <v>54</v>
      </c>
      <c r="C5" s="16" t="s">
        <v>55</v>
      </c>
      <c r="D5" s="16" t="s">
        <v>56</v>
      </c>
      <c r="E5" s="16" t="s">
        <v>57</v>
      </c>
      <c r="F5" s="16" t="s">
        <v>58</v>
      </c>
      <c r="G5" s="15" t="s">
        <v>41</v>
      </c>
      <c r="H5" s="15"/>
      <c r="I5" s="15" t="s">
        <v>42</v>
      </c>
      <c r="J5" s="16" t="s">
        <v>59</v>
      </c>
      <c r="K5" s="16" t="s">
        <v>60</v>
      </c>
      <c r="L5" s="17" t="s">
        <v>45</v>
      </c>
      <c r="M5" s="17" t="s">
        <v>45</v>
      </c>
      <c r="N5" s="17" t="s">
        <v>45</v>
      </c>
      <c r="O5" s="18"/>
      <c r="P5" s="19"/>
      <c r="Q5" s="19"/>
      <c r="R5" s="19"/>
      <c r="S5" s="20"/>
      <c r="T5" s="21"/>
      <c r="U5" s="21"/>
      <c r="V5" s="21"/>
      <c r="W5" s="22"/>
      <c r="X5" s="23"/>
      <c r="Y5" s="23"/>
      <c r="Z5" s="23"/>
      <c r="AA5" s="24"/>
      <c r="AB5" s="25" t="str">
        <f aca="false">IF(Z5&lt;&gt;"",Z5,IF(V5&lt;&gt;"",V5,IF(R5&lt;&gt;"",R5,IF(N5&lt;&gt;"",N5,IF(J5&lt;&gt;"","BEKLİYOR","")))))</f>
        <v>ONAY</v>
      </c>
    </row>
    <row r="6" customFormat="false" ht="15.75" hidden="false" customHeight="true" outlineLevel="0" collapsed="false">
      <c r="A6" s="26" t="s">
        <v>61</v>
      </c>
      <c r="B6" s="26" t="s">
        <v>62</v>
      </c>
      <c r="C6" s="27" t="s">
        <v>63</v>
      </c>
      <c r="D6" s="30" t="s">
        <v>64</v>
      </c>
      <c r="E6" s="27" t="s">
        <v>65</v>
      </c>
      <c r="F6" s="27" t="s">
        <v>66</v>
      </c>
      <c r="G6" s="26" t="s">
        <v>67</v>
      </c>
      <c r="H6" s="26"/>
      <c r="I6" s="26" t="s">
        <v>42</v>
      </c>
      <c r="J6" s="27" t="s">
        <v>68</v>
      </c>
      <c r="K6" s="27" t="s">
        <v>69</v>
      </c>
      <c r="L6" s="28"/>
      <c r="M6" s="31" t="s">
        <v>70</v>
      </c>
      <c r="N6" s="31" t="s">
        <v>70</v>
      </c>
      <c r="O6" s="18"/>
      <c r="P6" s="19"/>
      <c r="Q6" s="19"/>
      <c r="R6" s="17" t="s">
        <v>45</v>
      </c>
      <c r="S6" s="20"/>
      <c r="T6" s="21"/>
      <c r="U6" s="21"/>
      <c r="V6" s="21"/>
      <c r="W6" s="22"/>
      <c r="X6" s="23"/>
      <c r="Y6" s="23"/>
      <c r="Z6" s="23"/>
      <c r="AA6" s="24"/>
      <c r="AB6" s="29" t="str">
        <f aca="false">IF(Z6&lt;&gt;"",Z6,IF(V6&lt;&gt;"",V6,IF(R6&lt;&gt;"",R6,IF(N6&lt;&gt;"",N6,IF(J6&lt;&gt;"","BEKLİYOR","")))))</f>
        <v>ONAY</v>
      </c>
    </row>
    <row r="7" customFormat="false" ht="27.75" hidden="false" customHeight="true" outlineLevel="0" collapsed="false">
      <c r="A7" s="15" t="s">
        <v>71</v>
      </c>
      <c r="B7" s="15" t="s">
        <v>72</v>
      </c>
      <c r="C7" s="16" t="s">
        <v>73</v>
      </c>
      <c r="D7" s="16" t="s">
        <v>74</v>
      </c>
      <c r="E7" s="16" t="s">
        <v>75</v>
      </c>
      <c r="F7" s="16" t="s">
        <v>76</v>
      </c>
      <c r="G7" s="15" t="s">
        <v>67</v>
      </c>
      <c r="H7" s="15"/>
      <c r="I7" s="15" t="s">
        <v>42</v>
      </c>
      <c r="J7" s="16" t="s">
        <v>77</v>
      </c>
      <c r="K7" s="16" t="s">
        <v>78</v>
      </c>
      <c r="L7" s="28"/>
      <c r="M7" s="31" t="s">
        <v>70</v>
      </c>
      <c r="N7" s="31" t="s">
        <v>70</v>
      </c>
      <c r="O7" s="18"/>
      <c r="P7" s="19"/>
      <c r="Q7" s="19"/>
      <c r="R7" s="17" t="s">
        <v>45</v>
      </c>
      <c r="S7" s="20"/>
      <c r="T7" s="21"/>
      <c r="U7" s="21"/>
      <c r="V7" s="21"/>
      <c r="W7" s="22"/>
      <c r="X7" s="23"/>
      <c r="Y7" s="23"/>
      <c r="Z7" s="23"/>
      <c r="AA7" s="24"/>
      <c r="AB7" s="25" t="str">
        <f aca="false">IF(Z7&lt;&gt;"",Z7,IF(V7&lt;&gt;"",V7,IF(R7&lt;&gt;"",R7,IF(N7&lt;&gt;"",N7,IF(J7&lt;&gt;"","BEKLİYOR","")))))</f>
        <v>ONAY</v>
      </c>
    </row>
    <row r="8" customFormat="false" ht="42" hidden="false" customHeight="true" outlineLevel="0" collapsed="false">
      <c r="A8" s="26" t="s">
        <v>79</v>
      </c>
      <c r="B8" s="26" t="s">
        <v>80</v>
      </c>
      <c r="C8" s="27" t="s">
        <v>81</v>
      </c>
      <c r="D8" s="27" t="s">
        <v>82</v>
      </c>
      <c r="E8" s="27" t="s">
        <v>83</v>
      </c>
      <c r="F8" s="27" t="s">
        <v>84</v>
      </c>
      <c r="G8" s="26" t="s">
        <v>41</v>
      </c>
      <c r="H8" s="26"/>
      <c r="I8" s="26" t="s">
        <v>42</v>
      </c>
      <c r="J8" s="27" t="s">
        <v>52</v>
      </c>
      <c r="K8" s="27" t="s">
        <v>85</v>
      </c>
      <c r="L8" s="17" t="s">
        <v>45</v>
      </c>
      <c r="M8" s="17" t="s">
        <v>45</v>
      </c>
      <c r="N8" s="17" t="s">
        <v>45</v>
      </c>
      <c r="O8" s="18"/>
      <c r="P8" s="19"/>
      <c r="Q8" s="19"/>
      <c r="R8" s="19"/>
      <c r="S8" s="20"/>
      <c r="T8" s="21"/>
      <c r="U8" s="21"/>
      <c r="V8" s="21"/>
      <c r="W8" s="22"/>
      <c r="X8" s="23"/>
      <c r="Y8" s="23"/>
      <c r="Z8" s="23"/>
      <c r="AA8" s="24"/>
      <c r="AB8" s="29" t="str">
        <f aca="false">IF(Z8&lt;&gt;"",Z8,IF(V8&lt;&gt;"",V8,IF(R8&lt;&gt;"",R8,IF(N8&lt;&gt;"",N8,IF(J8&lt;&gt;"","BEKLİYOR","")))))</f>
        <v>ONAY</v>
      </c>
    </row>
    <row r="9" customFormat="false" ht="42" hidden="false" customHeight="true" outlineLevel="0" collapsed="false">
      <c r="A9" s="15" t="s">
        <v>86</v>
      </c>
      <c r="B9" s="15" t="s">
        <v>87</v>
      </c>
      <c r="C9" s="16" t="s">
        <v>88</v>
      </c>
      <c r="D9" s="16" t="s">
        <v>89</v>
      </c>
      <c r="E9" s="16" t="s">
        <v>90</v>
      </c>
      <c r="F9" s="16" t="s">
        <v>91</v>
      </c>
      <c r="G9" s="15" t="s">
        <v>92</v>
      </c>
      <c r="H9" s="15"/>
      <c r="I9" s="15" t="s">
        <v>42</v>
      </c>
      <c r="J9" s="16" t="s">
        <v>93</v>
      </c>
      <c r="K9" s="16" t="s">
        <v>85</v>
      </c>
      <c r="L9" s="17" t="s">
        <v>45</v>
      </c>
      <c r="M9" s="28"/>
      <c r="N9" s="17" t="s">
        <v>45</v>
      </c>
      <c r="O9" s="18"/>
      <c r="P9" s="19"/>
      <c r="Q9" s="19"/>
      <c r="R9" s="19"/>
      <c r="S9" s="20"/>
      <c r="T9" s="21"/>
      <c r="U9" s="21"/>
      <c r="V9" s="21"/>
      <c r="W9" s="22"/>
      <c r="X9" s="23"/>
      <c r="Y9" s="23"/>
      <c r="Z9" s="23"/>
      <c r="AA9" s="24"/>
      <c r="AB9" s="25" t="str">
        <f aca="false">IF(Z9&lt;&gt;"",Z9,IF(V9&lt;&gt;"",V9,IF(R9&lt;&gt;"",R9,IF(N9&lt;&gt;"",N9,IF(J9&lt;&gt;"","BEKLİYOR","")))))</f>
        <v>ONAY</v>
      </c>
    </row>
    <row r="10" customFormat="false" ht="42" hidden="false" customHeight="true" outlineLevel="0" collapsed="false">
      <c r="A10" s="26" t="s">
        <v>94</v>
      </c>
      <c r="B10" s="26" t="s">
        <v>95</v>
      </c>
      <c r="C10" s="27" t="s">
        <v>96</v>
      </c>
      <c r="D10" s="27" t="s">
        <v>82</v>
      </c>
      <c r="E10" s="27" t="s">
        <v>97</v>
      </c>
      <c r="F10" s="27" t="s">
        <v>98</v>
      </c>
      <c r="G10" s="26" t="s">
        <v>92</v>
      </c>
      <c r="H10" s="26"/>
      <c r="I10" s="26" t="s">
        <v>42</v>
      </c>
      <c r="J10" s="27" t="s">
        <v>68</v>
      </c>
      <c r="K10" s="27" t="s">
        <v>99</v>
      </c>
      <c r="L10" s="17" t="s">
        <v>45</v>
      </c>
      <c r="M10" s="28"/>
      <c r="N10" s="17" t="s">
        <v>45</v>
      </c>
      <c r="O10" s="18"/>
      <c r="P10" s="19"/>
      <c r="Q10" s="19"/>
      <c r="R10" s="19"/>
      <c r="S10" s="20"/>
      <c r="T10" s="21"/>
      <c r="U10" s="21"/>
      <c r="V10" s="21"/>
      <c r="W10" s="22"/>
      <c r="X10" s="23"/>
      <c r="Y10" s="23"/>
      <c r="Z10" s="23"/>
      <c r="AA10" s="24"/>
      <c r="AB10" s="29" t="str">
        <f aca="false">IF(Z10&lt;&gt;"",Z10,IF(V10&lt;&gt;"",V10,IF(R10&lt;&gt;"",R10,IF(N10&lt;&gt;"",N10,IF(J10&lt;&gt;"","BEKLİYOR","")))))</f>
        <v>ONAY</v>
      </c>
    </row>
    <row r="11" customFormat="false" ht="27.75" hidden="false" customHeight="true" outlineLevel="0" collapsed="false">
      <c r="A11" s="15" t="s">
        <v>100</v>
      </c>
      <c r="B11" s="15" t="s">
        <v>101</v>
      </c>
      <c r="C11" s="16" t="s">
        <v>102</v>
      </c>
      <c r="D11" s="16" t="s">
        <v>103</v>
      </c>
      <c r="E11" s="16" t="s">
        <v>104</v>
      </c>
      <c r="F11" s="16" t="s">
        <v>105</v>
      </c>
      <c r="G11" s="15" t="s">
        <v>41</v>
      </c>
      <c r="H11" s="15"/>
      <c r="I11" s="15" t="s">
        <v>42</v>
      </c>
      <c r="J11" s="16" t="s">
        <v>69</v>
      </c>
      <c r="K11" s="16" t="s">
        <v>44</v>
      </c>
      <c r="L11" s="28"/>
      <c r="M11" s="17" t="s">
        <v>45</v>
      </c>
      <c r="N11" s="17" t="s">
        <v>45</v>
      </c>
      <c r="O11" s="18"/>
      <c r="P11" s="19"/>
      <c r="Q11" s="19"/>
      <c r="R11" s="19"/>
      <c r="S11" s="20"/>
      <c r="T11" s="21"/>
      <c r="U11" s="21"/>
      <c r="V11" s="21"/>
      <c r="W11" s="22"/>
      <c r="X11" s="23"/>
      <c r="Y11" s="23"/>
      <c r="Z11" s="23"/>
      <c r="AA11" s="24"/>
      <c r="AB11" s="25" t="str">
        <f aca="false">IF(Z11&lt;&gt;"",Z11,IF(V11&lt;&gt;"",V11,IF(R11&lt;&gt;"",R11,IF(N11&lt;&gt;"",N11,IF(J11&lt;&gt;"","BEKLİYOR","")))))</f>
        <v>ONAY</v>
      </c>
    </row>
    <row r="12" customFormat="false" ht="27.75" hidden="false" customHeight="true" outlineLevel="0" collapsed="false">
      <c r="A12" s="26" t="s">
        <v>106</v>
      </c>
      <c r="B12" s="26" t="s">
        <v>107</v>
      </c>
      <c r="C12" s="27" t="s">
        <v>108</v>
      </c>
      <c r="D12" s="27" t="s">
        <v>109</v>
      </c>
      <c r="E12" s="27" t="s">
        <v>110</v>
      </c>
      <c r="F12" s="27" t="s">
        <v>111</v>
      </c>
      <c r="G12" s="26" t="s">
        <v>67</v>
      </c>
      <c r="H12" s="26"/>
      <c r="I12" s="26" t="s">
        <v>42</v>
      </c>
      <c r="J12" s="27" t="s">
        <v>93</v>
      </c>
      <c r="K12" s="27" t="s">
        <v>43</v>
      </c>
      <c r="L12" s="17" t="s">
        <v>45</v>
      </c>
      <c r="M12" s="31" t="s">
        <v>70</v>
      </c>
      <c r="N12" s="31" t="s">
        <v>70</v>
      </c>
      <c r="O12" s="18"/>
      <c r="P12" s="19"/>
      <c r="Q12" s="19"/>
      <c r="R12" s="17" t="s">
        <v>45</v>
      </c>
      <c r="S12" s="20"/>
      <c r="T12" s="21"/>
      <c r="U12" s="21"/>
      <c r="V12" s="21"/>
      <c r="W12" s="22"/>
      <c r="X12" s="23"/>
      <c r="Y12" s="23"/>
      <c r="Z12" s="23"/>
      <c r="AA12" s="24"/>
      <c r="AB12" s="29" t="str">
        <f aca="false">IF(Z12&lt;&gt;"",Z12,IF(V12&lt;&gt;"",V12,IF(R12&lt;&gt;"",R12,IF(N12&lt;&gt;"",N12,IF(J12&lt;&gt;"","BEKLİYOR","")))))</f>
        <v>ONAY</v>
      </c>
    </row>
    <row r="13" customFormat="false" ht="55.5" hidden="false" customHeight="true" outlineLevel="0" collapsed="false">
      <c r="A13" s="15" t="s">
        <v>112</v>
      </c>
      <c r="B13" s="15" t="s">
        <v>113</v>
      </c>
      <c r="C13" s="16" t="s">
        <v>114</v>
      </c>
      <c r="D13" s="16" t="s">
        <v>82</v>
      </c>
      <c r="E13" s="16" t="s">
        <v>115</v>
      </c>
      <c r="F13" s="16" t="s">
        <v>116</v>
      </c>
      <c r="G13" s="15" t="s">
        <v>41</v>
      </c>
      <c r="H13" s="15"/>
      <c r="I13" s="15" t="s">
        <v>42</v>
      </c>
      <c r="J13" s="16" t="s">
        <v>99</v>
      </c>
      <c r="K13" s="16" t="s">
        <v>77</v>
      </c>
      <c r="L13" s="17" t="s">
        <v>45</v>
      </c>
      <c r="M13" s="31" t="s">
        <v>70</v>
      </c>
      <c r="N13" s="17" t="s">
        <v>45</v>
      </c>
      <c r="O13" s="18"/>
      <c r="P13" s="19"/>
      <c r="Q13" s="19"/>
      <c r="R13" s="19"/>
      <c r="S13" s="20"/>
      <c r="T13" s="21"/>
      <c r="U13" s="21"/>
      <c r="V13" s="21"/>
      <c r="W13" s="22"/>
      <c r="X13" s="23"/>
      <c r="Y13" s="23"/>
      <c r="Z13" s="23"/>
      <c r="AA13" s="24"/>
      <c r="AB13" s="25" t="str">
        <f aca="false">IF(Z13&lt;&gt;"",Z13,IF(V13&lt;&gt;"",V13,IF(R13&lt;&gt;"",R13,IF(N13&lt;&gt;"",N13,IF(J13&lt;&gt;"","BEKLİYOR","")))))</f>
        <v>ONAY</v>
      </c>
    </row>
    <row r="14" customFormat="false" ht="27.75" hidden="false" customHeight="true" outlineLevel="0" collapsed="false">
      <c r="A14" s="26" t="s">
        <v>117</v>
      </c>
      <c r="B14" s="26" t="s">
        <v>118</v>
      </c>
      <c r="C14" s="27" t="s">
        <v>119</v>
      </c>
      <c r="D14" s="27" t="s">
        <v>120</v>
      </c>
      <c r="E14" s="27" t="s">
        <v>121</v>
      </c>
      <c r="F14" s="27" t="s">
        <v>122</v>
      </c>
      <c r="G14" s="26" t="s">
        <v>92</v>
      </c>
      <c r="H14" s="26"/>
      <c r="I14" s="26" t="s">
        <v>42</v>
      </c>
      <c r="J14" s="27" t="s">
        <v>60</v>
      </c>
      <c r="K14" s="27" t="s">
        <v>78</v>
      </c>
      <c r="L14" s="17" t="s">
        <v>45</v>
      </c>
      <c r="M14" s="17" t="s">
        <v>45</v>
      </c>
      <c r="N14" s="32" t="s">
        <v>123</v>
      </c>
      <c r="O14" s="18"/>
      <c r="P14" s="19"/>
      <c r="Q14" s="19"/>
      <c r="R14" s="19"/>
      <c r="S14" s="20"/>
      <c r="T14" s="21"/>
      <c r="U14" s="21"/>
      <c r="V14" s="21"/>
      <c r="W14" s="22"/>
      <c r="X14" s="23"/>
      <c r="Y14" s="23"/>
      <c r="Z14" s="23"/>
      <c r="AA14" s="24"/>
      <c r="AB14" s="29" t="str">
        <f aca="false">IF(Z14&lt;&gt;"",Z14,IF(V14&lt;&gt;"",V14,IF(R14&lt;&gt;"",R14,IF(N14&lt;&gt;"",N14,IF(J14&lt;&gt;"","BEKLİYOR","")))))</f>
        <v>KAPSAM DIŞI</v>
      </c>
    </row>
    <row r="15" customFormat="false" ht="42" hidden="false" customHeight="true" outlineLevel="0" collapsed="false">
      <c r="A15" s="15" t="s">
        <v>124</v>
      </c>
      <c r="B15" s="15" t="s">
        <v>125</v>
      </c>
      <c r="C15" s="16" t="s">
        <v>126</v>
      </c>
      <c r="D15" s="16" t="s">
        <v>127</v>
      </c>
      <c r="E15" s="16" t="s">
        <v>128</v>
      </c>
      <c r="F15" s="16" t="s">
        <v>129</v>
      </c>
      <c r="G15" s="15" t="s">
        <v>130</v>
      </c>
      <c r="H15" s="15"/>
      <c r="I15" s="15" t="s">
        <v>42</v>
      </c>
      <c r="J15" s="16" t="s">
        <v>59</v>
      </c>
      <c r="K15" s="16" t="s">
        <v>68</v>
      </c>
      <c r="L15" s="28"/>
      <c r="M15" s="28"/>
      <c r="N15" s="31" t="s">
        <v>70</v>
      </c>
      <c r="O15" s="18"/>
      <c r="P15" s="19"/>
      <c r="Q15" s="19"/>
      <c r="R15" s="19"/>
      <c r="S15" s="20"/>
      <c r="T15" s="21"/>
      <c r="U15" s="21"/>
      <c r="V15" s="21"/>
      <c r="W15" s="22"/>
      <c r="X15" s="23"/>
      <c r="Y15" s="23"/>
      <c r="Z15" s="23"/>
      <c r="AA15" s="24"/>
      <c r="AB15" s="25" t="str">
        <f aca="false">IF(Z15&lt;&gt;"",Z15,IF(V15&lt;&gt;"",V15,IF(R15&lt;&gt;"",R15,IF(N15&lt;&gt;"",N15,IF(J15&lt;&gt;"","BEKLİYOR","")))))</f>
        <v>DÜZELTME</v>
      </c>
    </row>
    <row r="16" customFormat="false" ht="27.75" hidden="false" customHeight="true" outlineLevel="0" collapsed="false">
      <c r="A16" s="26" t="s">
        <v>131</v>
      </c>
      <c r="B16" s="26" t="s">
        <v>132</v>
      </c>
      <c r="C16" s="27" t="s">
        <v>133</v>
      </c>
      <c r="D16" s="27" t="s">
        <v>134</v>
      </c>
      <c r="E16" s="27" t="s">
        <v>135</v>
      </c>
      <c r="F16" s="27" t="s">
        <v>136</v>
      </c>
      <c r="G16" s="26" t="s">
        <v>41</v>
      </c>
      <c r="H16" s="26"/>
      <c r="I16" s="26" t="s">
        <v>42</v>
      </c>
      <c r="J16" s="27" t="s">
        <v>85</v>
      </c>
      <c r="K16" s="27" t="s">
        <v>44</v>
      </c>
      <c r="L16" s="17" t="s">
        <v>45</v>
      </c>
      <c r="M16" s="17" t="s">
        <v>45</v>
      </c>
      <c r="N16" s="17" t="s">
        <v>45</v>
      </c>
      <c r="O16" s="18"/>
      <c r="P16" s="19"/>
      <c r="Q16" s="19"/>
      <c r="R16" s="19"/>
      <c r="S16" s="20"/>
      <c r="T16" s="21"/>
      <c r="U16" s="21"/>
      <c r="V16" s="21"/>
      <c r="W16" s="22"/>
      <c r="X16" s="23"/>
      <c r="Y16" s="23"/>
      <c r="Z16" s="23"/>
      <c r="AA16" s="24"/>
      <c r="AB16" s="29" t="str">
        <f aca="false">IF(Z16&lt;&gt;"",Z16,IF(V16&lt;&gt;"",V16,IF(R16&lt;&gt;"",R16,IF(N16&lt;&gt;"",N16,IF(J16&lt;&gt;"","BEKLİYOR","")))))</f>
        <v>ONAY</v>
      </c>
    </row>
    <row r="17" customFormat="false" ht="27.75" hidden="false" customHeight="true" outlineLevel="0" collapsed="false">
      <c r="A17" s="15" t="s">
        <v>137</v>
      </c>
      <c r="B17" s="15" t="s">
        <v>138</v>
      </c>
      <c r="C17" s="16" t="s">
        <v>139</v>
      </c>
      <c r="D17" s="16" t="s">
        <v>140</v>
      </c>
      <c r="E17" s="16" t="s">
        <v>141</v>
      </c>
      <c r="F17" s="16" t="s">
        <v>142</v>
      </c>
      <c r="G17" s="15" t="s">
        <v>41</v>
      </c>
      <c r="H17" s="15"/>
      <c r="I17" s="15" t="s">
        <v>42</v>
      </c>
      <c r="J17" s="16" t="s">
        <v>78</v>
      </c>
      <c r="K17" s="16" t="s">
        <v>52</v>
      </c>
      <c r="L17" s="17" t="s">
        <v>45</v>
      </c>
      <c r="M17" s="28"/>
      <c r="N17" s="33" t="s">
        <v>143</v>
      </c>
      <c r="O17" s="18"/>
      <c r="P17" s="19"/>
      <c r="Q17" s="19"/>
      <c r="R17" s="19"/>
      <c r="S17" s="20"/>
      <c r="T17" s="21"/>
      <c r="U17" s="21"/>
      <c r="V17" s="21"/>
      <c r="W17" s="22"/>
      <c r="X17" s="23"/>
      <c r="Y17" s="23"/>
      <c r="Z17" s="23"/>
      <c r="AA17" s="24"/>
      <c r="AB17" s="25" t="str">
        <f aca="false">IF(Z17&lt;&gt;"",Z17,IF(V17&lt;&gt;"",V17,IF(R17&lt;&gt;"",R17,IF(N17&lt;&gt;"",N17,IF(J17&lt;&gt;"","BEKLİYOR","")))))</f>
        <v>RET</v>
      </c>
    </row>
    <row r="18" customFormat="false" ht="27.75" hidden="false" customHeight="true" outlineLevel="0" collapsed="false">
      <c r="A18" s="26" t="s">
        <v>144</v>
      </c>
      <c r="B18" s="26" t="s">
        <v>145</v>
      </c>
      <c r="C18" s="27" t="s">
        <v>146</v>
      </c>
      <c r="D18" s="27" t="s">
        <v>140</v>
      </c>
      <c r="E18" s="27" t="s">
        <v>147</v>
      </c>
      <c r="F18" s="27" t="s">
        <v>148</v>
      </c>
      <c r="G18" s="26" t="s">
        <v>41</v>
      </c>
      <c r="H18" s="26"/>
      <c r="I18" s="26" t="s">
        <v>42</v>
      </c>
      <c r="J18" s="27" t="s">
        <v>99</v>
      </c>
      <c r="K18" s="27" t="s">
        <v>77</v>
      </c>
      <c r="L18" s="17" t="s">
        <v>45</v>
      </c>
      <c r="M18" s="17" t="s">
        <v>45</v>
      </c>
      <c r="N18" s="17" t="s">
        <v>45</v>
      </c>
      <c r="O18" s="18"/>
      <c r="P18" s="19"/>
      <c r="Q18" s="19"/>
      <c r="R18" s="19"/>
      <c r="S18" s="20"/>
      <c r="T18" s="21"/>
      <c r="U18" s="21"/>
      <c r="V18" s="21"/>
      <c r="W18" s="22"/>
      <c r="X18" s="23"/>
      <c r="Y18" s="23"/>
      <c r="Z18" s="23"/>
      <c r="AA18" s="24"/>
      <c r="AB18" s="29" t="str">
        <f aca="false">IF(Z18&lt;&gt;"",Z18,IF(V18&lt;&gt;"",V18,IF(R18&lt;&gt;"",R18,IF(N18&lt;&gt;"",N18,IF(J18&lt;&gt;"","BEKLİYOR","")))))</f>
        <v>ONAY</v>
      </c>
    </row>
    <row r="19" customFormat="false" ht="42" hidden="false" customHeight="true" outlineLevel="0" collapsed="false">
      <c r="A19" s="15" t="s">
        <v>149</v>
      </c>
      <c r="B19" s="15" t="s">
        <v>150</v>
      </c>
      <c r="C19" s="16" t="s">
        <v>151</v>
      </c>
      <c r="D19" s="16" t="s">
        <v>152</v>
      </c>
      <c r="E19" s="16" t="s">
        <v>153</v>
      </c>
      <c r="F19" s="16" t="s">
        <v>154</v>
      </c>
      <c r="G19" s="15" t="s">
        <v>92</v>
      </c>
      <c r="H19" s="15"/>
      <c r="I19" s="15" t="s">
        <v>42</v>
      </c>
      <c r="J19" s="16" t="s">
        <v>68</v>
      </c>
      <c r="K19" s="16" t="s">
        <v>69</v>
      </c>
      <c r="L19" s="28"/>
      <c r="M19" s="17" t="s">
        <v>45</v>
      </c>
      <c r="N19" s="31" t="s">
        <v>70</v>
      </c>
      <c r="O19" s="18"/>
      <c r="P19" s="19"/>
      <c r="Q19" s="19"/>
      <c r="R19" s="17" t="s">
        <v>45</v>
      </c>
      <c r="S19" s="20"/>
      <c r="T19" s="21"/>
      <c r="U19" s="21"/>
      <c r="V19" s="21"/>
      <c r="W19" s="22"/>
      <c r="X19" s="23"/>
      <c r="Y19" s="23"/>
      <c r="Z19" s="23"/>
      <c r="AA19" s="24"/>
      <c r="AB19" s="25" t="str">
        <f aca="false">IF(Z19&lt;&gt;"",Z19,IF(V19&lt;&gt;"",V19,IF(R19&lt;&gt;"",R19,IF(N19&lt;&gt;"",N19,IF(J19&lt;&gt;"","BEKLİYOR","")))))</f>
        <v>ONAY</v>
      </c>
    </row>
    <row r="20" customFormat="false" ht="27.75" hidden="false" customHeight="true" outlineLevel="0" collapsed="false">
      <c r="A20" s="26" t="s">
        <v>155</v>
      </c>
      <c r="B20" s="26" t="s">
        <v>156</v>
      </c>
      <c r="C20" s="27" t="s">
        <v>157</v>
      </c>
      <c r="D20" s="27" t="s">
        <v>158</v>
      </c>
      <c r="E20" s="27" t="s">
        <v>159</v>
      </c>
      <c r="F20" s="27" t="s">
        <v>160</v>
      </c>
      <c r="G20" s="26" t="s">
        <v>41</v>
      </c>
      <c r="H20" s="26"/>
      <c r="I20" s="26" t="s">
        <v>42</v>
      </c>
      <c r="J20" s="27" t="s">
        <v>43</v>
      </c>
      <c r="K20" s="27" t="s">
        <v>44</v>
      </c>
      <c r="L20" s="28"/>
      <c r="M20" s="17" t="s">
        <v>45</v>
      </c>
      <c r="N20" s="17" t="s">
        <v>45</v>
      </c>
      <c r="O20" s="18"/>
      <c r="P20" s="19"/>
      <c r="Q20" s="19"/>
      <c r="R20" s="19"/>
      <c r="S20" s="20"/>
      <c r="T20" s="21"/>
      <c r="U20" s="21"/>
      <c r="V20" s="21"/>
      <c r="W20" s="22"/>
      <c r="X20" s="23"/>
      <c r="Y20" s="23"/>
      <c r="Z20" s="23"/>
      <c r="AA20" s="24"/>
      <c r="AB20" s="29" t="str">
        <f aca="false">IF(Z20&lt;&gt;"",Z20,IF(V20&lt;&gt;"",V20,IF(R20&lt;&gt;"",R20,IF(N20&lt;&gt;"",N20,IF(J20&lt;&gt;"","BEKLİYOR","")))))</f>
        <v>ONAY</v>
      </c>
    </row>
    <row r="21" customFormat="false" ht="42" hidden="false" customHeight="true" outlineLevel="0" collapsed="false">
      <c r="A21" s="15" t="s">
        <v>161</v>
      </c>
      <c r="B21" s="15" t="s">
        <v>162</v>
      </c>
      <c r="C21" s="16" t="s">
        <v>163</v>
      </c>
      <c r="D21" s="16" t="s">
        <v>164</v>
      </c>
      <c r="E21" s="16" t="s">
        <v>165</v>
      </c>
      <c r="F21" s="16" t="s">
        <v>166</v>
      </c>
      <c r="G21" s="15" t="s">
        <v>41</v>
      </c>
      <c r="H21" s="15"/>
      <c r="I21" s="15" t="s">
        <v>42</v>
      </c>
      <c r="J21" s="16" t="s">
        <v>60</v>
      </c>
      <c r="K21" s="16" t="s">
        <v>99</v>
      </c>
      <c r="L21" s="17" t="s">
        <v>45</v>
      </c>
      <c r="M21" s="28"/>
      <c r="N21" s="17" t="s">
        <v>45</v>
      </c>
      <c r="O21" s="18"/>
      <c r="P21" s="19"/>
      <c r="Q21" s="19"/>
      <c r="R21" s="19"/>
      <c r="S21" s="20"/>
      <c r="T21" s="21"/>
      <c r="U21" s="21"/>
      <c r="V21" s="21"/>
      <c r="W21" s="22"/>
      <c r="X21" s="23"/>
      <c r="Y21" s="23"/>
      <c r="Z21" s="23"/>
      <c r="AA21" s="24"/>
      <c r="AB21" s="25" t="str">
        <f aca="false">IF(Z21&lt;&gt;"",Z21,IF(V21&lt;&gt;"",V21,IF(R21&lt;&gt;"",R21,IF(N21&lt;&gt;"",N21,IF(J21&lt;&gt;"","BEKLİYOR","")))))</f>
        <v>ONAY</v>
      </c>
    </row>
    <row r="22" customFormat="false" ht="42" hidden="false" customHeight="true" outlineLevel="0" collapsed="false">
      <c r="A22" s="26" t="s">
        <v>167</v>
      </c>
      <c r="B22" s="26" t="s">
        <v>168</v>
      </c>
      <c r="C22" s="27" t="s">
        <v>163</v>
      </c>
      <c r="D22" s="27" t="s">
        <v>164</v>
      </c>
      <c r="E22" s="27" t="s">
        <v>169</v>
      </c>
      <c r="F22" s="27" t="s">
        <v>170</v>
      </c>
      <c r="G22" s="26" t="s">
        <v>41</v>
      </c>
      <c r="H22" s="26"/>
      <c r="I22" s="26" t="s">
        <v>42</v>
      </c>
      <c r="J22" s="27" t="s">
        <v>59</v>
      </c>
      <c r="K22" s="27" t="s">
        <v>77</v>
      </c>
      <c r="L22" s="17" t="s">
        <v>45</v>
      </c>
      <c r="M22" s="17" t="s">
        <v>45</v>
      </c>
      <c r="N22" s="17" t="s">
        <v>45</v>
      </c>
      <c r="O22" s="18"/>
      <c r="P22" s="19"/>
      <c r="Q22" s="19"/>
      <c r="R22" s="19"/>
      <c r="S22" s="20"/>
      <c r="T22" s="21"/>
      <c r="U22" s="21"/>
      <c r="V22" s="21"/>
      <c r="W22" s="22"/>
      <c r="X22" s="23"/>
      <c r="Y22" s="23"/>
      <c r="Z22" s="23"/>
      <c r="AA22" s="24"/>
      <c r="AB22" s="29" t="str">
        <f aca="false">IF(Z22&lt;&gt;"",Z22,IF(V22&lt;&gt;"",V22,IF(R22&lt;&gt;"",R22,IF(N22&lt;&gt;"",N22,IF(J22&lt;&gt;"","BEKLİYOR","")))))</f>
        <v>ONAY</v>
      </c>
    </row>
    <row r="23" customFormat="false" ht="42" hidden="false" customHeight="true" outlineLevel="0" collapsed="false">
      <c r="A23" s="15" t="s">
        <v>171</v>
      </c>
      <c r="B23" s="15" t="s">
        <v>172</v>
      </c>
      <c r="C23" s="16" t="s">
        <v>173</v>
      </c>
      <c r="D23" s="16" t="s">
        <v>174</v>
      </c>
      <c r="E23" s="16" t="s">
        <v>175</v>
      </c>
      <c r="F23" s="16" t="s">
        <v>176</v>
      </c>
      <c r="G23" s="15" t="s">
        <v>67</v>
      </c>
      <c r="H23" s="15"/>
      <c r="I23" s="15" t="s">
        <v>42</v>
      </c>
      <c r="J23" s="16" t="s">
        <v>85</v>
      </c>
      <c r="K23" s="16" t="s">
        <v>78</v>
      </c>
      <c r="L23" s="31" t="s">
        <v>70</v>
      </c>
      <c r="M23" s="17" t="s">
        <v>45</v>
      </c>
      <c r="N23" s="31" t="s">
        <v>70</v>
      </c>
      <c r="O23" s="18"/>
      <c r="P23" s="19"/>
      <c r="Q23" s="19"/>
      <c r="R23" s="34" t="s">
        <v>177</v>
      </c>
      <c r="S23" s="20"/>
      <c r="T23" s="21"/>
      <c r="U23" s="21"/>
      <c r="V23" s="17" t="s">
        <v>45</v>
      </c>
      <c r="W23" s="22"/>
      <c r="X23" s="23"/>
      <c r="Y23" s="23"/>
      <c r="Z23" s="23"/>
      <c r="AA23" s="24"/>
      <c r="AB23" s="25" t="str">
        <f aca="false">IF(Z23&lt;&gt;"",Z23,IF(V23&lt;&gt;"",V23,IF(R23&lt;&gt;"",R23,IF(N23&lt;&gt;"",N23,IF(J23&lt;&gt;"","BEKLİYOR","")))))</f>
        <v>ONAY</v>
      </c>
    </row>
    <row r="24" customFormat="false" ht="15.75" hidden="false" customHeight="true" outlineLevel="0" collapsed="false">
      <c r="A24" s="26" t="s">
        <v>178</v>
      </c>
      <c r="B24" s="26" t="s">
        <v>179</v>
      </c>
      <c r="C24" s="27" t="s">
        <v>180</v>
      </c>
      <c r="D24" s="27" t="s">
        <v>103</v>
      </c>
      <c r="E24" s="27" t="s">
        <v>181</v>
      </c>
      <c r="F24" s="27" t="s">
        <v>182</v>
      </c>
      <c r="G24" s="26" t="s">
        <v>92</v>
      </c>
      <c r="H24" s="26"/>
      <c r="I24" s="26" t="s">
        <v>42</v>
      </c>
      <c r="J24" s="27" t="s">
        <v>69</v>
      </c>
      <c r="K24" s="27" t="s">
        <v>52</v>
      </c>
      <c r="L24" s="31" t="s">
        <v>70</v>
      </c>
      <c r="M24" s="28"/>
      <c r="N24" s="31" t="s">
        <v>70</v>
      </c>
      <c r="O24" s="18"/>
      <c r="P24" s="19"/>
      <c r="Q24" s="19"/>
      <c r="R24" s="17" t="s">
        <v>45</v>
      </c>
      <c r="S24" s="20"/>
      <c r="T24" s="21"/>
      <c r="U24" s="21"/>
      <c r="V24" s="21"/>
      <c r="W24" s="22"/>
      <c r="X24" s="23"/>
      <c r="Y24" s="23"/>
      <c r="Z24" s="23"/>
      <c r="AA24" s="24"/>
      <c r="AB24" s="29" t="str">
        <f aca="false">IF(Z24&lt;&gt;"",Z24,IF(V24&lt;&gt;"",V24,IF(R24&lt;&gt;"",R24,IF(N24&lt;&gt;"",N24,IF(J24&lt;&gt;"","BEKLİYOR","")))))</f>
        <v>ONAY</v>
      </c>
    </row>
    <row r="25" customFormat="false" ht="42" hidden="false" customHeight="true" outlineLevel="0" collapsed="false">
      <c r="A25" s="15" t="s">
        <v>183</v>
      </c>
      <c r="B25" s="15" t="s">
        <v>184</v>
      </c>
      <c r="C25" s="16" t="s">
        <v>185</v>
      </c>
      <c r="D25" s="16" t="s">
        <v>186</v>
      </c>
      <c r="E25" s="16" t="s">
        <v>187</v>
      </c>
      <c r="F25" s="16" t="s">
        <v>188</v>
      </c>
      <c r="G25" s="15" t="s">
        <v>41</v>
      </c>
      <c r="H25" s="15"/>
      <c r="I25" s="15" t="s">
        <v>42</v>
      </c>
      <c r="J25" s="16" t="s">
        <v>93</v>
      </c>
      <c r="K25" s="16" t="s">
        <v>60</v>
      </c>
      <c r="L25" s="17" t="s">
        <v>45</v>
      </c>
      <c r="M25" s="34" t="s">
        <v>177</v>
      </c>
      <c r="N25" s="35" t="s">
        <v>189</v>
      </c>
      <c r="O25" s="18"/>
      <c r="P25" s="19"/>
      <c r="Q25" s="19"/>
      <c r="R25" s="34" t="s">
        <v>177</v>
      </c>
      <c r="S25" s="20"/>
      <c r="T25" s="21"/>
      <c r="U25" s="21"/>
      <c r="V25" s="21"/>
      <c r="W25" s="22"/>
      <c r="X25" s="23"/>
      <c r="Y25" s="23"/>
      <c r="Z25" s="23"/>
      <c r="AA25" s="24"/>
      <c r="AB25" s="25" t="str">
        <f aca="false">IF(Z25&lt;&gt;"",Z25,IF(V25&lt;&gt;"",V25,IF(R25&lt;&gt;"",R25,IF(N25&lt;&gt;"",N25,IF(J25&lt;&gt;"","BEKLİYOR","")))))</f>
        <v>GÖRÜŞ</v>
      </c>
    </row>
    <row r="26" customFormat="false" ht="27.75" hidden="false" customHeight="true" outlineLevel="0" collapsed="false">
      <c r="A26" s="26" t="s">
        <v>190</v>
      </c>
      <c r="B26" s="26" t="s">
        <v>191</v>
      </c>
      <c r="C26" s="27" t="s">
        <v>192</v>
      </c>
      <c r="D26" s="27" t="s">
        <v>193</v>
      </c>
      <c r="E26" s="27" t="s">
        <v>194</v>
      </c>
      <c r="F26" s="27" t="s">
        <v>195</v>
      </c>
      <c r="G26" s="26" t="s">
        <v>41</v>
      </c>
      <c r="H26" s="26"/>
      <c r="I26" s="26" t="s">
        <v>42</v>
      </c>
      <c r="J26" s="27" t="s">
        <v>69</v>
      </c>
      <c r="K26" s="27" t="s">
        <v>77</v>
      </c>
      <c r="L26" s="28"/>
      <c r="M26" s="31" t="s">
        <v>70</v>
      </c>
      <c r="N26" s="31" t="s">
        <v>70</v>
      </c>
      <c r="O26" s="18"/>
      <c r="P26" s="19"/>
      <c r="Q26" s="19"/>
      <c r="R26" s="34" t="s">
        <v>177</v>
      </c>
      <c r="S26" s="20"/>
      <c r="T26" s="21"/>
      <c r="U26" s="21"/>
      <c r="V26" s="17" t="s">
        <v>45</v>
      </c>
      <c r="W26" s="22"/>
      <c r="X26" s="23"/>
      <c r="Y26" s="23"/>
      <c r="Z26" s="23"/>
      <c r="AA26" s="24"/>
      <c r="AB26" s="29" t="str">
        <f aca="false">IF(Z26&lt;&gt;"",Z26,IF(V26&lt;&gt;"",V26,IF(R26&lt;&gt;"",R26,IF(N26&lt;&gt;"",N26,IF(J26&lt;&gt;"","BEKLİYOR","")))))</f>
        <v>ONAY</v>
      </c>
    </row>
    <row r="27" customFormat="false" ht="42" hidden="false" customHeight="true" outlineLevel="0" collapsed="false">
      <c r="A27" s="15" t="s">
        <v>196</v>
      </c>
      <c r="B27" s="15" t="s">
        <v>197</v>
      </c>
      <c r="C27" s="16" t="s">
        <v>198</v>
      </c>
      <c r="D27" s="16" t="s">
        <v>199</v>
      </c>
      <c r="E27" s="16" t="s">
        <v>200</v>
      </c>
      <c r="F27" s="16" t="s">
        <v>201</v>
      </c>
      <c r="G27" s="15" t="s">
        <v>41</v>
      </c>
      <c r="H27" s="15"/>
      <c r="I27" s="15" t="s">
        <v>42</v>
      </c>
      <c r="J27" s="16" t="s">
        <v>60</v>
      </c>
      <c r="K27" s="16" t="s">
        <v>44</v>
      </c>
      <c r="L27" s="17" t="s">
        <v>45</v>
      </c>
      <c r="M27" s="17" t="s">
        <v>45</v>
      </c>
      <c r="N27" s="17" t="s">
        <v>45</v>
      </c>
      <c r="O27" s="18"/>
      <c r="P27" s="19"/>
      <c r="Q27" s="19"/>
      <c r="R27" s="19"/>
      <c r="S27" s="20"/>
      <c r="T27" s="21"/>
      <c r="U27" s="21"/>
      <c r="V27" s="21"/>
      <c r="W27" s="22"/>
      <c r="X27" s="23"/>
      <c r="Y27" s="23"/>
      <c r="Z27" s="23"/>
      <c r="AA27" s="24"/>
      <c r="AB27" s="25" t="str">
        <f aca="false">IF(Z27&lt;&gt;"",Z27,IF(V27&lt;&gt;"",V27,IF(R27&lt;&gt;"",R27,IF(N27&lt;&gt;"",N27,IF(J27&lt;&gt;"","BEKLİYOR","")))))</f>
        <v>ONAY</v>
      </c>
    </row>
    <row r="28" customFormat="false" ht="42" hidden="false" customHeight="true" outlineLevel="0" collapsed="false">
      <c r="A28" s="26" t="s">
        <v>202</v>
      </c>
      <c r="B28" s="26" t="s">
        <v>203</v>
      </c>
      <c r="C28" s="27" t="s">
        <v>204</v>
      </c>
      <c r="D28" s="27" t="s">
        <v>205</v>
      </c>
      <c r="E28" s="27" t="s">
        <v>206</v>
      </c>
      <c r="F28" s="27" t="s">
        <v>207</v>
      </c>
      <c r="G28" s="26" t="s">
        <v>41</v>
      </c>
      <c r="H28" s="26"/>
      <c r="I28" s="26" t="s">
        <v>42</v>
      </c>
      <c r="J28" s="27" t="s">
        <v>59</v>
      </c>
      <c r="K28" s="27" t="s">
        <v>93</v>
      </c>
      <c r="L28" s="17" t="s">
        <v>45</v>
      </c>
      <c r="M28" s="17" t="s">
        <v>45</v>
      </c>
      <c r="N28" s="17" t="s">
        <v>45</v>
      </c>
      <c r="O28" s="18"/>
      <c r="P28" s="19"/>
      <c r="Q28" s="19"/>
      <c r="R28" s="19"/>
      <c r="S28" s="20"/>
      <c r="T28" s="21"/>
      <c r="U28" s="21"/>
      <c r="V28" s="21"/>
      <c r="W28" s="22"/>
      <c r="X28" s="23"/>
      <c r="Y28" s="23"/>
      <c r="Z28" s="23"/>
      <c r="AA28" s="24"/>
      <c r="AB28" s="29" t="str">
        <f aca="false">IF(Z28&lt;&gt;"",Z28,IF(V28&lt;&gt;"",V28,IF(R28&lt;&gt;"",R28,IF(N28&lt;&gt;"",N28,IF(J28&lt;&gt;"","BEKLİYOR","")))))</f>
        <v>ONAY</v>
      </c>
    </row>
    <row r="29" customFormat="false" ht="27.75" hidden="false" customHeight="true" outlineLevel="0" collapsed="false">
      <c r="A29" s="15" t="s">
        <v>208</v>
      </c>
      <c r="B29" s="15" t="s">
        <v>209</v>
      </c>
      <c r="C29" s="16" t="s">
        <v>133</v>
      </c>
      <c r="D29" s="16" t="s">
        <v>134</v>
      </c>
      <c r="E29" s="16" t="s">
        <v>210</v>
      </c>
      <c r="F29" s="16" t="s">
        <v>211</v>
      </c>
      <c r="G29" s="15" t="s">
        <v>41</v>
      </c>
      <c r="H29" s="15"/>
      <c r="I29" s="15" t="s">
        <v>42</v>
      </c>
      <c r="J29" s="16" t="s">
        <v>85</v>
      </c>
      <c r="K29" s="16" t="s">
        <v>68</v>
      </c>
      <c r="L29" s="17" t="s">
        <v>45</v>
      </c>
      <c r="M29" s="28"/>
      <c r="N29" s="17" t="s">
        <v>45</v>
      </c>
      <c r="O29" s="18"/>
      <c r="P29" s="19"/>
      <c r="Q29" s="19"/>
      <c r="R29" s="19"/>
      <c r="S29" s="20"/>
      <c r="T29" s="21"/>
      <c r="U29" s="21"/>
      <c r="V29" s="21"/>
      <c r="W29" s="22"/>
      <c r="X29" s="23"/>
      <c r="Y29" s="23"/>
      <c r="Z29" s="23"/>
      <c r="AA29" s="24"/>
      <c r="AB29" s="25" t="str">
        <f aca="false">IF(Z29&lt;&gt;"",Z29,IF(V29&lt;&gt;"",V29,IF(R29&lt;&gt;"",R29,IF(N29&lt;&gt;"",N29,IF(J29&lt;&gt;"","BEKLİYOR","")))))</f>
        <v>ONAY</v>
      </c>
    </row>
    <row r="30" customFormat="false" ht="42" hidden="false" customHeight="true" outlineLevel="0" collapsed="false">
      <c r="A30" s="26" t="s">
        <v>212</v>
      </c>
      <c r="B30" s="26" t="s">
        <v>213</v>
      </c>
      <c r="C30" s="27" t="s">
        <v>214</v>
      </c>
      <c r="D30" s="27" t="s">
        <v>82</v>
      </c>
      <c r="E30" s="27" t="s">
        <v>215</v>
      </c>
      <c r="F30" s="27" t="s">
        <v>216</v>
      </c>
      <c r="G30" s="26" t="s">
        <v>41</v>
      </c>
      <c r="H30" s="26"/>
      <c r="I30" s="26" t="s">
        <v>42</v>
      </c>
      <c r="J30" s="27" t="s">
        <v>60</v>
      </c>
      <c r="K30" s="27" t="s">
        <v>52</v>
      </c>
      <c r="L30" s="17" t="s">
        <v>45</v>
      </c>
      <c r="M30" s="28"/>
      <c r="N30" s="17" t="s">
        <v>45</v>
      </c>
      <c r="O30" s="18"/>
      <c r="P30" s="19"/>
      <c r="Q30" s="19"/>
      <c r="R30" s="19"/>
      <c r="S30" s="20"/>
      <c r="T30" s="21"/>
      <c r="U30" s="21"/>
      <c r="V30" s="21"/>
      <c r="W30" s="22"/>
      <c r="X30" s="23"/>
      <c r="Y30" s="23"/>
      <c r="Z30" s="23"/>
      <c r="AA30" s="24"/>
      <c r="AB30" s="29" t="str">
        <f aca="false">IF(Z30&lt;&gt;"",Z30,IF(V30&lt;&gt;"",V30,IF(R30&lt;&gt;"",R30,IF(N30&lt;&gt;"",N30,IF(J30&lt;&gt;"","BEKLİYOR","")))))</f>
        <v>ONAY</v>
      </c>
    </row>
    <row r="31" customFormat="false" ht="42" hidden="false" customHeight="true" outlineLevel="0" collapsed="false">
      <c r="A31" s="15" t="s">
        <v>217</v>
      </c>
      <c r="B31" s="15" t="s">
        <v>218</v>
      </c>
      <c r="C31" s="16" t="s">
        <v>219</v>
      </c>
      <c r="D31" s="16" t="s">
        <v>205</v>
      </c>
      <c r="E31" s="16" t="s">
        <v>220</v>
      </c>
      <c r="F31" s="16" t="s">
        <v>221</v>
      </c>
      <c r="G31" s="15" t="s">
        <v>41</v>
      </c>
      <c r="H31" s="15" t="s">
        <v>222</v>
      </c>
      <c r="I31" s="15" t="s">
        <v>42</v>
      </c>
      <c r="J31" s="16" t="s">
        <v>78</v>
      </c>
      <c r="K31" s="16" t="s">
        <v>99</v>
      </c>
      <c r="L31" s="17" t="s">
        <v>45</v>
      </c>
      <c r="M31" s="17" t="s">
        <v>45</v>
      </c>
      <c r="N31" s="17" t="s">
        <v>45</v>
      </c>
      <c r="O31" s="18"/>
      <c r="P31" s="19"/>
      <c r="Q31" s="19"/>
      <c r="R31" s="19"/>
      <c r="S31" s="20"/>
      <c r="T31" s="21"/>
      <c r="U31" s="21"/>
      <c r="V31" s="21"/>
      <c r="W31" s="22"/>
      <c r="X31" s="23"/>
      <c r="Y31" s="23"/>
      <c r="Z31" s="23"/>
      <c r="AA31" s="24"/>
      <c r="AB31" s="25" t="str">
        <f aca="false">IF(Z31&lt;&gt;"",Z31,IF(V31&lt;&gt;"",V31,IF(R31&lt;&gt;"",R31,IF(N31&lt;&gt;"",N31,IF(J31&lt;&gt;"","BEKLİYOR","")))))</f>
        <v>ONAY</v>
      </c>
    </row>
    <row r="32" customFormat="false" ht="42" hidden="false" customHeight="true" outlineLevel="0" collapsed="false">
      <c r="A32" s="26" t="s">
        <v>223</v>
      </c>
      <c r="B32" s="26" t="s">
        <v>224</v>
      </c>
      <c r="C32" s="27" t="s">
        <v>139</v>
      </c>
      <c r="D32" s="27" t="s">
        <v>140</v>
      </c>
      <c r="E32" s="27" t="s">
        <v>225</v>
      </c>
      <c r="F32" s="27" t="s">
        <v>226</v>
      </c>
      <c r="G32" s="26" t="s">
        <v>41</v>
      </c>
      <c r="H32" s="26" t="s">
        <v>222</v>
      </c>
      <c r="I32" s="26" t="s">
        <v>42</v>
      </c>
      <c r="J32" s="27" t="s">
        <v>78</v>
      </c>
      <c r="K32" s="27" t="s">
        <v>44</v>
      </c>
      <c r="L32" s="31" t="s">
        <v>70</v>
      </c>
      <c r="M32" s="17" t="s">
        <v>45</v>
      </c>
      <c r="N32" s="31" t="s">
        <v>70</v>
      </c>
      <c r="O32" s="18"/>
      <c r="P32" s="19"/>
      <c r="Q32" s="19"/>
      <c r="R32" s="17" t="s">
        <v>45</v>
      </c>
      <c r="S32" s="20"/>
      <c r="T32" s="21"/>
      <c r="U32" s="21"/>
      <c r="V32" s="21"/>
      <c r="W32" s="22"/>
      <c r="X32" s="23"/>
      <c r="Y32" s="23"/>
      <c r="Z32" s="23"/>
      <c r="AA32" s="24"/>
      <c r="AB32" s="29" t="str">
        <f aca="false">IF(Z32&lt;&gt;"",Z32,IF(V32&lt;&gt;"",V32,IF(R32&lt;&gt;"",R32,IF(N32&lt;&gt;"",N32,IF(J32&lt;&gt;"","BEKLİYOR","")))))</f>
        <v>ONAY</v>
      </c>
    </row>
    <row r="33" customFormat="false" ht="42" hidden="false" customHeight="true" outlineLevel="0" collapsed="false">
      <c r="A33" s="15" t="s">
        <v>227</v>
      </c>
      <c r="B33" s="15" t="s">
        <v>228</v>
      </c>
      <c r="C33" s="16" t="s">
        <v>139</v>
      </c>
      <c r="D33" s="16" t="s">
        <v>140</v>
      </c>
      <c r="E33" s="16" t="s">
        <v>225</v>
      </c>
      <c r="F33" s="16" t="s">
        <v>229</v>
      </c>
      <c r="G33" s="15" t="s">
        <v>41</v>
      </c>
      <c r="H33" s="15" t="s">
        <v>222</v>
      </c>
      <c r="I33" s="15" t="s">
        <v>42</v>
      </c>
      <c r="J33" s="16" t="s">
        <v>78</v>
      </c>
      <c r="K33" s="16" t="s">
        <v>99</v>
      </c>
      <c r="L33" s="28"/>
      <c r="M33" s="28"/>
      <c r="N33" s="31" t="s">
        <v>70</v>
      </c>
      <c r="O33" s="18"/>
      <c r="P33" s="19"/>
      <c r="Q33" s="19"/>
      <c r="R33" s="19"/>
      <c r="S33" s="20"/>
      <c r="T33" s="21"/>
      <c r="U33" s="21"/>
      <c r="V33" s="21"/>
      <c r="W33" s="22"/>
      <c r="X33" s="23"/>
      <c r="Y33" s="23"/>
      <c r="Z33" s="23"/>
      <c r="AA33" s="24"/>
      <c r="AB33" s="25" t="str">
        <f aca="false">IF(Z33&lt;&gt;"",Z33,IF(V33&lt;&gt;"",V33,IF(R33&lt;&gt;"",R33,IF(N33&lt;&gt;"",N33,IF(J33&lt;&gt;"","BEKLİYOR","")))))</f>
        <v>DÜZELTME</v>
      </c>
    </row>
    <row r="34" customFormat="false" ht="27.75" hidden="false" customHeight="true" outlineLevel="0" collapsed="false">
      <c r="A34" s="26" t="s">
        <v>230</v>
      </c>
      <c r="B34" s="26" t="s">
        <v>231</v>
      </c>
      <c r="C34" s="27" t="s">
        <v>232</v>
      </c>
      <c r="D34" s="27" t="s">
        <v>140</v>
      </c>
      <c r="E34" s="27" t="s">
        <v>233</v>
      </c>
      <c r="F34" s="27" t="s">
        <v>234</v>
      </c>
      <c r="G34" s="26" t="s">
        <v>41</v>
      </c>
      <c r="H34" s="26" t="s">
        <v>222</v>
      </c>
      <c r="I34" s="26" t="s">
        <v>42</v>
      </c>
      <c r="J34" s="27" t="s">
        <v>99</v>
      </c>
      <c r="K34" s="27" t="s">
        <v>52</v>
      </c>
      <c r="L34" s="17" t="s">
        <v>45</v>
      </c>
      <c r="M34" s="17" t="s">
        <v>45</v>
      </c>
      <c r="N34" s="17" t="s">
        <v>45</v>
      </c>
      <c r="O34" s="18"/>
      <c r="P34" s="19"/>
      <c r="Q34" s="19"/>
      <c r="R34" s="19"/>
      <c r="S34" s="20"/>
      <c r="T34" s="21"/>
      <c r="U34" s="21"/>
      <c r="V34" s="21"/>
      <c r="W34" s="22"/>
      <c r="X34" s="23"/>
      <c r="Y34" s="23"/>
      <c r="Z34" s="23"/>
      <c r="AA34" s="24"/>
      <c r="AB34" s="29" t="str">
        <f aca="false">IF(Z34&lt;&gt;"",Z34,IF(V34&lt;&gt;"",V34,IF(R34&lt;&gt;"",R34,IF(N34&lt;&gt;"",N34,IF(J34&lt;&gt;"","BEKLİYOR","")))))</f>
        <v>ONAY</v>
      </c>
    </row>
    <row r="35" customFormat="false" ht="27.75" hidden="false" customHeight="true" outlineLevel="0" collapsed="false">
      <c r="A35" s="15" t="s">
        <v>235</v>
      </c>
      <c r="B35" s="15" t="s">
        <v>236</v>
      </c>
      <c r="C35" s="16" t="s">
        <v>81</v>
      </c>
      <c r="D35" s="16" t="s">
        <v>82</v>
      </c>
      <c r="E35" s="16" t="s">
        <v>237</v>
      </c>
      <c r="F35" s="16" t="s">
        <v>238</v>
      </c>
      <c r="G35" s="15" t="s">
        <v>92</v>
      </c>
      <c r="H35" s="15" t="s">
        <v>222</v>
      </c>
      <c r="I35" s="15" t="s">
        <v>42</v>
      </c>
      <c r="J35" s="16" t="s">
        <v>68</v>
      </c>
      <c r="K35" s="16" t="s">
        <v>77</v>
      </c>
      <c r="L35" s="28"/>
      <c r="M35" s="17" t="s">
        <v>45</v>
      </c>
      <c r="N35" s="17" t="s">
        <v>45</v>
      </c>
      <c r="O35" s="18"/>
      <c r="P35" s="19"/>
      <c r="Q35" s="19"/>
      <c r="R35" s="19"/>
      <c r="S35" s="20"/>
      <c r="T35" s="21"/>
      <c r="U35" s="21"/>
      <c r="V35" s="21"/>
      <c r="W35" s="22"/>
      <c r="X35" s="23"/>
      <c r="Y35" s="23"/>
      <c r="Z35" s="23"/>
      <c r="AA35" s="24"/>
      <c r="AB35" s="25" t="str">
        <f aca="false">IF(Z35&lt;&gt;"",Z35,IF(V35&lt;&gt;"",V35,IF(R35&lt;&gt;"",R35,IF(N35&lt;&gt;"",N35,IF(J35&lt;&gt;"","BEKLİYOR","")))))</f>
        <v>ONAY</v>
      </c>
    </row>
    <row r="36" customFormat="false" ht="27.75" hidden="false" customHeight="true" outlineLevel="0" collapsed="false">
      <c r="A36" s="26" t="s">
        <v>239</v>
      </c>
      <c r="B36" s="26" t="s">
        <v>240</v>
      </c>
      <c r="C36" s="27" t="s">
        <v>241</v>
      </c>
      <c r="D36" s="27" t="s">
        <v>242</v>
      </c>
      <c r="E36" s="27" t="s">
        <v>243</v>
      </c>
      <c r="F36" s="27" t="s">
        <v>244</v>
      </c>
      <c r="G36" s="26" t="s">
        <v>41</v>
      </c>
      <c r="H36" s="26" t="s">
        <v>222</v>
      </c>
      <c r="I36" s="26" t="s">
        <v>42</v>
      </c>
      <c r="J36" s="27" t="s">
        <v>93</v>
      </c>
      <c r="K36" s="27" t="s">
        <v>85</v>
      </c>
      <c r="L36" s="17" t="s">
        <v>45</v>
      </c>
      <c r="M36" s="17" t="s">
        <v>45</v>
      </c>
      <c r="N36" s="17" t="s">
        <v>45</v>
      </c>
      <c r="O36" s="18"/>
      <c r="P36" s="19"/>
      <c r="Q36" s="19"/>
      <c r="R36" s="19"/>
      <c r="S36" s="20"/>
      <c r="T36" s="21"/>
      <c r="U36" s="21"/>
      <c r="V36" s="21"/>
      <c r="W36" s="22"/>
      <c r="X36" s="23"/>
      <c r="Y36" s="23"/>
      <c r="Z36" s="23"/>
      <c r="AA36" s="24"/>
      <c r="AB36" s="29" t="str">
        <f aca="false">IF(Z36&lt;&gt;"",Z36,IF(V36&lt;&gt;"",V36,IF(R36&lt;&gt;"",R36,IF(N36&lt;&gt;"",N36,IF(J36&lt;&gt;"","BEKLİYOR","")))))</f>
        <v>ONAY</v>
      </c>
    </row>
    <row r="37" customFormat="false" ht="27.75" hidden="false" customHeight="true" outlineLevel="0" collapsed="false">
      <c r="A37" s="15" t="s">
        <v>245</v>
      </c>
      <c r="B37" s="15" t="s">
        <v>246</v>
      </c>
      <c r="C37" s="16" t="s">
        <v>241</v>
      </c>
      <c r="D37" s="16" t="s">
        <v>242</v>
      </c>
      <c r="E37" s="16" t="s">
        <v>247</v>
      </c>
      <c r="F37" s="16" t="s">
        <v>248</v>
      </c>
      <c r="G37" s="15" t="s">
        <v>41</v>
      </c>
      <c r="H37" s="15" t="s">
        <v>222</v>
      </c>
      <c r="I37" s="15" t="s">
        <v>42</v>
      </c>
      <c r="J37" s="16" t="s">
        <v>59</v>
      </c>
      <c r="K37" s="16" t="s">
        <v>85</v>
      </c>
      <c r="L37" s="17" t="s">
        <v>45</v>
      </c>
      <c r="M37" s="17" t="s">
        <v>45</v>
      </c>
      <c r="N37" s="17" t="s">
        <v>45</v>
      </c>
      <c r="O37" s="18"/>
      <c r="P37" s="19"/>
      <c r="Q37" s="19"/>
      <c r="R37" s="19"/>
      <c r="S37" s="20"/>
      <c r="T37" s="21"/>
      <c r="U37" s="21"/>
      <c r="V37" s="21"/>
      <c r="W37" s="22"/>
      <c r="X37" s="23"/>
      <c r="Y37" s="23"/>
      <c r="Z37" s="23"/>
      <c r="AA37" s="24"/>
      <c r="AB37" s="25" t="str">
        <f aca="false">IF(Z37&lt;&gt;"",Z37,IF(V37&lt;&gt;"",V37,IF(R37&lt;&gt;"",R37,IF(N37&lt;&gt;"",N37,IF(J37&lt;&gt;"","BEKLİYOR","")))))</f>
        <v>ONAY</v>
      </c>
    </row>
    <row r="38" customFormat="false" ht="42" hidden="false" customHeight="true" outlineLevel="0" collapsed="false">
      <c r="A38" s="26" t="s">
        <v>249</v>
      </c>
      <c r="B38" s="26" t="s">
        <v>250</v>
      </c>
      <c r="C38" s="27" t="s">
        <v>251</v>
      </c>
      <c r="D38" s="27" t="s">
        <v>252</v>
      </c>
      <c r="E38" s="27" t="s">
        <v>253</v>
      </c>
      <c r="F38" s="27" t="s">
        <v>254</v>
      </c>
      <c r="G38" s="26" t="s">
        <v>41</v>
      </c>
      <c r="H38" s="26" t="s">
        <v>222</v>
      </c>
      <c r="I38" s="26" t="s">
        <v>42</v>
      </c>
      <c r="J38" s="27" t="s">
        <v>59</v>
      </c>
      <c r="K38" s="27" t="s">
        <v>60</v>
      </c>
      <c r="L38" s="17" t="s">
        <v>45</v>
      </c>
      <c r="M38" s="17" t="s">
        <v>45</v>
      </c>
      <c r="N38" s="17" t="s">
        <v>45</v>
      </c>
      <c r="O38" s="18"/>
      <c r="P38" s="19"/>
      <c r="Q38" s="19"/>
      <c r="R38" s="19"/>
      <c r="S38" s="20"/>
      <c r="T38" s="21"/>
      <c r="U38" s="21"/>
      <c r="V38" s="21"/>
      <c r="W38" s="22"/>
      <c r="X38" s="23"/>
      <c r="Y38" s="23"/>
      <c r="Z38" s="23"/>
      <c r="AA38" s="24"/>
      <c r="AB38" s="29" t="str">
        <f aca="false">IF(Z38&lt;&gt;"",Z38,IF(V38&lt;&gt;"",V38,IF(R38&lt;&gt;"",R38,IF(N38&lt;&gt;"",N38,IF(J38&lt;&gt;"","BEKLİYOR","")))))</f>
        <v>ONAY</v>
      </c>
    </row>
    <row r="39" customFormat="false" ht="27.75" hidden="false" customHeight="true" outlineLevel="0" collapsed="false">
      <c r="A39" s="15" t="s">
        <v>255</v>
      </c>
      <c r="B39" s="15" t="s">
        <v>256</v>
      </c>
      <c r="C39" s="16" t="s">
        <v>257</v>
      </c>
      <c r="D39" s="16" t="s">
        <v>193</v>
      </c>
      <c r="E39" s="16" t="s">
        <v>258</v>
      </c>
      <c r="F39" s="16" t="s">
        <v>259</v>
      </c>
      <c r="G39" s="15" t="s">
        <v>41</v>
      </c>
      <c r="H39" s="15" t="s">
        <v>222</v>
      </c>
      <c r="I39" s="15" t="s">
        <v>42</v>
      </c>
      <c r="J39" s="16" t="s">
        <v>44</v>
      </c>
      <c r="K39" s="16" t="s">
        <v>69</v>
      </c>
      <c r="L39" s="17" t="s">
        <v>45</v>
      </c>
      <c r="M39" s="17" t="s">
        <v>45</v>
      </c>
      <c r="N39" s="17" t="s">
        <v>45</v>
      </c>
      <c r="O39" s="18"/>
      <c r="P39" s="19"/>
      <c r="Q39" s="19"/>
      <c r="R39" s="19"/>
      <c r="S39" s="20"/>
      <c r="T39" s="21"/>
      <c r="U39" s="21"/>
      <c r="V39" s="21"/>
      <c r="W39" s="22"/>
      <c r="X39" s="23"/>
      <c r="Y39" s="23"/>
      <c r="Z39" s="23"/>
      <c r="AA39" s="24"/>
      <c r="AB39" s="25" t="str">
        <f aca="false">IF(Z39&lt;&gt;"",Z39,IF(V39&lt;&gt;"",V39,IF(R39&lt;&gt;"",R39,IF(N39&lt;&gt;"",N39,IF(J39&lt;&gt;"","BEKLİYOR","")))))</f>
        <v>ONAY</v>
      </c>
    </row>
    <row r="40" customFormat="false" ht="42" hidden="false" customHeight="true" outlineLevel="0" collapsed="false">
      <c r="A40" s="26" t="s">
        <v>260</v>
      </c>
      <c r="B40" s="26" t="s">
        <v>261</v>
      </c>
      <c r="C40" s="27" t="s">
        <v>262</v>
      </c>
      <c r="D40" s="27" t="s">
        <v>263</v>
      </c>
      <c r="E40" s="27" t="s">
        <v>264</v>
      </c>
      <c r="F40" s="27" t="s">
        <v>265</v>
      </c>
      <c r="G40" s="26" t="s">
        <v>41</v>
      </c>
      <c r="H40" s="26" t="s">
        <v>222</v>
      </c>
      <c r="I40" s="26" t="s">
        <v>42</v>
      </c>
      <c r="J40" s="27" t="s">
        <v>43</v>
      </c>
      <c r="K40" s="27" t="s">
        <v>60</v>
      </c>
      <c r="L40" s="34" t="s">
        <v>177</v>
      </c>
      <c r="M40" s="17" t="s">
        <v>45</v>
      </c>
      <c r="N40" s="31" t="s">
        <v>70</v>
      </c>
      <c r="O40" s="18"/>
      <c r="P40" s="19"/>
      <c r="Q40" s="19"/>
      <c r="R40" s="34" t="s">
        <v>177</v>
      </c>
      <c r="S40" s="20"/>
      <c r="T40" s="21"/>
      <c r="U40" s="21"/>
      <c r="V40" s="17" t="s">
        <v>45</v>
      </c>
      <c r="W40" s="22"/>
      <c r="X40" s="23"/>
      <c r="Y40" s="23"/>
      <c r="Z40" s="23"/>
      <c r="AA40" s="24"/>
      <c r="AB40" s="29" t="str">
        <f aca="false">IF(Z40&lt;&gt;"",Z40,IF(V40&lt;&gt;"",V40,IF(R40&lt;&gt;"",R40,IF(N40&lt;&gt;"",N40,IF(J40&lt;&gt;"","BEKLİYOR","")))))</f>
        <v>ONAY</v>
      </c>
    </row>
    <row r="41" customFormat="false" ht="27.75" hidden="false" customHeight="true" outlineLevel="0" collapsed="false">
      <c r="A41" s="15" t="s">
        <v>266</v>
      </c>
      <c r="B41" s="15" t="s">
        <v>267</v>
      </c>
      <c r="C41" s="16" t="s">
        <v>268</v>
      </c>
      <c r="D41" s="16" t="s">
        <v>269</v>
      </c>
      <c r="E41" s="16" t="s">
        <v>270</v>
      </c>
      <c r="F41" s="16" t="s">
        <v>271</v>
      </c>
      <c r="G41" s="15" t="s">
        <v>41</v>
      </c>
      <c r="H41" s="15" t="s">
        <v>222</v>
      </c>
      <c r="I41" s="15" t="s">
        <v>42</v>
      </c>
      <c r="J41" s="16" t="s">
        <v>93</v>
      </c>
      <c r="K41" s="16" t="s">
        <v>68</v>
      </c>
      <c r="L41" s="17" t="s">
        <v>45</v>
      </c>
      <c r="M41" s="28"/>
      <c r="N41" s="33" t="s">
        <v>143</v>
      </c>
      <c r="O41" s="18"/>
      <c r="P41" s="19"/>
      <c r="Q41" s="19"/>
      <c r="R41" s="17" t="s">
        <v>45</v>
      </c>
      <c r="S41" s="20"/>
      <c r="T41" s="21"/>
      <c r="U41" s="21"/>
      <c r="V41" s="21"/>
      <c r="W41" s="22"/>
      <c r="X41" s="23"/>
      <c r="Y41" s="23"/>
      <c r="Z41" s="23"/>
      <c r="AA41" s="24"/>
      <c r="AB41" s="25" t="str">
        <f aca="false">IF(Z41&lt;&gt;"",Z41,IF(V41&lt;&gt;"",V41,IF(R41&lt;&gt;"",R41,IF(N41&lt;&gt;"",N41,IF(J41&lt;&gt;"","BEKLİYOR","")))))</f>
        <v>ONAY</v>
      </c>
    </row>
    <row r="42" customFormat="false" ht="27.75" hidden="false" customHeight="true" outlineLevel="0" collapsed="false">
      <c r="A42" s="26" t="s">
        <v>272</v>
      </c>
      <c r="B42" s="26" t="s">
        <v>273</v>
      </c>
      <c r="C42" s="27" t="s">
        <v>274</v>
      </c>
      <c r="D42" s="27" t="s">
        <v>193</v>
      </c>
      <c r="E42" s="27" t="s">
        <v>275</v>
      </c>
      <c r="F42" s="27" t="s">
        <v>276</v>
      </c>
      <c r="G42" s="26" t="s">
        <v>41</v>
      </c>
      <c r="H42" s="26" t="s">
        <v>222</v>
      </c>
      <c r="I42" s="26" t="s">
        <v>42</v>
      </c>
      <c r="J42" s="27" t="s">
        <v>52</v>
      </c>
      <c r="K42" s="27" t="s">
        <v>69</v>
      </c>
      <c r="L42" s="17" t="s">
        <v>45</v>
      </c>
      <c r="M42" s="17" t="s">
        <v>45</v>
      </c>
      <c r="N42" s="17" t="s">
        <v>45</v>
      </c>
      <c r="O42" s="18"/>
      <c r="P42" s="19"/>
      <c r="Q42" s="19"/>
      <c r="R42" s="19"/>
      <c r="S42" s="20"/>
      <c r="T42" s="21"/>
      <c r="U42" s="21"/>
      <c r="V42" s="21"/>
      <c r="W42" s="22"/>
      <c r="X42" s="23"/>
      <c r="Y42" s="23"/>
      <c r="Z42" s="23"/>
      <c r="AA42" s="24"/>
      <c r="AB42" s="29" t="str">
        <f aca="false">IF(Z42&lt;&gt;"",Z42,IF(V42&lt;&gt;"",V42,IF(R42&lt;&gt;"",R42,IF(N42&lt;&gt;"",N42,IF(J42&lt;&gt;"","BEKLİYOR","")))))</f>
        <v>ONAY</v>
      </c>
    </row>
    <row r="43" customFormat="false" ht="27.75" hidden="false" customHeight="true" outlineLevel="0" collapsed="false">
      <c r="A43" s="15" t="s">
        <v>277</v>
      </c>
      <c r="B43" s="15" t="s">
        <v>278</v>
      </c>
      <c r="C43" s="16" t="s">
        <v>279</v>
      </c>
      <c r="D43" s="16" t="s">
        <v>205</v>
      </c>
      <c r="E43" s="16" t="s">
        <v>280</v>
      </c>
      <c r="F43" s="16" t="s">
        <v>281</v>
      </c>
      <c r="G43" s="15" t="s">
        <v>92</v>
      </c>
      <c r="H43" s="15" t="s">
        <v>222</v>
      </c>
      <c r="I43" s="15" t="s">
        <v>42</v>
      </c>
      <c r="J43" s="16" t="s">
        <v>77</v>
      </c>
      <c r="K43" s="16" t="s">
        <v>93</v>
      </c>
      <c r="L43" s="17" t="s">
        <v>45</v>
      </c>
      <c r="M43" s="17" t="s">
        <v>45</v>
      </c>
      <c r="N43" s="17" t="s">
        <v>45</v>
      </c>
      <c r="O43" s="18"/>
      <c r="P43" s="19"/>
      <c r="Q43" s="19"/>
      <c r="R43" s="19"/>
      <c r="S43" s="20"/>
      <c r="T43" s="21"/>
      <c r="U43" s="21"/>
      <c r="V43" s="21"/>
      <c r="W43" s="22"/>
      <c r="X43" s="23"/>
      <c r="Y43" s="23"/>
      <c r="Z43" s="23"/>
      <c r="AA43" s="24"/>
      <c r="AB43" s="25" t="str">
        <f aca="false">IF(Z43&lt;&gt;"",Z43,IF(V43&lt;&gt;"",V43,IF(R43&lt;&gt;"",R43,IF(N43&lt;&gt;"",N43,IF(J43&lt;&gt;"","BEKLİYOR","")))))</f>
        <v>ONAY</v>
      </c>
    </row>
    <row r="44" customFormat="false" ht="27.75" hidden="false" customHeight="true" outlineLevel="0" collapsed="false">
      <c r="A44" s="26" t="s">
        <v>282</v>
      </c>
      <c r="B44" s="26" t="s">
        <v>283</v>
      </c>
      <c r="C44" s="27" t="s">
        <v>279</v>
      </c>
      <c r="D44" s="27" t="s">
        <v>205</v>
      </c>
      <c r="E44" s="27" t="s">
        <v>284</v>
      </c>
      <c r="F44" s="27" t="s">
        <v>285</v>
      </c>
      <c r="G44" s="26" t="s">
        <v>41</v>
      </c>
      <c r="H44" s="26" t="s">
        <v>222</v>
      </c>
      <c r="I44" s="26" t="s">
        <v>42</v>
      </c>
      <c r="J44" s="27" t="s">
        <v>78</v>
      </c>
      <c r="K44" s="27" t="s">
        <v>44</v>
      </c>
      <c r="L44" s="34" t="s">
        <v>177</v>
      </c>
      <c r="M44" s="17" t="s">
        <v>45</v>
      </c>
      <c r="N44" s="31" t="s">
        <v>70</v>
      </c>
      <c r="O44" s="18"/>
      <c r="P44" s="19"/>
      <c r="Q44" s="19"/>
      <c r="R44" s="34" t="s">
        <v>177</v>
      </c>
      <c r="S44" s="20"/>
      <c r="T44" s="21"/>
      <c r="U44" s="21"/>
      <c r="V44" s="17" t="s">
        <v>45</v>
      </c>
      <c r="W44" s="22"/>
      <c r="X44" s="23"/>
      <c r="Y44" s="23"/>
      <c r="Z44" s="23"/>
      <c r="AA44" s="24"/>
      <c r="AB44" s="29" t="str">
        <f aca="false">IF(Z44&lt;&gt;"",Z44,IF(V44&lt;&gt;"",V44,IF(R44&lt;&gt;"",R44,IF(N44&lt;&gt;"",N44,IF(J44&lt;&gt;"","BEKLİYOR","")))))</f>
        <v>ONAY</v>
      </c>
    </row>
    <row r="45" customFormat="false" ht="42" hidden="false" customHeight="true" outlineLevel="0" collapsed="false">
      <c r="A45" s="15" t="s">
        <v>286</v>
      </c>
      <c r="B45" s="15" t="s">
        <v>287</v>
      </c>
      <c r="C45" s="16" t="s">
        <v>279</v>
      </c>
      <c r="D45" s="16" t="s">
        <v>205</v>
      </c>
      <c r="E45" s="16" t="s">
        <v>284</v>
      </c>
      <c r="F45" s="16" t="s">
        <v>288</v>
      </c>
      <c r="G45" s="15" t="s">
        <v>41</v>
      </c>
      <c r="H45" s="15" t="s">
        <v>222</v>
      </c>
      <c r="I45" s="15" t="s">
        <v>42</v>
      </c>
      <c r="J45" s="16" t="s">
        <v>59</v>
      </c>
      <c r="K45" s="16" t="s">
        <v>43</v>
      </c>
      <c r="L45" s="17" t="s">
        <v>45</v>
      </c>
      <c r="M45" s="28"/>
      <c r="N45" s="17" t="s">
        <v>45</v>
      </c>
      <c r="O45" s="18"/>
      <c r="P45" s="19"/>
      <c r="Q45" s="19"/>
      <c r="R45" s="19"/>
      <c r="S45" s="20"/>
      <c r="T45" s="21"/>
      <c r="U45" s="21"/>
      <c r="V45" s="21"/>
      <c r="W45" s="22"/>
      <c r="X45" s="23"/>
      <c r="Y45" s="23"/>
      <c r="Z45" s="23"/>
      <c r="AA45" s="24"/>
      <c r="AB45" s="25" t="str">
        <f aca="false">IF(Z45&lt;&gt;"",Z45,IF(V45&lt;&gt;"",V45,IF(R45&lt;&gt;"",R45,IF(N45&lt;&gt;"",N45,IF(J45&lt;&gt;"","BEKLİYOR","")))))</f>
        <v>ONAY</v>
      </c>
    </row>
    <row r="46" customFormat="false" ht="27.75" hidden="false" customHeight="true" outlineLevel="0" collapsed="false">
      <c r="A46" s="26" t="s">
        <v>289</v>
      </c>
      <c r="B46" s="26" t="s">
        <v>290</v>
      </c>
      <c r="C46" s="27" t="s">
        <v>291</v>
      </c>
      <c r="D46" s="27" t="s">
        <v>82</v>
      </c>
      <c r="E46" s="27" t="s">
        <v>292</v>
      </c>
      <c r="F46" s="27" t="s">
        <v>293</v>
      </c>
      <c r="G46" s="26" t="s">
        <v>41</v>
      </c>
      <c r="H46" s="26" t="s">
        <v>222</v>
      </c>
      <c r="I46" s="26" t="s">
        <v>42</v>
      </c>
      <c r="J46" s="27" t="s">
        <v>43</v>
      </c>
      <c r="K46" s="27" t="s">
        <v>69</v>
      </c>
      <c r="L46" s="28"/>
      <c r="M46" s="17" t="s">
        <v>45</v>
      </c>
      <c r="N46" s="17" t="s">
        <v>45</v>
      </c>
      <c r="O46" s="18"/>
      <c r="P46" s="19"/>
      <c r="Q46" s="19"/>
      <c r="R46" s="19"/>
      <c r="S46" s="20"/>
      <c r="T46" s="21"/>
      <c r="U46" s="21"/>
      <c r="V46" s="21"/>
      <c r="W46" s="22"/>
      <c r="X46" s="23"/>
      <c r="Y46" s="23"/>
      <c r="Z46" s="23"/>
      <c r="AA46" s="24"/>
      <c r="AB46" s="29" t="str">
        <f aca="false">IF(Z46&lt;&gt;"",Z46,IF(V46&lt;&gt;"",V46,IF(R46&lt;&gt;"",R46,IF(N46&lt;&gt;"",N46,IF(J46&lt;&gt;"","BEKLİYOR","")))))</f>
        <v>ONAY</v>
      </c>
    </row>
    <row r="47" customFormat="false" ht="42" hidden="false" customHeight="true" outlineLevel="0" collapsed="false">
      <c r="A47" s="15" t="s">
        <v>294</v>
      </c>
      <c r="B47" s="15" t="s">
        <v>295</v>
      </c>
      <c r="C47" s="16" t="s">
        <v>296</v>
      </c>
      <c r="D47" s="16" t="s">
        <v>297</v>
      </c>
      <c r="E47" s="16" t="s">
        <v>298</v>
      </c>
      <c r="F47" s="16" t="s">
        <v>299</v>
      </c>
      <c r="G47" s="15" t="s">
        <v>67</v>
      </c>
      <c r="H47" s="15" t="s">
        <v>222</v>
      </c>
      <c r="I47" s="15" t="s">
        <v>42</v>
      </c>
      <c r="J47" s="16" t="s">
        <v>85</v>
      </c>
      <c r="K47" s="16" t="s">
        <v>59</v>
      </c>
      <c r="L47" s="17" t="s">
        <v>45</v>
      </c>
      <c r="M47" s="17" t="s">
        <v>45</v>
      </c>
      <c r="N47" s="17" t="s">
        <v>45</v>
      </c>
      <c r="O47" s="18"/>
      <c r="P47" s="19"/>
      <c r="Q47" s="19"/>
      <c r="R47" s="19"/>
      <c r="S47" s="20"/>
      <c r="T47" s="21"/>
      <c r="U47" s="21"/>
      <c r="V47" s="21"/>
      <c r="W47" s="22"/>
      <c r="X47" s="23"/>
      <c r="Y47" s="23"/>
      <c r="Z47" s="23"/>
      <c r="AA47" s="24"/>
      <c r="AB47" s="25" t="str">
        <f aca="false">IF(Z47&lt;&gt;"",Z47,IF(V47&lt;&gt;"",V47,IF(R47&lt;&gt;"",R47,IF(N47&lt;&gt;"",N47,IF(J47&lt;&gt;"","BEKLİYOR","")))))</f>
        <v>ONAY</v>
      </c>
    </row>
    <row r="48" customFormat="false" ht="27.75" hidden="false" customHeight="true" outlineLevel="0" collapsed="false">
      <c r="A48" s="26" t="s">
        <v>300</v>
      </c>
      <c r="B48" s="26" t="s">
        <v>301</v>
      </c>
      <c r="C48" s="27" t="s">
        <v>302</v>
      </c>
      <c r="D48" s="27" t="s">
        <v>193</v>
      </c>
      <c r="E48" s="27" t="s">
        <v>303</v>
      </c>
      <c r="F48" s="27" t="s">
        <v>304</v>
      </c>
      <c r="G48" s="26" t="s">
        <v>41</v>
      </c>
      <c r="H48" s="26" t="s">
        <v>222</v>
      </c>
      <c r="I48" s="26" t="s">
        <v>42</v>
      </c>
      <c r="J48" s="27" t="s">
        <v>69</v>
      </c>
      <c r="K48" s="27" t="s">
        <v>68</v>
      </c>
      <c r="L48" s="17" t="s">
        <v>45</v>
      </c>
      <c r="M48" s="17" t="s">
        <v>45</v>
      </c>
      <c r="N48" s="17" t="s">
        <v>45</v>
      </c>
      <c r="O48" s="18"/>
      <c r="P48" s="19"/>
      <c r="Q48" s="19"/>
      <c r="R48" s="19"/>
      <c r="S48" s="20"/>
      <c r="T48" s="21"/>
      <c r="U48" s="21"/>
      <c r="V48" s="21"/>
      <c r="W48" s="22"/>
      <c r="X48" s="23"/>
      <c r="Y48" s="23"/>
      <c r="Z48" s="23"/>
      <c r="AA48" s="24"/>
      <c r="AB48" s="29" t="str">
        <f aca="false">IF(Z48&lt;&gt;"",Z48,IF(V48&lt;&gt;"",V48,IF(R48&lt;&gt;"",R48,IF(N48&lt;&gt;"",N48,IF(J48&lt;&gt;"","BEKLİYOR","")))))</f>
        <v>ONAY</v>
      </c>
    </row>
    <row r="49" customFormat="false" ht="42" hidden="false" customHeight="true" outlineLevel="0" collapsed="false">
      <c r="A49" s="15" t="s">
        <v>305</v>
      </c>
      <c r="B49" s="15" t="s">
        <v>306</v>
      </c>
      <c r="C49" s="16" t="s">
        <v>307</v>
      </c>
      <c r="D49" s="16" t="s">
        <v>120</v>
      </c>
      <c r="E49" s="16" t="s">
        <v>308</v>
      </c>
      <c r="F49" s="16" t="s">
        <v>309</v>
      </c>
      <c r="G49" s="15" t="s">
        <v>41</v>
      </c>
      <c r="H49" s="15" t="s">
        <v>222</v>
      </c>
      <c r="I49" s="15" t="s">
        <v>42</v>
      </c>
      <c r="J49" s="16" t="s">
        <v>43</v>
      </c>
      <c r="K49" s="16" t="s">
        <v>77</v>
      </c>
      <c r="L49" s="28"/>
      <c r="M49" s="34" t="s">
        <v>177</v>
      </c>
      <c r="N49" s="31" t="s">
        <v>70</v>
      </c>
      <c r="O49" s="18"/>
      <c r="P49" s="19"/>
      <c r="Q49" s="19"/>
      <c r="R49" s="19"/>
      <c r="S49" s="20"/>
      <c r="T49" s="21"/>
      <c r="U49" s="21"/>
      <c r="V49" s="21"/>
      <c r="W49" s="22"/>
      <c r="X49" s="23"/>
      <c r="Y49" s="23"/>
      <c r="Z49" s="23"/>
      <c r="AA49" s="24"/>
      <c r="AB49" s="25" t="str">
        <f aca="false">IF(Z49&lt;&gt;"",Z49,IF(V49&lt;&gt;"",V49,IF(R49&lt;&gt;"",R49,IF(N49&lt;&gt;"",N49,IF(J49&lt;&gt;"","BEKLİYOR","")))))</f>
        <v>DÜZELTME</v>
      </c>
    </row>
    <row r="50" customFormat="false" ht="42" hidden="false" customHeight="true" outlineLevel="0" collapsed="false">
      <c r="A50" s="26" t="s">
        <v>310</v>
      </c>
      <c r="B50" s="26" t="s">
        <v>311</v>
      </c>
      <c r="C50" s="27" t="s">
        <v>312</v>
      </c>
      <c r="D50" s="27" t="s">
        <v>313</v>
      </c>
      <c r="E50" s="27" t="s">
        <v>314</v>
      </c>
      <c r="F50" s="27" t="s">
        <v>315</v>
      </c>
      <c r="G50" s="26" t="s">
        <v>41</v>
      </c>
      <c r="H50" s="26" t="s">
        <v>222</v>
      </c>
      <c r="I50" s="26" t="s">
        <v>42</v>
      </c>
      <c r="J50" s="27" t="s">
        <v>44</v>
      </c>
      <c r="K50" s="27" t="s">
        <v>60</v>
      </c>
      <c r="L50" s="17" t="s">
        <v>45</v>
      </c>
      <c r="M50" s="17" t="s">
        <v>45</v>
      </c>
      <c r="N50" s="31" t="s">
        <v>70</v>
      </c>
      <c r="O50" s="18"/>
      <c r="P50" s="19"/>
      <c r="Q50" s="19"/>
      <c r="R50" s="34" t="s">
        <v>177</v>
      </c>
      <c r="S50" s="20"/>
      <c r="T50" s="21"/>
      <c r="U50" s="21"/>
      <c r="V50" s="17" t="s">
        <v>45</v>
      </c>
      <c r="W50" s="22"/>
      <c r="X50" s="23"/>
      <c r="Y50" s="23"/>
      <c r="Z50" s="23"/>
      <c r="AA50" s="24"/>
      <c r="AB50" s="29" t="str">
        <f aca="false">IF(Z50&lt;&gt;"",Z50,IF(V50&lt;&gt;"",V50,IF(R50&lt;&gt;"",R50,IF(N50&lt;&gt;"",N50,IF(J50&lt;&gt;"","BEKLİYOR","")))))</f>
        <v>ONAY</v>
      </c>
    </row>
    <row r="51" customFormat="false" ht="42" hidden="false" customHeight="true" outlineLevel="0" collapsed="false">
      <c r="A51" s="15" t="s">
        <v>316</v>
      </c>
      <c r="B51" s="15" t="s">
        <v>317</v>
      </c>
      <c r="C51" s="16" t="s">
        <v>318</v>
      </c>
      <c r="D51" s="16" t="s">
        <v>319</v>
      </c>
      <c r="E51" s="16" t="s">
        <v>320</v>
      </c>
      <c r="F51" s="16" t="s">
        <v>321</v>
      </c>
      <c r="G51" s="15" t="s">
        <v>92</v>
      </c>
      <c r="H51" s="15" t="s">
        <v>322</v>
      </c>
      <c r="I51" s="15" t="s">
        <v>42</v>
      </c>
      <c r="J51" s="16" t="s">
        <v>52</v>
      </c>
      <c r="K51" s="16" t="s">
        <v>93</v>
      </c>
      <c r="L51" s="28"/>
      <c r="M51" s="17" t="s">
        <v>45</v>
      </c>
      <c r="N51" s="17" t="s">
        <v>45</v>
      </c>
      <c r="O51" s="18"/>
      <c r="P51" s="19"/>
      <c r="Q51" s="19"/>
      <c r="R51" s="19"/>
      <c r="S51" s="20"/>
      <c r="T51" s="21"/>
      <c r="U51" s="21"/>
      <c r="V51" s="21"/>
      <c r="W51" s="22"/>
      <c r="X51" s="23"/>
      <c r="Y51" s="23"/>
      <c r="Z51" s="23"/>
      <c r="AA51" s="24"/>
      <c r="AB51" s="25" t="str">
        <f aca="false">IF(Z51&lt;&gt;"",Z51,IF(V51&lt;&gt;"",V51,IF(R51&lt;&gt;"",R51,IF(N51&lt;&gt;"",N51,IF(J51&lt;&gt;"","BEKLİYOR","")))))</f>
        <v>ONAY</v>
      </c>
    </row>
    <row r="52" customFormat="false" ht="42" hidden="false" customHeight="true" outlineLevel="0" collapsed="false">
      <c r="A52" s="26" t="s">
        <v>323</v>
      </c>
      <c r="B52" s="26" t="s">
        <v>324</v>
      </c>
      <c r="C52" s="27" t="s">
        <v>325</v>
      </c>
      <c r="D52" s="27" t="s">
        <v>326</v>
      </c>
      <c r="E52" s="27" t="s">
        <v>327</v>
      </c>
      <c r="F52" s="27" t="s">
        <v>328</v>
      </c>
      <c r="G52" s="26" t="s">
        <v>41</v>
      </c>
      <c r="H52" s="26" t="s">
        <v>322</v>
      </c>
      <c r="I52" s="26" t="s">
        <v>42</v>
      </c>
      <c r="J52" s="27" t="s">
        <v>93</v>
      </c>
      <c r="K52" s="27" t="s">
        <v>59</v>
      </c>
      <c r="L52" s="17" t="s">
        <v>45</v>
      </c>
      <c r="M52" s="31" t="s">
        <v>70</v>
      </c>
      <c r="N52" s="31" t="s">
        <v>70</v>
      </c>
      <c r="O52" s="18"/>
      <c r="P52" s="19"/>
      <c r="Q52" s="19"/>
      <c r="R52" s="17" t="s">
        <v>45</v>
      </c>
      <c r="S52" s="20"/>
      <c r="T52" s="21"/>
      <c r="U52" s="21"/>
      <c r="V52" s="21"/>
      <c r="W52" s="22"/>
      <c r="X52" s="23"/>
      <c r="Y52" s="23"/>
      <c r="Z52" s="23"/>
      <c r="AA52" s="24"/>
      <c r="AB52" s="29" t="str">
        <f aca="false">IF(Z52&lt;&gt;"",Z52,IF(V52&lt;&gt;"",V52,IF(R52&lt;&gt;"",R52,IF(N52&lt;&gt;"",N52,IF(J52&lt;&gt;"","BEKLİYOR","")))))</f>
        <v>ONAY</v>
      </c>
    </row>
    <row r="53" customFormat="false" ht="55.5" hidden="false" customHeight="true" outlineLevel="0" collapsed="false">
      <c r="A53" s="15" t="s">
        <v>329</v>
      </c>
      <c r="B53" s="15" t="s">
        <v>330</v>
      </c>
      <c r="C53" s="16" t="s">
        <v>331</v>
      </c>
      <c r="D53" s="16" t="s">
        <v>199</v>
      </c>
      <c r="E53" s="16" t="s">
        <v>332</v>
      </c>
      <c r="F53" s="16" t="s">
        <v>333</v>
      </c>
      <c r="G53" s="15" t="s">
        <v>92</v>
      </c>
      <c r="H53" s="15" t="s">
        <v>334</v>
      </c>
      <c r="I53" s="15" t="s">
        <v>42</v>
      </c>
      <c r="J53" s="16" t="s">
        <v>78</v>
      </c>
      <c r="K53" s="16" t="s">
        <v>77</v>
      </c>
      <c r="L53" s="28"/>
      <c r="M53" s="31" t="s">
        <v>70</v>
      </c>
      <c r="N53" s="31" t="s">
        <v>70</v>
      </c>
      <c r="O53" s="18"/>
      <c r="P53" s="19"/>
      <c r="Q53" s="19"/>
      <c r="R53" s="17" t="s">
        <v>45</v>
      </c>
      <c r="S53" s="20"/>
      <c r="T53" s="21"/>
      <c r="U53" s="21"/>
      <c r="V53" s="21"/>
      <c r="W53" s="22"/>
      <c r="X53" s="23"/>
      <c r="Y53" s="23"/>
      <c r="Z53" s="23"/>
      <c r="AA53" s="24"/>
      <c r="AB53" s="25" t="str">
        <f aca="false">IF(Z53&lt;&gt;"",Z53,IF(V53&lt;&gt;"",V53,IF(R53&lt;&gt;"",R53,IF(N53&lt;&gt;"",N53,IF(J53&lt;&gt;"","BEKLİYOR","")))))</f>
        <v>ONAY</v>
      </c>
    </row>
    <row r="54" customFormat="false" ht="15.75" hidden="false" customHeight="true" outlineLevel="0" collapsed="false">
      <c r="A54" s="26" t="s">
        <v>335</v>
      </c>
      <c r="B54" s="26" t="s">
        <v>336</v>
      </c>
      <c r="C54" s="27" t="s">
        <v>337</v>
      </c>
      <c r="D54" s="27" t="s">
        <v>338</v>
      </c>
      <c r="E54" s="27" t="s">
        <v>339</v>
      </c>
      <c r="F54" s="27" t="s">
        <v>340</v>
      </c>
      <c r="G54" s="26" t="s">
        <v>41</v>
      </c>
      <c r="H54" s="26" t="s">
        <v>334</v>
      </c>
      <c r="I54" s="26" t="s">
        <v>42</v>
      </c>
      <c r="J54" s="27" t="s">
        <v>43</v>
      </c>
      <c r="K54" s="27" t="s">
        <v>85</v>
      </c>
      <c r="L54" s="28"/>
      <c r="M54" s="28"/>
      <c r="N54" s="17" t="s">
        <v>45</v>
      </c>
      <c r="O54" s="18"/>
      <c r="P54" s="19"/>
      <c r="Q54" s="19"/>
      <c r="R54" s="19"/>
      <c r="S54" s="20"/>
      <c r="T54" s="21"/>
      <c r="U54" s="21"/>
      <c r="V54" s="21"/>
      <c r="W54" s="22"/>
      <c r="X54" s="23"/>
      <c r="Y54" s="23"/>
      <c r="Z54" s="23"/>
      <c r="AA54" s="24"/>
      <c r="AB54" s="29" t="str">
        <f aca="false">IF(Z54&lt;&gt;"",Z54,IF(V54&lt;&gt;"",V54,IF(R54&lt;&gt;"",R54,IF(N54&lt;&gt;"",N54,IF(J54&lt;&gt;"","BEKLİYOR","")))))</f>
        <v>ONAY</v>
      </c>
    </row>
    <row r="55" customFormat="false" ht="42" hidden="false" customHeight="true" outlineLevel="0" collapsed="false">
      <c r="A55" s="15" t="s">
        <v>341</v>
      </c>
      <c r="B55" s="15" t="s">
        <v>342</v>
      </c>
      <c r="C55" s="16" t="s">
        <v>343</v>
      </c>
      <c r="D55" s="16" t="s">
        <v>313</v>
      </c>
      <c r="E55" s="16" t="s">
        <v>344</v>
      </c>
      <c r="F55" s="16" t="s">
        <v>345</v>
      </c>
      <c r="G55" s="15" t="s">
        <v>92</v>
      </c>
      <c r="H55" s="15" t="s">
        <v>334</v>
      </c>
      <c r="I55" s="15" t="s">
        <v>42</v>
      </c>
      <c r="J55" s="16" t="s">
        <v>59</v>
      </c>
      <c r="K55" s="16" t="s">
        <v>99</v>
      </c>
      <c r="L55" s="34" t="s">
        <v>177</v>
      </c>
      <c r="M55" s="34" t="s">
        <v>177</v>
      </c>
      <c r="N55" s="35" t="s">
        <v>189</v>
      </c>
      <c r="O55" s="18"/>
      <c r="P55" s="19"/>
      <c r="Q55" s="19"/>
      <c r="R55" s="19"/>
      <c r="S55" s="20"/>
      <c r="T55" s="21"/>
      <c r="U55" s="21"/>
      <c r="V55" s="21"/>
      <c r="W55" s="22"/>
      <c r="X55" s="23"/>
      <c r="Y55" s="23"/>
      <c r="Z55" s="23"/>
      <c r="AA55" s="24"/>
      <c r="AB55" s="25" t="str">
        <f aca="false">IF(Z55&lt;&gt;"",Z55,IF(V55&lt;&gt;"",V55,IF(R55&lt;&gt;"",R55,IF(N55&lt;&gt;"",N55,IF(J55&lt;&gt;"","BEKLİYOR","")))))</f>
        <v>KAEK</v>
      </c>
    </row>
    <row r="56" customFormat="false" ht="27.75" hidden="false" customHeight="true" outlineLevel="0" collapsed="false">
      <c r="A56" s="26" t="s">
        <v>346</v>
      </c>
      <c r="B56" s="26" t="s">
        <v>347</v>
      </c>
      <c r="C56" s="27" t="s">
        <v>348</v>
      </c>
      <c r="D56" s="27" t="s">
        <v>313</v>
      </c>
      <c r="E56" s="27" t="s">
        <v>349</v>
      </c>
      <c r="F56" s="27" t="s">
        <v>350</v>
      </c>
      <c r="G56" s="26" t="s">
        <v>92</v>
      </c>
      <c r="H56" s="26" t="s">
        <v>334</v>
      </c>
      <c r="I56" s="26" t="s">
        <v>42</v>
      </c>
      <c r="J56" s="27" t="s">
        <v>52</v>
      </c>
      <c r="K56" s="27" t="s">
        <v>99</v>
      </c>
      <c r="L56" s="17" t="s">
        <v>45</v>
      </c>
      <c r="M56" s="17" t="s">
        <v>45</v>
      </c>
      <c r="N56" s="17" t="s">
        <v>45</v>
      </c>
      <c r="O56" s="18"/>
      <c r="P56" s="19"/>
      <c r="Q56" s="19"/>
      <c r="R56" s="19"/>
      <c r="S56" s="20"/>
      <c r="T56" s="21"/>
      <c r="U56" s="21"/>
      <c r="V56" s="21"/>
      <c r="W56" s="22"/>
      <c r="X56" s="23"/>
      <c r="Y56" s="23"/>
      <c r="Z56" s="23"/>
      <c r="AA56" s="24"/>
      <c r="AB56" s="29" t="str">
        <f aca="false">IF(Z56&lt;&gt;"",Z56,IF(V56&lt;&gt;"",V56,IF(R56&lt;&gt;"",R56,IF(N56&lt;&gt;"",N56,IF(J56&lt;&gt;"","BEKLİYOR","")))))</f>
        <v>ONAY</v>
      </c>
    </row>
    <row r="57" customFormat="false" ht="42" hidden="false" customHeight="true" outlineLevel="0" collapsed="false">
      <c r="A57" s="15" t="s">
        <v>351</v>
      </c>
      <c r="B57" s="15" t="s">
        <v>352</v>
      </c>
      <c r="C57" s="16" t="s">
        <v>353</v>
      </c>
      <c r="D57" s="16" t="s">
        <v>193</v>
      </c>
      <c r="E57" s="16" t="s">
        <v>354</v>
      </c>
      <c r="F57" s="16" t="s">
        <v>355</v>
      </c>
      <c r="G57" s="15" t="s">
        <v>41</v>
      </c>
      <c r="H57" s="15" t="s">
        <v>334</v>
      </c>
      <c r="I57" s="15" t="s">
        <v>42</v>
      </c>
      <c r="J57" s="16" t="s">
        <v>43</v>
      </c>
      <c r="K57" s="16" t="s">
        <v>68</v>
      </c>
      <c r="L57" s="28"/>
      <c r="M57" s="17" t="s">
        <v>45</v>
      </c>
      <c r="N57" s="17" t="s">
        <v>45</v>
      </c>
      <c r="O57" s="18"/>
      <c r="P57" s="19"/>
      <c r="Q57" s="19"/>
      <c r="R57" s="19"/>
      <c r="S57" s="20"/>
      <c r="T57" s="21"/>
      <c r="U57" s="21"/>
      <c r="V57" s="21"/>
      <c r="W57" s="22"/>
      <c r="X57" s="23"/>
      <c r="Y57" s="23"/>
      <c r="Z57" s="23"/>
      <c r="AA57" s="24"/>
      <c r="AB57" s="25" t="str">
        <f aca="false">IF(Z57&lt;&gt;"",Z57,IF(V57&lt;&gt;"",V57,IF(R57&lt;&gt;"",R57,IF(N57&lt;&gt;"",N57,IF(J57&lt;&gt;"","BEKLİYOR","")))))</f>
        <v>ONAY</v>
      </c>
    </row>
    <row r="58" customFormat="false" ht="42" hidden="false" customHeight="true" outlineLevel="0" collapsed="false">
      <c r="A58" s="26" t="s">
        <v>356</v>
      </c>
      <c r="B58" s="26" t="s">
        <v>357</v>
      </c>
      <c r="C58" s="27" t="s">
        <v>358</v>
      </c>
      <c r="D58" s="27" t="s">
        <v>359</v>
      </c>
      <c r="E58" s="27" t="s">
        <v>360</v>
      </c>
      <c r="F58" s="27" t="s">
        <v>361</v>
      </c>
      <c r="G58" s="26" t="s">
        <v>41</v>
      </c>
      <c r="H58" s="26" t="s">
        <v>362</v>
      </c>
      <c r="I58" s="26" t="s">
        <v>363</v>
      </c>
      <c r="J58" s="27" t="s">
        <v>85</v>
      </c>
      <c r="K58" s="27" t="s">
        <v>52</v>
      </c>
      <c r="L58" s="28"/>
      <c r="M58" s="28"/>
      <c r="N58" s="31" t="s">
        <v>70</v>
      </c>
      <c r="O58" s="18"/>
      <c r="P58" s="19"/>
      <c r="Q58" s="19"/>
      <c r="R58" s="19"/>
      <c r="S58" s="20"/>
      <c r="T58" s="21"/>
      <c r="U58" s="21"/>
      <c r="V58" s="21"/>
      <c r="W58" s="22"/>
      <c r="X58" s="23"/>
      <c r="Y58" s="23"/>
      <c r="Z58" s="23"/>
      <c r="AA58" s="24"/>
      <c r="AB58" s="29" t="str">
        <f aca="false">IF(Z58&lt;&gt;"",Z58,IF(V58&lt;&gt;"",V58,IF(R58&lt;&gt;"",R58,IF(N58&lt;&gt;"",N58,IF(J58&lt;&gt;"","BEKLİYOR","")))))</f>
        <v>DÜZELTME</v>
      </c>
    </row>
    <row r="59" customFormat="false" ht="42" hidden="false" customHeight="true" outlineLevel="0" collapsed="false">
      <c r="A59" s="15" t="s">
        <v>364</v>
      </c>
      <c r="B59" s="15" t="s">
        <v>365</v>
      </c>
      <c r="C59" s="16" t="s">
        <v>366</v>
      </c>
      <c r="D59" s="16" t="s">
        <v>367</v>
      </c>
      <c r="E59" s="16" t="s">
        <v>368</v>
      </c>
      <c r="F59" s="16" t="s">
        <v>369</v>
      </c>
      <c r="G59" s="15" t="s">
        <v>41</v>
      </c>
      <c r="H59" s="15" t="s">
        <v>362</v>
      </c>
      <c r="I59" s="15" t="s">
        <v>363</v>
      </c>
      <c r="J59" s="16" t="s">
        <v>59</v>
      </c>
      <c r="K59" s="16" t="s">
        <v>60</v>
      </c>
      <c r="L59" s="28"/>
      <c r="M59" s="28"/>
      <c r="N59" s="31" t="s">
        <v>70</v>
      </c>
      <c r="O59" s="18"/>
      <c r="P59" s="19"/>
      <c r="Q59" s="19"/>
      <c r="R59" s="19"/>
      <c r="S59" s="20"/>
      <c r="T59" s="21"/>
      <c r="U59" s="21"/>
      <c r="V59" s="21"/>
      <c r="W59" s="22"/>
      <c r="X59" s="23"/>
      <c r="Y59" s="23"/>
      <c r="Z59" s="23"/>
      <c r="AA59" s="24"/>
      <c r="AB59" s="25" t="str">
        <f aca="false">IF(Z59&lt;&gt;"",Z59,IF(V59&lt;&gt;"",V59,IF(R59&lt;&gt;"",R59,IF(N59&lt;&gt;"",N59,IF(J59&lt;&gt;"","BEKLİYOR","")))))</f>
        <v>DÜZELTME</v>
      </c>
    </row>
    <row r="60" customFormat="false" ht="27.75" hidden="false" customHeight="true" outlineLevel="0" collapsed="false">
      <c r="A60" s="26" t="s">
        <v>370</v>
      </c>
      <c r="B60" s="26" t="s">
        <v>371</v>
      </c>
      <c r="C60" s="27" t="s">
        <v>372</v>
      </c>
      <c r="D60" s="27" t="s">
        <v>373</v>
      </c>
      <c r="E60" s="27" t="s">
        <v>374</v>
      </c>
      <c r="F60" s="27" t="s">
        <v>375</v>
      </c>
      <c r="G60" s="26" t="s">
        <v>67</v>
      </c>
      <c r="H60" s="26" t="s">
        <v>362</v>
      </c>
      <c r="I60" s="26" t="s">
        <v>363</v>
      </c>
      <c r="J60" s="27" t="s">
        <v>99</v>
      </c>
      <c r="K60" s="27" t="s">
        <v>68</v>
      </c>
      <c r="L60" s="17" t="s">
        <v>45</v>
      </c>
      <c r="M60" s="34" t="s">
        <v>177</v>
      </c>
      <c r="N60" s="28"/>
      <c r="O60" s="18"/>
      <c r="P60" s="19"/>
      <c r="Q60" s="19"/>
      <c r="R60" s="19"/>
      <c r="S60" s="20"/>
      <c r="T60" s="21"/>
      <c r="U60" s="21"/>
      <c r="V60" s="21"/>
      <c r="W60" s="22"/>
      <c r="X60" s="23"/>
      <c r="Y60" s="23"/>
      <c r="Z60" s="23"/>
      <c r="AA60" s="24"/>
      <c r="AB60" s="29" t="str">
        <f aca="false">IF(Z60&lt;&gt;"",Z60,IF(V60&lt;&gt;"",V60,IF(R60&lt;&gt;"",R60,IF(N60&lt;&gt;"",N60,IF(J60&lt;&gt;"","BEKLİYOR","")))))</f>
        <v>BEKLİYOR</v>
      </c>
    </row>
    <row r="61" customFormat="false" ht="42" hidden="false" customHeight="true" outlineLevel="0" collapsed="false">
      <c r="A61" s="15" t="s">
        <v>376</v>
      </c>
      <c r="B61" s="15" t="s">
        <v>377</v>
      </c>
      <c r="C61" s="16" t="s">
        <v>378</v>
      </c>
      <c r="D61" s="16" t="s">
        <v>379</v>
      </c>
      <c r="E61" s="16" t="s">
        <v>380</v>
      </c>
      <c r="F61" s="16" t="s">
        <v>381</v>
      </c>
      <c r="G61" s="15" t="s">
        <v>41</v>
      </c>
      <c r="H61" s="15" t="s">
        <v>362</v>
      </c>
      <c r="I61" s="15" t="s">
        <v>363</v>
      </c>
      <c r="J61" s="16" t="s">
        <v>44</v>
      </c>
      <c r="K61" s="16" t="s">
        <v>77</v>
      </c>
      <c r="L61" s="28"/>
      <c r="M61" s="17" t="s">
        <v>45</v>
      </c>
      <c r="N61" s="31" t="s">
        <v>70</v>
      </c>
      <c r="O61" s="18"/>
      <c r="P61" s="19"/>
      <c r="Q61" s="19"/>
      <c r="R61" s="36" t="s">
        <v>382</v>
      </c>
      <c r="S61" s="20"/>
      <c r="T61" s="21"/>
      <c r="U61" s="21"/>
      <c r="V61" s="21"/>
      <c r="W61" s="22"/>
      <c r="X61" s="23"/>
      <c r="Y61" s="23"/>
      <c r="Z61" s="23"/>
      <c r="AA61" s="24"/>
      <c r="AB61" s="25" t="str">
        <f aca="false">IF(Z61&lt;&gt;"",Z61,IF(V61&lt;&gt;"",V61,IF(R61&lt;&gt;"",R61,IF(N61&lt;&gt;"",N61,IF(J61&lt;&gt;"","BEKLİYOR","")))))</f>
        <v>GERİ ÇEKİLDİ</v>
      </c>
    </row>
    <row r="62" customFormat="false" ht="42" hidden="false" customHeight="true" outlineLevel="0" collapsed="false">
      <c r="A62" s="26" t="s">
        <v>383</v>
      </c>
      <c r="B62" s="26" t="s">
        <v>384</v>
      </c>
      <c r="C62" s="27" t="s">
        <v>353</v>
      </c>
      <c r="D62" s="27" t="s">
        <v>193</v>
      </c>
      <c r="E62" s="27" t="s">
        <v>385</v>
      </c>
      <c r="F62" s="27" t="s">
        <v>386</v>
      </c>
      <c r="G62" s="26" t="s">
        <v>130</v>
      </c>
      <c r="H62" s="26" t="s">
        <v>362</v>
      </c>
      <c r="I62" s="26" t="s">
        <v>363</v>
      </c>
      <c r="J62" s="27" t="s">
        <v>78</v>
      </c>
      <c r="K62" s="27" t="s">
        <v>44</v>
      </c>
      <c r="L62" s="17" t="s">
        <v>45</v>
      </c>
      <c r="M62" s="28"/>
      <c r="N62" s="31" t="s">
        <v>70</v>
      </c>
      <c r="O62" s="18"/>
      <c r="P62" s="19"/>
      <c r="Q62" s="19"/>
      <c r="R62" s="19"/>
      <c r="S62" s="20"/>
      <c r="T62" s="21"/>
      <c r="U62" s="21"/>
      <c r="V62" s="21"/>
      <c r="W62" s="22"/>
      <c r="X62" s="23"/>
      <c r="Y62" s="23"/>
      <c r="Z62" s="23"/>
      <c r="AA62" s="24"/>
      <c r="AB62" s="29" t="str">
        <f aca="false">IF(Z62&lt;&gt;"",Z62,IF(V62&lt;&gt;"",V62,IF(R62&lt;&gt;"",R62,IF(N62&lt;&gt;"",N62,IF(J62&lt;&gt;"","BEKLİYOR","")))))</f>
        <v>DÜZELTME</v>
      </c>
    </row>
    <row r="63" customFormat="false" ht="27.75" hidden="false" customHeight="true" outlineLevel="0" collapsed="false">
      <c r="A63" s="15" t="s">
        <v>387</v>
      </c>
      <c r="B63" s="15" t="s">
        <v>388</v>
      </c>
      <c r="C63" s="16" t="s">
        <v>389</v>
      </c>
      <c r="D63" s="16" t="s">
        <v>390</v>
      </c>
      <c r="E63" s="16" t="s">
        <v>391</v>
      </c>
      <c r="F63" s="16" t="s">
        <v>392</v>
      </c>
      <c r="G63" s="15" t="s">
        <v>41</v>
      </c>
      <c r="H63" s="15" t="s">
        <v>362</v>
      </c>
      <c r="I63" s="15" t="s">
        <v>363</v>
      </c>
      <c r="J63" s="16" t="s">
        <v>93</v>
      </c>
      <c r="K63" s="16" t="s">
        <v>69</v>
      </c>
      <c r="L63" s="17" t="s">
        <v>45</v>
      </c>
      <c r="M63" s="17" t="s">
        <v>45</v>
      </c>
      <c r="N63" s="31" t="s">
        <v>70</v>
      </c>
      <c r="O63" s="18"/>
      <c r="P63" s="19"/>
      <c r="Q63" s="19"/>
      <c r="R63" s="34" t="s">
        <v>177</v>
      </c>
      <c r="S63" s="20"/>
      <c r="T63" s="21"/>
      <c r="U63" s="21"/>
      <c r="V63" s="21"/>
      <c r="W63" s="22"/>
      <c r="X63" s="23"/>
      <c r="Y63" s="23"/>
      <c r="Z63" s="23"/>
      <c r="AA63" s="24"/>
      <c r="AB63" s="25" t="str">
        <f aca="false">IF(Z63&lt;&gt;"",Z63,IF(V63&lt;&gt;"",V63,IF(R63&lt;&gt;"",R63,IF(N63&lt;&gt;"",N63,IF(J63&lt;&gt;"","BEKLİYOR","")))))</f>
        <v>GÖRÜŞ</v>
      </c>
    </row>
    <row r="64" customFormat="false" ht="27.75" hidden="false" customHeight="true" outlineLevel="0" collapsed="false">
      <c r="A64" s="26" t="s">
        <v>393</v>
      </c>
      <c r="B64" s="26" t="s">
        <v>394</v>
      </c>
      <c r="C64" s="27" t="s">
        <v>395</v>
      </c>
      <c r="D64" s="27" t="s">
        <v>373</v>
      </c>
      <c r="E64" s="27" t="s">
        <v>396</v>
      </c>
      <c r="F64" s="27" t="s">
        <v>397</v>
      </c>
      <c r="G64" s="26" t="s">
        <v>41</v>
      </c>
      <c r="H64" s="26" t="s">
        <v>362</v>
      </c>
      <c r="I64" s="26" t="s">
        <v>363</v>
      </c>
      <c r="J64" s="27" t="s">
        <v>85</v>
      </c>
      <c r="K64" s="27" t="s">
        <v>69</v>
      </c>
      <c r="L64" s="28"/>
      <c r="M64" s="17" t="s">
        <v>45</v>
      </c>
      <c r="N64" s="17" t="s">
        <v>45</v>
      </c>
      <c r="O64" s="18"/>
      <c r="P64" s="19"/>
      <c r="Q64" s="19"/>
      <c r="R64" s="19"/>
      <c r="S64" s="20"/>
      <c r="T64" s="21"/>
      <c r="U64" s="21"/>
      <c r="V64" s="21"/>
      <c r="W64" s="22"/>
      <c r="X64" s="23"/>
      <c r="Y64" s="23"/>
      <c r="Z64" s="23"/>
      <c r="AA64" s="24"/>
      <c r="AB64" s="29" t="str">
        <f aca="false">IF(Z64&lt;&gt;"",Z64,IF(V64&lt;&gt;"",V64,IF(R64&lt;&gt;"",R64,IF(N64&lt;&gt;"",N64,IF(J64&lt;&gt;"","BEKLİYOR","")))))</f>
        <v>ONAY</v>
      </c>
    </row>
    <row r="65" customFormat="false" ht="27.75" hidden="false" customHeight="true" outlineLevel="0" collapsed="false">
      <c r="A65" s="15" t="s">
        <v>398</v>
      </c>
      <c r="B65" s="15" t="s">
        <v>399</v>
      </c>
      <c r="C65" s="16" t="s">
        <v>400</v>
      </c>
      <c r="D65" s="16" t="s">
        <v>338</v>
      </c>
      <c r="E65" s="16" t="s">
        <v>401</v>
      </c>
      <c r="F65" s="16" t="s">
        <v>402</v>
      </c>
      <c r="G65" s="15" t="s">
        <v>41</v>
      </c>
      <c r="H65" s="15" t="s">
        <v>362</v>
      </c>
      <c r="I65" s="15" t="s">
        <v>363</v>
      </c>
      <c r="J65" s="16" t="s">
        <v>78</v>
      </c>
      <c r="K65" s="16" t="s">
        <v>52</v>
      </c>
      <c r="L65" s="28"/>
      <c r="M65" s="17" t="s">
        <v>45</v>
      </c>
      <c r="N65" s="17" t="s">
        <v>45</v>
      </c>
      <c r="O65" s="18"/>
      <c r="P65" s="19"/>
      <c r="Q65" s="19"/>
      <c r="R65" s="19"/>
      <c r="S65" s="20"/>
      <c r="T65" s="21"/>
      <c r="U65" s="21"/>
      <c r="V65" s="21"/>
      <c r="W65" s="22"/>
      <c r="X65" s="23"/>
      <c r="Y65" s="23"/>
      <c r="Z65" s="23"/>
      <c r="AA65" s="24"/>
      <c r="AB65" s="25" t="str">
        <f aca="false">IF(Z65&lt;&gt;"",Z65,IF(V65&lt;&gt;"",V65,IF(R65&lt;&gt;"",R65,IF(N65&lt;&gt;"",N65,IF(J65&lt;&gt;"","BEKLİYOR","")))))</f>
        <v>ONAY</v>
      </c>
    </row>
    <row r="66" customFormat="false" ht="27.75" hidden="false" customHeight="true" outlineLevel="0" collapsed="false">
      <c r="A66" s="26" t="s">
        <v>403</v>
      </c>
      <c r="B66" s="26" t="s">
        <v>404</v>
      </c>
      <c r="C66" s="27" t="s">
        <v>405</v>
      </c>
      <c r="D66" s="27" t="s">
        <v>406</v>
      </c>
      <c r="E66" s="27" t="s">
        <v>407</v>
      </c>
      <c r="F66" s="27" t="s">
        <v>408</v>
      </c>
      <c r="G66" s="26" t="s">
        <v>92</v>
      </c>
      <c r="H66" s="26" t="s">
        <v>362</v>
      </c>
      <c r="I66" s="26" t="s">
        <v>363</v>
      </c>
      <c r="J66" s="27" t="s">
        <v>77</v>
      </c>
      <c r="K66" s="27" t="s">
        <v>99</v>
      </c>
      <c r="L66" s="31" t="s">
        <v>70</v>
      </c>
      <c r="M66" s="17" t="s">
        <v>45</v>
      </c>
      <c r="N66" s="31" t="s">
        <v>70</v>
      </c>
      <c r="O66" s="18"/>
      <c r="P66" s="19"/>
      <c r="Q66" s="19"/>
      <c r="R66" s="19"/>
      <c r="S66" s="20"/>
      <c r="T66" s="21"/>
      <c r="U66" s="21"/>
      <c r="V66" s="21"/>
      <c r="W66" s="22"/>
      <c r="X66" s="23"/>
      <c r="Y66" s="23"/>
      <c r="Z66" s="23"/>
      <c r="AA66" s="24"/>
      <c r="AB66" s="29" t="str">
        <f aca="false">IF(Z66&lt;&gt;"",Z66,IF(V66&lt;&gt;"",V66,IF(R66&lt;&gt;"",R66,IF(N66&lt;&gt;"",N66,IF(J66&lt;&gt;"","BEKLİYOR","")))))</f>
        <v>DÜZELTME</v>
      </c>
    </row>
    <row r="67" customFormat="false" ht="42" hidden="false" customHeight="true" outlineLevel="0" collapsed="false">
      <c r="A67" s="15" t="s">
        <v>409</v>
      </c>
      <c r="B67" s="15" t="s">
        <v>410</v>
      </c>
      <c r="C67" s="16" t="s">
        <v>405</v>
      </c>
      <c r="D67" s="16" t="s">
        <v>406</v>
      </c>
      <c r="E67" s="16" t="s">
        <v>411</v>
      </c>
      <c r="F67" s="16" t="s">
        <v>412</v>
      </c>
      <c r="G67" s="15" t="s">
        <v>92</v>
      </c>
      <c r="H67" s="15" t="s">
        <v>362</v>
      </c>
      <c r="I67" s="15" t="s">
        <v>363</v>
      </c>
      <c r="J67" s="16" t="s">
        <v>77</v>
      </c>
      <c r="K67" s="16" t="s">
        <v>99</v>
      </c>
      <c r="L67" s="17" t="s">
        <v>45</v>
      </c>
      <c r="M67" s="17" t="s">
        <v>45</v>
      </c>
      <c r="N67" s="31" t="s">
        <v>70</v>
      </c>
      <c r="O67" s="18"/>
      <c r="P67" s="19"/>
      <c r="Q67" s="19"/>
      <c r="R67" s="19"/>
      <c r="S67" s="20"/>
      <c r="T67" s="21"/>
      <c r="U67" s="21"/>
      <c r="V67" s="21"/>
      <c r="W67" s="22"/>
      <c r="X67" s="23"/>
      <c r="Y67" s="23"/>
      <c r="Z67" s="23"/>
      <c r="AA67" s="24"/>
      <c r="AB67" s="25" t="str">
        <f aca="false">IF(Z67&lt;&gt;"",Z67,IF(V67&lt;&gt;"",V67,IF(R67&lt;&gt;"",R67,IF(N67&lt;&gt;"",N67,IF(J67&lt;&gt;"","BEKLİYOR","")))))</f>
        <v>DÜZELTME</v>
      </c>
    </row>
    <row r="68" customFormat="false" ht="27.75" hidden="false" customHeight="true" outlineLevel="0" collapsed="false">
      <c r="A68" s="26" t="s">
        <v>413</v>
      </c>
      <c r="B68" s="26" t="s">
        <v>414</v>
      </c>
      <c r="C68" s="27" t="s">
        <v>415</v>
      </c>
      <c r="D68" s="27" t="s">
        <v>158</v>
      </c>
      <c r="E68" s="27" t="s">
        <v>416</v>
      </c>
      <c r="F68" s="27" t="s">
        <v>417</v>
      </c>
      <c r="G68" s="26" t="s">
        <v>41</v>
      </c>
      <c r="H68" s="26" t="s">
        <v>418</v>
      </c>
      <c r="I68" s="26" t="s">
        <v>363</v>
      </c>
      <c r="J68" s="27" t="s">
        <v>60</v>
      </c>
      <c r="K68" s="27" t="s">
        <v>78</v>
      </c>
      <c r="L68" s="17" t="s">
        <v>45</v>
      </c>
      <c r="M68" s="28"/>
      <c r="N68" s="17" t="s">
        <v>45</v>
      </c>
      <c r="O68" s="18"/>
      <c r="P68" s="19"/>
      <c r="Q68" s="19"/>
      <c r="R68" s="19"/>
      <c r="S68" s="20"/>
      <c r="T68" s="21"/>
      <c r="U68" s="21"/>
      <c r="V68" s="21"/>
      <c r="W68" s="22"/>
      <c r="X68" s="23"/>
      <c r="Y68" s="23"/>
      <c r="Z68" s="23"/>
      <c r="AA68" s="24"/>
      <c r="AB68" s="29" t="str">
        <f aca="false">IF(Z68&lt;&gt;"",Z68,IF(V68&lt;&gt;"",V68,IF(R68&lt;&gt;"",R68,IF(N68&lt;&gt;"",N68,IF(J68&lt;&gt;"","BEKLİYOR","")))))</f>
        <v>ONAY</v>
      </c>
    </row>
    <row r="69" customFormat="false" ht="42" hidden="false" customHeight="true" outlineLevel="0" collapsed="false">
      <c r="A69" s="15" t="s">
        <v>419</v>
      </c>
      <c r="B69" s="15" t="s">
        <v>420</v>
      </c>
      <c r="C69" s="16" t="s">
        <v>421</v>
      </c>
      <c r="D69" s="16" t="s">
        <v>56</v>
      </c>
      <c r="E69" s="16" t="s">
        <v>422</v>
      </c>
      <c r="F69" s="16" t="s">
        <v>423</v>
      </c>
      <c r="G69" s="15" t="s">
        <v>41</v>
      </c>
      <c r="H69" s="15" t="s">
        <v>418</v>
      </c>
      <c r="I69" s="15" t="s">
        <v>363</v>
      </c>
      <c r="J69" s="16" t="s">
        <v>60</v>
      </c>
      <c r="K69" s="16" t="s">
        <v>59</v>
      </c>
      <c r="L69" s="28"/>
      <c r="M69" s="31" t="s">
        <v>70</v>
      </c>
      <c r="N69" s="31" t="s">
        <v>70</v>
      </c>
      <c r="O69" s="18"/>
      <c r="P69" s="19"/>
      <c r="Q69" s="19"/>
      <c r="R69" s="17" t="s">
        <v>45</v>
      </c>
      <c r="S69" s="20"/>
      <c r="T69" s="21"/>
      <c r="U69" s="21"/>
      <c r="V69" s="21"/>
      <c r="W69" s="22"/>
      <c r="X69" s="23"/>
      <c r="Y69" s="23"/>
      <c r="Z69" s="23"/>
      <c r="AA69" s="24"/>
      <c r="AB69" s="25" t="str">
        <f aca="false">IF(Z69&lt;&gt;"",Z69,IF(V69&lt;&gt;"",V69,IF(R69&lt;&gt;"",R69,IF(N69&lt;&gt;"",N69,IF(J69&lt;&gt;"","BEKLİYOR","")))))</f>
        <v>ONAY</v>
      </c>
    </row>
    <row r="70" customFormat="false" ht="27.75" hidden="false" customHeight="true" outlineLevel="0" collapsed="false">
      <c r="A70" s="26" t="s">
        <v>424</v>
      </c>
      <c r="B70" s="26" t="s">
        <v>425</v>
      </c>
      <c r="C70" s="27" t="s">
        <v>60</v>
      </c>
      <c r="D70" s="27" t="s">
        <v>56</v>
      </c>
      <c r="E70" s="27" t="s">
        <v>426</v>
      </c>
      <c r="F70" s="27" t="s">
        <v>427</v>
      </c>
      <c r="G70" s="26" t="s">
        <v>92</v>
      </c>
      <c r="H70" s="26" t="s">
        <v>418</v>
      </c>
      <c r="I70" s="26" t="s">
        <v>363</v>
      </c>
      <c r="J70" s="27" t="s">
        <v>59</v>
      </c>
      <c r="K70" s="27" t="s">
        <v>44</v>
      </c>
      <c r="L70" s="34" t="s">
        <v>177</v>
      </c>
      <c r="M70" s="17" t="s">
        <v>45</v>
      </c>
      <c r="N70" s="17" t="s">
        <v>45</v>
      </c>
      <c r="O70" s="18"/>
      <c r="P70" s="19"/>
      <c r="Q70" s="19"/>
      <c r="R70" s="19"/>
      <c r="S70" s="20"/>
      <c r="T70" s="21"/>
      <c r="U70" s="21"/>
      <c r="V70" s="21"/>
      <c r="W70" s="22"/>
      <c r="X70" s="23"/>
      <c r="Y70" s="23"/>
      <c r="Z70" s="23"/>
      <c r="AA70" s="24"/>
      <c r="AB70" s="29" t="str">
        <f aca="false">IF(Z70&lt;&gt;"",Z70,IF(V70&lt;&gt;"",V70,IF(R70&lt;&gt;"",R70,IF(N70&lt;&gt;"",N70,IF(J70&lt;&gt;"","BEKLİYOR","")))))</f>
        <v>ONAY</v>
      </c>
    </row>
    <row r="71" customFormat="false" ht="42" hidden="false" customHeight="true" outlineLevel="0" collapsed="false">
      <c r="A71" s="15" t="s">
        <v>428</v>
      </c>
      <c r="B71" s="15" t="s">
        <v>429</v>
      </c>
      <c r="C71" s="16" t="s">
        <v>395</v>
      </c>
      <c r="D71" s="16" t="s">
        <v>373</v>
      </c>
      <c r="E71" s="16" t="s">
        <v>430</v>
      </c>
      <c r="F71" s="16" t="s">
        <v>431</v>
      </c>
      <c r="G71" s="15" t="s">
        <v>41</v>
      </c>
      <c r="H71" s="15" t="s">
        <v>418</v>
      </c>
      <c r="I71" s="15" t="s">
        <v>363</v>
      </c>
      <c r="J71" s="16" t="s">
        <v>52</v>
      </c>
      <c r="K71" s="16" t="s">
        <v>77</v>
      </c>
      <c r="L71" s="17" t="s">
        <v>45</v>
      </c>
      <c r="M71" s="17" t="s">
        <v>45</v>
      </c>
      <c r="N71" s="17" t="s">
        <v>45</v>
      </c>
      <c r="O71" s="18"/>
      <c r="P71" s="19"/>
      <c r="Q71" s="19"/>
      <c r="R71" s="19"/>
      <c r="S71" s="20"/>
      <c r="T71" s="21"/>
      <c r="U71" s="21"/>
      <c r="V71" s="21"/>
      <c r="W71" s="22"/>
      <c r="X71" s="23"/>
      <c r="Y71" s="23"/>
      <c r="Z71" s="23"/>
      <c r="AA71" s="24"/>
      <c r="AB71" s="25" t="str">
        <f aca="false">IF(Z71&lt;&gt;"",Z71,IF(V71&lt;&gt;"",V71,IF(R71&lt;&gt;"",R71,IF(N71&lt;&gt;"",N71,IF(J71&lt;&gt;"","BEKLİYOR","")))))</f>
        <v>ONAY</v>
      </c>
    </row>
    <row r="72" customFormat="false" ht="27.75" hidden="false" customHeight="true" outlineLevel="0" collapsed="false">
      <c r="A72" s="26" t="s">
        <v>432</v>
      </c>
      <c r="B72" s="26" t="s">
        <v>433</v>
      </c>
      <c r="C72" s="27" t="s">
        <v>434</v>
      </c>
      <c r="D72" s="27" t="s">
        <v>252</v>
      </c>
      <c r="E72" s="27" t="s">
        <v>435</v>
      </c>
      <c r="F72" s="27" t="s">
        <v>436</v>
      </c>
      <c r="G72" s="26" t="s">
        <v>41</v>
      </c>
      <c r="H72" s="26" t="s">
        <v>418</v>
      </c>
      <c r="I72" s="26" t="s">
        <v>363</v>
      </c>
      <c r="J72" s="27" t="s">
        <v>60</v>
      </c>
      <c r="K72" s="27" t="s">
        <v>77</v>
      </c>
      <c r="L72" s="17" t="s">
        <v>45</v>
      </c>
      <c r="M72" s="17" t="s">
        <v>45</v>
      </c>
      <c r="N72" s="17" t="s">
        <v>45</v>
      </c>
      <c r="O72" s="18"/>
      <c r="P72" s="19"/>
      <c r="Q72" s="19"/>
      <c r="R72" s="19"/>
      <c r="S72" s="20"/>
      <c r="T72" s="21"/>
      <c r="U72" s="21"/>
      <c r="V72" s="21"/>
      <c r="W72" s="22"/>
      <c r="X72" s="23"/>
      <c r="Y72" s="23"/>
      <c r="Z72" s="23"/>
      <c r="AA72" s="24"/>
      <c r="AB72" s="29" t="str">
        <f aca="false">IF(Z72&lt;&gt;"",Z72,IF(V72&lt;&gt;"",V72,IF(R72&lt;&gt;"",R72,IF(N72&lt;&gt;"",N72,IF(J72&lt;&gt;"","BEKLİYOR","")))))</f>
        <v>ONAY</v>
      </c>
    </row>
    <row r="73" customFormat="false" ht="55.5" hidden="false" customHeight="true" outlineLevel="0" collapsed="false">
      <c r="A73" s="15" t="s">
        <v>437</v>
      </c>
      <c r="B73" s="15" t="s">
        <v>438</v>
      </c>
      <c r="C73" s="16" t="s">
        <v>439</v>
      </c>
      <c r="D73" s="16" t="s">
        <v>440</v>
      </c>
      <c r="E73" s="16" t="s">
        <v>441</v>
      </c>
      <c r="F73" s="16" t="s">
        <v>442</v>
      </c>
      <c r="G73" s="15" t="s">
        <v>41</v>
      </c>
      <c r="H73" s="15" t="s">
        <v>443</v>
      </c>
      <c r="I73" s="15" t="s">
        <v>363</v>
      </c>
      <c r="J73" s="16" t="s">
        <v>43</v>
      </c>
      <c r="K73" s="16" t="s">
        <v>59</v>
      </c>
      <c r="L73" s="31" t="s">
        <v>70</v>
      </c>
      <c r="M73" s="31" t="s">
        <v>70</v>
      </c>
      <c r="N73" s="31" t="s">
        <v>70</v>
      </c>
      <c r="O73" s="18"/>
      <c r="P73" s="19"/>
      <c r="Q73" s="19"/>
      <c r="R73" s="19"/>
      <c r="S73" s="20"/>
      <c r="T73" s="21"/>
      <c r="U73" s="21"/>
      <c r="V73" s="21"/>
      <c r="W73" s="22"/>
      <c r="X73" s="23"/>
      <c r="Y73" s="23"/>
      <c r="Z73" s="23"/>
      <c r="AA73" s="24"/>
      <c r="AB73" s="25" t="str">
        <f aca="false">IF(Z73&lt;&gt;"",Z73,IF(V73&lt;&gt;"",V73,IF(R73&lt;&gt;"",R73,IF(N73&lt;&gt;"",N73,IF(J73&lt;&gt;"","BEKLİYOR","")))))</f>
        <v>DÜZELTME</v>
      </c>
    </row>
    <row r="74" customFormat="false" ht="55.5" hidden="false" customHeight="true" outlineLevel="0" collapsed="false">
      <c r="A74" s="26" t="s">
        <v>444</v>
      </c>
      <c r="B74" s="26" t="s">
        <v>445</v>
      </c>
      <c r="C74" s="27" t="s">
        <v>446</v>
      </c>
      <c r="D74" s="27" t="s">
        <v>193</v>
      </c>
      <c r="E74" s="27" t="s">
        <v>447</v>
      </c>
      <c r="F74" s="27" t="s">
        <v>448</v>
      </c>
      <c r="G74" s="26" t="s">
        <v>41</v>
      </c>
      <c r="H74" s="26" t="s">
        <v>443</v>
      </c>
      <c r="I74" s="26" t="s">
        <v>363</v>
      </c>
      <c r="J74" s="27" t="s">
        <v>78</v>
      </c>
      <c r="K74" s="27" t="s">
        <v>93</v>
      </c>
      <c r="L74" s="28"/>
      <c r="M74" s="28"/>
      <c r="N74" s="28"/>
      <c r="O74" s="18"/>
      <c r="P74" s="19"/>
      <c r="Q74" s="19"/>
      <c r="R74" s="19"/>
      <c r="S74" s="20"/>
      <c r="T74" s="21"/>
      <c r="U74" s="21"/>
      <c r="V74" s="21"/>
      <c r="W74" s="22"/>
      <c r="X74" s="23"/>
      <c r="Y74" s="23"/>
      <c r="Z74" s="23"/>
      <c r="AA74" s="24"/>
      <c r="AB74" s="29" t="str">
        <f aca="false">IF(Z74&lt;&gt;"",Z74,IF(V74&lt;&gt;"",V74,IF(R74&lt;&gt;"",R74,IF(N74&lt;&gt;"",N74,IF(J74&lt;&gt;"","BEKLİYOR","")))))</f>
        <v>BEKLİYOR</v>
      </c>
    </row>
    <row r="75" customFormat="false" ht="27.75" hidden="false" customHeight="true" outlineLevel="0" collapsed="false">
      <c r="A75" s="15" t="s">
        <v>449</v>
      </c>
      <c r="B75" s="15" t="s">
        <v>450</v>
      </c>
      <c r="C75" s="16" t="s">
        <v>372</v>
      </c>
      <c r="D75" s="16" t="s">
        <v>373</v>
      </c>
      <c r="E75" s="16" t="s">
        <v>451</v>
      </c>
      <c r="F75" s="16" t="s">
        <v>452</v>
      </c>
      <c r="G75" s="15" t="s">
        <v>41</v>
      </c>
      <c r="H75" s="15" t="s">
        <v>443</v>
      </c>
      <c r="I75" s="15" t="s">
        <v>363</v>
      </c>
      <c r="J75" s="16" t="s">
        <v>52</v>
      </c>
      <c r="K75" s="16" t="s">
        <v>85</v>
      </c>
      <c r="L75" s="31" t="s">
        <v>70</v>
      </c>
      <c r="M75" s="28"/>
      <c r="N75" s="31" t="s">
        <v>70</v>
      </c>
      <c r="O75" s="18"/>
      <c r="P75" s="19"/>
      <c r="Q75" s="19"/>
      <c r="R75" s="19"/>
      <c r="S75" s="20"/>
      <c r="T75" s="21"/>
      <c r="U75" s="21"/>
      <c r="V75" s="21"/>
      <c r="W75" s="22"/>
      <c r="X75" s="23"/>
      <c r="Y75" s="23"/>
      <c r="Z75" s="23"/>
      <c r="AA75" s="24"/>
      <c r="AB75" s="25" t="str">
        <f aca="false">IF(Z75&lt;&gt;"",Z75,IF(V75&lt;&gt;"",V75,IF(R75&lt;&gt;"",R75,IF(N75&lt;&gt;"",N75,IF(J75&lt;&gt;"","BEKLİYOR","")))))</f>
        <v>DÜZELTME</v>
      </c>
    </row>
    <row r="76" customFormat="false" ht="27.75" hidden="false" customHeight="true" outlineLevel="0" collapsed="false">
      <c r="A76" s="26" t="s">
        <v>453</v>
      </c>
      <c r="B76" s="26" t="s">
        <v>454</v>
      </c>
      <c r="C76" s="27" t="s">
        <v>455</v>
      </c>
      <c r="D76" s="27" t="s">
        <v>456</v>
      </c>
      <c r="E76" s="27" t="s">
        <v>457</v>
      </c>
      <c r="F76" s="27" t="s">
        <v>458</v>
      </c>
      <c r="G76" s="26" t="s">
        <v>67</v>
      </c>
      <c r="H76" s="26" t="s">
        <v>459</v>
      </c>
      <c r="I76" s="26" t="s">
        <v>363</v>
      </c>
      <c r="J76" s="27" t="s">
        <v>68</v>
      </c>
      <c r="K76" s="27" t="s">
        <v>69</v>
      </c>
      <c r="L76" s="28"/>
      <c r="M76" s="17" t="s">
        <v>45</v>
      </c>
      <c r="N76" s="17" t="s">
        <v>45</v>
      </c>
      <c r="O76" s="18"/>
      <c r="P76" s="19"/>
      <c r="Q76" s="19"/>
      <c r="R76" s="19"/>
      <c r="S76" s="20"/>
      <c r="T76" s="21"/>
      <c r="U76" s="21"/>
      <c r="V76" s="21"/>
      <c r="W76" s="22"/>
      <c r="X76" s="23"/>
      <c r="Y76" s="23"/>
      <c r="Z76" s="23"/>
      <c r="AA76" s="24"/>
      <c r="AB76" s="29" t="str">
        <f aca="false">IF(Z76&lt;&gt;"",Z76,IF(V76&lt;&gt;"",V76,IF(R76&lt;&gt;"",R76,IF(N76&lt;&gt;"",N76,IF(J76&lt;&gt;"","BEKLİYOR","")))))</f>
        <v>ONAY</v>
      </c>
    </row>
    <row r="77" customFormat="false" ht="55.5" hidden="false" customHeight="true" outlineLevel="0" collapsed="false">
      <c r="A77" s="15" t="s">
        <v>460</v>
      </c>
      <c r="B77" s="15" t="s">
        <v>461</v>
      </c>
      <c r="C77" s="16" t="s">
        <v>462</v>
      </c>
      <c r="D77" s="16" t="s">
        <v>463</v>
      </c>
      <c r="E77" s="16" t="s">
        <v>464</v>
      </c>
      <c r="F77" s="16" t="s">
        <v>465</v>
      </c>
      <c r="G77" s="15" t="s">
        <v>92</v>
      </c>
      <c r="H77" s="15" t="s">
        <v>459</v>
      </c>
      <c r="I77" s="15" t="s">
        <v>363</v>
      </c>
      <c r="J77" s="16" t="s">
        <v>93</v>
      </c>
      <c r="K77" s="16" t="s">
        <v>60</v>
      </c>
      <c r="L77" s="17" t="s">
        <v>45</v>
      </c>
      <c r="M77" s="17" t="s">
        <v>45</v>
      </c>
      <c r="N77" s="17" t="s">
        <v>45</v>
      </c>
      <c r="O77" s="18"/>
      <c r="P77" s="19"/>
      <c r="Q77" s="19"/>
      <c r="R77" s="19"/>
      <c r="S77" s="20"/>
      <c r="T77" s="21"/>
      <c r="U77" s="21"/>
      <c r="V77" s="21"/>
      <c r="W77" s="22"/>
      <c r="X77" s="23"/>
      <c r="Y77" s="23"/>
      <c r="Z77" s="23"/>
      <c r="AA77" s="24"/>
      <c r="AB77" s="25" t="str">
        <f aca="false">IF(Z77&lt;&gt;"",Z77,IF(V77&lt;&gt;"",V77,IF(R77&lt;&gt;"",R77,IF(N77&lt;&gt;"",N77,IF(J77&lt;&gt;"","BEKLİYOR","")))))</f>
        <v>ONAY</v>
      </c>
    </row>
    <row r="78" customFormat="false" ht="42" hidden="false" customHeight="true" outlineLevel="0" collapsed="false">
      <c r="A78" s="26" t="s">
        <v>466</v>
      </c>
      <c r="B78" s="26" t="s">
        <v>467</v>
      </c>
      <c r="C78" s="27" t="s">
        <v>468</v>
      </c>
      <c r="D78" s="27" t="s">
        <v>269</v>
      </c>
      <c r="E78" s="27" t="s">
        <v>469</v>
      </c>
      <c r="F78" s="27" t="s">
        <v>470</v>
      </c>
      <c r="G78" s="26" t="s">
        <v>41</v>
      </c>
      <c r="H78" s="26" t="s">
        <v>471</v>
      </c>
      <c r="I78" s="26" t="s">
        <v>363</v>
      </c>
      <c r="J78" s="27" t="s">
        <v>93</v>
      </c>
      <c r="K78" s="27" t="s">
        <v>44</v>
      </c>
      <c r="L78" s="17" t="s">
        <v>45</v>
      </c>
      <c r="M78" s="28"/>
      <c r="N78" s="17" t="s">
        <v>45</v>
      </c>
      <c r="O78" s="18"/>
      <c r="P78" s="19"/>
      <c r="Q78" s="19"/>
      <c r="R78" s="19"/>
      <c r="S78" s="20"/>
      <c r="T78" s="21"/>
      <c r="U78" s="21"/>
      <c r="V78" s="21"/>
      <c r="W78" s="22"/>
      <c r="X78" s="23"/>
      <c r="Y78" s="23"/>
      <c r="Z78" s="23"/>
      <c r="AA78" s="24"/>
      <c r="AB78" s="29" t="str">
        <f aca="false">IF(Z78&lt;&gt;"",Z78,IF(V78&lt;&gt;"",V78,IF(R78&lt;&gt;"",R78,IF(N78&lt;&gt;"",N78,IF(J78&lt;&gt;"","BEKLİYOR","")))))</f>
        <v>ONAY</v>
      </c>
    </row>
    <row r="79" customFormat="false" ht="15.75" hidden="false" customHeight="true" outlineLevel="0" collapsed="false">
      <c r="A79" s="15" t="s">
        <v>472</v>
      </c>
      <c r="B79" s="15" t="s">
        <v>473</v>
      </c>
      <c r="C79" s="16" t="s">
        <v>474</v>
      </c>
      <c r="D79" s="16" t="s">
        <v>359</v>
      </c>
      <c r="E79" s="16" t="s">
        <v>475</v>
      </c>
      <c r="F79" s="16" t="s">
        <v>476</v>
      </c>
      <c r="G79" s="15" t="s">
        <v>41</v>
      </c>
      <c r="H79" s="15" t="s">
        <v>471</v>
      </c>
      <c r="I79" s="15" t="s">
        <v>363</v>
      </c>
      <c r="J79" s="16" t="s">
        <v>44</v>
      </c>
      <c r="K79" s="16" t="s">
        <v>69</v>
      </c>
      <c r="L79" s="28"/>
      <c r="M79" s="31" t="s">
        <v>70</v>
      </c>
      <c r="N79" s="31" t="s">
        <v>70</v>
      </c>
      <c r="O79" s="18"/>
      <c r="P79" s="19"/>
      <c r="Q79" s="19"/>
      <c r="R79" s="17" t="s">
        <v>45</v>
      </c>
      <c r="S79" s="20"/>
      <c r="T79" s="21"/>
      <c r="U79" s="21"/>
      <c r="V79" s="21"/>
      <c r="W79" s="22"/>
      <c r="X79" s="23"/>
      <c r="Y79" s="23"/>
      <c r="Z79" s="23"/>
      <c r="AA79" s="24"/>
      <c r="AB79" s="25" t="str">
        <f aca="false">IF(Z79&lt;&gt;"",Z79,IF(V79&lt;&gt;"",V79,IF(R79&lt;&gt;"",R79,IF(N79&lt;&gt;"",N79,IF(J79&lt;&gt;"","BEKLİYOR","")))))</f>
        <v>ONAY</v>
      </c>
    </row>
    <row r="80" customFormat="false" ht="42" hidden="false" customHeight="true" outlineLevel="0" collapsed="false">
      <c r="A80" s="26" t="s">
        <v>477</v>
      </c>
      <c r="B80" s="26" t="s">
        <v>478</v>
      </c>
      <c r="C80" s="27" t="s">
        <v>257</v>
      </c>
      <c r="D80" s="27" t="s">
        <v>193</v>
      </c>
      <c r="E80" s="27" t="s">
        <v>479</v>
      </c>
      <c r="F80" s="27" t="s">
        <v>480</v>
      </c>
      <c r="G80" s="26" t="s">
        <v>92</v>
      </c>
      <c r="H80" s="26" t="s">
        <v>471</v>
      </c>
      <c r="I80" s="26" t="s">
        <v>363</v>
      </c>
      <c r="J80" s="27" t="s">
        <v>69</v>
      </c>
      <c r="K80" s="27" t="s">
        <v>68</v>
      </c>
      <c r="L80" s="17" t="s">
        <v>45</v>
      </c>
      <c r="M80" s="17" t="s">
        <v>45</v>
      </c>
      <c r="N80" s="17" t="s">
        <v>45</v>
      </c>
      <c r="O80" s="18"/>
      <c r="P80" s="19"/>
      <c r="Q80" s="19"/>
      <c r="R80" s="19"/>
      <c r="S80" s="20"/>
      <c r="T80" s="21"/>
      <c r="U80" s="21"/>
      <c r="V80" s="21"/>
      <c r="W80" s="22"/>
      <c r="X80" s="23"/>
      <c r="Y80" s="23"/>
      <c r="Z80" s="23"/>
      <c r="AA80" s="24"/>
      <c r="AB80" s="29" t="str">
        <f aca="false">IF(Z80&lt;&gt;"",Z80,IF(V80&lt;&gt;"",V80,IF(R80&lt;&gt;"",R80,IF(N80&lt;&gt;"",N80,IF(J80&lt;&gt;"","BEKLİYOR","")))))</f>
        <v>ONAY</v>
      </c>
    </row>
    <row r="81" customFormat="false" ht="42" hidden="false" customHeight="true" outlineLevel="0" collapsed="false">
      <c r="A81" s="15" t="s">
        <v>481</v>
      </c>
      <c r="B81" s="15" t="s">
        <v>482</v>
      </c>
      <c r="C81" s="16" t="s">
        <v>483</v>
      </c>
      <c r="D81" s="16" t="s">
        <v>484</v>
      </c>
      <c r="E81" s="16" t="s">
        <v>485</v>
      </c>
      <c r="F81" s="16" t="s">
        <v>486</v>
      </c>
      <c r="G81" s="15" t="s">
        <v>67</v>
      </c>
      <c r="H81" s="15" t="s">
        <v>471</v>
      </c>
      <c r="I81" s="15" t="s">
        <v>363</v>
      </c>
      <c r="J81" s="16" t="s">
        <v>68</v>
      </c>
      <c r="K81" s="16" t="s">
        <v>52</v>
      </c>
      <c r="L81" s="31" t="s">
        <v>70</v>
      </c>
      <c r="M81" s="31" t="s">
        <v>70</v>
      </c>
      <c r="N81" s="31" t="s">
        <v>70</v>
      </c>
      <c r="O81" s="18"/>
      <c r="P81" s="19"/>
      <c r="Q81" s="19"/>
      <c r="R81" s="17" t="s">
        <v>45</v>
      </c>
      <c r="S81" s="20"/>
      <c r="T81" s="21"/>
      <c r="U81" s="21"/>
      <c r="V81" s="21"/>
      <c r="W81" s="22"/>
      <c r="X81" s="23"/>
      <c r="Y81" s="23"/>
      <c r="Z81" s="23"/>
      <c r="AA81" s="24"/>
      <c r="AB81" s="25" t="str">
        <f aca="false">IF(Z81&lt;&gt;"",Z81,IF(V81&lt;&gt;"",V81,IF(R81&lt;&gt;"",R81,IF(N81&lt;&gt;"",N81,IF(J81&lt;&gt;"","BEKLİYOR","")))))</f>
        <v>ONAY</v>
      </c>
    </row>
    <row r="82" customFormat="false" ht="27.75" hidden="false" customHeight="true" outlineLevel="0" collapsed="false">
      <c r="A82" s="26" t="s">
        <v>487</v>
      </c>
      <c r="B82" s="26" t="s">
        <v>488</v>
      </c>
      <c r="C82" s="27" t="s">
        <v>489</v>
      </c>
      <c r="D82" s="27" t="s">
        <v>193</v>
      </c>
      <c r="E82" s="27" t="s">
        <v>490</v>
      </c>
      <c r="F82" s="27" t="s">
        <v>491</v>
      </c>
      <c r="G82" s="26" t="s">
        <v>92</v>
      </c>
      <c r="H82" s="26" t="s">
        <v>492</v>
      </c>
      <c r="I82" s="26" t="s">
        <v>363</v>
      </c>
      <c r="J82" s="27" t="s">
        <v>78</v>
      </c>
      <c r="K82" s="27" t="s">
        <v>44</v>
      </c>
      <c r="L82" s="31" t="s">
        <v>70</v>
      </c>
      <c r="M82" s="28"/>
      <c r="N82" s="31" t="s">
        <v>70</v>
      </c>
      <c r="O82" s="18"/>
      <c r="P82" s="19"/>
      <c r="Q82" s="19"/>
      <c r="R82" s="17" t="s">
        <v>45</v>
      </c>
      <c r="S82" s="20"/>
      <c r="T82" s="21"/>
      <c r="U82" s="21"/>
      <c r="V82" s="21"/>
      <c r="W82" s="22"/>
      <c r="X82" s="23"/>
      <c r="Y82" s="23"/>
      <c r="Z82" s="23"/>
      <c r="AA82" s="24"/>
      <c r="AB82" s="29" t="str">
        <f aca="false">IF(Z82&lt;&gt;"",Z82,IF(V82&lt;&gt;"",V82,IF(R82&lt;&gt;"",R82,IF(N82&lt;&gt;"",N82,IF(J82&lt;&gt;"","BEKLİYOR","")))))</f>
        <v>ONAY</v>
      </c>
    </row>
    <row r="83" customFormat="false" ht="55.5" hidden="false" customHeight="true" outlineLevel="0" collapsed="false">
      <c r="A83" s="15" t="s">
        <v>493</v>
      </c>
      <c r="B83" s="15" t="s">
        <v>494</v>
      </c>
      <c r="C83" s="16" t="s">
        <v>495</v>
      </c>
      <c r="D83" s="16" t="s">
        <v>263</v>
      </c>
      <c r="E83" s="16" t="s">
        <v>496</v>
      </c>
      <c r="F83" s="16" t="s">
        <v>497</v>
      </c>
      <c r="G83" s="15" t="s">
        <v>41</v>
      </c>
      <c r="H83" s="15" t="s">
        <v>492</v>
      </c>
      <c r="I83" s="15" t="s">
        <v>363</v>
      </c>
      <c r="J83" s="16" t="s">
        <v>59</v>
      </c>
      <c r="K83" s="16" t="s">
        <v>85</v>
      </c>
      <c r="L83" s="17" t="s">
        <v>45</v>
      </c>
      <c r="M83" s="28"/>
      <c r="N83" s="17" t="s">
        <v>45</v>
      </c>
      <c r="O83" s="18"/>
      <c r="P83" s="19"/>
      <c r="Q83" s="19"/>
      <c r="R83" s="19"/>
      <c r="S83" s="20"/>
      <c r="T83" s="21"/>
      <c r="U83" s="21"/>
      <c r="V83" s="21"/>
      <c r="W83" s="22"/>
      <c r="X83" s="23"/>
      <c r="Y83" s="23"/>
      <c r="Z83" s="23"/>
      <c r="AA83" s="24"/>
      <c r="AB83" s="25" t="str">
        <f aca="false">IF(Z83&lt;&gt;"",Z83,IF(V83&lt;&gt;"",V83,IF(R83&lt;&gt;"",R83,IF(N83&lt;&gt;"",N83,IF(J83&lt;&gt;"","BEKLİYOR","")))))</f>
        <v>ONAY</v>
      </c>
    </row>
    <row r="84" customFormat="false" ht="42" hidden="false" customHeight="true" outlineLevel="0" collapsed="false">
      <c r="A84" s="26" t="s">
        <v>498</v>
      </c>
      <c r="B84" s="26" t="s">
        <v>499</v>
      </c>
      <c r="C84" s="27" t="s">
        <v>500</v>
      </c>
      <c r="D84" s="27" t="s">
        <v>338</v>
      </c>
      <c r="E84" s="27" t="s">
        <v>501</v>
      </c>
      <c r="F84" s="27" t="s">
        <v>502</v>
      </c>
      <c r="G84" s="26" t="s">
        <v>41</v>
      </c>
      <c r="H84" s="26" t="s">
        <v>492</v>
      </c>
      <c r="I84" s="26" t="s">
        <v>363</v>
      </c>
      <c r="J84" s="27" t="s">
        <v>77</v>
      </c>
      <c r="K84" s="27" t="s">
        <v>99</v>
      </c>
      <c r="L84" s="17" t="s">
        <v>45</v>
      </c>
      <c r="M84" s="28"/>
      <c r="N84" s="31" t="s">
        <v>70</v>
      </c>
      <c r="O84" s="18"/>
      <c r="P84" s="19"/>
      <c r="Q84" s="19"/>
      <c r="R84" s="19"/>
      <c r="S84" s="20"/>
      <c r="T84" s="21"/>
      <c r="U84" s="21"/>
      <c r="V84" s="21"/>
      <c r="W84" s="22"/>
      <c r="X84" s="23"/>
      <c r="Y84" s="23"/>
      <c r="Z84" s="23"/>
      <c r="AA84" s="24"/>
      <c r="AB84" s="29" t="str">
        <f aca="false">IF(Z84&lt;&gt;"",Z84,IF(V84&lt;&gt;"",V84,IF(R84&lt;&gt;"",R84,IF(N84&lt;&gt;"",N84,IF(J84&lt;&gt;"","BEKLİYOR","")))))</f>
        <v>DÜZELTME</v>
      </c>
    </row>
    <row r="85" customFormat="false" ht="27.75" hidden="false" customHeight="true" outlineLevel="0" collapsed="false">
      <c r="A85" s="15" t="s">
        <v>503</v>
      </c>
      <c r="B85" s="15" t="s">
        <v>504</v>
      </c>
      <c r="C85" s="16" t="s">
        <v>505</v>
      </c>
      <c r="D85" s="16" t="s">
        <v>82</v>
      </c>
      <c r="E85" s="16" t="s">
        <v>506</v>
      </c>
      <c r="F85" s="16" t="s">
        <v>507</v>
      </c>
      <c r="G85" s="15" t="s">
        <v>41</v>
      </c>
      <c r="H85" s="15" t="s">
        <v>492</v>
      </c>
      <c r="I85" s="15" t="s">
        <v>363</v>
      </c>
      <c r="J85" s="16" t="s">
        <v>68</v>
      </c>
      <c r="K85" s="16" t="s">
        <v>85</v>
      </c>
      <c r="L85" s="28"/>
      <c r="M85" s="17" t="s">
        <v>45</v>
      </c>
      <c r="N85" s="34" t="s">
        <v>177</v>
      </c>
      <c r="O85" s="18"/>
      <c r="P85" s="19"/>
      <c r="Q85" s="19"/>
      <c r="R85" s="17" t="s">
        <v>45</v>
      </c>
      <c r="S85" s="20"/>
      <c r="T85" s="21"/>
      <c r="U85" s="21"/>
      <c r="V85" s="21"/>
      <c r="W85" s="22"/>
      <c r="X85" s="23"/>
      <c r="Y85" s="23"/>
      <c r="Z85" s="23"/>
      <c r="AA85" s="24"/>
      <c r="AB85" s="25" t="str">
        <f aca="false">IF(Z85&lt;&gt;"",Z85,IF(V85&lt;&gt;"",V85,IF(R85&lt;&gt;"",R85,IF(N85&lt;&gt;"",N85,IF(J85&lt;&gt;"","BEKLİYOR","")))))</f>
        <v>ONAY</v>
      </c>
    </row>
    <row r="86" customFormat="false" ht="55.5" hidden="false" customHeight="true" outlineLevel="0" collapsed="false">
      <c r="A86" s="26" t="s">
        <v>508</v>
      </c>
      <c r="B86" s="26" t="s">
        <v>509</v>
      </c>
      <c r="C86" s="27" t="s">
        <v>81</v>
      </c>
      <c r="D86" s="27" t="s">
        <v>82</v>
      </c>
      <c r="E86" s="27" t="s">
        <v>510</v>
      </c>
      <c r="F86" s="27" t="s">
        <v>511</v>
      </c>
      <c r="G86" s="26" t="s">
        <v>41</v>
      </c>
      <c r="H86" s="26" t="s">
        <v>492</v>
      </c>
      <c r="I86" s="26" t="s">
        <v>363</v>
      </c>
      <c r="J86" s="27" t="s">
        <v>99</v>
      </c>
      <c r="K86" s="27" t="s">
        <v>85</v>
      </c>
      <c r="L86" s="17" t="s">
        <v>45</v>
      </c>
      <c r="M86" s="17" t="s">
        <v>45</v>
      </c>
      <c r="N86" s="34" t="s">
        <v>177</v>
      </c>
      <c r="O86" s="18"/>
      <c r="P86" s="19"/>
      <c r="Q86" s="19"/>
      <c r="R86" s="31" t="s">
        <v>70</v>
      </c>
      <c r="S86" s="20"/>
      <c r="T86" s="21"/>
      <c r="U86" s="21"/>
      <c r="V86" s="21"/>
      <c r="W86" s="22"/>
      <c r="X86" s="23"/>
      <c r="Y86" s="23"/>
      <c r="Z86" s="23"/>
      <c r="AA86" s="24"/>
      <c r="AB86" s="29" t="str">
        <f aca="false">IF(Z86&lt;&gt;"",Z86,IF(V86&lt;&gt;"",V86,IF(R86&lt;&gt;"",R86,IF(N86&lt;&gt;"",N86,IF(J86&lt;&gt;"","BEKLİYOR","")))))</f>
        <v>DÜZELTME</v>
      </c>
    </row>
    <row r="87" customFormat="false" ht="27.75" hidden="false" customHeight="true" outlineLevel="0" collapsed="false">
      <c r="A87" s="15" t="s">
        <v>512</v>
      </c>
      <c r="B87" s="15" t="s">
        <v>513</v>
      </c>
      <c r="C87" s="16" t="s">
        <v>514</v>
      </c>
      <c r="D87" s="16" t="s">
        <v>82</v>
      </c>
      <c r="E87" s="16" t="s">
        <v>515</v>
      </c>
      <c r="F87" s="16" t="s">
        <v>516</v>
      </c>
      <c r="G87" s="15" t="s">
        <v>41</v>
      </c>
      <c r="H87" s="15" t="s">
        <v>517</v>
      </c>
      <c r="I87" s="15" t="s">
        <v>363</v>
      </c>
      <c r="J87" s="16" t="s">
        <v>78</v>
      </c>
      <c r="K87" s="16" t="s">
        <v>69</v>
      </c>
      <c r="L87" s="28"/>
      <c r="M87" s="17" t="s">
        <v>45</v>
      </c>
      <c r="N87" s="17" t="s">
        <v>45</v>
      </c>
      <c r="O87" s="18"/>
      <c r="P87" s="19"/>
      <c r="Q87" s="19"/>
      <c r="R87" s="19"/>
      <c r="S87" s="20"/>
      <c r="T87" s="21"/>
      <c r="U87" s="21"/>
      <c r="V87" s="21"/>
      <c r="W87" s="22"/>
      <c r="X87" s="23"/>
      <c r="Y87" s="23"/>
      <c r="Z87" s="23"/>
      <c r="AA87" s="24"/>
      <c r="AB87" s="25" t="str">
        <f aca="false">IF(Z87&lt;&gt;"",Z87,IF(V87&lt;&gt;"",V87,IF(R87&lt;&gt;"",R87,IF(N87&lt;&gt;"",N87,IF(J87&lt;&gt;"","BEKLİYOR","")))))</f>
        <v>ONAY</v>
      </c>
    </row>
    <row r="88" customFormat="false" ht="55.5" hidden="false" customHeight="true" outlineLevel="0" collapsed="false">
      <c r="A88" s="26" t="s">
        <v>518</v>
      </c>
      <c r="B88" s="26" t="s">
        <v>519</v>
      </c>
      <c r="C88" s="27" t="s">
        <v>520</v>
      </c>
      <c r="D88" s="27" t="s">
        <v>521</v>
      </c>
      <c r="E88" s="27" t="s">
        <v>522</v>
      </c>
      <c r="F88" s="27" t="s">
        <v>523</v>
      </c>
      <c r="G88" s="26" t="s">
        <v>92</v>
      </c>
      <c r="H88" s="26" t="s">
        <v>517</v>
      </c>
      <c r="I88" s="26" t="s">
        <v>363</v>
      </c>
      <c r="J88" s="27" t="s">
        <v>93</v>
      </c>
      <c r="K88" s="27" t="s">
        <v>52</v>
      </c>
      <c r="L88" s="31" t="s">
        <v>70</v>
      </c>
      <c r="M88" s="28"/>
      <c r="N88" s="31" t="s">
        <v>70</v>
      </c>
      <c r="O88" s="18"/>
      <c r="P88" s="19"/>
      <c r="Q88" s="19"/>
      <c r="R88" s="17" t="s">
        <v>45</v>
      </c>
      <c r="S88" s="20"/>
      <c r="T88" s="21"/>
      <c r="U88" s="21"/>
      <c r="V88" s="21"/>
      <c r="W88" s="22"/>
      <c r="X88" s="23"/>
      <c r="Y88" s="23"/>
      <c r="Z88" s="23"/>
      <c r="AA88" s="24"/>
      <c r="AB88" s="29" t="str">
        <f aca="false">IF(Z88&lt;&gt;"",Z88,IF(V88&lt;&gt;"",V88,IF(R88&lt;&gt;"",R88,IF(N88&lt;&gt;"",N88,IF(J88&lt;&gt;"","BEKLİYOR","")))))</f>
        <v>ONAY</v>
      </c>
    </row>
    <row r="89" customFormat="false" ht="27.75" hidden="false" customHeight="true" outlineLevel="0" collapsed="false">
      <c r="A89" s="15" t="s">
        <v>524</v>
      </c>
      <c r="B89" s="15" t="s">
        <v>525</v>
      </c>
      <c r="C89" s="16" t="s">
        <v>455</v>
      </c>
      <c r="D89" s="16" t="s">
        <v>193</v>
      </c>
      <c r="E89" s="16" t="s">
        <v>526</v>
      </c>
      <c r="F89" s="16" t="s">
        <v>527</v>
      </c>
      <c r="G89" s="15" t="s">
        <v>41</v>
      </c>
      <c r="H89" s="15" t="s">
        <v>517</v>
      </c>
      <c r="I89" s="15" t="s">
        <v>363</v>
      </c>
      <c r="J89" s="16" t="s">
        <v>85</v>
      </c>
      <c r="K89" s="16" t="s">
        <v>60</v>
      </c>
      <c r="L89" s="17" t="s">
        <v>45</v>
      </c>
      <c r="M89" s="28"/>
      <c r="N89" s="17" t="s">
        <v>45</v>
      </c>
      <c r="O89" s="18"/>
      <c r="P89" s="19"/>
      <c r="Q89" s="19"/>
      <c r="R89" s="19"/>
      <c r="S89" s="20"/>
      <c r="T89" s="21"/>
      <c r="U89" s="21"/>
      <c r="V89" s="21"/>
      <c r="W89" s="22"/>
      <c r="X89" s="23"/>
      <c r="Y89" s="23"/>
      <c r="Z89" s="23"/>
      <c r="AA89" s="24"/>
      <c r="AB89" s="25" t="str">
        <f aca="false">IF(Z89&lt;&gt;"",Z89,IF(V89&lt;&gt;"",V89,IF(R89&lt;&gt;"",R89,IF(N89&lt;&gt;"",N89,IF(J89&lt;&gt;"","BEKLİYOR","")))))</f>
        <v>ONAY</v>
      </c>
    </row>
    <row r="90" customFormat="false" ht="27.75" hidden="false" customHeight="true" outlineLevel="0" collapsed="false">
      <c r="A90" s="26" t="s">
        <v>528</v>
      </c>
      <c r="B90" s="26" t="s">
        <v>529</v>
      </c>
      <c r="C90" s="27" t="s">
        <v>530</v>
      </c>
      <c r="D90" s="27" t="s">
        <v>164</v>
      </c>
      <c r="E90" s="27" t="s">
        <v>531</v>
      </c>
      <c r="F90" s="27" t="s">
        <v>532</v>
      </c>
      <c r="G90" s="26" t="s">
        <v>41</v>
      </c>
      <c r="H90" s="26" t="s">
        <v>517</v>
      </c>
      <c r="I90" s="26" t="s">
        <v>363</v>
      </c>
      <c r="J90" s="27" t="s">
        <v>77</v>
      </c>
      <c r="K90" s="27" t="s">
        <v>78</v>
      </c>
      <c r="L90" s="17" t="s">
        <v>45</v>
      </c>
      <c r="M90" s="28"/>
      <c r="N90" s="17" t="s">
        <v>45</v>
      </c>
      <c r="O90" s="18"/>
      <c r="P90" s="19"/>
      <c r="Q90" s="19"/>
      <c r="R90" s="19"/>
      <c r="S90" s="20"/>
      <c r="T90" s="21"/>
      <c r="U90" s="21"/>
      <c r="V90" s="21"/>
      <c r="W90" s="22"/>
      <c r="X90" s="23"/>
      <c r="Y90" s="23"/>
      <c r="Z90" s="23"/>
      <c r="AA90" s="24"/>
      <c r="AB90" s="29" t="str">
        <f aca="false">IF(Z90&lt;&gt;"",Z90,IF(V90&lt;&gt;"",V90,IF(R90&lt;&gt;"",R90,IF(N90&lt;&gt;"",N90,IF(J90&lt;&gt;"","BEKLİYOR","")))))</f>
        <v>ONAY</v>
      </c>
    </row>
    <row r="91" customFormat="false" ht="42" hidden="false" customHeight="true" outlineLevel="0" collapsed="false">
      <c r="A91" s="15" t="s">
        <v>533</v>
      </c>
      <c r="B91" s="15" t="s">
        <v>534</v>
      </c>
      <c r="C91" s="16" t="s">
        <v>530</v>
      </c>
      <c r="D91" s="16" t="s">
        <v>164</v>
      </c>
      <c r="E91" s="16" t="s">
        <v>531</v>
      </c>
      <c r="F91" s="16" t="s">
        <v>535</v>
      </c>
      <c r="G91" s="15" t="s">
        <v>41</v>
      </c>
      <c r="H91" s="15" t="s">
        <v>517</v>
      </c>
      <c r="I91" s="15" t="s">
        <v>363</v>
      </c>
      <c r="J91" s="16" t="s">
        <v>60</v>
      </c>
      <c r="K91" s="16" t="s">
        <v>99</v>
      </c>
      <c r="L91" s="17" t="s">
        <v>45</v>
      </c>
      <c r="M91" s="17" t="s">
        <v>45</v>
      </c>
      <c r="N91" s="17" t="s">
        <v>45</v>
      </c>
      <c r="O91" s="18"/>
      <c r="P91" s="19"/>
      <c r="Q91" s="19"/>
      <c r="R91" s="19"/>
      <c r="S91" s="20"/>
      <c r="T91" s="21"/>
      <c r="U91" s="21"/>
      <c r="V91" s="21"/>
      <c r="W91" s="22"/>
      <c r="X91" s="23"/>
      <c r="Y91" s="23"/>
      <c r="Z91" s="23"/>
      <c r="AA91" s="24"/>
      <c r="AB91" s="25" t="str">
        <f aca="false">IF(Z91&lt;&gt;"",Z91,IF(V91&lt;&gt;"",V91,IF(R91&lt;&gt;"",R91,IF(N91&lt;&gt;"",N91,IF(J91&lt;&gt;"","BEKLİYOR","")))))</f>
        <v>ONAY</v>
      </c>
    </row>
    <row r="92" customFormat="false" ht="42" hidden="false" customHeight="true" outlineLevel="0" collapsed="false">
      <c r="A92" s="26" t="s">
        <v>536</v>
      </c>
      <c r="B92" s="26" t="s">
        <v>537</v>
      </c>
      <c r="C92" s="27" t="s">
        <v>353</v>
      </c>
      <c r="D92" s="27" t="s">
        <v>193</v>
      </c>
      <c r="E92" s="27" t="s">
        <v>538</v>
      </c>
      <c r="F92" s="27" t="s">
        <v>539</v>
      </c>
      <c r="G92" s="26" t="s">
        <v>41</v>
      </c>
      <c r="H92" s="26" t="s">
        <v>517</v>
      </c>
      <c r="I92" s="26" t="s">
        <v>363</v>
      </c>
      <c r="J92" s="27" t="s">
        <v>44</v>
      </c>
      <c r="K92" s="27" t="s">
        <v>68</v>
      </c>
      <c r="L92" s="31" t="s">
        <v>70</v>
      </c>
      <c r="M92" s="28"/>
      <c r="N92" s="31" t="s">
        <v>70</v>
      </c>
      <c r="O92" s="18"/>
      <c r="P92" s="19"/>
      <c r="Q92" s="19"/>
      <c r="R92" s="17" t="s">
        <v>45</v>
      </c>
      <c r="S92" s="20"/>
      <c r="T92" s="21"/>
      <c r="U92" s="21"/>
      <c r="V92" s="21"/>
      <c r="W92" s="22"/>
      <c r="X92" s="23"/>
      <c r="Y92" s="23"/>
      <c r="Z92" s="23"/>
      <c r="AA92" s="24"/>
      <c r="AB92" s="29" t="str">
        <f aca="false">IF(Z92&lt;&gt;"",Z92,IF(V92&lt;&gt;"",V92,IF(R92&lt;&gt;"",R92,IF(N92&lt;&gt;"",N92,IF(J92&lt;&gt;"","BEKLİYOR","")))))</f>
        <v>ONAY</v>
      </c>
    </row>
    <row r="93" customFormat="false" ht="27.75" hidden="false" customHeight="true" outlineLevel="0" collapsed="false">
      <c r="A93" s="15" t="s">
        <v>540</v>
      </c>
      <c r="B93" s="15" t="s">
        <v>541</v>
      </c>
      <c r="C93" s="16" t="s">
        <v>542</v>
      </c>
      <c r="D93" s="16" t="s">
        <v>82</v>
      </c>
      <c r="E93" s="16" t="s">
        <v>543</v>
      </c>
      <c r="F93" s="16" t="s">
        <v>544</v>
      </c>
      <c r="G93" s="15" t="s">
        <v>41</v>
      </c>
      <c r="H93" s="15" t="s">
        <v>517</v>
      </c>
      <c r="I93" s="15" t="s">
        <v>363</v>
      </c>
      <c r="J93" s="16" t="s">
        <v>69</v>
      </c>
      <c r="K93" s="16" t="s">
        <v>93</v>
      </c>
      <c r="L93" s="17" t="s">
        <v>45</v>
      </c>
      <c r="M93" s="17" t="s">
        <v>45</v>
      </c>
      <c r="N93" s="17" t="s">
        <v>45</v>
      </c>
      <c r="O93" s="18"/>
      <c r="P93" s="19"/>
      <c r="Q93" s="19"/>
      <c r="R93" s="19"/>
      <c r="S93" s="20"/>
      <c r="T93" s="21"/>
      <c r="U93" s="21"/>
      <c r="V93" s="21"/>
      <c r="W93" s="22"/>
      <c r="X93" s="23"/>
      <c r="Y93" s="23"/>
      <c r="Z93" s="23"/>
      <c r="AA93" s="24"/>
      <c r="AB93" s="25" t="str">
        <f aca="false">IF(Z93&lt;&gt;"",Z93,IF(V93&lt;&gt;"",V93,IF(R93&lt;&gt;"",R93,IF(N93&lt;&gt;"",N93,IF(J93&lt;&gt;"","BEKLİYOR","")))))</f>
        <v>ONAY</v>
      </c>
    </row>
    <row r="94" customFormat="false" ht="42" hidden="false" customHeight="true" outlineLevel="0" collapsed="false">
      <c r="A94" s="26" t="s">
        <v>545</v>
      </c>
      <c r="B94" s="26" t="s">
        <v>546</v>
      </c>
      <c r="C94" s="27" t="s">
        <v>163</v>
      </c>
      <c r="D94" s="27" t="s">
        <v>164</v>
      </c>
      <c r="E94" s="27" t="s">
        <v>547</v>
      </c>
      <c r="F94" s="27" t="s">
        <v>548</v>
      </c>
      <c r="G94" s="26" t="s">
        <v>41</v>
      </c>
      <c r="H94" s="26" t="s">
        <v>517</v>
      </c>
      <c r="I94" s="26" t="s">
        <v>363</v>
      </c>
      <c r="J94" s="27" t="s">
        <v>77</v>
      </c>
      <c r="K94" s="27" t="s">
        <v>85</v>
      </c>
      <c r="L94" s="17" t="s">
        <v>45</v>
      </c>
      <c r="M94" s="17" t="s">
        <v>45</v>
      </c>
      <c r="N94" s="17" t="s">
        <v>45</v>
      </c>
      <c r="O94" s="18"/>
      <c r="P94" s="19"/>
      <c r="Q94" s="19"/>
      <c r="R94" s="19"/>
      <c r="S94" s="20"/>
      <c r="T94" s="21"/>
      <c r="U94" s="21"/>
      <c r="V94" s="21"/>
      <c r="W94" s="22"/>
      <c r="X94" s="23"/>
      <c r="Y94" s="23"/>
      <c r="Z94" s="23"/>
      <c r="AA94" s="24"/>
      <c r="AB94" s="29" t="str">
        <f aca="false">IF(Z94&lt;&gt;"",Z94,IF(V94&lt;&gt;"",V94,IF(R94&lt;&gt;"",R94,IF(N94&lt;&gt;"",N94,IF(J94&lt;&gt;"","BEKLİYOR","")))))</f>
        <v>ONAY</v>
      </c>
    </row>
    <row r="95" customFormat="false" ht="42" hidden="false" customHeight="true" outlineLevel="0" collapsed="false">
      <c r="A95" s="15" t="s">
        <v>549</v>
      </c>
      <c r="B95" s="15" t="s">
        <v>550</v>
      </c>
      <c r="C95" s="16" t="s">
        <v>44</v>
      </c>
      <c r="D95" s="16" t="s">
        <v>193</v>
      </c>
      <c r="E95" s="16" t="s">
        <v>551</v>
      </c>
      <c r="F95" s="16" t="s">
        <v>552</v>
      </c>
      <c r="G95" s="15" t="s">
        <v>92</v>
      </c>
      <c r="H95" s="15" t="s">
        <v>517</v>
      </c>
      <c r="I95" s="15" t="s">
        <v>363</v>
      </c>
      <c r="J95" s="16" t="s">
        <v>78</v>
      </c>
      <c r="K95" s="16" t="s">
        <v>93</v>
      </c>
      <c r="L95" s="28"/>
      <c r="M95" s="17" t="s">
        <v>45</v>
      </c>
      <c r="N95" s="17" t="s">
        <v>45</v>
      </c>
      <c r="O95" s="18"/>
      <c r="P95" s="19"/>
      <c r="Q95" s="19"/>
      <c r="R95" s="19"/>
      <c r="S95" s="20"/>
      <c r="T95" s="21"/>
      <c r="U95" s="21"/>
      <c r="V95" s="21"/>
      <c r="W95" s="22"/>
      <c r="X95" s="23"/>
      <c r="Y95" s="23"/>
      <c r="Z95" s="23"/>
      <c r="AA95" s="24"/>
      <c r="AB95" s="25" t="str">
        <f aca="false">IF(Z95&lt;&gt;"",Z95,IF(V95&lt;&gt;"",V95,IF(R95&lt;&gt;"",R95,IF(N95&lt;&gt;"",N95,IF(J95&lt;&gt;"","BEKLİYOR","")))))</f>
        <v>ONAY</v>
      </c>
    </row>
    <row r="96" customFormat="false" ht="55.5" hidden="false" customHeight="true" outlineLevel="0" collapsed="false">
      <c r="A96" s="26" t="s">
        <v>553</v>
      </c>
      <c r="B96" s="26" t="s">
        <v>554</v>
      </c>
      <c r="C96" s="27" t="s">
        <v>555</v>
      </c>
      <c r="D96" s="27" t="s">
        <v>193</v>
      </c>
      <c r="E96" s="27" t="s">
        <v>556</v>
      </c>
      <c r="F96" s="27" t="s">
        <v>557</v>
      </c>
      <c r="G96" s="26" t="s">
        <v>92</v>
      </c>
      <c r="H96" s="26" t="s">
        <v>517</v>
      </c>
      <c r="I96" s="26" t="s">
        <v>363</v>
      </c>
      <c r="J96" s="27" t="s">
        <v>59</v>
      </c>
      <c r="K96" s="27" t="s">
        <v>44</v>
      </c>
      <c r="L96" s="28"/>
      <c r="M96" s="28"/>
      <c r="N96" s="31" t="s">
        <v>70</v>
      </c>
      <c r="O96" s="18"/>
      <c r="P96" s="19"/>
      <c r="Q96" s="19"/>
      <c r="R96" s="19"/>
      <c r="S96" s="20"/>
      <c r="T96" s="21"/>
      <c r="U96" s="21"/>
      <c r="V96" s="21"/>
      <c r="W96" s="22"/>
      <c r="X96" s="23"/>
      <c r="Y96" s="23"/>
      <c r="Z96" s="23"/>
      <c r="AA96" s="24"/>
      <c r="AB96" s="29" t="str">
        <f aca="false">IF(Z96&lt;&gt;"",Z96,IF(V96&lt;&gt;"",V96,IF(R96&lt;&gt;"",R96,IF(N96&lt;&gt;"",N96,IF(J96&lt;&gt;"","BEKLİYOR","")))))</f>
        <v>DÜZELTME</v>
      </c>
    </row>
    <row r="97" customFormat="false" ht="27.75" hidden="false" customHeight="true" outlineLevel="0" collapsed="false">
      <c r="A97" s="15" t="s">
        <v>558</v>
      </c>
      <c r="B97" s="15" t="s">
        <v>559</v>
      </c>
      <c r="C97" s="16" t="s">
        <v>560</v>
      </c>
      <c r="D97" s="16" t="s">
        <v>82</v>
      </c>
      <c r="E97" s="16" t="s">
        <v>561</v>
      </c>
      <c r="F97" s="16" t="s">
        <v>562</v>
      </c>
      <c r="G97" s="15" t="s">
        <v>41</v>
      </c>
      <c r="H97" s="15" t="s">
        <v>517</v>
      </c>
      <c r="I97" s="15" t="s">
        <v>363</v>
      </c>
      <c r="J97" s="16" t="s">
        <v>68</v>
      </c>
      <c r="K97" s="16" t="s">
        <v>69</v>
      </c>
      <c r="L97" s="17" t="s">
        <v>45</v>
      </c>
      <c r="M97" s="17" t="s">
        <v>45</v>
      </c>
      <c r="N97" s="17" t="s">
        <v>45</v>
      </c>
      <c r="O97" s="18"/>
      <c r="P97" s="19"/>
      <c r="Q97" s="19"/>
      <c r="R97" s="19"/>
      <c r="S97" s="20"/>
      <c r="T97" s="21"/>
      <c r="U97" s="21"/>
      <c r="V97" s="21"/>
      <c r="W97" s="22"/>
      <c r="X97" s="23"/>
      <c r="Y97" s="23"/>
      <c r="Z97" s="23"/>
      <c r="AA97" s="24"/>
      <c r="AB97" s="25" t="str">
        <f aca="false">IF(Z97&lt;&gt;"",Z97,IF(V97&lt;&gt;"",V97,IF(R97&lt;&gt;"",R97,IF(N97&lt;&gt;"",N97,IF(J97&lt;&gt;"","BEKLİYOR","")))))</f>
        <v>ONAY</v>
      </c>
    </row>
    <row r="98" customFormat="false" ht="42" hidden="false" customHeight="true" outlineLevel="0" collapsed="false">
      <c r="A98" s="26" t="s">
        <v>563</v>
      </c>
      <c r="B98" s="26" t="s">
        <v>564</v>
      </c>
      <c r="C98" s="27" t="s">
        <v>565</v>
      </c>
      <c r="D98" s="27" t="s">
        <v>566</v>
      </c>
      <c r="E98" s="27" t="s">
        <v>567</v>
      </c>
      <c r="F98" s="27" t="s">
        <v>568</v>
      </c>
      <c r="G98" s="26" t="s">
        <v>67</v>
      </c>
      <c r="H98" s="26" t="s">
        <v>569</v>
      </c>
      <c r="I98" s="26" t="s">
        <v>363</v>
      </c>
      <c r="J98" s="27" t="s">
        <v>59</v>
      </c>
      <c r="K98" s="27" t="s">
        <v>68</v>
      </c>
      <c r="L98" s="17" t="s">
        <v>45</v>
      </c>
      <c r="M98" s="28"/>
      <c r="N98" s="17" t="s">
        <v>45</v>
      </c>
      <c r="O98" s="18"/>
      <c r="P98" s="19"/>
      <c r="Q98" s="19"/>
      <c r="R98" s="19"/>
      <c r="S98" s="20"/>
      <c r="T98" s="21"/>
      <c r="U98" s="21"/>
      <c r="V98" s="21"/>
      <c r="W98" s="22"/>
      <c r="X98" s="23"/>
      <c r="Y98" s="23"/>
      <c r="Z98" s="23"/>
      <c r="AA98" s="24"/>
      <c r="AB98" s="29" t="str">
        <f aca="false">IF(Z98&lt;&gt;"",Z98,IF(V98&lt;&gt;"",V98,IF(R98&lt;&gt;"",R98,IF(N98&lt;&gt;"",N98,IF(J98&lt;&gt;"","BEKLİYOR","")))))</f>
        <v>ONAY</v>
      </c>
    </row>
    <row r="99" customFormat="false" ht="27.75" hidden="false" customHeight="true" outlineLevel="0" collapsed="false">
      <c r="A99" s="15" t="s">
        <v>570</v>
      </c>
      <c r="B99" s="15" t="s">
        <v>571</v>
      </c>
      <c r="C99" s="16" t="s">
        <v>81</v>
      </c>
      <c r="D99" s="16" t="s">
        <v>82</v>
      </c>
      <c r="E99" s="16" t="s">
        <v>572</v>
      </c>
      <c r="F99" s="16" t="s">
        <v>573</v>
      </c>
      <c r="G99" s="15" t="s">
        <v>41</v>
      </c>
      <c r="H99" s="15" t="s">
        <v>569</v>
      </c>
      <c r="I99" s="15" t="s">
        <v>363</v>
      </c>
      <c r="J99" s="16" t="s">
        <v>99</v>
      </c>
      <c r="K99" s="16" t="s">
        <v>52</v>
      </c>
      <c r="L99" s="17" t="s">
        <v>45</v>
      </c>
      <c r="M99" s="17" t="s">
        <v>45</v>
      </c>
      <c r="N99" s="17" t="s">
        <v>45</v>
      </c>
      <c r="O99" s="18"/>
      <c r="P99" s="19"/>
      <c r="Q99" s="19"/>
      <c r="R99" s="19"/>
      <c r="S99" s="20"/>
      <c r="T99" s="21"/>
      <c r="U99" s="21"/>
      <c r="V99" s="21"/>
      <c r="W99" s="22"/>
      <c r="X99" s="23"/>
      <c r="Y99" s="23"/>
      <c r="Z99" s="23"/>
      <c r="AA99" s="24"/>
      <c r="AB99" s="25" t="str">
        <f aca="false">IF(Z99&lt;&gt;"",Z99,IF(V99&lt;&gt;"",V99,IF(R99&lt;&gt;"",R99,IF(N99&lt;&gt;"",N99,IF(J99&lt;&gt;"","BEKLİYOR","")))))</f>
        <v>ONAY</v>
      </c>
    </row>
    <row r="100" customFormat="false" ht="27.75" hidden="false" customHeight="true" outlineLevel="0" collapsed="false">
      <c r="A100" s="26" t="s">
        <v>574</v>
      </c>
      <c r="B100" s="26" t="s">
        <v>575</v>
      </c>
      <c r="C100" s="27" t="s">
        <v>81</v>
      </c>
      <c r="D100" s="27" t="s">
        <v>82</v>
      </c>
      <c r="E100" s="27" t="s">
        <v>572</v>
      </c>
      <c r="F100" s="27" t="s">
        <v>576</v>
      </c>
      <c r="G100" s="26" t="s">
        <v>41</v>
      </c>
      <c r="H100" s="26" t="s">
        <v>569</v>
      </c>
      <c r="I100" s="26" t="s">
        <v>363</v>
      </c>
      <c r="J100" s="27" t="s">
        <v>99</v>
      </c>
      <c r="K100" s="27" t="s">
        <v>52</v>
      </c>
      <c r="L100" s="17" t="s">
        <v>45</v>
      </c>
      <c r="M100" s="17" t="s">
        <v>45</v>
      </c>
      <c r="N100" s="17" t="s">
        <v>45</v>
      </c>
      <c r="O100" s="18"/>
      <c r="P100" s="19"/>
      <c r="Q100" s="19"/>
      <c r="R100" s="19"/>
      <c r="S100" s="20"/>
      <c r="T100" s="21"/>
      <c r="U100" s="21"/>
      <c r="V100" s="21"/>
      <c r="W100" s="22"/>
      <c r="X100" s="23"/>
      <c r="Y100" s="23"/>
      <c r="Z100" s="23"/>
      <c r="AA100" s="24"/>
      <c r="AB100" s="29" t="str">
        <f aca="false">IF(Z100&lt;&gt;"",Z100,IF(V100&lt;&gt;"",V100,IF(R100&lt;&gt;"",R100,IF(N100&lt;&gt;"",N100,IF(J100&lt;&gt;"","BEKLİYOR","")))))</f>
        <v>ONAY</v>
      </c>
    </row>
    <row r="101" customFormat="false" ht="27.75" hidden="false" customHeight="true" outlineLevel="0" collapsed="false">
      <c r="A101" s="15" t="s">
        <v>577</v>
      </c>
      <c r="B101" s="15" t="s">
        <v>578</v>
      </c>
      <c r="C101" s="16" t="s">
        <v>565</v>
      </c>
      <c r="D101" s="16" t="s">
        <v>566</v>
      </c>
      <c r="E101" s="16" t="s">
        <v>579</v>
      </c>
      <c r="F101" s="16" t="s">
        <v>580</v>
      </c>
      <c r="G101" s="15" t="s">
        <v>67</v>
      </c>
      <c r="H101" s="15" t="s">
        <v>569</v>
      </c>
      <c r="I101" s="15" t="s">
        <v>363</v>
      </c>
      <c r="J101" s="16" t="s">
        <v>59</v>
      </c>
      <c r="K101" s="16" t="s">
        <v>60</v>
      </c>
      <c r="L101" s="28"/>
      <c r="M101" s="28"/>
      <c r="N101" s="17" t="s">
        <v>45</v>
      </c>
      <c r="O101" s="18"/>
      <c r="P101" s="19"/>
      <c r="Q101" s="19"/>
      <c r="R101" s="19"/>
      <c r="S101" s="20"/>
      <c r="T101" s="21"/>
      <c r="U101" s="21"/>
      <c r="V101" s="21"/>
      <c r="W101" s="22"/>
      <c r="X101" s="23"/>
      <c r="Y101" s="23"/>
      <c r="Z101" s="23"/>
      <c r="AA101" s="24"/>
      <c r="AB101" s="25" t="str">
        <f aca="false">IF(Z101&lt;&gt;"",Z101,IF(V101&lt;&gt;"",V101,IF(R101&lt;&gt;"",R101,IF(N101&lt;&gt;"",N101,IF(J101&lt;&gt;"","BEKLİYOR","")))))</f>
        <v>ONAY</v>
      </c>
    </row>
    <row r="102" customFormat="false" ht="27.75" hidden="false" customHeight="true" outlineLevel="0" collapsed="false">
      <c r="A102" s="26" t="s">
        <v>581</v>
      </c>
      <c r="B102" s="26" t="s">
        <v>582</v>
      </c>
      <c r="C102" s="27" t="s">
        <v>455</v>
      </c>
      <c r="D102" s="27" t="s">
        <v>193</v>
      </c>
      <c r="E102" s="27" t="s">
        <v>583</v>
      </c>
      <c r="F102" s="27" t="s">
        <v>584</v>
      </c>
      <c r="G102" s="26" t="s">
        <v>41</v>
      </c>
      <c r="H102" s="26" t="s">
        <v>569</v>
      </c>
      <c r="I102" s="26" t="s">
        <v>363</v>
      </c>
      <c r="J102" s="27" t="s">
        <v>43</v>
      </c>
      <c r="K102" s="27" t="s">
        <v>59</v>
      </c>
      <c r="L102" s="17" t="s">
        <v>45</v>
      </c>
      <c r="M102" s="17" t="s">
        <v>45</v>
      </c>
      <c r="N102" s="17" t="s">
        <v>45</v>
      </c>
      <c r="O102" s="18"/>
      <c r="P102" s="19"/>
      <c r="Q102" s="19"/>
      <c r="R102" s="19"/>
      <c r="S102" s="20"/>
      <c r="T102" s="21"/>
      <c r="U102" s="21"/>
      <c r="V102" s="21"/>
      <c r="W102" s="22"/>
      <c r="X102" s="23"/>
      <c r="Y102" s="23"/>
      <c r="Z102" s="23"/>
      <c r="AA102" s="24"/>
      <c r="AB102" s="29" t="str">
        <f aca="false">IF(Z102&lt;&gt;"",Z102,IF(V102&lt;&gt;"",V102,IF(R102&lt;&gt;"",R102,IF(N102&lt;&gt;"",N102,IF(J102&lt;&gt;"","BEKLİYOR","")))))</f>
        <v>ONAY</v>
      </c>
    </row>
    <row r="103" customFormat="false" ht="42" hidden="false" customHeight="true" outlineLevel="0" collapsed="false">
      <c r="A103" s="15" t="s">
        <v>585</v>
      </c>
      <c r="B103" s="15" t="s">
        <v>586</v>
      </c>
      <c r="C103" s="16" t="s">
        <v>587</v>
      </c>
      <c r="D103" s="16" t="s">
        <v>186</v>
      </c>
      <c r="E103" s="16" t="s">
        <v>588</v>
      </c>
      <c r="F103" s="16" t="s">
        <v>589</v>
      </c>
      <c r="G103" s="15" t="s">
        <v>92</v>
      </c>
      <c r="H103" s="15" t="s">
        <v>590</v>
      </c>
      <c r="I103" s="15" t="s">
        <v>591</v>
      </c>
      <c r="J103" s="16" t="s">
        <v>93</v>
      </c>
      <c r="K103" s="16" t="s">
        <v>52</v>
      </c>
      <c r="L103" s="17" t="s">
        <v>45</v>
      </c>
      <c r="M103" s="17" t="s">
        <v>45</v>
      </c>
      <c r="N103" s="17" t="s">
        <v>45</v>
      </c>
      <c r="O103" s="18"/>
      <c r="P103" s="19"/>
      <c r="Q103" s="19"/>
      <c r="R103" s="19"/>
      <c r="S103" s="20"/>
      <c r="T103" s="21"/>
      <c r="U103" s="21"/>
      <c r="V103" s="21"/>
      <c r="W103" s="22"/>
      <c r="X103" s="23"/>
      <c r="Y103" s="23"/>
      <c r="Z103" s="23"/>
      <c r="AA103" s="24"/>
      <c r="AB103" s="25" t="str">
        <f aca="false">IF(Z103&lt;&gt;"",Z103,IF(V103&lt;&gt;"",V103,IF(R103&lt;&gt;"",R103,IF(N103&lt;&gt;"",N103,IF(J103&lt;&gt;"","BEKLİYOR","")))))</f>
        <v>ONAY</v>
      </c>
    </row>
    <row r="104" customFormat="false" ht="42" hidden="false" customHeight="true" outlineLevel="0" collapsed="false">
      <c r="A104" s="26" t="s">
        <v>592</v>
      </c>
      <c r="B104" s="26" t="s">
        <v>593</v>
      </c>
      <c r="C104" s="27" t="s">
        <v>594</v>
      </c>
      <c r="D104" s="27" t="s">
        <v>134</v>
      </c>
      <c r="E104" s="27" t="s">
        <v>595</v>
      </c>
      <c r="F104" s="27" t="s">
        <v>596</v>
      </c>
      <c r="G104" s="26" t="s">
        <v>41</v>
      </c>
      <c r="H104" s="26" t="s">
        <v>590</v>
      </c>
      <c r="I104" s="26" t="s">
        <v>591</v>
      </c>
      <c r="J104" s="27" t="s">
        <v>99</v>
      </c>
      <c r="K104" s="27" t="s">
        <v>78</v>
      </c>
      <c r="L104" s="28"/>
      <c r="M104" s="17" t="s">
        <v>45</v>
      </c>
      <c r="N104" s="31" t="s">
        <v>70</v>
      </c>
      <c r="O104" s="18"/>
      <c r="P104" s="19"/>
      <c r="Q104" s="19"/>
      <c r="R104" s="19"/>
      <c r="S104" s="20"/>
      <c r="T104" s="21"/>
      <c r="U104" s="21"/>
      <c r="V104" s="21"/>
      <c r="W104" s="22"/>
      <c r="X104" s="23"/>
      <c r="Y104" s="23"/>
      <c r="Z104" s="23"/>
      <c r="AA104" s="24"/>
      <c r="AB104" s="29" t="str">
        <f aca="false">IF(Z104&lt;&gt;"",Z104,IF(V104&lt;&gt;"",V104,IF(R104&lt;&gt;"",R104,IF(N104&lt;&gt;"",N104,IF(J104&lt;&gt;"","BEKLİYOR","")))))</f>
        <v>DÜZELTME</v>
      </c>
    </row>
    <row r="105" customFormat="false" ht="27.75" hidden="false" customHeight="true" outlineLevel="0" collapsed="false">
      <c r="A105" s="15" t="s">
        <v>597</v>
      </c>
      <c r="B105" s="15" t="s">
        <v>598</v>
      </c>
      <c r="C105" s="16" t="s">
        <v>69</v>
      </c>
      <c r="D105" s="16" t="s">
        <v>103</v>
      </c>
      <c r="E105" s="16" t="s">
        <v>599</v>
      </c>
      <c r="F105" s="16" t="s">
        <v>600</v>
      </c>
      <c r="G105" s="15" t="s">
        <v>92</v>
      </c>
      <c r="H105" s="15" t="s">
        <v>590</v>
      </c>
      <c r="I105" s="15" t="s">
        <v>591</v>
      </c>
      <c r="J105" s="16" t="s">
        <v>59</v>
      </c>
      <c r="K105" s="16" t="s">
        <v>44</v>
      </c>
      <c r="L105" s="17" t="s">
        <v>45</v>
      </c>
      <c r="M105" s="28"/>
      <c r="N105" s="17" t="s">
        <v>45</v>
      </c>
      <c r="O105" s="18"/>
      <c r="P105" s="19"/>
      <c r="Q105" s="19"/>
      <c r="R105" s="19"/>
      <c r="S105" s="20"/>
      <c r="T105" s="21"/>
      <c r="U105" s="21"/>
      <c r="V105" s="21"/>
      <c r="W105" s="22"/>
      <c r="X105" s="23"/>
      <c r="Y105" s="23"/>
      <c r="Z105" s="23"/>
      <c r="AA105" s="24"/>
      <c r="AB105" s="25" t="str">
        <f aca="false">IF(Z105&lt;&gt;"",Z105,IF(V105&lt;&gt;"",V105,IF(R105&lt;&gt;"",R105,IF(N105&lt;&gt;"",N105,IF(J105&lt;&gt;"","BEKLİYOR","")))))</f>
        <v>ONAY</v>
      </c>
    </row>
    <row r="106" customFormat="false" ht="27.75" hidden="false" customHeight="true" outlineLevel="0" collapsed="false">
      <c r="A106" s="26" t="s">
        <v>601</v>
      </c>
      <c r="B106" s="26" t="s">
        <v>602</v>
      </c>
      <c r="C106" s="27" t="s">
        <v>603</v>
      </c>
      <c r="D106" s="27" t="s">
        <v>82</v>
      </c>
      <c r="E106" s="27" t="s">
        <v>604</v>
      </c>
      <c r="F106" s="27" t="s">
        <v>605</v>
      </c>
      <c r="G106" s="26" t="s">
        <v>41</v>
      </c>
      <c r="H106" s="26" t="s">
        <v>590</v>
      </c>
      <c r="I106" s="26" t="s">
        <v>591</v>
      </c>
      <c r="J106" s="27" t="s">
        <v>78</v>
      </c>
      <c r="K106" s="27" t="s">
        <v>52</v>
      </c>
      <c r="L106" s="17" t="s">
        <v>45</v>
      </c>
      <c r="M106" s="17" t="s">
        <v>45</v>
      </c>
      <c r="N106" s="17" t="s">
        <v>45</v>
      </c>
      <c r="O106" s="18"/>
      <c r="P106" s="19"/>
      <c r="Q106" s="19"/>
      <c r="R106" s="19"/>
      <c r="S106" s="20"/>
      <c r="T106" s="21"/>
      <c r="U106" s="21"/>
      <c r="V106" s="21"/>
      <c r="W106" s="22"/>
      <c r="X106" s="23"/>
      <c r="Y106" s="23"/>
      <c r="Z106" s="23"/>
      <c r="AA106" s="24"/>
      <c r="AB106" s="29" t="str">
        <f aca="false">IF(Z106&lt;&gt;"",Z106,IF(V106&lt;&gt;"",V106,IF(R106&lt;&gt;"",R106,IF(N106&lt;&gt;"",N106,IF(J106&lt;&gt;"","BEKLİYOR","")))))</f>
        <v>ONAY</v>
      </c>
    </row>
    <row r="107" customFormat="false" ht="42" hidden="false" customHeight="true" outlineLevel="0" collapsed="false">
      <c r="A107" s="15" t="s">
        <v>606</v>
      </c>
      <c r="B107" s="15" t="s">
        <v>607</v>
      </c>
      <c r="C107" s="16" t="s">
        <v>608</v>
      </c>
      <c r="D107" s="16" t="s">
        <v>140</v>
      </c>
      <c r="E107" s="16" t="s">
        <v>609</v>
      </c>
      <c r="F107" s="16" t="s">
        <v>610</v>
      </c>
      <c r="G107" s="15" t="s">
        <v>41</v>
      </c>
      <c r="H107" s="15" t="s">
        <v>590</v>
      </c>
      <c r="I107" s="15" t="s">
        <v>591</v>
      </c>
      <c r="J107" s="16" t="s">
        <v>78</v>
      </c>
      <c r="K107" s="16" t="s">
        <v>43</v>
      </c>
      <c r="L107" s="17" t="s">
        <v>45</v>
      </c>
      <c r="M107" s="17" t="s">
        <v>45</v>
      </c>
      <c r="N107" s="17" t="s">
        <v>45</v>
      </c>
      <c r="O107" s="18"/>
      <c r="P107" s="19"/>
      <c r="Q107" s="19"/>
      <c r="R107" s="19"/>
      <c r="S107" s="20"/>
      <c r="T107" s="21"/>
      <c r="U107" s="21"/>
      <c r="V107" s="21"/>
      <c r="W107" s="22"/>
      <c r="X107" s="23"/>
      <c r="Y107" s="23"/>
      <c r="Z107" s="23"/>
      <c r="AA107" s="24"/>
      <c r="AB107" s="25" t="str">
        <f aca="false">IF(Z107&lt;&gt;"",Z107,IF(V107&lt;&gt;"",V107,IF(R107&lt;&gt;"",R107,IF(N107&lt;&gt;"",N107,IF(J107&lt;&gt;"","BEKLİYOR","")))))</f>
        <v>ONAY</v>
      </c>
    </row>
    <row r="108" customFormat="false" ht="27.75" hidden="false" customHeight="true" outlineLevel="0" collapsed="false">
      <c r="A108" s="26" t="s">
        <v>611</v>
      </c>
      <c r="B108" s="26" t="s">
        <v>612</v>
      </c>
      <c r="C108" s="27" t="s">
        <v>613</v>
      </c>
      <c r="D108" s="27" t="s">
        <v>199</v>
      </c>
      <c r="E108" s="27" t="s">
        <v>614</v>
      </c>
      <c r="F108" s="27" t="s">
        <v>615</v>
      </c>
      <c r="G108" s="26" t="s">
        <v>41</v>
      </c>
      <c r="H108" s="26" t="s">
        <v>590</v>
      </c>
      <c r="I108" s="26" t="s">
        <v>591</v>
      </c>
      <c r="J108" s="27" t="s">
        <v>69</v>
      </c>
      <c r="K108" s="27" t="s">
        <v>99</v>
      </c>
      <c r="L108" s="17" t="s">
        <v>45</v>
      </c>
      <c r="M108" s="28"/>
      <c r="N108" s="17" t="s">
        <v>45</v>
      </c>
      <c r="O108" s="18"/>
      <c r="P108" s="19"/>
      <c r="Q108" s="19"/>
      <c r="R108" s="19"/>
      <c r="S108" s="20"/>
      <c r="T108" s="21"/>
      <c r="U108" s="21"/>
      <c r="V108" s="21"/>
      <c r="W108" s="22"/>
      <c r="X108" s="23"/>
      <c r="Y108" s="23"/>
      <c r="Z108" s="23"/>
      <c r="AA108" s="24"/>
      <c r="AB108" s="29" t="str">
        <f aca="false">IF(Z108&lt;&gt;"",Z108,IF(V108&lt;&gt;"",V108,IF(R108&lt;&gt;"",R108,IF(N108&lt;&gt;"",N108,IF(J108&lt;&gt;"","BEKLİYOR","")))))</f>
        <v>ONAY</v>
      </c>
    </row>
    <row r="109" customFormat="false" ht="15.75" hidden="false" customHeight="true" outlineLevel="0" collapsed="false">
      <c r="A109" s="15" t="s">
        <v>616</v>
      </c>
      <c r="B109" s="15" t="s">
        <v>617</v>
      </c>
      <c r="C109" s="16" t="s">
        <v>618</v>
      </c>
      <c r="D109" s="16" t="s">
        <v>199</v>
      </c>
      <c r="E109" s="16" t="s">
        <v>619</v>
      </c>
      <c r="F109" s="16" t="s">
        <v>620</v>
      </c>
      <c r="G109" s="15" t="s">
        <v>41</v>
      </c>
      <c r="H109" s="15" t="s">
        <v>590</v>
      </c>
      <c r="I109" s="15" t="s">
        <v>591</v>
      </c>
      <c r="J109" s="16" t="s">
        <v>43</v>
      </c>
      <c r="K109" s="16" t="s">
        <v>44</v>
      </c>
      <c r="L109" s="31" t="s">
        <v>70</v>
      </c>
      <c r="M109" s="17" t="s">
        <v>45</v>
      </c>
      <c r="N109" s="31" t="s">
        <v>70</v>
      </c>
      <c r="O109" s="18"/>
      <c r="P109" s="19"/>
      <c r="Q109" s="19"/>
      <c r="R109" s="19"/>
      <c r="S109" s="20"/>
      <c r="T109" s="21"/>
      <c r="U109" s="21"/>
      <c r="V109" s="21"/>
      <c r="W109" s="22"/>
      <c r="X109" s="23"/>
      <c r="Y109" s="23"/>
      <c r="Z109" s="23"/>
      <c r="AA109" s="24"/>
      <c r="AB109" s="25" t="str">
        <f aca="false">IF(Z109&lt;&gt;"",Z109,IF(V109&lt;&gt;"",V109,IF(R109&lt;&gt;"",R109,IF(N109&lt;&gt;"",N109,IF(J109&lt;&gt;"","BEKLİYOR","")))))</f>
        <v>DÜZELTME</v>
      </c>
    </row>
    <row r="110" customFormat="false" ht="42" hidden="false" customHeight="true" outlineLevel="0" collapsed="false">
      <c r="A110" s="26" t="s">
        <v>621</v>
      </c>
      <c r="B110" s="26" t="s">
        <v>622</v>
      </c>
      <c r="C110" s="27" t="s">
        <v>623</v>
      </c>
      <c r="D110" s="27" t="s">
        <v>463</v>
      </c>
      <c r="E110" s="27" t="s">
        <v>624</v>
      </c>
      <c r="F110" s="27" t="s">
        <v>625</v>
      </c>
      <c r="G110" s="26" t="s">
        <v>41</v>
      </c>
      <c r="H110" s="26" t="s">
        <v>590</v>
      </c>
      <c r="I110" s="26" t="s">
        <v>591</v>
      </c>
      <c r="J110" s="27" t="s">
        <v>93</v>
      </c>
      <c r="K110" s="27" t="s">
        <v>69</v>
      </c>
      <c r="L110" s="17" t="s">
        <v>45</v>
      </c>
      <c r="M110" s="17" t="s">
        <v>45</v>
      </c>
      <c r="N110" s="17" t="s">
        <v>45</v>
      </c>
      <c r="O110" s="18"/>
      <c r="P110" s="19"/>
      <c r="Q110" s="19"/>
      <c r="R110" s="19"/>
      <c r="S110" s="20"/>
      <c r="T110" s="21"/>
      <c r="U110" s="21"/>
      <c r="V110" s="21"/>
      <c r="W110" s="22"/>
      <c r="X110" s="23"/>
      <c r="Y110" s="23"/>
      <c r="Z110" s="23"/>
      <c r="AA110" s="24"/>
      <c r="AB110" s="29" t="str">
        <f aca="false">IF(Z110&lt;&gt;"",Z110,IF(V110&lt;&gt;"",V110,IF(R110&lt;&gt;"",R110,IF(N110&lt;&gt;"",N110,IF(J110&lt;&gt;"","BEKLİYOR","")))))</f>
        <v>ONAY</v>
      </c>
    </row>
    <row r="111" customFormat="false" ht="42" hidden="false" customHeight="true" outlineLevel="0" collapsed="false">
      <c r="A111" s="15" t="s">
        <v>626</v>
      </c>
      <c r="B111" s="15" t="s">
        <v>627</v>
      </c>
      <c r="C111" s="16" t="s">
        <v>628</v>
      </c>
      <c r="D111" s="16" t="s">
        <v>193</v>
      </c>
      <c r="E111" s="16" t="s">
        <v>629</v>
      </c>
      <c r="F111" s="16" t="s">
        <v>630</v>
      </c>
      <c r="G111" s="15" t="s">
        <v>41</v>
      </c>
      <c r="H111" s="15" t="s">
        <v>590</v>
      </c>
      <c r="I111" s="15" t="s">
        <v>591</v>
      </c>
      <c r="J111" s="16" t="s">
        <v>44</v>
      </c>
      <c r="K111" s="16" t="s">
        <v>52</v>
      </c>
      <c r="L111" s="17" t="s">
        <v>45</v>
      </c>
      <c r="M111" s="17" t="s">
        <v>45</v>
      </c>
      <c r="N111" s="17" t="s">
        <v>45</v>
      </c>
      <c r="O111" s="18"/>
      <c r="P111" s="19"/>
      <c r="Q111" s="19"/>
      <c r="R111" s="19"/>
      <c r="S111" s="20"/>
      <c r="T111" s="21"/>
      <c r="U111" s="21"/>
      <c r="V111" s="21"/>
      <c r="W111" s="22"/>
      <c r="X111" s="23"/>
      <c r="Y111" s="23"/>
      <c r="Z111" s="23"/>
      <c r="AA111" s="24"/>
      <c r="AB111" s="25" t="str">
        <f aca="false">IF(Z111&lt;&gt;"",Z111,IF(V111&lt;&gt;"",V111,IF(R111&lt;&gt;"",R111,IF(N111&lt;&gt;"",N111,IF(J111&lt;&gt;"","BEKLİYOR","")))))</f>
        <v>ONAY</v>
      </c>
    </row>
    <row r="112" customFormat="false" ht="42" hidden="false" customHeight="true" outlineLevel="0" collapsed="false">
      <c r="A112" s="26" t="s">
        <v>631</v>
      </c>
      <c r="B112" s="26" t="s">
        <v>632</v>
      </c>
      <c r="C112" s="27" t="s">
        <v>372</v>
      </c>
      <c r="D112" s="27" t="s">
        <v>373</v>
      </c>
      <c r="E112" s="27" t="s">
        <v>633</v>
      </c>
      <c r="F112" s="27" t="s">
        <v>634</v>
      </c>
      <c r="G112" s="26" t="s">
        <v>41</v>
      </c>
      <c r="H112" s="26" t="s">
        <v>590</v>
      </c>
      <c r="I112" s="26" t="s">
        <v>591</v>
      </c>
      <c r="J112" s="27" t="s">
        <v>52</v>
      </c>
      <c r="K112" s="27" t="s">
        <v>93</v>
      </c>
      <c r="L112" s="17" t="s">
        <v>45</v>
      </c>
      <c r="M112" s="28"/>
      <c r="N112" s="17" t="s">
        <v>45</v>
      </c>
      <c r="O112" s="18"/>
      <c r="P112" s="19"/>
      <c r="Q112" s="19"/>
      <c r="R112" s="19"/>
      <c r="S112" s="20"/>
      <c r="T112" s="21"/>
      <c r="U112" s="21"/>
      <c r="V112" s="21"/>
      <c r="W112" s="22"/>
      <c r="X112" s="23"/>
      <c r="Y112" s="23"/>
      <c r="Z112" s="23"/>
      <c r="AA112" s="24"/>
      <c r="AB112" s="29" t="str">
        <f aca="false">IF(Z112&lt;&gt;"",Z112,IF(V112&lt;&gt;"",V112,IF(R112&lt;&gt;"",R112,IF(N112&lt;&gt;"",N112,IF(J112&lt;&gt;"","BEKLİYOR","")))))</f>
        <v>ONAY</v>
      </c>
    </row>
    <row r="113" customFormat="false" ht="27.75" hidden="false" customHeight="true" outlineLevel="0" collapsed="false">
      <c r="A113" s="15" t="s">
        <v>635</v>
      </c>
      <c r="B113" s="15" t="s">
        <v>636</v>
      </c>
      <c r="C113" s="16" t="s">
        <v>637</v>
      </c>
      <c r="D113" s="16" t="s">
        <v>338</v>
      </c>
      <c r="E113" s="16" t="s">
        <v>638</v>
      </c>
      <c r="F113" s="16" t="s">
        <v>639</v>
      </c>
      <c r="G113" s="15" t="s">
        <v>41</v>
      </c>
      <c r="H113" s="15" t="s">
        <v>590</v>
      </c>
      <c r="I113" s="15" t="s">
        <v>591</v>
      </c>
      <c r="J113" s="16" t="s">
        <v>44</v>
      </c>
      <c r="K113" s="16" t="s">
        <v>69</v>
      </c>
      <c r="L113" s="28"/>
      <c r="M113" s="28"/>
      <c r="N113" s="31" t="s">
        <v>70</v>
      </c>
      <c r="O113" s="18"/>
      <c r="P113" s="19"/>
      <c r="Q113" s="19"/>
      <c r="R113" s="19"/>
      <c r="S113" s="20"/>
      <c r="T113" s="21"/>
      <c r="U113" s="21"/>
      <c r="V113" s="21"/>
      <c r="W113" s="22"/>
      <c r="X113" s="23"/>
      <c r="Y113" s="23"/>
      <c r="Z113" s="23"/>
      <c r="AA113" s="24"/>
      <c r="AB113" s="25" t="str">
        <f aca="false">IF(Z113&lt;&gt;"",Z113,IF(V113&lt;&gt;"",V113,IF(R113&lt;&gt;"",R113,IF(N113&lt;&gt;"",N113,IF(J113&lt;&gt;"","BEKLİYOR","")))))</f>
        <v>DÜZELTME</v>
      </c>
    </row>
    <row r="114" customFormat="false" ht="42" hidden="false" customHeight="true" outlineLevel="0" collapsed="false">
      <c r="A114" s="26" t="s">
        <v>640</v>
      </c>
      <c r="B114" s="26" t="s">
        <v>641</v>
      </c>
      <c r="C114" s="27" t="s">
        <v>642</v>
      </c>
      <c r="D114" s="27" t="s">
        <v>269</v>
      </c>
      <c r="E114" s="27" t="s">
        <v>643</v>
      </c>
      <c r="F114" s="27" t="s">
        <v>644</v>
      </c>
      <c r="G114" s="26" t="s">
        <v>41</v>
      </c>
      <c r="H114" s="26" t="s">
        <v>590</v>
      </c>
      <c r="I114" s="26" t="s">
        <v>591</v>
      </c>
      <c r="J114" s="27" t="s">
        <v>93</v>
      </c>
      <c r="K114" s="27" t="s">
        <v>99</v>
      </c>
      <c r="L114" s="17" t="s">
        <v>45</v>
      </c>
      <c r="M114" s="28"/>
      <c r="N114" s="17" t="s">
        <v>45</v>
      </c>
      <c r="O114" s="18"/>
      <c r="P114" s="19"/>
      <c r="Q114" s="19"/>
      <c r="R114" s="19"/>
      <c r="S114" s="20"/>
      <c r="T114" s="21"/>
      <c r="U114" s="21"/>
      <c r="V114" s="21"/>
      <c r="W114" s="22"/>
      <c r="X114" s="23"/>
      <c r="Y114" s="23"/>
      <c r="Z114" s="23"/>
      <c r="AA114" s="24"/>
      <c r="AB114" s="29" t="str">
        <f aca="false">IF(Z114&lt;&gt;"",Z114,IF(V114&lt;&gt;"",V114,IF(R114&lt;&gt;"",R114,IF(N114&lt;&gt;"",N114,IF(J114&lt;&gt;"","BEKLİYOR","")))))</f>
        <v>ONAY</v>
      </c>
    </row>
    <row r="115" customFormat="false" ht="27.75" hidden="false" customHeight="true" outlineLevel="0" collapsed="false">
      <c r="A115" s="15" t="s">
        <v>645</v>
      </c>
      <c r="B115" s="15" t="s">
        <v>646</v>
      </c>
      <c r="C115" s="16" t="s">
        <v>85</v>
      </c>
      <c r="D115" s="16" t="s">
        <v>647</v>
      </c>
      <c r="E115" s="16" t="s">
        <v>648</v>
      </c>
      <c r="F115" s="16" t="s">
        <v>649</v>
      </c>
      <c r="G115" s="15" t="s">
        <v>67</v>
      </c>
      <c r="H115" s="15" t="s">
        <v>590</v>
      </c>
      <c r="I115" s="15" t="s">
        <v>591</v>
      </c>
      <c r="J115" s="16" t="s">
        <v>43</v>
      </c>
      <c r="K115" s="16" t="s">
        <v>99</v>
      </c>
      <c r="L115" s="31" t="s">
        <v>70</v>
      </c>
      <c r="M115" s="17" t="s">
        <v>45</v>
      </c>
      <c r="N115" s="31" t="s">
        <v>70</v>
      </c>
      <c r="O115" s="18"/>
      <c r="P115" s="19"/>
      <c r="Q115" s="19"/>
      <c r="R115" s="17" t="s">
        <v>45</v>
      </c>
      <c r="S115" s="20"/>
      <c r="T115" s="21"/>
      <c r="U115" s="21"/>
      <c r="V115" s="21"/>
      <c r="W115" s="22"/>
      <c r="X115" s="23"/>
      <c r="Y115" s="23"/>
      <c r="Z115" s="23"/>
      <c r="AA115" s="24"/>
      <c r="AB115" s="25" t="str">
        <f aca="false">IF(Z115&lt;&gt;"",Z115,IF(V115&lt;&gt;"",V115,IF(R115&lt;&gt;"",R115,IF(N115&lt;&gt;"",N115,IF(J115&lt;&gt;"","BEKLİYOR","")))))</f>
        <v>ONAY</v>
      </c>
    </row>
    <row r="116" customFormat="false" ht="27.75" hidden="false" customHeight="true" outlineLevel="0" collapsed="false">
      <c r="A116" s="26" t="s">
        <v>650</v>
      </c>
      <c r="B116" s="26" t="s">
        <v>651</v>
      </c>
      <c r="C116" s="27" t="s">
        <v>232</v>
      </c>
      <c r="D116" s="27" t="s">
        <v>140</v>
      </c>
      <c r="E116" s="27" t="s">
        <v>652</v>
      </c>
      <c r="F116" s="27" t="s">
        <v>653</v>
      </c>
      <c r="G116" s="26" t="s">
        <v>41</v>
      </c>
      <c r="H116" s="26" t="s">
        <v>590</v>
      </c>
      <c r="I116" s="26" t="s">
        <v>591</v>
      </c>
      <c r="J116" s="27" t="s">
        <v>59</v>
      </c>
      <c r="K116" s="27" t="s">
        <v>69</v>
      </c>
      <c r="L116" s="17" t="s">
        <v>45</v>
      </c>
      <c r="M116" s="17" t="s">
        <v>45</v>
      </c>
      <c r="N116" s="17" t="s">
        <v>45</v>
      </c>
      <c r="O116" s="18"/>
      <c r="P116" s="19"/>
      <c r="Q116" s="19"/>
      <c r="R116" s="19"/>
      <c r="S116" s="20"/>
      <c r="T116" s="21"/>
      <c r="U116" s="21"/>
      <c r="V116" s="21"/>
      <c r="W116" s="22"/>
      <c r="X116" s="23"/>
      <c r="Y116" s="23"/>
      <c r="Z116" s="23"/>
      <c r="AA116" s="24"/>
      <c r="AB116" s="29" t="str">
        <f aca="false">IF(Z116&lt;&gt;"",Z116,IF(V116&lt;&gt;"",V116,IF(R116&lt;&gt;"",R116,IF(N116&lt;&gt;"",N116,IF(J116&lt;&gt;"","BEKLİYOR","")))))</f>
        <v>ONAY</v>
      </c>
    </row>
    <row r="117" customFormat="false" ht="42" hidden="false" customHeight="true" outlineLevel="0" collapsed="false">
      <c r="A117" s="15" t="s">
        <v>654</v>
      </c>
      <c r="B117" s="15" t="s">
        <v>655</v>
      </c>
      <c r="C117" s="16" t="s">
        <v>656</v>
      </c>
      <c r="D117" s="16" t="s">
        <v>319</v>
      </c>
      <c r="E117" s="16" t="s">
        <v>657</v>
      </c>
      <c r="F117" s="16" t="s">
        <v>658</v>
      </c>
      <c r="G117" s="15" t="s">
        <v>92</v>
      </c>
      <c r="H117" s="15" t="s">
        <v>590</v>
      </c>
      <c r="I117" s="15" t="s">
        <v>591</v>
      </c>
      <c r="J117" s="16" t="s">
        <v>59</v>
      </c>
      <c r="K117" s="16" t="s">
        <v>78</v>
      </c>
      <c r="L117" s="28"/>
      <c r="M117" s="28"/>
      <c r="N117" s="31" t="s">
        <v>70</v>
      </c>
      <c r="O117" s="18"/>
      <c r="P117" s="19"/>
      <c r="Q117" s="19"/>
      <c r="R117" s="19"/>
      <c r="S117" s="20"/>
      <c r="T117" s="21"/>
      <c r="U117" s="21"/>
      <c r="V117" s="21"/>
      <c r="W117" s="22"/>
      <c r="X117" s="23"/>
      <c r="Y117" s="23"/>
      <c r="Z117" s="23"/>
      <c r="AA117" s="24"/>
      <c r="AB117" s="25" t="str">
        <f aca="false">IF(Z117&lt;&gt;"",Z117,IF(V117&lt;&gt;"",V117,IF(R117&lt;&gt;"",R117,IF(N117&lt;&gt;"",N117,IF(J117&lt;&gt;"","BEKLİYOR","")))))</f>
        <v>DÜZELTME</v>
      </c>
    </row>
    <row r="118" customFormat="false" ht="42" hidden="false" customHeight="true" outlineLevel="0" collapsed="false">
      <c r="A118" s="26" t="s">
        <v>659</v>
      </c>
      <c r="B118" s="26" t="s">
        <v>660</v>
      </c>
      <c r="C118" s="27" t="s">
        <v>661</v>
      </c>
      <c r="D118" s="27" t="s">
        <v>242</v>
      </c>
      <c r="E118" s="27" t="s">
        <v>662</v>
      </c>
      <c r="F118" s="27" t="s">
        <v>663</v>
      </c>
      <c r="G118" s="26" t="s">
        <v>67</v>
      </c>
      <c r="H118" s="26" t="s">
        <v>590</v>
      </c>
      <c r="I118" s="26" t="s">
        <v>591</v>
      </c>
      <c r="J118" s="27" t="s">
        <v>43</v>
      </c>
      <c r="K118" s="27" t="s">
        <v>69</v>
      </c>
      <c r="L118" s="17" t="s">
        <v>45</v>
      </c>
      <c r="M118" s="17" t="s">
        <v>45</v>
      </c>
      <c r="N118" s="17" t="s">
        <v>45</v>
      </c>
      <c r="O118" s="18"/>
      <c r="P118" s="19"/>
      <c r="Q118" s="19"/>
      <c r="R118" s="19"/>
      <c r="S118" s="20"/>
      <c r="T118" s="21"/>
      <c r="U118" s="21"/>
      <c r="V118" s="21"/>
      <c r="W118" s="22"/>
      <c r="X118" s="23"/>
      <c r="Y118" s="23"/>
      <c r="Z118" s="23"/>
      <c r="AA118" s="24"/>
      <c r="AB118" s="29" t="str">
        <f aca="false">IF(Z118&lt;&gt;"",Z118,IF(V118&lt;&gt;"",V118,IF(R118&lt;&gt;"",R118,IF(N118&lt;&gt;"",N118,IF(J118&lt;&gt;"","BEKLİYOR","")))))</f>
        <v>ONAY</v>
      </c>
    </row>
    <row r="119" customFormat="false" ht="42" hidden="false" customHeight="true" outlineLevel="0" collapsed="false">
      <c r="A119" s="15" t="s">
        <v>664</v>
      </c>
      <c r="B119" s="15" t="s">
        <v>665</v>
      </c>
      <c r="C119" s="16" t="s">
        <v>666</v>
      </c>
      <c r="D119" s="16" t="s">
        <v>82</v>
      </c>
      <c r="E119" s="16" t="s">
        <v>667</v>
      </c>
      <c r="F119" s="16" t="s">
        <v>668</v>
      </c>
      <c r="G119" s="15" t="s">
        <v>41</v>
      </c>
      <c r="H119" s="15" t="s">
        <v>590</v>
      </c>
      <c r="I119" s="15" t="s">
        <v>591</v>
      </c>
      <c r="J119" s="16" t="s">
        <v>78</v>
      </c>
      <c r="K119" s="16" t="s">
        <v>99</v>
      </c>
      <c r="L119" s="34" t="s">
        <v>177</v>
      </c>
      <c r="M119" s="28"/>
      <c r="N119" s="31" t="s">
        <v>70</v>
      </c>
      <c r="O119" s="18"/>
      <c r="P119" s="19"/>
      <c r="Q119" s="19"/>
      <c r="R119" s="19"/>
      <c r="S119" s="20"/>
      <c r="T119" s="21"/>
      <c r="U119" s="21"/>
      <c r="V119" s="21"/>
      <c r="W119" s="22"/>
      <c r="X119" s="23"/>
      <c r="Y119" s="23"/>
      <c r="Z119" s="23"/>
      <c r="AA119" s="24"/>
      <c r="AB119" s="25" t="str">
        <f aca="false">IF(Z119&lt;&gt;"",Z119,IF(V119&lt;&gt;"",V119,IF(R119&lt;&gt;"",R119,IF(N119&lt;&gt;"",N119,IF(J119&lt;&gt;"","BEKLİYOR","")))))</f>
        <v>DÜZELTME</v>
      </c>
    </row>
    <row r="120" customFormat="false" ht="42" hidden="false" customHeight="true" outlineLevel="0" collapsed="false">
      <c r="A120" s="26" t="s">
        <v>669</v>
      </c>
      <c r="B120" s="26" t="s">
        <v>670</v>
      </c>
      <c r="C120" s="27" t="s">
        <v>671</v>
      </c>
      <c r="D120" s="27" t="s">
        <v>672</v>
      </c>
      <c r="E120" s="27" t="s">
        <v>673</v>
      </c>
      <c r="F120" s="27" t="s">
        <v>674</v>
      </c>
      <c r="G120" s="26" t="s">
        <v>41</v>
      </c>
      <c r="H120" s="26" t="s">
        <v>675</v>
      </c>
      <c r="I120" s="26" t="s">
        <v>591</v>
      </c>
      <c r="J120" s="27" t="s">
        <v>43</v>
      </c>
      <c r="K120" s="27" t="s">
        <v>59</v>
      </c>
      <c r="L120" s="31" t="s">
        <v>70</v>
      </c>
      <c r="M120" s="28"/>
      <c r="N120" s="31" t="s">
        <v>70</v>
      </c>
      <c r="O120" s="18"/>
      <c r="P120" s="19"/>
      <c r="Q120" s="19"/>
      <c r="R120" s="19"/>
      <c r="S120" s="20"/>
      <c r="T120" s="21"/>
      <c r="U120" s="21"/>
      <c r="V120" s="21"/>
      <c r="W120" s="22"/>
      <c r="X120" s="23"/>
      <c r="Y120" s="23"/>
      <c r="Z120" s="23"/>
      <c r="AA120" s="24"/>
      <c r="AB120" s="29" t="str">
        <f aca="false">IF(Z120&lt;&gt;"",Z120,IF(V120&lt;&gt;"",V120,IF(R120&lt;&gt;"",R120,IF(N120&lt;&gt;"",N120,IF(J120&lt;&gt;"","BEKLİYOR","")))))</f>
        <v>DÜZELTME</v>
      </c>
    </row>
    <row r="121" customFormat="false" ht="27.75" hidden="false" customHeight="true" outlineLevel="0" collapsed="false">
      <c r="A121" s="15" t="s">
        <v>676</v>
      </c>
      <c r="B121" s="15" t="s">
        <v>677</v>
      </c>
      <c r="C121" s="16" t="s">
        <v>678</v>
      </c>
      <c r="D121" s="16" t="s">
        <v>242</v>
      </c>
      <c r="E121" s="16" t="s">
        <v>679</v>
      </c>
      <c r="F121" s="16" t="s">
        <v>680</v>
      </c>
      <c r="G121" s="15" t="s">
        <v>41</v>
      </c>
      <c r="H121" s="15" t="s">
        <v>675</v>
      </c>
      <c r="I121" s="15" t="s">
        <v>591</v>
      </c>
      <c r="J121" s="16" t="s">
        <v>43</v>
      </c>
      <c r="K121" s="16" t="s">
        <v>93</v>
      </c>
      <c r="L121" s="17" t="s">
        <v>45</v>
      </c>
      <c r="M121" s="17" t="s">
        <v>45</v>
      </c>
      <c r="N121" s="31" t="s">
        <v>70</v>
      </c>
      <c r="O121" s="18"/>
      <c r="P121" s="19"/>
      <c r="Q121" s="19"/>
      <c r="R121" s="19"/>
      <c r="S121" s="20"/>
      <c r="T121" s="21"/>
      <c r="U121" s="21"/>
      <c r="V121" s="21"/>
      <c r="W121" s="22"/>
      <c r="X121" s="23"/>
      <c r="Y121" s="23"/>
      <c r="Z121" s="23"/>
      <c r="AA121" s="24"/>
      <c r="AB121" s="25" t="str">
        <f aca="false">IF(Z121&lt;&gt;"",Z121,IF(V121&lt;&gt;"",V121,IF(R121&lt;&gt;"",R121,IF(N121&lt;&gt;"",N121,IF(J121&lt;&gt;"","BEKLİYOR","")))))</f>
        <v>DÜZELTME</v>
      </c>
    </row>
    <row r="122" customFormat="false" ht="42" hidden="false" customHeight="true" outlineLevel="0" collapsed="false">
      <c r="A122" s="26" t="s">
        <v>681</v>
      </c>
      <c r="B122" s="26" t="s">
        <v>682</v>
      </c>
      <c r="C122" s="27" t="s">
        <v>683</v>
      </c>
      <c r="D122" s="27" t="s">
        <v>684</v>
      </c>
      <c r="E122" s="27" t="s">
        <v>685</v>
      </c>
      <c r="F122" s="27" t="s">
        <v>686</v>
      </c>
      <c r="G122" s="26" t="s">
        <v>41</v>
      </c>
      <c r="H122" s="26" t="s">
        <v>675</v>
      </c>
      <c r="I122" s="26" t="s">
        <v>591</v>
      </c>
      <c r="J122" s="27" t="s">
        <v>43</v>
      </c>
      <c r="K122" s="27" t="s">
        <v>44</v>
      </c>
      <c r="L122" s="31" t="s">
        <v>70</v>
      </c>
      <c r="M122" s="28"/>
      <c r="N122" s="31" t="s">
        <v>70</v>
      </c>
      <c r="O122" s="18"/>
      <c r="P122" s="19"/>
      <c r="Q122" s="19"/>
      <c r="R122" s="19"/>
      <c r="S122" s="20"/>
      <c r="T122" s="21"/>
      <c r="U122" s="21"/>
      <c r="V122" s="21"/>
      <c r="W122" s="22"/>
      <c r="X122" s="23"/>
      <c r="Y122" s="23"/>
      <c r="Z122" s="23"/>
      <c r="AA122" s="24"/>
      <c r="AB122" s="29" t="str">
        <f aca="false">IF(Z122&lt;&gt;"",Z122,IF(V122&lt;&gt;"",V122,IF(R122&lt;&gt;"",R122,IF(N122&lt;&gt;"",N122,IF(J122&lt;&gt;"","BEKLİYOR","")))))</f>
        <v>DÜZELTME</v>
      </c>
    </row>
    <row r="123" customFormat="false" ht="42" hidden="false" customHeight="true" outlineLevel="0" collapsed="false">
      <c r="A123" s="15" t="s">
        <v>687</v>
      </c>
      <c r="B123" s="15" t="s">
        <v>688</v>
      </c>
      <c r="C123" s="16" t="s">
        <v>85</v>
      </c>
      <c r="D123" s="16" t="s">
        <v>647</v>
      </c>
      <c r="E123" s="16" t="s">
        <v>689</v>
      </c>
      <c r="F123" s="16" t="s">
        <v>690</v>
      </c>
      <c r="G123" s="15" t="s">
        <v>41</v>
      </c>
      <c r="H123" s="15" t="s">
        <v>675</v>
      </c>
      <c r="I123" s="15" t="s">
        <v>591</v>
      </c>
      <c r="J123" s="16" t="s">
        <v>43</v>
      </c>
      <c r="K123" s="16" t="s">
        <v>93</v>
      </c>
      <c r="L123" s="31" t="s">
        <v>70</v>
      </c>
      <c r="M123" s="17" t="s">
        <v>45</v>
      </c>
      <c r="N123" s="31" t="s">
        <v>70</v>
      </c>
      <c r="O123" s="18"/>
      <c r="P123" s="19"/>
      <c r="Q123" s="19"/>
      <c r="R123" s="17" t="s">
        <v>45</v>
      </c>
      <c r="S123" s="20"/>
      <c r="T123" s="21"/>
      <c r="U123" s="21"/>
      <c r="V123" s="21"/>
      <c r="W123" s="22"/>
      <c r="X123" s="23"/>
      <c r="Y123" s="23"/>
      <c r="Z123" s="23"/>
      <c r="AA123" s="24"/>
      <c r="AB123" s="25" t="str">
        <f aca="false">IF(Z123&lt;&gt;"",Z123,IF(V123&lt;&gt;"",V123,IF(R123&lt;&gt;"",R123,IF(N123&lt;&gt;"",N123,IF(J123&lt;&gt;"","BEKLİYOR","")))))</f>
        <v>ONAY</v>
      </c>
    </row>
    <row r="124" customFormat="false" ht="27.75" hidden="false" customHeight="true" outlineLevel="0" collapsed="false">
      <c r="A124" s="26" t="s">
        <v>691</v>
      </c>
      <c r="B124" s="26" t="s">
        <v>692</v>
      </c>
      <c r="C124" s="27" t="s">
        <v>415</v>
      </c>
      <c r="D124" s="27" t="s">
        <v>158</v>
      </c>
      <c r="E124" s="27" t="s">
        <v>693</v>
      </c>
      <c r="F124" s="27" t="s">
        <v>694</v>
      </c>
      <c r="G124" s="26" t="s">
        <v>41</v>
      </c>
      <c r="H124" s="26" t="s">
        <v>675</v>
      </c>
      <c r="I124" s="26" t="s">
        <v>591</v>
      </c>
      <c r="J124" s="27" t="s">
        <v>78</v>
      </c>
      <c r="K124" s="27" t="s">
        <v>52</v>
      </c>
      <c r="L124" s="28"/>
      <c r="M124" s="17" t="s">
        <v>45</v>
      </c>
      <c r="N124" s="31" t="s">
        <v>70</v>
      </c>
      <c r="O124" s="18"/>
      <c r="P124" s="19"/>
      <c r="Q124" s="19"/>
      <c r="R124" s="19"/>
      <c r="S124" s="20"/>
      <c r="T124" s="21"/>
      <c r="U124" s="21"/>
      <c r="V124" s="21"/>
      <c r="W124" s="22"/>
      <c r="X124" s="23"/>
      <c r="Y124" s="23"/>
      <c r="Z124" s="23"/>
      <c r="AA124" s="24"/>
      <c r="AB124" s="29" t="str">
        <f aca="false">IF(Z124&lt;&gt;"",Z124,IF(V124&lt;&gt;"",V124,IF(R124&lt;&gt;"",R124,IF(N124&lt;&gt;"",N124,IF(J124&lt;&gt;"","BEKLİYOR","")))))</f>
        <v>DÜZELTME</v>
      </c>
    </row>
    <row r="125" customFormat="false" ht="27.75" hidden="false" customHeight="true" outlineLevel="0" collapsed="false">
      <c r="A125" s="15" t="s">
        <v>695</v>
      </c>
      <c r="B125" s="15" t="s">
        <v>696</v>
      </c>
      <c r="C125" s="16" t="s">
        <v>697</v>
      </c>
      <c r="D125" s="16" t="s">
        <v>82</v>
      </c>
      <c r="E125" s="16" t="s">
        <v>698</v>
      </c>
      <c r="F125" s="16" t="s">
        <v>699</v>
      </c>
      <c r="G125" s="15" t="s">
        <v>41</v>
      </c>
      <c r="H125" s="15" t="s">
        <v>675</v>
      </c>
      <c r="I125" s="15" t="s">
        <v>591</v>
      </c>
      <c r="J125" s="16" t="s">
        <v>59</v>
      </c>
      <c r="K125" s="16" t="s">
        <v>99</v>
      </c>
      <c r="L125" s="17" t="s">
        <v>45</v>
      </c>
      <c r="M125" s="17" t="s">
        <v>45</v>
      </c>
      <c r="N125" s="17" t="s">
        <v>45</v>
      </c>
      <c r="O125" s="18"/>
      <c r="P125" s="19"/>
      <c r="Q125" s="19"/>
      <c r="R125" s="19"/>
      <c r="S125" s="20"/>
      <c r="T125" s="21"/>
      <c r="U125" s="21"/>
      <c r="V125" s="21"/>
      <c r="W125" s="22"/>
      <c r="X125" s="23"/>
      <c r="Y125" s="23"/>
      <c r="Z125" s="23"/>
      <c r="AA125" s="24"/>
      <c r="AB125" s="25" t="str">
        <f aca="false">IF(Z125&lt;&gt;"",Z125,IF(V125&lt;&gt;"",V125,IF(R125&lt;&gt;"",R125,IF(N125&lt;&gt;"",N125,IF(J125&lt;&gt;"","BEKLİYOR","")))))</f>
        <v>ONAY</v>
      </c>
    </row>
    <row r="126" customFormat="false" ht="27.75" hidden="false" customHeight="true" outlineLevel="0" collapsed="false">
      <c r="A126" s="26" t="s">
        <v>700</v>
      </c>
      <c r="B126" s="26" t="s">
        <v>701</v>
      </c>
      <c r="C126" s="27" t="s">
        <v>77</v>
      </c>
      <c r="D126" s="27" t="s">
        <v>406</v>
      </c>
      <c r="E126" s="27" t="s">
        <v>702</v>
      </c>
      <c r="F126" s="27" t="s">
        <v>703</v>
      </c>
      <c r="G126" s="26" t="s">
        <v>41</v>
      </c>
      <c r="H126" s="26" t="s">
        <v>675</v>
      </c>
      <c r="I126" s="26" t="s">
        <v>591</v>
      </c>
      <c r="J126" s="27" t="s">
        <v>69</v>
      </c>
      <c r="K126" s="27" t="s">
        <v>43</v>
      </c>
      <c r="L126" s="28"/>
      <c r="M126" s="31" t="s">
        <v>70</v>
      </c>
      <c r="N126" s="31" t="s">
        <v>70</v>
      </c>
      <c r="O126" s="18"/>
      <c r="P126" s="19"/>
      <c r="Q126" s="19"/>
      <c r="R126" s="19"/>
      <c r="S126" s="20"/>
      <c r="T126" s="21"/>
      <c r="U126" s="21"/>
      <c r="V126" s="21"/>
      <c r="W126" s="22"/>
      <c r="X126" s="23"/>
      <c r="Y126" s="23"/>
      <c r="Z126" s="23"/>
      <c r="AA126" s="24"/>
      <c r="AB126" s="29" t="str">
        <f aca="false">IF(Z126&lt;&gt;"",Z126,IF(V126&lt;&gt;"",V126,IF(R126&lt;&gt;"",R126,IF(N126&lt;&gt;"",N126,IF(J126&lt;&gt;"","BEKLİYOR","")))))</f>
        <v>DÜZELTME</v>
      </c>
    </row>
    <row r="127" customFormat="false" ht="42" hidden="false" customHeight="true" outlineLevel="0" collapsed="false">
      <c r="A127" s="15" t="s">
        <v>704</v>
      </c>
      <c r="B127" s="15" t="s">
        <v>705</v>
      </c>
      <c r="C127" s="16" t="s">
        <v>139</v>
      </c>
      <c r="D127" s="16" t="s">
        <v>140</v>
      </c>
      <c r="E127" s="16" t="s">
        <v>706</v>
      </c>
      <c r="F127" s="16" t="s">
        <v>707</v>
      </c>
      <c r="G127" s="15" t="s">
        <v>41</v>
      </c>
      <c r="H127" s="15" t="s">
        <v>675</v>
      </c>
      <c r="I127" s="15" t="s">
        <v>591</v>
      </c>
      <c r="J127" s="16" t="s">
        <v>78</v>
      </c>
      <c r="K127" s="16" t="s">
        <v>44</v>
      </c>
      <c r="L127" s="34" t="s">
        <v>177</v>
      </c>
      <c r="M127" s="17" t="s">
        <v>45</v>
      </c>
      <c r="N127" s="31" t="s">
        <v>70</v>
      </c>
      <c r="O127" s="18"/>
      <c r="P127" s="19"/>
      <c r="Q127" s="19"/>
      <c r="R127" s="19"/>
      <c r="S127" s="20"/>
      <c r="T127" s="21"/>
      <c r="U127" s="21"/>
      <c r="V127" s="21"/>
      <c r="W127" s="22"/>
      <c r="X127" s="23"/>
      <c r="Y127" s="23"/>
      <c r="Z127" s="23"/>
      <c r="AA127" s="24"/>
      <c r="AB127" s="25" t="str">
        <f aca="false">IF(Z127&lt;&gt;"",Z127,IF(V127&lt;&gt;"",V127,IF(R127&lt;&gt;"",R127,IF(N127&lt;&gt;"",N127,IF(J127&lt;&gt;"","BEKLİYOR","")))))</f>
        <v>DÜZELTME</v>
      </c>
    </row>
    <row r="128" customFormat="false" ht="55.5" hidden="false" customHeight="true" outlineLevel="0" collapsed="false">
      <c r="A128" s="26" t="s">
        <v>708</v>
      </c>
      <c r="B128" s="26" t="s">
        <v>709</v>
      </c>
      <c r="C128" s="27" t="s">
        <v>710</v>
      </c>
      <c r="D128" s="27" t="s">
        <v>711</v>
      </c>
      <c r="E128" s="27" t="s">
        <v>712</v>
      </c>
      <c r="F128" s="27" t="s">
        <v>713</v>
      </c>
      <c r="G128" s="26" t="s">
        <v>67</v>
      </c>
      <c r="H128" s="26" t="s">
        <v>675</v>
      </c>
      <c r="I128" s="26" t="s">
        <v>591</v>
      </c>
      <c r="J128" s="27" t="s">
        <v>44</v>
      </c>
      <c r="K128" s="27" t="s">
        <v>52</v>
      </c>
      <c r="L128" s="17" t="s">
        <v>45</v>
      </c>
      <c r="M128" s="31" t="s">
        <v>70</v>
      </c>
      <c r="N128" s="31" t="s">
        <v>70</v>
      </c>
      <c r="O128" s="18"/>
      <c r="P128" s="19"/>
      <c r="Q128" s="19"/>
      <c r="R128" s="17" t="s">
        <v>45</v>
      </c>
      <c r="S128" s="20"/>
      <c r="T128" s="21"/>
      <c r="U128" s="21"/>
      <c r="V128" s="21"/>
      <c r="W128" s="22"/>
      <c r="X128" s="23"/>
      <c r="Y128" s="23"/>
      <c r="Z128" s="23"/>
      <c r="AA128" s="24"/>
      <c r="AB128" s="29" t="str">
        <f aca="false">IF(Z128&lt;&gt;"",Z128,IF(V128&lt;&gt;"",V128,IF(R128&lt;&gt;"",R128,IF(N128&lt;&gt;"",N128,IF(J128&lt;&gt;"","BEKLİYOR","")))))</f>
        <v>ONAY</v>
      </c>
    </row>
    <row r="129" customFormat="false" ht="27.75" hidden="false" customHeight="true" outlineLevel="0" collapsed="false">
      <c r="A129" s="15" t="s">
        <v>714</v>
      </c>
      <c r="B129" s="15" t="s">
        <v>715</v>
      </c>
      <c r="C129" s="16" t="s">
        <v>173</v>
      </c>
      <c r="D129" s="16" t="s">
        <v>174</v>
      </c>
      <c r="E129" s="16" t="s">
        <v>716</v>
      </c>
      <c r="F129" s="16" t="s">
        <v>717</v>
      </c>
      <c r="G129" s="15" t="s">
        <v>67</v>
      </c>
      <c r="H129" s="15" t="s">
        <v>675</v>
      </c>
      <c r="I129" s="15" t="s">
        <v>591</v>
      </c>
      <c r="J129" s="16" t="s">
        <v>43</v>
      </c>
      <c r="K129" s="16" t="s">
        <v>52</v>
      </c>
      <c r="L129" s="17" t="s">
        <v>45</v>
      </c>
      <c r="M129" s="17" t="s">
        <v>45</v>
      </c>
      <c r="N129" s="17" t="s">
        <v>45</v>
      </c>
      <c r="O129" s="18"/>
      <c r="P129" s="19"/>
      <c r="Q129" s="19"/>
      <c r="R129" s="19"/>
      <c r="S129" s="20"/>
      <c r="T129" s="21"/>
      <c r="U129" s="21"/>
      <c r="V129" s="21"/>
      <c r="W129" s="22"/>
      <c r="X129" s="23"/>
      <c r="Y129" s="23"/>
      <c r="Z129" s="23"/>
      <c r="AA129" s="24"/>
      <c r="AB129" s="25" t="str">
        <f aca="false">IF(Z129&lt;&gt;"",Z129,IF(V129&lt;&gt;"",V129,IF(R129&lt;&gt;"",R129,IF(N129&lt;&gt;"",N129,IF(J129&lt;&gt;"","BEKLİYOR","")))))</f>
        <v>ONAY</v>
      </c>
    </row>
    <row r="130" customFormat="false" ht="27.75" hidden="false" customHeight="true" outlineLevel="0" collapsed="false">
      <c r="A130" s="26" t="s">
        <v>718</v>
      </c>
      <c r="B130" s="26" t="s">
        <v>719</v>
      </c>
      <c r="C130" s="27" t="s">
        <v>720</v>
      </c>
      <c r="D130" s="27" t="s">
        <v>193</v>
      </c>
      <c r="E130" s="27" t="s">
        <v>721</v>
      </c>
      <c r="F130" s="27" t="s">
        <v>722</v>
      </c>
      <c r="G130" s="26" t="s">
        <v>92</v>
      </c>
      <c r="H130" s="26" t="s">
        <v>675</v>
      </c>
      <c r="I130" s="26" t="s">
        <v>591</v>
      </c>
      <c r="J130" s="27" t="s">
        <v>69</v>
      </c>
      <c r="K130" s="27" t="s">
        <v>59</v>
      </c>
      <c r="L130" s="17" t="s">
        <v>45</v>
      </c>
      <c r="M130" s="28"/>
      <c r="N130" s="31" t="s">
        <v>70</v>
      </c>
      <c r="O130" s="18"/>
      <c r="P130" s="19"/>
      <c r="Q130" s="19"/>
      <c r="R130" s="19"/>
      <c r="S130" s="20"/>
      <c r="T130" s="21"/>
      <c r="U130" s="21"/>
      <c r="V130" s="21"/>
      <c r="W130" s="22"/>
      <c r="X130" s="23"/>
      <c r="Y130" s="23"/>
      <c r="Z130" s="23"/>
      <c r="AA130" s="24"/>
      <c r="AB130" s="29" t="str">
        <f aca="false">IF(Z130&lt;&gt;"",Z130,IF(V130&lt;&gt;"",V130,IF(R130&lt;&gt;"",R130,IF(N130&lt;&gt;"",N130,IF(J130&lt;&gt;"","BEKLİYOR","")))))</f>
        <v>DÜZELTME</v>
      </c>
    </row>
    <row r="131" customFormat="false" ht="55.5" hidden="false" customHeight="true" outlineLevel="0" collapsed="false">
      <c r="A131" s="15" t="s">
        <v>723</v>
      </c>
      <c r="B131" s="15" t="s">
        <v>724</v>
      </c>
      <c r="C131" s="16" t="s">
        <v>725</v>
      </c>
      <c r="D131" s="16" t="s">
        <v>103</v>
      </c>
      <c r="E131" s="16" t="s">
        <v>726</v>
      </c>
      <c r="F131" s="16" t="s">
        <v>727</v>
      </c>
      <c r="G131" s="15" t="s">
        <v>92</v>
      </c>
      <c r="H131" s="15" t="s">
        <v>675</v>
      </c>
      <c r="I131" s="15" t="s">
        <v>591</v>
      </c>
      <c r="J131" s="16" t="s">
        <v>69</v>
      </c>
      <c r="K131" s="16" t="s">
        <v>99</v>
      </c>
      <c r="L131" s="17" t="s">
        <v>45</v>
      </c>
      <c r="M131" s="17" t="s">
        <v>45</v>
      </c>
      <c r="N131" s="17" t="s">
        <v>45</v>
      </c>
      <c r="O131" s="18"/>
      <c r="P131" s="19"/>
      <c r="Q131" s="19"/>
      <c r="R131" s="19"/>
      <c r="S131" s="20"/>
      <c r="T131" s="21"/>
      <c r="U131" s="21"/>
      <c r="V131" s="21"/>
      <c r="W131" s="22"/>
      <c r="X131" s="23"/>
      <c r="Y131" s="23"/>
      <c r="Z131" s="23"/>
      <c r="AA131" s="24"/>
      <c r="AB131" s="25" t="str">
        <f aca="false">IF(Z131&lt;&gt;"",Z131,IF(V131&lt;&gt;"",V131,IF(R131&lt;&gt;"",R131,IF(N131&lt;&gt;"",N131,IF(J131&lt;&gt;"","BEKLİYOR","")))))</f>
        <v>ONAY</v>
      </c>
    </row>
    <row r="132" customFormat="false" ht="27.75" hidden="false" customHeight="true" outlineLevel="0" collapsed="false">
      <c r="A132" s="26" t="s">
        <v>728</v>
      </c>
      <c r="B132" s="26" t="s">
        <v>729</v>
      </c>
      <c r="C132" s="27" t="s">
        <v>730</v>
      </c>
      <c r="D132" s="27" t="s">
        <v>263</v>
      </c>
      <c r="E132" s="27" t="s">
        <v>731</v>
      </c>
      <c r="F132" s="27" t="s">
        <v>732</v>
      </c>
      <c r="G132" s="26" t="s">
        <v>92</v>
      </c>
      <c r="H132" s="26" t="s">
        <v>675</v>
      </c>
      <c r="I132" s="26" t="s">
        <v>591</v>
      </c>
      <c r="J132" s="27" t="s">
        <v>78</v>
      </c>
      <c r="K132" s="27" t="s">
        <v>93</v>
      </c>
      <c r="L132" s="17" t="s">
        <v>45</v>
      </c>
      <c r="M132" s="17" t="s">
        <v>45</v>
      </c>
      <c r="N132" s="17" t="s">
        <v>45</v>
      </c>
      <c r="O132" s="18"/>
      <c r="P132" s="19"/>
      <c r="Q132" s="19"/>
      <c r="R132" s="19"/>
      <c r="S132" s="20"/>
      <c r="T132" s="21"/>
      <c r="U132" s="21"/>
      <c r="V132" s="21"/>
      <c r="W132" s="22"/>
      <c r="X132" s="23"/>
      <c r="Y132" s="23"/>
      <c r="Z132" s="23"/>
      <c r="AA132" s="24"/>
      <c r="AB132" s="29" t="str">
        <f aca="false">IF(Z132&lt;&gt;"",Z132,IF(V132&lt;&gt;"",V132,IF(R132&lt;&gt;"",R132,IF(N132&lt;&gt;"",N132,IF(J132&lt;&gt;"","BEKLİYOR","")))))</f>
        <v>ONAY</v>
      </c>
    </row>
    <row r="133" customFormat="false" ht="27.75" hidden="false" customHeight="true" outlineLevel="0" collapsed="false">
      <c r="A133" s="15" t="s">
        <v>733</v>
      </c>
      <c r="B133" s="15" t="s">
        <v>734</v>
      </c>
      <c r="C133" s="16" t="s">
        <v>666</v>
      </c>
      <c r="D133" s="16" t="s">
        <v>82</v>
      </c>
      <c r="E133" s="16" t="s">
        <v>667</v>
      </c>
      <c r="F133" s="16" t="s">
        <v>735</v>
      </c>
      <c r="G133" s="15" t="s">
        <v>41</v>
      </c>
      <c r="H133" s="15" t="s">
        <v>675</v>
      </c>
      <c r="I133" s="15" t="s">
        <v>591</v>
      </c>
      <c r="J133" s="16" t="s">
        <v>99</v>
      </c>
      <c r="K133" s="16" t="s">
        <v>44</v>
      </c>
      <c r="L133" s="17" t="s">
        <v>45</v>
      </c>
      <c r="M133" s="17" t="s">
        <v>45</v>
      </c>
      <c r="N133" s="31" t="s">
        <v>70</v>
      </c>
      <c r="O133" s="18"/>
      <c r="P133" s="19"/>
      <c r="Q133" s="19"/>
      <c r="R133" s="19"/>
      <c r="S133" s="20"/>
      <c r="T133" s="21"/>
      <c r="U133" s="21"/>
      <c r="V133" s="21"/>
      <c r="W133" s="22"/>
      <c r="X133" s="23"/>
      <c r="Y133" s="23"/>
      <c r="Z133" s="23"/>
      <c r="AA133" s="24"/>
      <c r="AB133" s="25" t="str">
        <f aca="false">IF(Z133&lt;&gt;"",Z133,IF(V133&lt;&gt;"",V133,IF(R133&lt;&gt;"",R133,IF(N133&lt;&gt;"",N133,IF(J133&lt;&gt;"","BEKLİYOR","")))))</f>
        <v>DÜZELTME</v>
      </c>
    </row>
    <row r="134" customFormat="false" ht="27.75" hidden="false" customHeight="true" outlineLevel="0" collapsed="false">
      <c r="A134" s="26" t="s">
        <v>736</v>
      </c>
      <c r="B134" s="26" t="s">
        <v>737</v>
      </c>
      <c r="C134" s="27" t="s">
        <v>738</v>
      </c>
      <c r="D134" s="27" t="s">
        <v>82</v>
      </c>
      <c r="E134" s="27" t="s">
        <v>739</v>
      </c>
      <c r="F134" s="27" t="s">
        <v>740</v>
      </c>
      <c r="G134" s="26" t="s">
        <v>92</v>
      </c>
      <c r="H134" s="26" t="s">
        <v>675</v>
      </c>
      <c r="I134" s="26" t="s">
        <v>591</v>
      </c>
      <c r="J134" s="27" t="s">
        <v>99</v>
      </c>
      <c r="K134" s="27" t="s">
        <v>69</v>
      </c>
      <c r="L134" s="17" t="s">
        <v>45</v>
      </c>
      <c r="M134" s="17" t="s">
        <v>45</v>
      </c>
      <c r="N134" s="17" t="s">
        <v>45</v>
      </c>
      <c r="O134" s="18"/>
      <c r="P134" s="19"/>
      <c r="Q134" s="19"/>
      <c r="R134" s="19"/>
      <c r="S134" s="20"/>
      <c r="T134" s="21"/>
      <c r="U134" s="21"/>
      <c r="V134" s="21"/>
      <c r="W134" s="22"/>
      <c r="X134" s="23"/>
      <c r="Y134" s="23"/>
      <c r="Z134" s="23"/>
      <c r="AA134" s="24"/>
      <c r="AB134" s="29" t="str">
        <f aca="false">IF(Z134&lt;&gt;"",Z134,IF(V134&lt;&gt;"",V134,IF(R134&lt;&gt;"",R134,IF(N134&lt;&gt;"",N134,IF(J134&lt;&gt;"","BEKLİYOR","")))))</f>
        <v>ONAY</v>
      </c>
    </row>
    <row r="135" customFormat="false" ht="42" hidden="false" customHeight="true" outlineLevel="0" collapsed="false">
      <c r="A135" s="15" t="s">
        <v>741</v>
      </c>
      <c r="B135" s="15" t="s">
        <v>742</v>
      </c>
      <c r="C135" s="16" t="s">
        <v>743</v>
      </c>
      <c r="D135" s="16" t="s">
        <v>373</v>
      </c>
      <c r="E135" s="16" t="s">
        <v>744</v>
      </c>
      <c r="F135" s="16" t="s">
        <v>745</v>
      </c>
      <c r="G135" s="15" t="s">
        <v>41</v>
      </c>
      <c r="H135" s="15" t="s">
        <v>675</v>
      </c>
      <c r="I135" s="15" t="s">
        <v>591</v>
      </c>
      <c r="J135" s="16" t="s">
        <v>59</v>
      </c>
      <c r="K135" s="16" t="s">
        <v>52</v>
      </c>
      <c r="L135" s="31" t="s">
        <v>70</v>
      </c>
      <c r="M135" s="17" t="s">
        <v>45</v>
      </c>
      <c r="N135" s="31" t="s">
        <v>70</v>
      </c>
      <c r="O135" s="18"/>
      <c r="P135" s="19"/>
      <c r="Q135" s="19"/>
      <c r="R135" s="17" t="s">
        <v>45</v>
      </c>
      <c r="S135" s="20"/>
      <c r="T135" s="21"/>
      <c r="U135" s="21"/>
      <c r="V135" s="21"/>
      <c r="W135" s="22"/>
      <c r="X135" s="23"/>
      <c r="Y135" s="23"/>
      <c r="Z135" s="23"/>
      <c r="AA135" s="24"/>
      <c r="AB135" s="25" t="str">
        <f aca="false">IF(Z135&lt;&gt;"",Z135,IF(V135&lt;&gt;"",V135,IF(R135&lt;&gt;"",R135,IF(N135&lt;&gt;"",N135,IF(J135&lt;&gt;"","BEKLİYOR","")))))</f>
        <v>ONAY</v>
      </c>
    </row>
    <row r="136" customFormat="false" ht="42" hidden="false" customHeight="true" outlineLevel="0" collapsed="false">
      <c r="A136" s="26" t="s">
        <v>746</v>
      </c>
      <c r="B136" s="26" t="s">
        <v>747</v>
      </c>
      <c r="C136" s="27" t="s">
        <v>55</v>
      </c>
      <c r="D136" s="27" t="s">
        <v>56</v>
      </c>
      <c r="E136" s="27" t="s">
        <v>748</v>
      </c>
      <c r="F136" s="27" t="s">
        <v>749</v>
      </c>
      <c r="G136" s="26" t="s">
        <v>41</v>
      </c>
      <c r="H136" s="26" t="s">
        <v>675</v>
      </c>
      <c r="I136" s="26" t="s">
        <v>591</v>
      </c>
      <c r="J136" s="27" t="s">
        <v>59</v>
      </c>
      <c r="K136" s="27" t="s">
        <v>78</v>
      </c>
      <c r="L136" s="17" t="s">
        <v>45</v>
      </c>
      <c r="M136" s="17" t="s">
        <v>45</v>
      </c>
      <c r="N136" s="17" t="s">
        <v>45</v>
      </c>
      <c r="O136" s="18"/>
      <c r="P136" s="19"/>
      <c r="Q136" s="19"/>
      <c r="R136" s="19"/>
      <c r="S136" s="20"/>
      <c r="T136" s="21"/>
      <c r="U136" s="21"/>
      <c r="V136" s="21"/>
      <c r="W136" s="22"/>
      <c r="X136" s="23"/>
      <c r="Y136" s="23"/>
      <c r="Z136" s="23"/>
      <c r="AA136" s="24"/>
      <c r="AB136" s="29" t="str">
        <f aca="false">IF(Z136&lt;&gt;"",Z136,IF(V136&lt;&gt;"",V136,IF(R136&lt;&gt;"",R136,IF(N136&lt;&gt;"",N136,IF(J136&lt;&gt;"","BEKLİYOR","")))))</f>
        <v>ONAY</v>
      </c>
    </row>
    <row r="137" customFormat="false" ht="42" hidden="false" customHeight="true" outlineLevel="0" collapsed="false">
      <c r="A137" s="15" t="s">
        <v>750</v>
      </c>
      <c r="B137" s="15" t="s">
        <v>751</v>
      </c>
      <c r="C137" s="16" t="s">
        <v>468</v>
      </c>
      <c r="D137" s="16" t="s">
        <v>269</v>
      </c>
      <c r="E137" s="16" t="s">
        <v>752</v>
      </c>
      <c r="F137" s="16" t="s">
        <v>753</v>
      </c>
      <c r="G137" s="15" t="s">
        <v>41</v>
      </c>
      <c r="H137" s="15" t="s">
        <v>675</v>
      </c>
      <c r="I137" s="15" t="s">
        <v>591</v>
      </c>
      <c r="J137" s="16" t="s">
        <v>93</v>
      </c>
      <c r="K137" s="16" t="s">
        <v>52</v>
      </c>
      <c r="L137" s="17" t="s">
        <v>45</v>
      </c>
      <c r="M137" s="28"/>
      <c r="N137" s="31" t="s">
        <v>70</v>
      </c>
      <c r="O137" s="18"/>
      <c r="P137" s="19"/>
      <c r="Q137" s="19"/>
      <c r="R137" s="19"/>
      <c r="S137" s="20"/>
      <c r="T137" s="21"/>
      <c r="U137" s="21"/>
      <c r="V137" s="21"/>
      <c r="W137" s="22"/>
      <c r="X137" s="23"/>
      <c r="Y137" s="23"/>
      <c r="Z137" s="23"/>
      <c r="AA137" s="24"/>
      <c r="AB137" s="25" t="str">
        <f aca="false">IF(Z137&lt;&gt;"",Z137,IF(V137&lt;&gt;"",V137,IF(R137&lt;&gt;"",R137,IF(N137&lt;&gt;"",N137,IF(J137&lt;&gt;"","BEKLİYOR","")))))</f>
        <v>DÜZELTME</v>
      </c>
    </row>
    <row r="138" customFormat="false" ht="27.75" hidden="false" customHeight="true" outlineLevel="0" collapsed="false">
      <c r="A138" s="26" t="s">
        <v>754</v>
      </c>
      <c r="B138" s="26" t="s">
        <v>755</v>
      </c>
      <c r="C138" s="27" t="s">
        <v>756</v>
      </c>
      <c r="D138" s="27" t="s">
        <v>757</v>
      </c>
      <c r="E138" s="27" t="s">
        <v>758</v>
      </c>
      <c r="F138" s="27" t="s">
        <v>759</v>
      </c>
      <c r="G138" s="26" t="s">
        <v>130</v>
      </c>
      <c r="H138" s="26" t="s">
        <v>675</v>
      </c>
      <c r="I138" s="26" t="s">
        <v>591</v>
      </c>
      <c r="J138" s="27" t="s">
        <v>59</v>
      </c>
      <c r="K138" s="27" t="s">
        <v>93</v>
      </c>
      <c r="L138" s="17" t="s">
        <v>45</v>
      </c>
      <c r="M138" s="17" t="s">
        <v>45</v>
      </c>
      <c r="N138" s="17" t="s">
        <v>45</v>
      </c>
      <c r="O138" s="18"/>
      <c r="P138" s="19"/>
      <c r="Q138" s="19"/>
      <c r="R138" s="19"/>
      <c r="S138" s="20"/>
      <c r="T138" s="21"/>
      <c r="U138" s="21"/>
      <c r="V138" s="21"/>
      <c r="W138" s="22"/>
      <c r="X138" s="23"/>
      <c r="Y138" s="23"/>
      <c r="Z138" s="23"/>
      <c r="AA138" s="24"/>
      <c r="AB138" s="29" t="str">
        <f aca="false">IF(Z138&lt;&gt;"",Z138,IF(V138&lt;&gt;"",V138,IF(R138&lt;&gt;"",R138,IF(N138&lt;&gt;"",N138,IF(J138&lt;&gt;"","BEKLİYOR","")))))</f>
        <v>ONAY</v>
      </c>
    </row>
    <row r="139" customFormat="false" ht="27.75" hidden="false" customHeight="true" outlineLevel="0" collapsed="false">
      <c r="A139" s="15" t="s">
        <v>760</v>
      </c>
      <c r="B139" s="15" t="s">
        <v>761</v>
      </c>
      <c r="C139" s="16" t="s">
        <v>762</v>
      </c>
      <c r="D139" s="16" t="s">
        <v>263</v>
      </c>
      <c r="E139" s="16" t="s">
        <v>763</v>
      </c>
      <c r="F139" s="16" t="s">
        <v>764</v>
      </c>
      <c r="G139" s="15" t="s">
        <v>41</v>
      </c>
      <c r="H139" s="15" t="s">
        <v>765</v>
      </c>
      <c r="I139" s="15" t="s">
        <v>591</v>
      </c>
      <c r="J139" s="16" t="s">
        <v>59</v>
      </c>
      <c r="K139" s="16" t="s">
        <v>44</v>
      </c>
      <c r="L139" s="17" t="s">
        <v>45</v>
      </c>
      <c r="M139" s="17" t="s">
        <v>45</v>
      </c>
      <c r="N139" s="17" t="s">
        <v>45</v>
      </c>
      <c r="O139" s="18"/>
      <c r="P139" s="19"/>
      <c r="Q139" s="19"/>
      <c r="R139" s="19"/>
      <c r="S139" s="20"/>
      <c r="T139" s="21"/>
      <c r="U139" s="21"/>
      <c r="V139" s="21"/>
      <c r="W139" s="22"/>
      <c r="X139" s="23"/>
      <c r="Y139" s="23"/>
      <c r="Z139" s="23"/>
      <c r="AA139" s="24"/>
      <c r="AB139" s="25" t="str">
        <f aca="false">IF(Z139&lt;&gt;"",Z139,IF(V139&lt;&gt;"",V139,IF(R139&lt;&gt;"",R139,IF(N139&lt;&gt;"",N139,IF(J139&lt;&gt;"","BEKLİYOR","")))))</f>
        <v>ONAY</v>
      </c>
    </row>
    <row r="140" customFormat="false" ht="42" hidden="false" customHeight="true" outlineLevel="0" collapsed="false">
      <c r="A140" s="26" t="s">
        <v>766</v>
      </c>
      <c r="B140" s="26" t="s">
        <v>767</v>
      </c>
      <c r="C140" s="27" t="s">
        <v>768</v>
      </c>
      <c r="D140" s="27" t="s">
        <v>193</v>
      </c>
      <c r="E140" s="27" t="s">
        <v>769</v>
      </c>
      <c r="F140" s="27" t="s">
        <v>770</v>
      </c>
      <c r="G140" s="26" t="s">
        <v>41</v>
      </c>
      <c r="H140" s="26" t="s">
        <v>765</v>
      </c>
      <c r="I140" s="26" t="s">
        <v>591</v>
      </c>
      <c r="J140" s="27" t="s">
        <v>43</v>
      </c>
      <c r="K140" s="27" t="s">
        <v>69</v>
      </c>
      <c r="L140" s="17" t="s">
        <v>45</v>
      </c>
      <c r="M140" s="17" t="s">
        <v>45</v>
      </c>
      <c r="N140" s="17" t="s">
        <v>45</v>
      </c>
      <c r="O140" s="18"/>
      <c r="P140" s="19"/>
      <c r="Q140" s="19"/>
      <c r="R140" s="19"/>
      <c r="S140" s="20"/>
      <c r="T140" s="21"/>
      <c r="U140" s="21"/>
      <c r="V140" s="21"/>
      <c r="W140" s="22"/>
      <c r="X140" s="23"/>
      <c r="Y140" s="23"/>
      <c r="Z140" s="23"/>
      <c r="AA140" s="24"/>
      <c r="AB140" s="29" t="str">
        <f aca="false">IF(Z140&lt;&gt;"",Z140,IF(V140&lt;&gt;"",V140,IF(R140&lt;&gt;"",R140,IF(N140&lt;&gt;"",N140,IF(J140&lt;&gt;"","BEKLİYOR","")))))</f>
        <v>ONAY</v>
      </c>
    </row>
    <row r="141" customFormat="false" ht="27.75" hidden="false" customHeight="true" outlineLevel="0" collapsed="false">
      <c r="A141" s="15" t="s">
        <v>771</v>
      </c>
      <c r="B141" s="15" t="s">
        <v>772</v>
      </c>
      <c r="C141" s="16" t="s">
        <v>773</v>
      </c>
      <c r="D141" s="16" t="s">
        <v>82</v>
      </c>
      <c r="E141" s="16" t="s">
        <v>774</v>
      </c>
      <c r="F141" s="16" t="s">
        <v>775</v>
      </c>
      <c r="G141" s="15" t="s">
        <v>41</v>
      </c>
      <c r="H141" s="15" t="s">
        <v>765</v>
      </c>
      <c r="I141" s="15" t="s">
        <v>591</v>
      </c>
      <c r="J141" s="16" t="s">
        <v>44</v>
      </c>
      <c r="K141" s="16" t="s">
        <v>99</v>
      </c>
      <c r="L141" s="17" t="s">
        <v>45</v>
      </c>
      <c r="M141" s="17" t="s">
        <v>45</v>
      </c>
      <c r="N141" s="17" t="s">
        <v>45</v>
      </c>
      <c r="O141" s="18"/>
      <c r="P141" s="19"/>
      <c r="Q141" s="19"/>
      <c r="R141" s="19"/>
      <c r="S141" s="20"/>
      <c r="T141" s="21"/>
      <c r="U141" s="21"/>
      <c r="V141" s="21"/>
      <c r="W141" s="22"/>
      <c r="X141" s="23"/>
      <c r="Y141" s="23"/>
      <c r="Z141" s="23"/>
      <c r="AA141" s="24"/>
      <c r="AB141" s="25" t="str">
        <f aca="false">IF(Z141&lt;&gt;"",Z141,IF(V141&lt;&gt;"",V141,IF(R141&lt;&gt;"",R141,IF(N141&lt;&gt;"",N141,IF(J141&lt;&gt;"","BEKLİYOR","")))))</f>
        <v>ONAY</v>
      </c>
    </row>
    <row r="142" customFormat="false" ht="27.75" hidden="false" customHeight="true" outlineLevel="0" collapsed="false">
      <c r="A142" s="26" t="s">
        <v>776</v>
      </c>
      <c r="B142" s="26" t="s">
        <v>777</v>
      </c>
      <c r="C142" s="27" t="s">
        <v>560</v>
      </c>
      <c r="D142" s="27" t="s">
        <v>82</v>
      </c>
      <c r="E142" s="27" t="s">
        <v>778</v>
      </c>
      <c r="F142" s="27" t="s">
        <v>779</v>
      </c>
      <c r="G142" s="26" t="s">
        <v>41</v>
      </c>
      <c r="H142" s="26" t="s">
        <v>765</v>
      </c>
      <c r="I142" s="26" t="s">
        <v>591</v>
      </c>
      <c r="J142" s="27" t="s">
        <v>99</v>
      </c>
      <c r="K142" s="27" t="s">
        <v>78</v>
      </c>
      <c r="L142" s="17" t="s">
        <v>45</v>
      </c>
      <c r="M142" s="17" t="s">
        <v>45</v>
      </c>
      <c r="N142" s="17" t="s">
        <v>45</v>
      </c>
      <c r="O142" s="18"/>
      <c r="P142" s="19"/>
      <c r="Q142" s="19"/>
      <c r="R142" s="19"/>
      <c r="S142" s="20"/>
      <c r="T142" s="21"/>
      <c r="U142" s="21"/>
      <c r="V142" s="21"/>
      <c r="W142" s="22"/>
      <c r="X142" s="23"/>
      <c r="Y142" s="23"/>
      <c r="Z142" s="23"/>
      <c r="AA142" s="24"/>
      <c r="AB142" s="29" t="str">
        <f aca="false">IF(Z142&lt;&gt;"",Z142,IF(V142&lt;&gt;"",V142,IF(R142&lt;&gt;"",R142,IF(N142&lt;&gt;"",N142,IF(J142&lt;&gt;"","BEKLİYOR","")))))</f>
        <v>ONAY</v>
      </c>
    </row>
    <row r="143" customFormat="false" ht="27.75" hidden="false" customHeight="true" outlineLevel="0" collapsed="false">
      <c r="A143" s="15" t="s">
        <v>780</v>
      </c>
      <c r="B143" s="15" t="s">
        <v>781</v>
      </c>
      <c r="C143" s="16" t="s">
        <v>782</v>
      </c>
      <c r="D143" s="16" t="s">
        <v>193</v>
      </c>
      <c r="E143" s="16" t="s">
        <v>783</v>
      </c>
      <c r="F143" s="16" t="s">
        <v>784</v>
      </c>
      <c r="G143" s="15" t="s">
        <v>41</v>
      </c>
      <c r="H143" s="15" t="s">
        <v>765</v>
      </c>
      <c r="I143" s="15" t="s">
        <v>591</v>
      </c>
      <c r="J143" s="16" t="s">
        <v>59</v>
      </c>
      <c r="K143" s="16" t="s">
        <v>44</v>
      </c>
      <c r="L143" s="34" t="s">
        <v>177</v>
      </c>
      <c r="M143" s="17" t="s">
        <v>45</v>
      </c>
      <c r="N143" s="35" t="s">
        <v>189</v>
      </c>
      <c r="O143" s="18"/>
      <c r="P143" s="19"/>
      <c r="Q143" s="19"/>
      <c r="R143" s="19"/>
      <c r="S143" s="20"/>
      <c r="T143" s="21"/>
      <c r="U143" s="21"/>
      <c r="V143" s="21"/>
      <c r="W143" s="22"/>
      <c r="X143" s="23"/>
      <c r="Y143" s="23"/>
      <c r="Z143" s="23"/>
      <c r="AA143" s="24"/>
      <c r="AB143" s="25" t="str">
        <f aca="false">IF(Z143&lt;&gt;"",Z143,IF(V143&lt;&gt;"",V143,IF(R143&lt;&gt;"",R143,IF(N143&lt;&gt;"",N143,IF(J143&lt;&gt;"","BEKLİYOR","")))))</f>
        <v>KAEK</v>
      </c>
    </row>
    <row r="144" customFormat="false" ht="27.75" hidden="false" customHeight="true" outlineLevel="0" collapsed="false">
      <c r="A144" s="26" t="s">
        <v>785</v>
      </c>
      <c r="B144" s="26" t="s">
        <v>786</v>
      </c>
      <c r="C144" s="27" t="s">
        <v>787</v>
      </c>
      <c r="D144" s="27" t="s">
        <v>373</v>
      </c>
      <c r="E144" s="27" t="s">
        <v>788</v>
      </c>
      <c r="F144" s="27" t="s">
        <v>789</v>
      </c>
      <c r="G144" s="26" t="s">
        <v>41</v>
      </c>
      <c r="H144" s="26" t="s">
        <v>765</v>
      </c>
      <c r="I144" s="26" t="s">
        <v>591</v>
      </c>
      <c r="J144" s="27" t="s">
        <v>52</v>
      </c>
      <c r="K144" s="27" t="s">
        <v>78</v>
      </c>
      <c r="L144" s="17" t="s">
        <v>45</v>
      </c>
      <c r="M144" s="17" t="s">
        <v>45</v>
      </c>
      <c r="N144" s="17" t="s">
        <v>45</v>
      </c>
      <c r="O144" s="18"/>
      <c r="P144" s="19"/>
      <c r="Q144" s="19"/>
      <c r="R144" s="19"/>
      <c r="S144" s="20"/>
      <c r="T144" s="21"/>
      <c r="U144" s="21"/>
      <c r="V144" s="21"/>
      <c r="W144" s="22"/>
      <c r="X144" s="23"/>
      <c r="Y144" s="23"/>
      <c r="Z144" s="23"/>
      <c r="AA144" s="24"/>
      <c r="AB144" s="29" t="str">
        <f aca="false">IF(Z144&lt;&gt;"",Z144,IF(V144&lt;&gt;"",V144,IF(R144&lt;&gt;"",R144,IF(N144&lt;&gt;"",N144,IF(J144&lt;&gt;"","BEKLİYOR","")))))</f>
        <v>ONAY</v>
      </c>
    </row>
    <row r="145" customFormat="false" ht="42" hidden="false" customHeight="true" outlineLevel="0" collapsed="false">
      <c r="A145" s="15" t="s">
        <v>790</v>
      </c>
      <c r="B145" s="15" t="s">
        <v>791</v>
      </c>
      <c r="C145" s="16" t="s">
        <v>358</v>
      </c>
      <c r="D145" s="16" t="s">
        <v>359</v>
      </c>
      <c r="E145" s="16" t="s">
        <v>792</v>
      </c>
      <c r="F145" s="16" t="s">
        <v>793</v>
      </c>
      <c r="G145" s="15" t="s">
        <v>41</v>
      </c>
      <c r="H145" s="15" t="s">
        <v>794</v>
      </c>
      <c r="I145" s="15" t="s">
        <v>591</v>
      </c>
      <c r="J145" s="16" t="s">
        <v>59</v>
      </c>
      <c r="K145" s="16" t="s">
        <v>69</v>
      </c>
      <c r="L145" s="28"/>
      <c r="M145" s="17" t="s">
        <v>45</v>
      </c>
      <c r="N145" s="31" t="s">
        <v>70</v>
      </c>
      <c r="O145" s="18"/>
      <c r="P145" s="19"/>
      <c r="Q145" s="19"/>
      <c r="R145" s="19"/>
      <c r="S145" s="20"/>
      <c r="T145" s="21"/>
      <c r="U145" s="21"/>
      <c r="V145" s="21"/>
      <c r="W145" s="22"/>
      <c r="X145" s="23"/>
      <c r="Y145" s="23"/>
      <c r="Z145" s="23"/>
      <c r="AA145" s="24"/>
      <c r="AB145" s="25" t="str">
        <f aca="false">IF(Z145&lt;&gt;"",Z145,IF(V145&lt;&gt;"",V145,IF(R145&lt;&gt;"",R145,IF(N145&lt;&gt;"",N145,IF(J145&lt;&gt;"","BEKLİYOR","")))))</f>
        <v>DÜZELTME</v>
      </c>
    </row>
    <row r="146" customFormat="false" ht="42" hidden="false" customHeight="true" outlineLevel="0" collapsed="false">
      <c r="A146" s="26" t="s">
        <v>795</v>
      </c>
      <c r="B146" s="26" t="s">
        <v>796</v>
      </c>
      <c r="C146" s="27" t="s">
        <v>797</v>
      </c>
      <c r="D146" s="27" t="s">
        <v>193</v>
      </c>
      <c r="E146" s="27" t="s">
        <v>798</v>
      </c>
      <c r="F146" s="27" t="s">
        <v>799</v>
      </c>
      <c r="G146" s="26" t="s">
        <v>92</v>
      </c>
      <c r="H146" s="26" t="s">
        <v>794</v>
      </c>
      <c r="I146" s="26" t="s">
        <v>591</v>
      </c>
      <c r="J146" s="27" t="s">
        <v>44</v>
      </c>
      <c r="K146" s="27" t="s">
        <v>93</v>
      </c>
      <c r="L146" s="17" t="s">
        <v>45</v>
      </c>
      <c r="M146" s="17" t="s">
        <v>45</v>
      </c>
      <c r="N146" s="17" t="s">
        <v>45</v>
      </c>
      <c r="O146" s="18"/>
      <c r="P146" s="19"/>
      <c r="Q146" s="19"/>
      <c r="R146" s="19"/>
      <c r="S146" s="20"/>
      <c r="T146" s="21"/>
      <c r="U146" s="21"/>
      <c r="V146" s="21"/>
      <c r="W146" s="22"/>
      <c r="X146" s="23"/>
      <c r="Y146" s="23"/>
      <c r="Z146" s="23"/>
      <c r="AA146" s="24"/>
      <c r="AB146" s="29" t="str">
        <f aca="false">IF(Z146&lt;&gt;"",Z146,IF(V146&lt;&gt;"",V146,IF(R146&lt;&gt;"",R146,IF(N146&lt;&gt;"",N146,IF(J146&lt;&gt;"","BEKLİYOR","")))))</f>
        <v>ONAY</v>
      </c>
    </row>
    <row r="147" customFormat="false" ht="27.75" hidden="false" customHeight="true" outlineLevel="0" collapsed="false">
      <c r="A147" s="15" t="s">
        <v>800</v>
      </c>
      <c r="B147" s="15" t="s">
        <v>801</v>
      </c>
      <c r="C147" s="16" t="s">
        <v>395</v>
      </c>
      <c r="D147" s="16" t="s">
        <v>373</v>
      </c>
      <c r="E147" s="16" t="s">
        <v>802</v>
      </c>
      <c r="F147" s="16" t="s">
        <v>803</v>
      </c>
      <c r="G147" s="15" t="s">
        <v>41</v>
      </c>
      <c r="H147" s="15" t="s">
        <v>794</v>
      </c>
      <c r="I147" s="15" t="s">
        <v>591</v>
      </c>
      <c r="J147" s="16" t="s">
        <v>52</v>
      </c>
      <c r="K147" s="16" t="s">
        <v>93</v>
      </c>
      <c r="L147" s="17" t="s">
        <v>45</v>
      </c>
      <c r="M147" s="17" t="s">
        <v>45</v>
      </c>
      <c r="N147" s="17" t="s">
        <v>45</v>
      </c>
      <c r="O147" s="18"/>
      <c r="P147" s="19"/>
      <c r="Q147" s="19"/>
      <c r="R147" s="19"/>
      <c r="S147" s="20"/>
      <c r="T147" s="21"/>
      <c r="U147" s="21"/>
      <c r="V147" s="21"/>
      <c r="W147" s="22"/>
      <c r="X147" s="23"/>
      <c r="Y147" s="23"/>
      <c r="Z147" s="23"/>
      <c r="AA147" s="24"/>
      <c r="AB147" s="25" t="str">
        <f aca="false">IF(Z147&lt;&gt;"",Z147,IF(V147&lt;&gt;"",V147,IF(R147&lt;&gt;"",R147,IF(N147&lt;&gt;"",N147,IF(J147&lt;&gt;"","BEKLİYOR","")))))</f>
        <v>ONAY</v>
      </c>
    </row>
    <row r="148" customFormat="false" ht="27.75" hidden="false" customHeight="true" outlineLevel="0" collapsed="false">
      <c r="A148" s="26" t="s">
        <v>804</v>
      </c>
      <c r="B148" s="26" t="s">
        <v>805</v>
      </c>
      <c r="C148" s="27" t="s">
        <v>806</v>
      </c>
      <c r="D148" s="30" t="s">
        <v>807</v>
      </c>
      <c r="E148" s="27" t="s">
        <v>808</v>
      </c>
      <c r="F148" s="27" t="s">
        <v>809</v>
      </c>
      <c r="G148" s="26" t="s">
        <v>41</v>
      </c>
      <c r="H148" s="26" t="s">
        <v>810</v>
      </c>
      <c r="I148" s="26" t="s">
        <v>811</v>
      </c>
      <c r="J148" s="27" t="s">
        <v>99</v>
      </c>
      <c r="K148" s="27" t="s">
        <v>44</v>
      </c>
      <c r="L148" s="17" t="s">
        <v>45</v>
      </c>
      <c r="M148" s="28"/>
      <c r="N148" s="17" t="s">
        <v>45</v>
      </c>
      <c r="O148" s="18"/>
      <c r="P148" s="19"/>
      <c r="Q148" s="19"/>
      <c r="R148" s="19"/>
      <c r="S148" s="20"/>
      <c r="T148" s="21"/>
      <c r="U148" s="21"/>
      <c r="V148" s="21"/>
      <c r="W148" s="22"/>
      <c r="X148" s="23"/>
      <c r="Y148" s="23"/>
      <c r="Z148" s="23"/>
      <c r="AA148" s="24"/>
      <c r="AB148" s="29" t="str">
        <f aca="false">IF(Z148&lt;&gt;"",Z148,IF(V148&lt;&gt;"",V148,IF(R148&lt;&gt;"",R148,IF(N148&lt;&gt;"",N148,IF(J148&lt;&gt;"","BEKLİYOR","")))))</f>
        <v>ONAY</v>
      </c>
    </row>
    <row r="149" customFormat="false" ht="55.5" hidden="false" customHeight="true" outlineLevel="0" collapsed="false">
      <c r="A149" s="15" t="s">
        <v>812</v>
      </c>
      <c r="B149" s="15" t="s">
        <v>813</v>
      </c>
      <c r="C149" s="16" t="s">
        <v>814</v>
      </c>
      <c r="D149" s="16" t="s">
        <v>152</v>
      </c>
      <c r="E149" s="16" t="s">
        <v>815</v>
      </c>
      <c r="F149" s="16" t="s">
        <v>816</v>
      </c>
      <c r="G149" s="15" t="s">
        <v>41</v>
      </c>
      <c r="H149" s="15" t="s">
        <v>810</v>
      </c>
      <c r="I149" s="15" t="s">
        <v>811</v>
      </c>
      <c r="J149" s="16" t="s">
        <v>59</v>
      </c>
      <c r="K149" s="16" t="s">
        <v>60</v>
      </c>
      <c r="L149" s="34" t="s">
        <v>177</v>
      </c>
      <c r="M149" s="17" t="s">
        <v>45</v>
      </c>
      <c r="N149" s="35" t="s">
        <v>189</v>
      </c>
      <c r="O149" s="18"/>
      <c r="P149" s="19"/>
      <c r="Q149" s="19"/>
      <c r="R149" s="19"/>
      <c r="S149" s="20"/>
      <c r="T149" s="21"/>
      <c r="U149" s="21"/>
      <c r="V149" s="21"/>
      <c r="W149" s="22"/>
      <c r="X149" s="23"/>
      <c r="Y149" s="23"/>
      <c r="Z149" s="23"/>
      <c r="AA149" s="24"/>
      <c r="AB149" s="25" t="str">
        <f aca="false">IF(Z149&lt;&gt;"",Z149,IF(V149&lt;&gt;"",V149,IF(R149&lt;&gt;"",R149,IF(N149&lt;&gt;"",N149,IF(J149&lt;&gt;"","BEKLİYOR","")))))</f>
        <v>KAEK</v>
      </c>
    </row>
    <row r="150" customFormat="false" ht="27.75" hidden="false" customHeight="true" outlineLevel="0" collapsed="false">
      <c r="A150" s="26" t="s">
        <v>817</v>
      </c>
      <c r="B150" s="26" t="s">
        <v>818</v>
      </c>
      <c r="C150" s="27" t="s">
        <v>697</v>
      </c>
      <c r="D150" s="27" t="s">
        <v>82</v>
      </c>
      <c r="E150" s="27" t="s">
        <v>819</v>
      </c>
      <c r="F150" s="27" t="s">
        <v>820</v>
      </c>
      <c r="G150" s="26" t="s">
        <v>41</v>
      </c>
      <c r="H150" s="26" t="s">
        <v>810</v>
      </c>
      <c r="I150" s="26" t="s">
        <v>811</v>
      </c>
      <c r="J150" s="27" t="s">
        <v>77</v>
      </c>
      <c r="K150" s="27" t="s">
        <v>52</v>
      </c>
      <c r="L150" s="17" t="s">
        <v>45</v>
      </c>
      <c r="M150" s="17" t="s">
        <v>45</v>
      </c>
      <c r="N150" s="17" t="s">
        <v>45</v>
      </c>
      <c r="O150" s="18"/>
      <c r="P150" s="19"/>
      <c r="Q150" s="19"/>
      <c r="R150" s="19"/>
      <c r="S150" s="20"/>
      <c r="T150" s="21"/>
      <c r="U150" s="21"/>
      <c r="V150" s="21"/>
      <c r="W150" s="22"/>
      <c r="X150" s="23"/>
      <c r="Y150" s="23"/>
      <c r="Z150" s="23"/>
      <c r="AA150" s="24"/>
      <c r="AB150" s="29" t="str">
        <f aca="false">IF(Z150&lt;&gt;"",Z150,IF(V150&lt;&gt;"",V150,IF(R150&lt;&gt;"",R150,IF(N150&lt;&gt;"",N150,IF(J150&lt;&gt;"","BEKLİYOR","")))))</f>
        <v>ONAY</v>
      </c>
    </row>
    <row r="151" customFormat="false" ht="42" hidden="false" customHeight="true" outlineLevel="0" collapsed="false">
      <c r="A151" s="15" t="s">
        <v>821</v>
      </c>
      <c r="B151" s="15" t="s">
        <v>822</v>
      </c>
      <c r="C151" s="16" t="s">
        <v>697</v>
      </c>
      <c r="D151" s="16" t="s">
        <v>82</v>
      </c>
      <c r="E151" s="16" t="s">
        <v>819</v>
      </c>
      <c r="F151" s="16" t="s">
        <v>823</v>
      </c>
      <c r="G151" s="15" t="s">
        <v>41</v>
      </c>
      <c r="H151" s="15" t="s">
        <v>810</v>
      </c>
      <c r="I151" s="15" t="s">
        <v>811</v>
      </c>
      <c r="J151" s="16" t="s">
        <v>99</v>
      </c>
      <c r="K151" s="16" t="s">
        <v>68</v>
      </c>
      <c r="L151" s="17" t="s">
        <v>45</v>
      </c>
      <c r="M151" s="17" t="s">
        <v>45</v>
      </c>
      <c r="N151" s="17" t="s">
        <v>45</v>
      </c>
      <c r="O151" s="18"/>
      <c r="P151" s="19"/>
      <c r="Q151" s="19"/>
      <c r="R151" s="19"/>
      <c r="S151" s="20"/>
      <c r="T151" s="21"/>
      <c r="U151" s="21"/>
      <c r="V151" s="21"/>
      <c r="W151" s="22"/>
      <c r="X151" s="23"/>
      <c r="Y151" s="23"/>
      <c r="Z151" s="23"/>
      <c r="AA151" s="24"/>
      <c r="AB151" s="25" t="str">
        <f aca="false">IF(Z151&lt;&gt;"",Z151,IF(V151&lt;&gt;"",V151,IF(R151&lt;&gt;"",R151,IF(N151&lt;&gt;"",N151,IF(J151&lt;&gt;"","BEKLİYOR","")))))</f>
        <v>ONAY</v>
      </c>
    </row>
    <row r="152" customFormat="false" ht="27.75" hidden="false" customHeight="true" outlineLevel="0" collapsed="false">
      <c r="A152" s="26" t="s">
        <v>824</v>
      </c>
      <c r="B152" s="26" t="s">
        <v>825</v>
      </c>
      <c r="C152" s="27" t="s">
        <v>697</v>
      </c>
      <c r="D152" s="27" t="s">
        <v>82</v>
      </c>
      <c r="E152" s="27" t="s">
        <v>826</v>
      </c>
      <c r="F152" s="27" t="s">
        <v>827</v>
      </c>
      <c r="G152" s="26" t="s">
        <v>41</v>
      </c>
      <c r="H152" s="26" t="s">
        <v>810</v>
      </c>
      <c r="I152" s="26" t="s">
        <v>811</v>
      </c>
      <c r="J152" s="27" t="s">
        <v>69</v>
      </c>
      <c r="K152" s="27" t="s">
        <v>60</v>
      </c>
      <c r="L152" s="17" t="s">
        <v>45</v>
      </c>
      <c r="M152" s="17" t="s">
        <v>45</v>
      </c>
      <c r="N152" s="17" t="s">
        <v>45</v>
      </c>
      <c r="O152" s="18"/>
      <c r="P152" s="19"/>
      <c r="Q152" s="19"/>
      <c r="R152" s="19"/>
      <c r="S152" s="20"/>
      <c r="T152" s="21"/>
      <c r="U152" s="21"/>
      <c r="V152" s="21"/>
      <c r="W152" s="22"/>
      <c r="X152" s="23"/>
      <c r="Y152" s="23"/>
      <c r="Z152" s="23"/>
      <c r="AA152" s="24"/>
      <c r="AB152" s="29" t="str">
        <f aca="false">IF(Z152&lt;&gt;"",Z152,IF(V152&lt;&gt;"",V152,IF(R152&lt;&gt;"",R152,IF(N152&lt;&gt;"",N152,IF(J152&lt;&gt;"","BEKLİYOR","")))))</f>
        <v>ONAY</v>
      </c>
    </row>
    <row r="153" customFormat="false" ht="27.75" hidden="false" customHeight="true" outlineLevel="0" collapsed="false">
      <c r="A153" s="15" t="s">
        <v>828</v>
      </c>
      <c r="B153" s="15" t="s">
        <v>829</v>
      </c>
      <c r="C153" s="16" t="s">
        <v>163</v>
      </c>
      <c r="D153" s="16" t="s">
        <v>164</v>
      </c>
      <c r="E153" s="16" t="s">
        <v>830</v>
      </c>
      <c r="F153" s="16" t="s">
        <v>831</v>
      </c>
      <c r="G153" s="15" t="s">
        <v>41</v>
      </c>
      <c r="H153" s="15" t="s">
        <v>810</v>
      </c>
      <c r="I153" s="15" t="s">
        <v>811</v>
      </c>
      <c r="J153" s="16" t="s">
        <v>59</v>
      </c>
      <c r="K153" s="16" t="s">
        <v>93</v>
      </c>
      <c r="L153" s="28"/>
      <c r="M153" s="17" t="s">
        <v>45</v>
      </c>
      <c r="N153" s="31" t="s">
        <v>70</v>
      </c>
      <c r="O153" s="18"/>
      <c r="P153" s="19"/>
      <c r="Q153" s="19"/>
      <c r="R153" s="19"/>
      <c r="S153" s="20"/>
      <c r="T153" s="21"/>
      <c r="U153" s="21"/>
      <c r="V153" s="21"/>
      <c r="W153" s="22"/>
      <c r="X153" s="23"/>
      <c r="Y153" s="23"/>
      <c r="Z153" s="23"/>
      <c r="AA153" s="24"/>
      <c r="AB153" s="25" t="str">
        <f aca="false">IF(Z153&lt;&gt;"",Z153,IF(V153&lt;&gt;"",V153,IF(R153&lt;&gt;"",R153,IF(N153&lt;&gt;"",N153,IF(J153&lt;&gt;"","BEKLİYOR","")))))</f>
        <v>DÜZELTME</v>
      </c>
    </row>
    <row r="154" customFormat="false" ht="27.75" hidden="false" customHeight="true" outlineLevel="0" collapsed="false">
      <c r="A154" s="26" t="s">
        <v>832</v>
      </c>
      <c r="B154" s="26" t="s">
        <v>833</v>
      </c>
      <c r="C154" s="27" t="s">
        <v>81</v>
      </c>
      <c r="D154" s="27" t="s">
        <v>82</v>
      </c>
      <c r="E154" s="27" t="s">
        <v>834</v>
      </c>
      <c r="F154" s="27" t="s">
        <v>835</v>
      </c>
      <c r="G154" s="26" t="s">
        <v>67</v>
      </c>
      <c r="H154" s="26" t="s">
        <v>810</v>
      </c>
      <c r="I154" s="26" t="s">
        <v>811</v>
      </c>
      <c r="J154" s="27" t="s">
        <v>77</v>
      </c>
      <c r="K154" s="27" t="s">
        <v>52</v>
      </c>
      <c r="L154" s="34" t="s">
        <v>177</v>
      </c>
      <c r="M154" s="17" t="s">
        <v>45</v>
      </c>
      <c r="N154" s="34" t="s">
        <v>177</v>
      </c>
      <c r="O154" s="18"/>
      <c r="P154" s="19"/>
      <c r="Q154" s="19"/>
      <c r="R154" s="19"/>
      <c r="S154" s="20"/>
      <c r="T154" s="21"/>
      <c r="U154" s="21"/>
      <c r="V154" s="21"/>
      <c r="W154" s="22"/>
      <c r="X154" s="23"/>
      <c r="Y154" s="23"/>
      <c r="Z154" s="23"/>
      <c r="AA154" s="24"/>
      <c r="AB154" s="29" t="str">
        <f aca="false">IF(Z154&lt;&gt;"",Z154,IF(V154&lt;&gt;"",V154,IF(R154&lt;&gt;"",R154,IF(N154&lt;&gt;"",N154,IF(J154&lt;&gt;"","BEKLİYOR","")))))</f>
        <v>GÖRÜŞ</v>
      </c>
    </row>
    <row r="155" customFormat="false" ht="42" hidden="false" customHeight="true" outlineLevel="0" collapsed="false">
      <c r="A155" s="15" t="s">
        <v>836</v>
      </c>
      <c r="B155" s="15" t="s">
        <v>837</v>
      </c>
      <c r="C155" s="16" t="s">
        <v>838</v>
      </c>
      <c r="D155" s="16" t="s">
        <v>367</v>
      </c>
      <c r="E155" s="16" t="s">
        <v>839</v>
      </c>
      <c r="F155" s="16" t="s">
        <v>840</v>
      </c>
      <c r="G155" s="15" t="s">
        <v>41</v>
      </c>
      <c r="H155" s="15" t="s">
        <v>810</v>
      </c>
      <c r="I155" s="15" t="s">
        <v>811</v>
      </c>
      <c r="J155" s="16" t="s">
        <v>44</v>
      </c>
      <c r="K155" s="16" t="s">
        <v>68</v>
      </c>
      <c r="L155" s="28"/>
      <c r="M155" s="17" t="s">
        <v>45</v>
      </c>
      <c r="N155" s="31" t="s">
        <v>70</v>
      </c>
      <c r="O155" s="18"/>
      <c r="P155" s="19"/>
      <c r="Q155" s="19"/>
      <c r="R155" s="19"/>
      <c r="S155" s="20"/>
      <c r="T155" s="21"/>
      <c r="U155" s="21"/>
      <c r="V155" s="21"/>
      <c r="W155" s="22"/>
      <c r="X155" s="23"/>
      <c r="Y155" s="23"/>
      <c r="Z155" s="23"/>
      <c r="AA155" s="24"/>
      <c r="AB155" s="25" t="str">
        <f aca="false">IF(Z155&lt;&gt;"",Z155,IF(V155&lt;&gt;"",V155,IF(R155&lt;&gt;"",R155,IF(N155&lt;&gt;"",N155,IF(J155&lt;&gt;"","BEKLİYOR","")))))</f>
        <v>DÜZELTME</v>
      </c>
    </row>
    <row r="156" customFormat="false" ht="42" hidden="false" customHeight="true" outlineLevel="0" collapsed="false">
      <c r="A156" s="26" t="s">
        <v>841</v>
      </c>
      <c r="B156" s="26" t="s">
        <v>842</v>
      </c>
      <c r="C156" s="27" t="s">
        <v>843</v>
      </c>
      <c r="D156" s="27" t="s">
        <v>566</v>
      </c>
      <c r="E156" s="27" t="s">
        <v>844</v>
      </c>
      <c r="F156" s="27" t="s">
        <v>845</v>
      </c>
      <c r="G156" s="26" t="s">
        <v>67</v>
      </c>
      <c r="H156" s="26" t="s">
        <v>810</v>
      </c>
      <c r="I156" s="26" t="s">
        <v>811</v>
      </c>
      <c r="J156" s="27" t="s">
        <v>59</v>
      </c>
      <c r="K156" s="27" t="s">
        <v>69</v>
      </c>
      <c r="L156" s="17" t="s">
        <v>45</v>
      </c>
      <c r="M156" s="17" t="s">
        <v>45</v>
      </c>
      <c r="N156" s="17" t="s">
        <v>45</v>
      </c>
      <c r="O156" s="18"/>
      <c r="P156" s="19"/>
      <c r="Q156" s="19"/>
      <c r="R156" s="19"/>
      <c r="S156" s="20"/>
      <c r="T156" s="21"/>
      <c r="U156" s="21"/>
      <c r="V156" s="21"/>
      <c r="W156" s="22"/>
      <c r="X156" s="23"/>
      <c r="Y156" s="23"/>
      <c r="Z156" s="23"/>
      <c r="AA156" s="24"/>
      <c r="AB156" s="29" t="str">
        <f aca="false">IF(Z156&lt;&gt;"",Z156,IF(V156&lt;&gt;"",V156,IF(R156&lt;&gt;"",R156,IF(N156&lt;&gt;"",N156,IF(J156&lt;&gt;"","BEKLİYOR","")))))</f>
        <v>ONAY</v>
      </c>
    </row>
    <row r="157" customFormat="false" ht="42" hidden="false" customHeight="true" outlineLevel="0" collapsed="false">
      <c r="A157" s="15" t="s">
        <v>846</v>
      </c>
      <c r="B157" s="15" t="s">
        <v>847</v>
      </c>
      <c r="C157" s="16" t="s">
        <v>848</v>
      </c>
      <c r="D157" s="16" t="s">
        <v>521</v>
      </c>
      <c r="E157" s="16" t="s">
        <v>849</v>
      </c>
      <c r="F157" s="16" t="s">
        <v>850</v>
      </c>
      <c r="G157" s="15" t="s">
        <v>41</v>
      </c>
      <c r="H157" s="15" t="s">
        <v>810</v>
      </c>
      <c r="I157" s="15" t="s">
        <v>811</v>
      </c>
      <c r="J157" s="16" t="s">
        <v>93</v>
      </c>
      <c r="K157" s="16" t="s">
        <v>85</v>
      </c>
      <c r="L157" s="17" t="s">
        <v>45</v>
      </c>
      <c r="M157" s="17" t="s">
        <v>45</v>
      </c>
      <c r="N157" s="17" t="s">
        <v>45</v>
      </c>
      <c r="O157" s="18"/>
      <c r="P157" s="19"/>
      <c r="Q157" s="19"/>
      <c r="R157" s="19"/>
      <c r="S157" s="20"/>
      <c r="T157" s="21"/>
      <c r="U157" s="21"/>
      <c r="V157" s="21"/>
      <c r="W157" s="22"/>
      <c r="X157" s="23"/>
      <c r="Y157" s="23"/>
      <c r="Z157" s="23"/>
      <c r="AA157" s="24"/>
      <c r="AB157" s="25" t="str">
        <f aca="false">IF(Z157&lt;&gt;"",Z157,IF(V157&lt;&gt;"",V157,IF(R157&lt;&gt;"",R157,IF(N157&lt;&gt;"",N157,IF(J157&lt;&gt;"","BEKLİYOR","")))))</f>
        <v>ONAY</v>
      </c>
    </row>
    <row r="158" customFormat="false" ht="15.75" hidden="false" customHeight="true" outlineLevel="0" collapsed="false">
      <c r="A158" s="26" t="s">
        <v>851</v>
      </c>
      <c r="B158" s="26" t="s">
        <v>852</v>
      </c>
      <c r="C158" s="27" t="s">
        <v>257</v>
      </c>
      <c r="D158" s="27" t="s">
        <v>193</v>
      </c>
      <c r="E158" s="27" t="s">
        <v>853</v>
      </c>
      <c r="F158" s="27" t="s">
        <v>854</v>
      </c>
      <c r="G158" s="26" t="s">
        <v>41</v>
      </c>
      <c r="H158" s="26" t="s">
        <v>810</v>
      </c>
      <c r="I158" s="26" t="s">
        <v>811</v>
      </c>
      <c r="J158" s="27" t="s">
        <v>59</v>
      </c>
      <c r="K158" s="27" t="s">
        <v>60</v>
      </c>
      <c r="L158" s="28"/>
      <c r="M158" s="17" t="s">
        <v>45</v>
      </c>
      <c r="N158" s="28"/>
      <c r="O158" s="18"/>
      <c r="P158" s="19"/>
      <c r="Q158" s="19"/>
      <c r="R158" s="19"/>
      <c r="S158" s="20"/>
      <c r="T158" s="21"/>
      <c r="U158" s="21"/>
      <c r="V158" s="21"/>
      <c r="W158" s="22"/>
      <c r="X158" s="23"/>
      <c r="Y158" s="23"/>
      <c r="Z158" s="23"/>
      <c r="AA158" s="24"/>
      <c r="AB158" s="29" t="str">
        <f aca="false">IF(Z158&lt;&gt;"",Z158,IF(V158&lt;&gt;"",V158,IF(R158&lt;&gt;"",R158,IF(N158&lt;&gt;"",N158,IF(J158&lt;&gt;"","BEKLİYOR","")))))</f>
        <v>BEKLİYOR</v>
      </c>
    </row>
    <row r="159" customFormat="false" ht="27.75" hidden="false" customHeight="true" outlineLevel="0" collapsed="false">
      <c r="A159" s="15" t="s">
        <v>855</v>
      </c>
      <c r="B159" s="15" t="s">
        <v>856</v>
      </c>
      <c r="C159" s="16" t="s">
        <v>857</v>
      </c>
      <c r="D159" s="16" t="s">
        <v>89</v>
      </c>
      <c r="E159" s="16" t="s">
        <v>858</v>
      </c>
      <c r="F159" s="16" t="s">
        <v>859</v>
      </c>
      <c r="G159" s="15" t="s">
        <v>67</v>
      </c>
      <c r="H159" s="15" t="s">
        <v>810</v>
      </c>
      <c r="I159" s="15" t="s">
        <v>811</v>
      </c>
      <c r="J159" s="16" t="s">
        <v>93</v>
      </c>
      <c r="K159" s="16" t="s">
        <v>44</v>
      </c>
      <c r="L159" s="17" t="s">
        <v>45</v>
      </c>
      <c r="M159" s="28"/>
      <c r="N159" s="28"/>
      <c r="O159" s="18"/>
      <c r="P159" s="19"/>
      <c r="Q159" s="19"/>
      <c r="R159" s="19"/>
      <c r="S159" s="20"/>
      <c r="T159" s="21"/>
      <c r="U159" s="21"/>
      <c r="V159" s="21"/>
      <c r="W159" s="22"/>
      <c r="X159" s="23"/>
      <c r="Y159" s="23"/>
      <c r="Z159" s="23"/>
      <c r="AA159" s="24"/>
      <c r="AB159" s="25" t="str">
        <f aca="false">IF(Z159&lt;&gt;"",Z159,IF(V159&lt;&gt;"",V159,IF(R159&lt;&gt;"",R159,IF(N159&lt;&gt;"",N159,IF(J159&lt;&gt;"","BEKLİYOR","")))))</f>
        <v>BEKLİYOR</v>
      </c>
    </row>
    <row r="160" customFormat="false" ht="27.75" hidden="false" customHeight="true" outlineLevel="0" collapsed="false">
      <c r="A160" s="26" t="s">
        <v>860</v>
      </c>
      <c r="B160" s="26" t="s">
        <v>861</v>
      </c>
      <c r="C160" s="27" t="s">
        <v>862</v>
      </c>
      <c r="D160" s="27" t="s">
        <v>152</v>
      </c>
      <c r="E160" s="27" t="s">
        <v>863</v>
      </c>
      <c r="F160" s="27" t="s">
        <v>864</v>
      </c>
      <c r="G160" s="26" t="s">
        <v>92</v>
      </c>
      <c r="H160" s="26" t="s">
        <v>810</v>
      </c>
      <c r="I160" s="26" t="s">
        <v>811</v>
      </c>
      <c r="J160" s="27" t="s">
        <v>60</v>
      </c>
      <c r="K160" s="27" t="s">
        <v>69</v>
      </c>
      <c r="L160" s="34" t="s">
        <v>177</v>
      </c>
      <c r="M160" s="17" t="s">
        <v>45</v>
      </c>
      <c r="N160" s="31" t="s">
        <v>70</v>
      </c>
      <c r="O160" s="18"/>
      <c r="P160" s="19"/>
      <c r="Q160" s="19"/>
      <c r="R160" s="19"/>
      <c r="S160" s="20"/>
      <c r="T160" s="21"/>
      <c r="U160" s="21"/>
      <c r="V160" s="21"/>
      <c r="W160" s="22"/>
      <c r="X160" s="23"/>
      <c r="Y160" s="23"/>
      <c r="Z160" s="23"/>
      <c r="AA160" s="24"/>
      <c r="AB160" s="29" t="str">
        <f aca="false">IF(Z160&lt;&gt;"",Z160,IF(V160&lt;&gt;"",V160,IF(R160&lt;&gt;"",R160,IF(N160&lt;&gt;"",N160,IF(J160&lt;&gt;"","BEKLİYOR","")))))</f>
        <v>DÜZELTME</v>
      </c>
    </row>
    <row r="161" customFormat="false" ht="27.75" hidden="false" customHeight="true" outlineLevel="0" collapsed="false">
      <c r="A161" s="15" t="s">
        <v>865</v>
      </c>
      <c r="B161" s="15" t="s">
        <v>866</v>
      </c>
      <c r="C161" s="16" t="s">
        <v>867</v>
      </c>
      <c r="D161" s="16" t="s">
        <v>263</v>
      </c>
      <c r="E161" s="16" t="s">
        <v>868</v>
      </c>
      <c r="F161" s="16" t="s">
        <v>869</v>
      </c>
      <c r="G161" s="15" t="s">
        <v>92</v>
      </c>
      <c r="H161" s="15" t="s">
        <v>810</v>
      </c>
      <c r="I161" s="15" t="s">
        <v>811</v>
      </c>
      <c r="J161" s="16" t="s">
        <v>85</v>
      </c>
      <c r="K161" s="16" t="s">
        <v>99</v>
      </c>
      <c r="L161" s="28"/>
      <c r="M161" s="17" t="s">
        <v>45</v>
      </c>
      <c r="N161" s="31" t="s">
        <v>70</v>
      </c>
      <c r="O161" s="18"/>
      <c r="P161" s="19"/>
      <c r="Q161" s="19"/>
      <c r="R161" s="19"/>
      <c r="S161" s="20"/>
      <c r="T161" s="21"/>
      <c r="U161" s="21"/>
      <c r="V161" s="21"/>
      <c r="W161" s="22"/>
      <c r="X161" s="23"/>
      <c r="Y161" s="23"/>
      <c r="Z161" s="23"/>
      <c r="AA161" s="24"/>
      <c r="AB161" s="25" t="str">
        <f aca="false">IF(Z161&lt;&gt;"",Z161,IF(V161&lt;&gt;"",V161,IF(R161&lt;&gt;"",R161,IF(N161&lt;&gt;"",N161,IF(J161&lt;&gt;"","BEKLİYOR","")))))</f>
        <v>DÜZELTME</v>
      </c>
    </row>
    <row r="162" customFormat="false" ht="27.75" hidden="false" customHeight="true" outlineLevel="0" collapsed="false">
      <c r="A162" s="26" t="s">
        <v>870</v>
      </c>
      <c r="B162" s="26" t="s">
        <v>871</v>
      </c>
      <c r="C162" s="27" t="s">
        <v>257</v>
      </c>
      <c r="D162" s="27" t="s">
        <v>193</v>
      </c>
      <c r="E162" s="27" t="s">
        <v>872</v>
      </c>
      <c r="F162" s="27" t="s">
        <v>873</v>
      </c>
      <c r="G162" s="26" t="s">
        <v>41</v>
      </c>
      <c r="H162" s="26" t="s">
        <v>874</v>
      </c>
      <c r="I162" s="26" t="s">
        <v>811</v>
      </c>
      <c r="J162" s="27" t="s">
        <v>44</v>
      </c>
      <c r="K162" s="27" t="s">
        <v>68</v>
      </c>
      <c r="L162" s="17" t="s">
        <v>45</v>
      </c>
      <c r="M162" s="17" t="s">
        <v>45</v>
      </c>
      <c r="N162" s="33" t="s">
        <v>143</v>
      </c>
      <c r="O162" s="18"/>
      <c r="P162" s="19"/>
      <c r="Q162" s="19"/>
      <c r="R162" s="19"/>
      <c r="S162" s="20"/>
      <c r="T162" s="21"/>
      <c r="U162" s="21"/>
      <c r="V162" s="21"/>
      <c r="W162" s="22"/>
      <c r="X162" s="23"/>
      <c r="Y162" s="23"/>
      <c r="Z162" s="23"/>
      <c r="AA162" s="24"/>
      <c r="AB162" s="29" t="str">
        <f aca="false">IF(Z162&lt;&gt;"",Z162,IF(V162&lt;&gt;"",V162,IF(R162&lt;&gt;"",R162,IF(N162&lt;&gt;"",N162,IF(J162&lt;&gt;"","BEKLİYOR","")))))</f>
        <v>RET</v>
      </c>
    </row>
    <row r="163" customFormat="false" ht="27.75" hidden="false" customHeight="true" outlineLevel="0" collapsed="false">
      <c r="A163" s="15" t="s">
        <v>875</v>
      </c>
      <c r="B163" s="15" t="s">
        <v>876</v>
      </c>
      <c r="C163" s="16" t="s">
        <v>395</v>
      </c>
      <c r="D163" s="16" t="s">
        <v>373</v>
      </c>
      <c r="E163" s="16" t="s">
        <v>877</v>
      </c>
      <c r="F163" s="16" t="s">
        <v>878</v>
      </c>
      <c r="G163" s="15" t="s">
        <v>41</v>
      </c>
      <c r="H163" s="15" t="s">
        <v>874</v>
      </c>
      <c r="I163" s="15" t="s">
        <v>811</v>
      </c>
      <c r="J163" s="16" t="s">
        <v>99</v>
      </c>
      <c r="K163" s="16" t="s">
        <v>85</v>
      </c>
      <c r="L163" s="17" t="s">
        <v>45</v>
      </c>
      <c r="M163" s="17" t="s">
        <v>45</v>
      </c>
      <c r="N163" s="17" t="s">
        <v>45</v>
      </c>
      <c r="O163" s="18"/>
      <c r="P163" s="19"/>
      <c r="Q163" s="19"/>
      <c r="R163" s="19"/>
      <c r="S163" s="20"/>
      <c r="T163" s="21"/>
      <c r="U163" s="21"/>
      <c r="V163" s="21"/>
      <c r="W163" s="22"/>
      <c r="X163" s="23"/>
      <c r="Y163" s="23"/>
      <c r="Z163" s="23"/>
      <c r="AA163" s="24"/>
      <c r="AB163" s="25" t="str">
        <f aca="false">IF(Z163&lt;&gt;"",Z163,IF(V163&lt;&gt;"",V163,IF(R163&lt;&gt;"",R163,IF(N163&lt;&gt;"",N163,IF(J163&lt;&gt;"","BEKLİYOR","")))))</f>
        <v>ONAY</v>
      </c>
    </row>
    <row r="164" customFormat="false" ht="27.75" hidden="false" customHeight="true" outlineLevel="0" collapsed="false">
      <c r="A164" s="26" t="s">
        <v>879</v>
      </c>
      <c r="B164" s="26" t="s">
        <v>880</v>
      </c>
      <c r="C164" s="27" t="s">
        <v>881</v>
      </c>
      <c r="D164" s="27" t="s">
        <v>882</v>
      </c>
      <c r="E164" s="27" t="s">
        <v>883</v>
      </c>
      <c r="F164" s="27" t="s">
        <v>884</v>
      </c>
      <c r="G164" s="26" t="s">
        <v>41</v>
      </c>
      <c r="H164" s="26" t="s">
        <v>874</v>
      </c>
      <c r="I164" s="26" t="s">
        <v>811</v>
      </c>
      <c r="J164" s="27" t="s">
        <v>77</v>
      </c>
      <c r="K164" s="27" t="s">
        <v>52</v>
      </c>
      <c r="L164" s="17" t="s">
        <v>45</v>
      </c>
      <c r="M164" s="28"/>
      <c r="N164" s="31" t="s">
        <v>70</v>
      </c>
      <c r="O164" s="18"/>
      <c r="P164" s="19"/>
      <c r="Q164" s="19"/>
      <c r="R164" s="19"/>
      <c r="S164" s="20"/>
      <c r="T164" s="21"/>
      <c r="U164" s="21"/>
      <c r="V164" s="21"/>
      <c r="W164" s="22"/>
      <c r="X164" s="23"/>
      <c r="Y164" s="23"/>
      <c r="Z164" s="23"/>
      <c r="AA164" s="24"/>
      <c r="AB164" s="29" t="str">
        <f aca="false">IF(Z164&lt;&gt;"",Z164,IF(V164&lt;&gt;"",V164,IF(R164&lt;&gt;"",R164,IF(N164&lt;&gt;"",N164,IF(J164&lt;&gt;"","BEKLİYOR","")))))</f>
        <v>DÜZELTME</v>
      </c>
    </row>
    <row r="165" customFormat="false" ht="42" hidden="false" customHeight="true" outlineLevel="0" collapsed="false">
      <c r="A165" s="15" t="s">
        <v>885</v>
      </c>
      <c r="B165" s="15" t="s">
        <v>886</v>
      </c>
      <c r="C165" s="16" t="s">
        <v>505</v>
      </c>
      <c r="D165" s="16" t="s">
        <v>82</v>
      </c>
      <c r="E165" s="16" t="s">
        <v>887</v>
      </c>
      <c r="F165" s="16" t="s">
        <v>888</v>
      </c>
      <c r="G165" s="15" t="s">
        <v>92</v>
      </c>
      <c r="H165" s="15" t="s">
        <v>874</v>
      </c>
      <c r="I165" s="15" t="s">
        <v>811</v>
      </c>
      <c r="J165" s="16" t="s">
        <v>77</v>
      </c>
      <c r="K165" s="16" t="s">
        <v>52</v>
      </c>
      <c r="L165" s="17" t="s">
        <v>45</v>
      </c>
      <c r="M165" s="17" t="s">
        <v>45</v>
      </c>
      <c r="N165" s="17" t="s">
        <v>45</v>
      </c>
      <c r="O165" s="18"/>
      <c r="P165" s="19"/>
      <c r="Q165" s="19"/>
      <c r="R165" s="19"/>
      <c r="S165" s="20"/>
      <c r="T165" s="21"/>
      <c r="U165" s="21"/>
      <c r="V165" s="21"/>
      <c r="W165" s="22"/>
      <c r="X165" s="23"/>
      <c r="Y165" s="23"/>
      <c r="Z165" s="23"/>
      <c r="AA165" s="24"/>
      <c r="AB165" s="25" t="str">
        <f aca="false">IF(Z165&lt;&gt;"",Z165,IF(V165&lt;&gt;"",V165,IF(R165&lt;&gt;"",R165,IF(N165&lt;&gt;"",N165,IF(J165&lt;&gt;"","BEKLİYOR","")))))</f>
        <v>ONAY</v>
      </c>
    </row>
    <row r="166" customFormat="false" ht="27.75" hidden="false" customHeight="true" outlineLevel="0" collapsed="false">
      <c r="A166" s="26" t="s">
        <v>889</v>
      </c>
      <c r="B166" s="26" t="s">
        <v>890</v>
      </c>
      <c r="C166" s="27" t="s">
        <v>198</v>
      </c>
      <c r="D166" s="27" t="s">
        <v>199</v>
      </c>
      <c r="E166" s="27" t="s">
        <v>891</v>
      </c>
      <c r="F166" s="27" t="s">
        <v>892</v>
      </c>
      <c r="G166" s="26" t="s">
        <v>41</v>
      </c>
      <c r="H166" s="26" t="s">
        <v>874</v>
      </c>
      <c r="I166" s="26" t="s">
        <v>811</v>
      </c>
      <c r="J166" s="27" t="s">
        <v>59</v>
      </c>
      <c r="K166" s="27" t="s">
        <v>60</v>
      </c>
      <c r="L166" s="28"/>
      <c r="M166" s="17" t="s">
        <v>45</v>
      </c>
      <c r="N166" s="31" t="s">
        <v>70</v>
      </c>
      <c r="O166" s="18"/>
      <c r="P166" s="19"/>
      <c r="Q166" s="19"/>
      <c r="R166" s="19"/>
      <c r="S166" s="20"/>
      <c r="T166" s="21"/>
      <c r="U166" s="21"/>
      <c r="V166" s="21"/>
      <c r="W166" s="22"/>
      <c r="X166" s="23"/>
      <c r="Y166" s="23"/>
      <c r="Z166" s="23"/>
      <c r="AA166" s="24"/>
      <c r="AB166" s="29" t="str">
        <f aca="false">IF(Z166&lt;&gt;"",Z166,IF(V166&lt;&gt;"",V166,IF(R166&lt;&gt;"",R166,IF(N166&lt;&gt;"",N166,IF(J166&lt;&gt;"","BEKLİYOR","")))))</f>
        <v>DÜZELTME</v>
      </c>
    </row>
    <row r="167" customFormat="false" ht="27.75" hidden="false" customHeight="true" outlineLevel="0" collapsed="false">
      <c r="A167" s="15" t="s">
        <v>893</v>
      </c>
      <c r="B167" s="15" t="s">
        <v>894</v>
      </c>
      <c r="C167" s="16" t="s">
        <v>198</v>
      </c>
      <c r="D167" s="16" t="s">
        <v>199</v>
      </c>
      <c r="E167" s="16" t="s">
        <v>891</v>
      </c>
      <c r="F167" s="16" t="s">
        <v>895</v>
      </c>
      <c r="G167" s="15" t="s">
        <v>41</v>
      </c>
      <c r="H167" s="15" t="s">
        <v>874</v>
      </c>
      <c r="I167" s="15" t="s">
        <v>811</v>
      </c>
      <c r="J167" s="16" t="s">
        <v>59</v>
      </c>
      <c r="K167" s="16" t="s">
        <v>60</v>
      </c>
      <c r="L167" s="28"/>
      <c r="M167" s="28"/>
      <c r="N167" s="31" t="s">
        <v>70</v>
      </c>
      <c r="O167" s="18"/>
      <c r="P167" s="19"/>
      <c r="Q167" s="19"/>
      <c r="R167" s="19"/>
      <c r="S167" s="20"/>
      <c r="T167" s="21"/>
      <c r="U167" s="21"/>
      <c r="V167" s="21"/>
      <c r="W167" s="22"/>
      <c r="X167" s="23"/>
      <c r="Y167" s="23"/>
      <c r="Z167" s="23"/>
      <c r="AA167" s="24"/>
      <c r="AB167" s="25" t="str">
        <f aca="false">IF(Z167&lt;&gt;"",Z167,IF(V167&lt;&gt;"",V167,IF(R167&lt;&gt;"",R167,IF(N167&lt;&gt;"",N167,IF(J167&lt;&gt;"","BEKLİYOR","")))))</f>
        <v>DÜZELTME</v>
      </c>
    </row>
    <row r="168" customFormat="false" ht="42" hidden="false" customHeight="true" outlineLevel="0" collapsed="false">
      <c r="A168" s="26" t="s">
        <v>896</v>
      </c>
      <c r="B168" s="26" t="s">
        <v>897</v>
      </c>
      <c r="C168" s="27" t="s">
        <v>366</v>
      </c>
      <c r="D168" s="27" t="s">
        <v>367</v>
      </c>
      <c r="E168" s="27" t="s">
        <v>898</v>
      </c>
      <c r="F168" s="27" t="s">
        <v>899</v>
      </c>
      <c r="G168" s="26" t="s">
        <v>41</v>
      </c>
      <c r="H168" s="26" t="s">
        <v>874</v>
      </c>
      <c r="I168" s="26" t="s">
        <v>811</v>
      </c>
      <c r="J168" s="27" t="s">
        <v>60</v>
      </c>
      <c r="K168" s="27" t="s">
        <v>69</v>
      </c>
      <c r="L168" s="28"/>
      <c r="M168" s="17" t="s">
        <v>45</v>
      </c>
      <c r="N168" s="31" t="s">
        <v>70</v>
      </c>
      <c r="O168" s="18"/>
      <c r="P168" s="19"/>
      <c r="Q168" s="19"/>
      <c r="R168" s="19"/>
      <c r="S168" s="20"/>
      <c r="T168" s="21"/>
      <c r="U168" s="21"/>
      <c r="V168" s="21"/>
      <c r="W168" s="22"/>
      <c r="X168" s="23"/>
      <c r="Y168" s="23"/>
      <c r="Z168" s="23"/>
      <c r="AA168" s="24"/>
      <c r="AB168" s="29" t="str">
        <f aca="false">IF(Z168&lt;&gt;"",Z168,IF(V168&lt;&gt;"",V168,IF(R168&lt;&gt;"",R168,IF(N168&lt;&gt;"",N168,IF(J168&lt;&gt;"","BEKLİYOR","")))))</f>
        <v>DÜZELTME</v>
      </c>
    </row>
    <row r="169" customFormat="false" ht="27.75" hidden="false" customHeight="true" outlineLevel="0" collapsed="false">
      <c r="A169" s="15" t="s">
        <v>900</v>
      </c>
      <c r="B169" s="15" t="s">
        <v>901</v>
      </c>
      <c r="C169" s="16" t="s">
        <v>366</v>
      </c>
      <c r="D169" s="16" t="s">
        <v>367</v>
      </c>
      <c r="E169" s="16" t="s">
        <v>898</v>
      </c>
      <c r="F169" s="16" t="s">
        <v>902</v>
      </c>
      <c r="G169" s="15" t="s">
        <v>41</v>
      </c>
      <c r="H169" s="15" t="s">
        <v>874</v>
      </c>
      <c r="I169" s="15" t="s">
        <v>811</v>
      </c>
      <c r="J169" s="16" t="s">
        <v>43</v>
      </c>
      <c r="K169" s="16" t="s">
        <v>52</v>
      </c>
      <c r="L169" s="31" t="s">
        <v>70</v>
      </c>
      <c r="M169" s="17" t="s">
        <v>45</v>
      </c>
      <c r="N169" s="31" t="s">
        <v>70</v>
      </c>
      <c r="O169" s="18"/>
      <c r="P169" s="19"/>
      <c r="Q169" s="19"/>
      <c r="R169" s="19"/>
      <c r="S169" s="20"/>
      <c r="T169" s="21"/>
      <c r="U169" s="21"/>
      <c r="V169" s="21"/>
      <c r="W169" s="22"/>
      <c r="X169" s="23"/>
      <c r="Y169" s="23"/>
      <c r="Z169" s="23"/>
      <c r="AA169" s="24"/>
      <c r="AB169" s="25" t="str">
        <f aca="false">IF(Z169&lt;&gt;"",Z169,IF(V169&lt;&gt;"",V169,IF(R169&lt;&gt;"",R169,IF(N169&lt;&gt;"",N169,IF(J169&lt;&gt;"","BEKLİYOR","")))))</f>
        <v>DÜZELTME</v>
      </c>
    </row>
    <row r="170" customFormat="false" ht="42" hidden="false" customHeight="true" outlineLevel="0" collapsed="false">
      <c r="A170" s="26" t="s">
        <v>903</v>
      </c>
      <c r="B170" s="26" t="s">
        <v>904</v>
      </c>
      <c r="C170" s="27" t="s">
        <v>637</v>
      </c>
      <c r="D170" s="27" t="s">
        <v>338</v>
      </c>
      <c r="E170" s="27" t="s">
        <v>905</v>
      </c>
      <c r="F170" s="27" t="s">
        <v>906</v>
      </c>
      <c r="G170" s="26" t="s">
        <v>41</v>
      </c>
      <c r="H170" s="26" t="s">
        <v>874</v>
      </c>
      <c r="I170" s="26" t="s">
        <v>811</v>
      </c>
      <c r="J170" s="27" t="s">
        <v>77</v>
      </c>
      <c r="K170" s="27" t="s">
        <v>85</v>
      </c>
      <c r="L170" s="17" t="s">
        <v>45</v>
      </c>
      <c r="M170" s="28"/>
      <c r="N170" s="17" t="s">
        <v>45</v>
      </c>
      <c r="O170" s="18"/>
      <c r="P170" s="19"/>
      <c r="Q170" s="19"/>
      <c r="R170" s="19"/>
      <c r="S170" s="20"/>
      <c r="T170" s="21"/>
      <c r="U170" s="21"/>
      <c r="V170" s="21"/>
      <c r="W170" s="22"/>
      <c r="X170" s="23"/>
      <c r="Y170" s="23"/>
      <c r="Z170" s="23"/>
      <c r="AA170" s="24"/>
      <c r="AB170" s="29" t="str">
        <f aca="false">IF(Z170&lt;&gt;"",Z170,IF(V170&lt;&gt;"",V170,IF(R170&lt;&gt;"",R170,IF(N170&lt;&gt;"",N170,IF(J170&lt;&gt;"","BEKLİYOR","")))))</f>
        <v>ONAY</v>
      </c>
    </row>
    <row r="171" customFormat="false" ht="55.5" hidden="false" customHeight="true" outlineLevel="0" collapsed="false">
      <c r="A171" s="15" t="s">
        <v>907</v>
      </c>
      <c r="B171" s="15" t="s">
        <v>908</v>
      </c>
      <c r="C171" s="16" t="s">
        <v>618</v>
      </c>
      <c r="D171" s="16" t="s">
        <v>199</v>
      </c>
      <c r="E171" s="16" t="s">
        <v>909</v>
      </c>
      <c r="F171" s="16" t="s">
        <v>910</v>
      </c>
      <c r="G171" s="15" t="s">
        <v>41</v>
      </c>
      <c r="H171" s="15" t="s">
        <v>874</v>
      </c>
      <c r="I171" s="15" t="s">
        <v>811</v>
      </c>
      <c r="J171" s="16" t="s">
        <v>43</v>
      </c>
      <c r="K171" s="16" t="s">
        <v>68</v>
      </c>
      <c r="L171" s="28"/>
      <c r="M171" s="17" t="s">
        <v>45</v>
      </c>
      <c r="N171" s="17" t="s">
        <v>45</v>
      </c>
      <c r="O171" s="18"/>
      <c r="P171" s="19"/>
      <c r="Q171" s="19"/>
      <c r="R171" s="19"/>
      <c r="S171" s="20"/>
      <c r="T171" s="21"/>
      <c r="U171" s="21"/>
      <c r="V171" s="21"/>
      <c r="W171" s="22"/>
      <c r="X171" s="23"/>
      <c r="Y171" s="23"/>
      <c r="Z171" s="23"/>
      <c r="AA171" s="24"/>
      <c r="AB171" s="25" t="str">
        <f aca="false">IF(Z171&lt;&gt;"",Z171,IF(V171&lt;&gt;"",V171,IF(R171&lt;&gt;"",R171,IF(N171&lt;&gt;"",N171,IF(J171&lt;&gt;"","BEKLİYOR","")))))</f>
        <v>ONAY</v>
      </c>
    </row>
    <row r="172" customFormat="false" ht="55.5" hidden="false" customHeight="true" outlineLevel="0" collapsed="false">
      <c r="A172" s="26" t="s">
        <v>911</v>
      </c>
      <c r="B172" s="26" t="s">
        <v>912</v>
      </c>
      <c r="C172" s="27" t="s">
        <v>913</v>
      </c>
      <c r="D172" s="27" t="s">
        <v>199</v>
      </c>
      <c r="E172" s="27" t="s">
        <v>914</v>
      </c>
      <c r="F172" s="27" t="s">
        <v>915</v>
      </c>
      <c r="G172" s="26" t="s">
        <v>41</v>
      </c>
      <c r="H172" s="26" t="s">
        <v>874</v>
      </c>
      <c r="I172" s="26" t="s">
        <v>811</v>
      </c>
      <c r="J172" s="27" t="s">
        <v>43</v>
      </c>
      <c r="K172" s="27" t="s">
        <v>68</v>
      </c>
      <c r="L172" s="17" t="s">
        <v>45</v>
      </c>
      <c r="M172" s="17" t="s">
        <v>45</v>
      </c>
      <c r="N172" s="17" t="s">
        <v>45</v>
      </c>
      <c r="O172" s="18"/>
      <c r="P172" s="19"/>
      <c r="Q172" s="19"/>
      <c r="R172" s="19"/>
      <c r="S172" s="20"/>
      <c r="T172" s="21"/>
      <c r="U172" s="21"/>
      <c r="V172" s="21"/>
      <c r="W172" s="22"/>
      <c r="X172" s="23"/>
      <c r="Y172" s="23"/>
      <c r="Z172" s="23"/>
      <c r="AA172" s="24"/>
      <c r="AB172" s="29" t="str">
        <f aca="false">IF(Z172&lt;&gt;"",Z172,IF(V172&lt;&gt;"",V172,IF(R172&lt;&gt;"",R172,IF(N172&lt;&gt;"",N172,IF(J172&lt;&gt;"","BEKLİYOR","")))))</f>
        <v>ONAY</v>
      </c>
    </row>
    <row r="173" customFormat="false" ht="42" hidden="false" customHeight="true" outlineLevel="0" collapsed="false">
      <c r="A173" s="15" t="s">
        <v>916</v>
      </c>
      <c r="B173" s="15" t="s">
        <v>917</v>
      </c>
      <c r="C173" s="16" t="s">
        <v>257</v>
      </c>
      <c r="D173" s="16" t="s">
        <v>193</v>
      </c>
      <c r="E173" s="16" t="s">
        <v>918</v>
      </c>
      <c r="F173" s="16" t="s">
        <v>919</v>
      </c>
      <c r="G173" s="15" t="s">
        <v>41</v>
      </c>
      <c r="H173" s="15" t="s">
        <v>874</v>
      </c>
      <c r="I173" s="15" t="s">
        <v>811</v>
      </c>
      <c r="J173" s="16" t="s">
        <v>44</v>
      </c>
      <c r="K173" s="16" t="s">
        <v>69</v>
      </c>
      <c r="L173" s="17" t="s">
        <v>45</v>
      </c>
      <c r="M173" s="17" t="s">
        <v>45</v>
      </c>
      <c r="N173" s="31" t="s">
        <v>70</v>
      </c>
      <c r="O173" s="18"/>
      <c r="P173" s="19"/>
      <c r="Q173" s="19"/>
      <c r="R173" s="19"/>
      <c r="S173" s="20"/>
      <c r="T173" s="21"/>
      <c r="U173" s="21"/>
      <c r="V173" s="21"/>
      <c r="W173" s="22"/>
      <c r="X173" s="23"/>
      <c r="Y173" s="23"/>
      <c r="Z173" s="23"/>
      <c r="AA173" s="24"/>
      <c r="AB173" s="25" t="str">
        <f aca="false">IF(Z173&lt;&gt;"",Z173,IF(V173&lt;&gt;"",V173,IF(R173&lt;&gt;"",R173,IF(N173&lt;&gt;"",N173,IF(J173&lt;&gt;"","BEKLİYOR","")))))</f>
        <v>DÜZELTME</v>
      </c>
    </row>
    <row r="174" customFormat="false" ht="27.75" hidden="false" customHeight="true" outlineLevel="0" collapsed="false">
      <c r="A174" s="26" t="s">
        <v>920</v>
      </c>
      <c r="B174" s="26" t="s">
        <v>921</v>
      </c>
      <c r="C174" s="27" t="s">
        <v>505</v>
      </c>
      <c r="D174" s="27" t="s">
        <v>82</v>
      </c>
      <c r="E174" s="27" t="s">
        <v>922</v>
      </c>
      <c r="F174" s="27" t="s">
        <v>923</v>
      </c>
      <c r="G174" s="26" t="s">
        <v>41</v>
      </c>
      <c r="H174" s="26" t="s">
        <v>874</v>
      </c>
      <c r="I174" s="26" t="s">
        <v>811</v>
      </c>
      <c r="J174" s="27" t="s">
        <v>85</v>
      </c>
      <c r="K174" s="27" t="s">
        <v>99</v>
      </c>
      <c r="L174" s="28"/>
      <c r="M174" s="17" t="s">
        <v>45</v>
      </c>
      <c r="N174" s="31" t="s">
        <v>70</v>
      </c>
      <c r="O174" s="18"/>
      <c r="P174" s="19"/>
      <c r="Q174" s="19"/>
      <c r="R174" s="19"/>
      <c r="S174" s="20"/>
      <c r="T174" s="21"/>
      <c r="U174" s="21"/>
      <c r="V174" s="21"/>
      <c r="W174" s="22"/>
      <c r="X174" s="23"/>
      <c r="Y174" s="23"/>
      <c r="Z174" s="23"/>
      <c r="AA174" s="24"/>
      <c r="AB174" s="29" t="str">
        <f aca="false">IF(Z174&lt;&gt;"",Z174,IF(V174&lt;&gt;"",V174,IF(R174&lt;&gt;"",R174,IF(N174&lt;&gt;"",N174,IF(J174&lt;&gt;"","BEKLİYOR","")))))</f>
        <v>DÜZELTME</v>
      </c>
    </row>
    <row r="175" customFormat="false" ht="42" hidden="false" customHeight="true" outlineLevel="0" collapsed="false">
      <c r="A175" s="15" t="s">
        <v>924</v>
      </c>
      <c r="B175" s="15" t="s">
        <v>925</v>
      </c>
      <c r="C175" s="16" t="s">
        <v>926</v>
      </c>
      <c r="D175" s="16" t="s">
        <v>313</v>
      </c>
      <c r="E175" s="16" t="s">
        <v>927</v>
      </c>
      <c r="F175" s="16" t="s">
        <v>928</v>
      </c>
      <c r="G175" s="15" t="s">
        <v>41</v>
      </c>
      <c r="H175" s="15" t="s">
        <v>874</v>
      </c>
      <c r="I175" s="15" t="s">
        <v>811</v>
      </c>
      <c r="J175" s="16" t="s">
        <v>43</v>
      </c>
      <c r="K175" s="16" t="s">
        <v>93</v>
      </c>
      <c r="L175" s="28"/>
      <c r="M175" s="17" t="s">
        <v>45</v>
      </c>
      <c r="N175" s="17" t="s">
        <v>45</v>
      </c>
      <c r="O175" s="18"/>
      <c r="P175" s="19"/>
      <c r="Q175" s="19"/>
      <c r="R175" s="19"/>
      <c r="S175" s="20"/>
      <c r="T175" s="21"/>
      <c r="U175" s="21"/>
      <c r="V175" s="21"/>
      <c r="W175" s="22"/>
      <c r="X175" s="23"/>
      <c r="Y175" s="23"/>
      <c r="Z175" s="23"/>
      <c r="AA175" s="24"/>
      <c r="AB175" s="25" t="str">
        <f aca="false">IF(Z175&lt;&gt;"",Z175,IF(V175&lt;&gt;"",V175,IF(R175&lt;&gt;"",R175,IF(N175&lt;&gt;"",N175,IF(J175&lt;&gt;"","BEKLİYOR","")))))</f>
        <v>ONAY</v>
      </c>
    </row>
    <row r="176" customFormat="false" ht="55.5" hidden="false" customHeight="true" outlineLevel="0" collapsed="false">
      <c r="A176" s="26" t="s">
        <v>929</v>
      </c>
      <c r="B176" s="26" t="s">
        <v>930</v>
      </c>
      <c r="C176" s="27" t="s">
        <v>931</v>
      </c>
      <c r="D176" s="27" t="s">
        <v>367</v>
      </c>
      <c r="E176" s="27" t="s">
        <v>932</v>
      </c>
      <c r="F176" s="27" t="s">
        <v>933</v>
      </c>
      <c r="G176" s="26" t="s">
        <v>130</v>
      </c>
      <c r="H176" s="26" t="s">
        <v>934</v>
      </c>
      <c r="I176" s="26" t="s">
        <v>811</v>
      </c>
      <c r="J176" s="27" t="s">
        <v>43</v>
      </c>
      <c r="K176" s="27" t="s">
        <v>52</v>
      </c>
      <c r="L176" s="31" t="s">
        <v>70</v>
      </c>
      <c r="M176" s="17" t="s">
        <v>45</v>
      </c>
      <c r="N176" s="31" t="s">
        <v>70</v>
      </c>
      <c r="O176" s="18"/>
      <c r="P176" s="19"/>
      <c r="Q176" s="19"/>
      <c r="R176" s="19"/>
      <c r="S176" s="20"/>
      <c r="T176" s="21"/>
      <c r="U176" s="21"/>
      <c r="V176" s="21"/>
      <c r="W176" s="22"/>
      <c r="X176" s="23"/>
      <c r="Y176" s="23"/>
      <c r="Z176" s="23"/>
      <c r="AA176" s="24"/>
      <c r="AB176" s="29" t="str">
        <f aca="false">IF(Z176&lt;&gt;"",Z176,IF(V176&lt;&gt;"",V176,IF(R176&lt;&gt;"",R176,IF(N176&lt;&gt;"",N176,IF(J176&lt;&gt;"","BEKLİYOR","")))))</f>
        <v>DÜZELTME</v>
      </c>
    </row>
    <row r="177" customFormat="false" ht="27.75" hidden="false" customHeight="true" outlineLevel="0" collapsed="false">
      <c r="A177" s="15" t="s">
        <v>935</v>
      </c>
      <c r="B177" s="15" t="s">
        <v>936</v>
      </c>
      <c r="C177" s="16" t="s">
        <v>937</v>
      </c>
      <c r="D177" s="16" t="s">
        <v>140</v>
      </c>
      <c r="E177" s="16" t="s">
        <v>938</v>
      </c>
      <c r="F177" s="16" t="s">
        <v>939</v>
      </c>
      <c r="G177" s="15" t="s">
        <v>92</v>
      </c>
      <c r="H177" s="15" t="s">
        <v>934</v>
      </c>
      <c r="I177" s="15" t="s">
        <v>811</v>
      </c>
      <c r="J177" s="16" t="s">
        <v>43</v>
      </c>
      <c r="K177" s="16" t="s">
        <v>77</v>
      </c>
      <c r="L177" s="31" t="s">
        <v>70</v>
      </c>
      <c r="M177" s="17" t="s">
        <v>45</v>
      </c>
      <c r="N177" s="31" t="s">
        <v>70</v>
      </c>
      <c r="O177" s="18"/>
      <c r="P177" s="19"/>
      <c r="Q177" s="19"/>
      <c r="R177" s="19"/>
      <c r="S177" s="20"/>
      <c r="T177" s="21"/>
      <c r="U177" s="21"/>
      <c r="V177" s="21"/>
      <c r="W177" s="22"/>
      <c r="X177" s="23"/>
      <c r="Y177" s="23"/>
      <c r="Z177" s="23"/>
      <c r="AA177" s="24"/>
      <c r="AB177" s="25" t="str">
        <f aca="false">IF(Z177&lt;&gt;"",Z177,IF(V177&lt;&gt;"",V177,IF(R177&lt;&gt;"",R177,IF(N177&lt;&gt;"",N177,IF(J177&lt;&gt;"","BEKLİYOR","")))))</f>
        <v>DÜZELTME</v>
      </c>
    </row>
    <row r="178" customFormat="false" ht="42" hidden="false" customHeight="true" outlineLevel="0" collapsed="false">
      <c r="A178" s="26" t="s">
        <v>940</v>
      </c>
      <c r="B178" s="26" t="s">
        <v>941</v>
      </c>
      <c r="C178" s="27" t="s">
        <v>942</v>
      </c>
      <c r="D178" s="27" t="s">
        <v>379</v>
      </c>
      <c r="E178" s="27" t="s">
        <v>943</v>
      </c>
      <c r="F178" s="27" t="s">
        <v>944</v>
      </c>
      <c r="G178" s="26" t="s">
        <v>41</v>
      </c>
      <c r="H178" s="26" t="s">
        <v>934</v>
      </c>
      <c r="I178" s="26" t="s">
        <v>811</v>
      </c>
      <c r="J178" s="27" t="s">
        <v>99</v>
      </c>
      <c r="K178" s="27" t="s">
        <v>77</v>
      </c>
      <c r="L178" s="17" t="s">
        <v>45</v>
      </c>
      <c r="M178" s="17" t="s">
        <v>45</v>
      </c>
      <c r="N178" s="17" t="s">
        <v>45</v>
      </c>
      <c r="O178" s="18"/>
      <c r="P178" s="19"/>
      <c r="Q178" s="19"/>
      <c r="R178" s="19"/>
      <c r="S178" s="20"/>
      <c r="T178" s="21"/>
      <c r="U178" s="21"/>
      <c r="V178" s="21"/>
      <c r="W178" s="22"/>
      <c r="X178" s="23"/>
      <c r="Y178" s="23"/>
      <c r="Z178" s="23"/>
      <c r="AA178" s="24"/>
      <c r="AB178" s="29" t="str">
        <f aca="false">IF(Z178&lt;&gt;"",Z178,IF(V178&lt;&gt;"",V178,IF(R178&lt;&gt;"",R178,IF(N178&lt;&gt;"",N178,IF(J178&lt;&gt;"","BEKLİYOR","")))))</f>
        <v>ONAY</v>
      </c>
    </row>
    <row r="179" customFormat="false" ht="55.5" hidden="false" customHeight="true" outlineLevel="0" collapsed="false">
      <c r="A179" s="15" t="s">
        <v>945</v>
      </c>
      <c r="B179" s="15" t="s">
        <v>946</v>
      </c>
      <c r="C179" s="16" t="s">
        <v>947</v>
      </c>
      <c r="D179" s="16" t="s">
        <v>379</v>
      </c>
      <c r="E179" s="16" t="s">
        <v>948</v>
      </c>
      <c r="F179" s="16" t="s">
        <v>949</v>
      </c>
      <c r="G179" s="15" t="s">
        <v>41</v>
      </c>
      <c r="H179" s="15" t="s">
        <v>934</v>
      </c>
      <c r="I179" s="15" t="s">
        <v>811</v>
      </c>
      <c r="J179" s="16" t="s">
        <v>44</v>
      </c>
      <c r="K179" s="16" t="s">
        <v>69</v>
      </c>
      <c r="L179" s="17" t="s">
        <v>45</v>
      </c>
      <c r="M179" s="17" t="s">
        <v>45</v>
      </c>
      <c r="N179" s="17" t="s">
        <v>45</v>
      </c>
      <c r="O179" s="18"/>
      <c r="P179" s="19"/>
      <c r="Q179" s="19"/>
      <c r="R179" s="19"/>
      <c r="S179" s="20"/>
      <c r="T179" s="21"/>
      <c r="U179" s="21"/>
      <c r="V179" s="21"/>
      <c r="W179" s="22"/>
      <c r="X179" s="23"/>
      <c r="Y179" s="23"/>
      <c r="Z179" s="23"/>
      <c r="AA179" s="24"/>
      <c r="AB179" s="25" t="str">
        <f aca="false">IF(Z179&lt;&gt;"",Z179,IF(V179&lt;&gt;"",V179,IF(R179&lt;&gt;"",R179,IF(N179&lt;&gt;"",N179,IF(J179&lt;&gt;"","BEKLİYOR","")))))</f>
        <v>ONAY</v>
      </c>
    </row>
    <row r="180" customFormat="false" ht="27.75" hidden="false" customHeight="true" outlineLevel="0" collapsed="false">
      <c r="A180" s="26" t="s">
        <v>950</v>
      </c>
      <c r="B180" s="26" t="s">
        <v>951</v>
      </c>
      <c r="C180" s="27" t="s">
        <v>947</v>
      </c>
      <c r="D180" s="27" t="s">
        <v>379</v>
      </c>
      <c r="E180" s="27" t="s">
        <v>948</v>
      </c>
      <c r="F180" s="27" t="s">
        <v>952</v>
      </c>
      <c r="G180" s="26" t="s">
        <v>41</v>
      </c>
      <c r="H180" s="26" t="s">
        <v>934</v>
      </c>
      <c r="I180" s="26" t="s">
        <v>811</v>
      </c>
      <c r="J180" s="27" t="s">
        <v>44</v>
      </c>
      <c r="K180" s="27" t="s">
        <v>69</v>
      </c>
      <c r="L180" s="17" t="s">
        <v>45</v>
      </c>
      <c r="M180" s="17" t="s">
        <v>45</v>
      </c>
      <c r="N180" s="17" t="s">
        <v>45</v>
      </c>
      <c r="O180" s="18"/>
      <c r="P180" s="19"/>
      <c r="Q180" s="19"/>
      <c r="R180" s="19"/>
      <c r="S180" s="20"/>
      <c r="T180" s="21"/>
      <c r="U180" s="21"/>
      <c r="V180" s="21"/>
      <c r="W180" s="22"/>
      <c r="X180" s="23"/>
      <c r="Y180" s="23"/>
      <c r="Z180" s="23"/>
      <c r="AA180" s="24"/>
      <c r="AB180" s="29" t="str">
        <f aca="false">IF(Z180&lt;&gt;"",Z180,IF(V180&lt;&gt;"",V180,IF(R180&lt;&gt;"",R180,IF(N180&lt;&gt;"",N180,IF(J180&lt;&gt;"","BEKLİYOR","")))))</f>
        <v>ONAY</v>
      </c>
    </row>
    <row r="181" customFormat="false" ht="42" hidden="false" customHeight="true" outlineLevel="0" collapsed="false">
      <c r="A181" s="15" t="s">
        <v>953</v>
      </c>
      <c r="B181" s="15" t="s">
        <v>954</v>
      </c>
      <c r="C181" s="16" t="s">
        <v>955</v>
      </c>
      <c r="D181" s="16" t="s">
        <v>956</v>
      </c>
      <c r="E181" s="16" t="s">
        <v>957</v>
      </c>
      <c r="F181" s="16" t="s">
        <v>958</v>
      </c>
      <c r="G181" s="15" t="s">
        <v>41</v>
      </c>
      <c r="H181" s="15" t="s">
        <v>934</v>
      </c>
      <c r="I181" s="15" t="s">
        <v>811</v>
      </c>
      <c r="J181" s="16" t="s">
        <v>68</v>
      </c>
      <c r="K181" s="16" t="s">
        <v>85</v>
      </c>
      <c r="L181" s="28"/>
      <c r="M181" s="28"/>
      <c r="N181" s="31" t="s">
        <v>70</v>
      </c>
      <c r="O181" s="18"/>
      <c r="P181" s="19"/>
      <c r="Q181" s="19"/>
      <c r="R181" s="19"/>
      <c r="S181" s="20"/>
      <c r="T181" s="21"/>
      <c r="U181" s="21"/>
      <c r="V181" s="21"/>
      <c r="W181" s="22"/>
      <c r="X181" s="23"/>
      <c r="Y181" s="23"/>
      <c r="Z181" s="23"/>
      <c r="AA181" s="24"/>
      <c r="AB181" s="25" t="str">
        <f aca="false">IF(Z181&lt;&gt;"",Z181,IF(V181&lt;&gt;"",V181,IF(R181&lt;&gt;"",R181,IF(N181&lt;&gt;"",N181,IF(J181&lt;&gt;"","BEKLİYOR","")))))</f>
        <v>DÜZELTME</v>
      </c>
    </row>
    <row r="182" customFormat="false" ht="42" hidden="false" customHeight="true" outlineLevel="0" collapsed="false">
      <c r="A182" s="26" t="s">
        <v>959</v>
      </c>
      <c r="B182" s="26" t="s">
        <v>960</v>
      </c>
      <c r="C182" s="27" t="s">
        <v>214</v>
      </c>
      <c r="D182" s="27" t="s">
        <v>82</v>
      </c>
      <c r="E182" s="27" t="s">
        <v>961</v>
      </c>
      <c r="F182" s="27" t="s">
        <v>962</v>
      </c>
      <c r="G182" s="26" t="s">
        <v>92</v>
      </c>
      <c r="H182" s="26" t="s">
        <v>934</v>
      </c>
      <c r="I182" s="26" t="s">
        <v>811</v>
      </c>
      <c r="J182" s="27" t="s">
        <v>43</v>
      </c>
      <c r="K182" s="27" t="s">
        <v>93</v>
      </c>
      <c r="L182" s="31" t="s">
        <v>70</v>
      </c>
      <c r="M182" s="17" t="s">
        <v>45</v>
      </c>
      <c r="N182" s="31" t="s">
        <v>70</v>
      </c>
      <c r="O182" s="18"/>
      <c r="P182" s="19"/>
      <c r="Q182" s="19"/>
      <c r="R182" s="19"/>
      <c r="S182" s="20"/>
      <c r="T182" s="21"/>
      <c r="U182" s="21"/>
      <c r="V182" s="21"/>
      <c r="W182" s="22"/>
      <c r="X182" s="23"/>
      <c r="Y182" s="23"/>
      <c r="Z182" s="23"/>
      <c r="AA182" s="24"/>
      <c r="AB182" s="29" t="str">
        <f aca="false">IF(Z182&lt;&gt;"",Z182,IF(V182&lt;&gt;"",V182,IF(R182&lt;&gt;"",R182,IF(N182&lt;&gt;"",N182,IF(J182&lt;&gt;"","BEKLİYOR","")))))</f>
        <v>DÜZELTME</v>
      </c>
    </row>
    <row r="183" customFormat="false" ht="27.75" hidden="false" customHeight="true" outlineLevel="0" collapsed="false">
      <c r="A183" s="15" t="s">
        <v>963</v>
      </c>
      <c r="B183" s="15" t="s">
        <v>964</v>
      </c>
      <c r="C183" s="16" t="s">
        <v>965</v>
      </c>
      <c r="D183" s="16" t="s">
        <v>684</v>
      </c>
      <c r="E183" s="16" t="s">
        <v>966</v>
      </c>
      <c r="F183" s="16" t="s">
        <v>967</v>
      </c>
      <c r="G183" s="15" t="s">
        <v>130</v>
      </c>
      <c r="H183" s="15" t="s">
        <v>968</v>
      </c>
      <c r="I183" s="15" t="s">
        <v>811</v>
      </c>
      <c r="J183" s="16" t="s">
        <v>43</v>
      </c>
      <c r="K183" s="16" t="s">
        <v>68</v>
      </c>
      <c r="L183" s="31" t="s">
        <v>70</v>
      </c>
      <c r="M183" s="17" t="s">
        <v>45</v>
      </c>
      <c r="N183" s="31" t="s">
        <v>70</v>
      </c>
      <c r="O183" s="18"/>
      <c r="P183" s="19"/>
      <c r="Q183" s="19"/>
      <c r="R183" s="19"/>
      <c r="S183" s="20"/>
      <c r="T183" s="21"/>
      <c r="U183" s="21"/>
      <c r="V183" s="21"/>
      <c r="W183" s="22"/>
      <c r="X183" s="23"/>
      <c r="Y183" s="23"/>
      <c r="Z183" s="23"/>
      <c r="AA183" s="24"/>
      <c r="AB183" s="25" t="str">
        <f aca="false">IF(Z183&lt;&gt;"",Z183,IF(V183&lt;&gt;"",V183,IF(R183&lt;&gt;"",R183,IF(N183&lt;&gt;"",N183,IF(J183&lt;&gt;"","BEKLİYOR","")))))</f>
        <v>DÜZELTME</v>
      </c>
    </row>
    <row r="184" customFormat="false" ht="42" hidden="false" customHeight="true" outlineLevel="0" collapsed="false">
      <c r="A184" s="26" t="s">
        <v>969</v>
      </c>
      <c r="B184" s="26" t="s">
        <v>970</v>
      </c>
      <c r="C184" s="27" t="s">
        <v>971</v>
      </c>
      <c r="D184" s="27" t="s">
        <v>521</v>
      </c>
      <c r="E184" s="27" t="s">
        <v>972</v>
      </c>
      <c r="F184" s="27" t="s">
        <v>973</v>
      </c>
      <c r="G184" s="26" t="s">
        <v>41</v>
      </c>
      <c r="H184" s="26" t="s">
        <v>968</v>
      </c>
      <c r="I184" s="26" t="s">
        <v>811</v>
      </c>
      <c r="J184" s="27" t="s">
        <v>59</v>
      </c>
      <c r="K184" s="27" t="s">
        <v>93</v>
      </c>
      <c r="L184" s="28"/>
      <c r="M184" s="17" t="s">
        <v>45</v>
      </c>
      <c r="N184" s="17" t="s">
        <v>45</v>
      </c>
      <c r="O184" s="18"/>
      <c r="P184" s="19"/>
      <c r="Q184" s="19"/>
      <c r="R184" s="19"/>
      <c r="S184" s="20"/>
      <c r="T184" s="21"/>
      <c r="U184" s="21"/>
      <c r="V184" s="21"/>
      <c r="W184" s="22"/>
      <c r="X184" s="23"/>
      <c r="Y184" s="23"/>
      <c r="Z184" s="23"/>
      <c r="AA184" s="24"/>
      <c r="AB184" s="29" t="str">
        <f aca="false">IF(Z184&lt;&gt;"",Z184,IF(V184&lt;&gt;"",V184,IF(R184&lt;&gt;"",R184,IF(N184&lt;&gt;"",N184,IF(J184&lt;&gt;"","BEKLİYOR","")))))</f>
        <v>ONAY</v>
      </c>
    </row>
    <row r="185" customFormat="false" ht="27.75" hidden="false" customHeight="true" outlineLevel="0" collapsed="false">
      <c r="A185" s="15" t="s">
        <v>974</v>
      </c>
      <c r="B185" s="15" t="s">
        <v>975</v>
      </c>
      <c r="C185" s="16" t="s">
        <v>976</v>
      </c>
      <c r="D185" s="16" t="s">
        <v>390</v>
      </c>
      <c r="E185" s="16" t="s">
        <v>977</v>
      </c>
      <c r="F185" s="16" t="s">
        <v>978</v>
      </c>
      <c r="G185" s="15" t="s">
        <v>92</v>
      </c>
      <c r="H185" s="15" t="s">
        <v>968</v>
      </c>
      <c r="I185" s="15" t="s">
        <v>811</v>
      </c>
      <c r="J185" s="16" t="s">
        <v>93</v>
      </c>
      <c r="K185" s="16" t="s">
        <v>52</v>
      </c>
      <c r="L185" s="34" t="s">
        <v>177</v>
      </c>
      <c r="M185" s="17" t="s">
        <v>45</v>
      </c>
      <c r="N185" s="34" t="s">
        <v>177</v>
      </c>
      <c r="O185" s="18"/>
      <c r="P185" s="19"/>
      <c r="Q185" s="19"/>
      <c r="R185" s="31" t="s">
        <v>70</v>
      </c>
      <c r="S185" s="20"/>
      <c r="T185" s="21"/>
      <c r="U185" s="21"/>
      <c r="V185" s="21"/>
      <c r="W185" s="22"/>
      <c r="X185" s="23"/>
      <c r="Y185" s="23"/>
      <c r="Z185" s="23"/>
      <c r="AA185" s="24"/>
      <c r="AB185" s="25" t="str">
        <f aca="false">IF(Z185&lt;&gt;"",Z185,IF(V185&lt;&gt;"",V185,IF(R185&lt;&gt;"",R185,IF(N185&lt;&gt;"",N185,IF(J185&lt;&gt;"","BEKLİYOR","")))))</f>
        <v>DÜZELTME</v>
      </c>
    </row>
    <row r="186" customFormat="false" ht="27.75" hidden="false" customHeight="true" outlineLevel="0" collapsed="false">
      <c r="A186" s="26" t="s">
        <v>979</v>
      </c>
      <c r="B186" s="26" t="s">
        <v>980</v>
      </c>
      <c r="C186" s="27" t="s">
        <v>981</v>
      </c>
      <c r="D186" s="27" t="s">
        <v>982</v>
      </c>
      <c r="E186" s="27" t="s">
        <v>983</v>
      </c>
      <c r="F186" s="27" t="s">
        <v>984</v>
      </c>
      <c r="G186" s="26" t="s">
        <v>41</v>
      </c>
      <c r="H186" s="26" t="s">
        <v>985</v>
      </c>
      <c r="I186" s="26" t="s">
        <v>811</v>
      </c>
      <c r="J186" s="27" t="s">
        <v>93</v>
      </c>
      <c r="K186" s="27" t="s">
        <v>85</v>
      </c>
      <c r="L186" s="17" t="s">
        <v>45</v>
      </c>
      <c r="M186" s="17" t="s">
        <v>45</v>
      </c>
      <c r="N186" s="17" t="s">
        <v>45</v>
      </c>
      <c r="O186" s="18"/>
      <c r="P186" s="19"/>
      <c r="Q186" s="19"/>
      <c r="R186" s="19"/>
      <c r="S186" s="20"/>
      <c r="T186" s="21"/>
      <c r="U186" s="21"/>
      <c r="V186" s="21"/>
      <c r="W186" s="22"/>
      <c r="X186" s="23"/>
      <c r="Y186" s="23"/>
      <c r="Z186" s="23"/>
      <c r="AA186" s="24"/>
      <c r="AB186" s="29" t="str">
        <f aca="false">IF(Z186&lt;&gt;"",Z186,IF(V186&lt;&gt;"",V186,IF(R186&lt;&gt;"",R186,IF(N186&lt;&gt;"",N186,IF(J186&lt;&gt;"","BEKLİYOR","")))))</f>
        <v>ONAY</v>
      </c>
    </row>
    <row r="187" customFormat="false" ht="27.75" hidden="false" customHeight="true" outlineLevel="0" collapsed="false">
      <c r="A187" s="15" t="s">
        <v>986</v>
      </c>
      <c r="B187" s="15" t="s">
        <v>987</v>
      </c>
      <c r="C187" s="16" t="s">
        <v>55</v>
      </c>
      <c r="D187" s="16" t="s">
        <v>56</v>
      </c>
      <c r="E187" s="16" t="s">
        <v>988</v>
      </c>
      <c r="F187" s="16" t="s">
        <v>989</v>
      </c>
      <c r="G187" s="15" t="s">
        <v>92</v>
      </c>
      <c r="H187" s="15" t="s">
        <v>985</v>
      </c>
      <c r="I187" s="15" t="s">
        <v>811</v>
      </c>
      <c r="J187" s="16" t="s">
        <v>99</v>
      </c>
      <c r="K187" s="16" t="s">
        <v>60</v>
      </c>
      <c r="L187" s="17" t="s">
        <v>45</v>
      </c>
      <c r="M187" s="17" t="s">
        <v>45</v>
      </c>
      <c r="N187" s="17" t="s">
        <v>45</v>
      </c>
      <c r="O187" s="18"/>
      <c r="P187" s="19"/>
      <c r="Q187" s="19"/>
      <c r="R187" s="19"/>
      <c r="S187" s="20"/>
      <c r="T187" s="21"/>
      <c r="U187" s="21"/>
      <c r="V187" s="21"/>
      <c r="W187" s="22"/>
      <c r="X187" s="23"/>
      <c r="Y187" s="23"/>
      <c r="Z187" s="23"/>
      <c r="AA187" s="24"/>
      <c r="AB187" s="25" t="str">
        <f aca="false">IF(Z187&lt;&gt;"",Z187,IF(V187&lt;&gt;"",V187,IF(R187&lt;&gt;"",R187,IF(N187&lt;&gt;"",N187,IF(J187&lt;&gt;"","BEKLİYOR","")))))</f>
        <v>ONAY</v>
      </c>
    </row>
    <row r="188" customFormat="false" ht="27.75" hidden="false" customHeight="true" outlineLevel="0" collapsed="false">
      <c r="A188" s="26" t="s">
        <v>990</v>
      </c>
      <c r="B188" s="26" t="s">
        <v>991</v>
      </c>
      <c r="C188" s="27" t="s">
        <v>198</v>
      </c>
      <c r="D188" s="27" t="s">
        <v>199</v>
      </c>
      <c r="E188" s="27" t="s">
        <v>992</v>
      </c>
      <c r="F188" s="27" t="s">
        <v>993</v>
      </c>
      <c r="G188" s="26" t="s">
        <v>41</v>
      </c>
      <c r="H188" s="26" t="s">
        <v>985</v>
      </c>
      <c r="I188" s="26" t="s">
        <v>811</v>
      </c>
      <c r="J188" s="27" t="s">
        <v>68</v>
      </c>
      <c r="K188" s="27" t="s">
        <v>99</v>
      </c>
      <c r="L188" s="28"/>
      <c r="M188" s="17" t="s">
        <v>45</v>
      </c>
      <c r="N188" s="33" t="s">
        <v>143</v>
      </c>
      <c r="O188" s="18"/>
      <c r="P188" s="19"/>
      <c r="Q188" s="19"/>
      <c r="R188" s="19"/>
      <c r="S188" s="20"/>
      <c r="T188" s="21"/>
      <c r="U188" s="21"/>
      <c r="V188" s="21"/>
      <c r="W188" s="22"/>
      <c r="X188" s="23"/>
      <c r="Y188" s="23"/>
      <c r="Z188" s="23"/>
      <c r="AA188" s="24"/>
      <c r="AB188" s="29" t="str">
        <f aca="false">IF(Z188&lt;&gt;"",Z188,IF(V188&lt;&gt;"",V188,IF(R188&lt;&gt;"",R188,IF(N188&lt;&gt;"",N188,IF(J188&lt;&gt;"","BEKLİYOR","")))))</f>
        <v>RET</v>
      </c>
    </row>
    <row r="189" customFormat="false" ht="27.75" hidden="false" customHeight="true" outlineLevel="0" collapsed="false">
      <c r="A189" s="15" t="s">
        <v>994</v>
      </c>
      <c r="B189" s="15" t="s">
        <v>995</v>
      </c>
      <c r="C189" s="16" t="s">
        <v>996</v>
      </c>
      <c r="D189" s="16" t="s">
        <v>263</v>
      </c>
      <c r="E189" s="16" t="s">
        <v>997</v>
      </c>
      <c r="F189" s="16" t="s">
        <v>998</v>
      </c>
      <c r="G189" s="15" t="s">
        <v>41</v>
      </c>
      <c r="H189" s="15" t="s">
        <v>985</v>
      </c>
      <c r="I189" s="15" t="s">
        <v>811</v>
      </c>
      <c r="J189" s="16" t="s">
        <v>59</v>
      </c>
      <c r="K189" s="16" t="s">
        <v>52</v>
      </c>
      <c r="L189" s="28"/>
      <c r="M189" s="28"/>
      <c r="N189" s="28"/>
      <c r="O189" s="18"/>
      <c r="P189" s="19"/>
      <c r="Q189" s="19"/>
      <c r="R189" s="19"/>
      <c r="S189" s="20"/>
      <c r="T189" s="21"/>
      <c r="U189" s="21"/>
      <c r="V189" s="21"/>
      <c r="W189" s="22"/>
      <c r="X189" s="23"/>
      <c r="Y189" s="23"/>
      <c r="Z189" s="23"/>
      <c r="AA189" s="24"/>
      <c r="AB189" s="25" t="str">
        <f aca="false">IF(Z189&lt;&gt;"",Z189,IF(V189&lt;&gt;"",V189,IF(R189&lt;&gt;"",R189,IF(N189&lt;&gt;"",N189,IF(J189&lt;&gt;"","BEKLİYOR","")))))</f>
        <v>BEKLİYOR</v>
      </c>
    </row>
    <row r="190" customFormat="false" ht="27.75" hidden="false" customHeight="true" outlineLevel="0" collapsed="false">
      <c r="A190" s="26" t="s">
        <v>999</v>
      </c>
      <c r="B190" s="26" t="s">
        <v>1000</v>
      </c>
      <c r="C190" s="27" t="s">
        <v>1001</v>
      </c>
      <c r="D190" s="27" t="s">
        <v>193</v>
      </c>
      <c r="E190" s="27" t="s">
        <v>1002</v>
      </c>
      <c r="F190" s="27" t="s">
        <v>1003</v>
      </c>
      <c r="G190" s="26" t="s">
        <v>92</v>
      </c>
      <c r="H190" s="26" t="s">
        <v>985</v>
      </c>
      <c r="I190" s="26" t="s">
        <v>811</v>
      </c>
      <c r="J190" s="27" t="s">
        <v>77</v>
      </c>
      <c r="K190" s="27" t="s">
        <v>85</v>
      </c>
      <c r="L190" s="17" t="s">
        <v>45</v>
      </c>
      <c r="M190" s="28"/>
      <c r="N190" s="31" t="s">
        <v>70</v>
      </c>
      <c r="O190" s="18"/>
      <c r="P190" s="19"/>
      <c r="Q190" s="19"/>
      <c r="R190" s="19"/>
      <c r="S190" s="20"/>
      <c r="T190" s="21"/>
      <c r="U190" s="21"/>
      <c r="V190" s="21"/>
      <c r="W190" s="22"/>
      <c r="X190" s="23"/>
      <c r="Y190" s="23"/>
      <c r="Z190" s="23"/>
      <c r="AA190" s="24"/>
      <c r="AB190" s="29" t="str">
        <f aca="false">IF(Z190&lt;&gt;"",Z190,IF(V190&lt;&gt;"",V190,IF(R190&lt;&gt;"",R190,IF(N190&lt;&gt;"",N190,IF(J190&lt;&gt;"","BEKLİYOR","")))))</f>
        <v>DÜZELTME</v>
      </c>
    </row>
    <row r="191" customFormat="false" ht="27.75" hidden="false" customHeight="true" outlineLevel="0" collapsed="false">
      <c r="A191" s="15" t="s">
        <v>1004</v>
      </c>
      <c r="B191" s="15" t="s">
        <v>1005</v>
      </c>
      <c r="C191" s="16" t="s">
        <v>1006</v>
      </c>
      <c r="D191" s="16" t="s">
        <v>242</v>
      </c>
      <c r="E191" s="16" t="s">
        <v>1007</v>
      </c>
      <c r="F191" s="16" t="s">
        <v>1008</v>
      </c>
      <c r="G191" s="15" t="s">
        <v>41</v>
      </c>
      <c r="H191" s="15" t="s">
        <v>985</v>
      </c>
      <c r="I191" s="15" t="s">
        <v>811</v>
      </c>
      <c r="J191" s="16" t="s">
        <v>60</v>
      </c>
      <c r="K191" s="16" t="s">
        <v>44</v>
      </c>
      <c r="L191" s="17" t="s">
        <v>45</v>
      </c>
      <c r="M191" s="17" t="s">
        <v>45</v>
      </c>
      <c r="N191" s="17" t="s">
        <v>45</v>
      </c>
      <c r="O191" s="18"/>
      <c r="P191" s="19"/>
      <c r="Q191" s="19"/>
      <c r="R191" s="19"/>
      <c r="S191" s="20"/>
      <c r="T191" s="21"/>
      <c r="U191" s="21"/>
      <c r="V191" s="21"/>
      <c r="W191" s="22"/>
      <c r="X191" s="23"/>
      <c r="Y191" s="23"/>
      <c r="Z191" s="23"/>
      <c r="AA191" s="24"/>
      <c r="AB191" s="25" t="str">
        <f aca="false">IF(Z191&lt;&gt;"",Z191,IF(V191&lt;&gt;"",V191,IF(R191&lt;&gt;"",R191,IF(N191&lt;&gt;"",N191,IF(J191&lt;&gt;"","BEKLİYOR","")))))</f>
        <v>ONAY</v>
      </c>
    </row>
    <row r="192" customFormat="false" ht="27.75" hidden="false" customHeight="true" outlineLevel="0" collapsed="false">
      <c r="A192" s="26" t="s">
        <v>1009</v>
      </c>
      <c r="B192" s="26" t="s">
        <v>1010</v>
      </c>
      <c r="C192" s="27" t="s">
        <v>1011</v>
      </c>
      <c r="D192" s="27" t="s">
        <v>297</v>
      </c>
      <c r="E192" s="27" t="s">
        <v>1012</v>
      </c>
      <c r="F192" s="27" t="s">
        <v>1013</v>
      </c>
      <c r="G192" s="26" t="s">
        <v>41</v>
      </c>
      <c r="H192" s="26" t="s">
        <v>985</v>
      </c>
      <c r="I192" s="26" t="s">
        <v>811</v>
      </c>
      <c r="J192" s="27" t="s">
        <v>69</v>
      </c>
      <c r="K192" s="27" t="s">
        <v>43</v>
      </c>
      <c r="L192" s="17" t="s">
        <v>45</v>
      </c>
      <c r="M192" s="17" t="s">
        <v>45</v>
      </c>
      <c r="N192" s="17" t="s">
        <v>45</v>
      </c>
      <c r="O192" s="18"/>
      <c r="P192" s="19"/>
      <c r="Q192" s="19"/>
      <c r="R192" s="19"/>
      <c r="S192" s="20"/>
      <c r="T192" s="21"/>
      <c r="U192" s="21"/>
      <c r="V192" s="21"/>
      <c r="W192" s="22"/>
      <c r="X192" s="23"/>
      <c r="Y192" s="23"/>
      <c r="Z192" s="23"/>
      <c r="AA192" s="24"/>
      <c r="AB192" s="29" t="str">
        <f aca="false">IF(Z192&lt;&gt;"",Z192,IF(V192&lt;&gt;"",V192,IF(R192&lt;&gt;"",R192,IF(N192&lt;&gt;"",N192,IF(J192&lt;&gt;"","BEKLİYOR","")))))</f>
        <v>ONAY</v>
      </c>
    </row>
    <row r="193" customFormat="false" ht="27.75" hidden="false" customHeight="true" outlineLevel="0" collapsed="false">
      <c r="A193" s="15" t="s">
        <v>1014</v>
      </c>
      <c r="B193" s="15" t="s">
        <v>1015</v>
      </c>
      <c r="C193" s="16" t="s">
        <v>44</v>
      </c>
      <c r="D193" s="16" t="s">
        <v>193</v>
      </c>
      <c r="E193" s="16" t="s">
        <v>1016</v>
      </c>
      <c r="F193" s="16" t="s">
        <v>1017</v>
      </c>
      <c r="G193" s="15" t="s">
        <v>41</v>
      </c>
      <c r="H193" s="15" t="s">
        <v>1018</v>
      </c>
      <c r="I193" s="15" t="s">
        <v>1019</v>
      </c>
      <c r="J193" s="16" t="s">
        <v>78</v>
      </c>
      <c r="K193" s="16" t="s">
        <v>85</v>
      </c>
      <c r="L193" s="28"/>
      <c r="M193" s="28"/>
      <c r="N193" s="31" t="s">
        <v>70</v>
      </c>
      <c r="O193" s="18"/>
      <c r="P193" s="19"/>
      <c r="Q193" s="19"/>
      <c r="R193" s="19"/>
      <c r="S193" s="20"/>
      <c r="T193" s="21"/>
      <c r="U193" s="21"/>
      <c r="V193" s="21"/>
      <c r="W193" s="22"/>
      <c r="X193" s="23"/>
      <c r="Y193" s="23"/>
      <c r="Z193" s="23"/>
      <c r="AA193" s="24"/>
      <c r="AB193" s="25" t="str">
        <f aca="false">IF(Z193&lt;&gt;"",Z193,IF(V193&lt;&gt;"",V193,IF(R193&lt;&gt;"",R193,IF(N193&lt;&gt;"",N193,IF(J193&lt;&gt;"","BEKLİYOR","")))))</f>
        <v>DÜZELTME</v>
      </c>
    </row>
    <row r="194" customFormat="false" ht="27.75" hidden="false" customHeight="true" outlineLevel="0" collapsed="false">
      <c r="A194" s="26" t="s">
        <v>1020</v>
      </c>
      <c r="B194" s="26" t="s">
        <v>1021</v>
      </c>
      <c r="C194" s="27" t="s">
        <v>1022</v>
      </c>
      <c r="D194" s="27" t="s">
        <v>193</v>
      </c>
      <c r="E194" s="27" t="s">
        <v>1023</v>
      </c>
      <c r="F194" s="27" t="s">
        <v>1024</v>
      </c>
      <c r="G194" s="26" t="s">
        <v>41</v>
      </c>
      <c r="H194" s="26" t="s">
        <v>1018</v>
      </c>
      <c r="I194" s="26" t="s">
        <v>1019</v>
      </c>
      <c r="J194" s="27" t="s">
        <v>52</v>
      </c>
      <c r="K194" s="27" t="s">
        <v>68</v>
      </c>
      <c r="L194" s="28"/>
      <c r="M194" s="28"/>
      <c r="N194" s="17" t="s">
        <v>45</v>
      </c>
      <c r="O194" s="18"/>
      <c r="P194" s="19"/>
      <c r="Q194" s="19"/>
      <c r="R194" s="19"/>
      <c r="S194" s="20"/>
      <c r="T194" s="21"/>
      <c r="U194" s="21"/>
      <c r="V194" s="21"/>
      <c r="W194" s="22"/>
      <c r="X194" s="23"/>
      <c r="Y194" s="23"/>
      <c r="Z194" s="23"/>
      <c r="AA194" s="24"/>
      <c r="AB194" s="29" t="str">
        <f aca="false">IF(Z194&lt;&gt;"",Z194,IF(V194&lt;&gt;"",V194,IF(R194&lt;&gt;"",R194,IF(N194&lt;&gt;"",N194,IF(J194&lt;&gt;"","BEKLİYOR","")))))</f>
        <v>ONAY</v>
      </c>
    </row>
    <row r="195" customFormat="false" ht="42" hidden="false" customHeight="true" outlineLevel="0" collapsed="false">
      <c r="A195" s="15" t="s">
        <v>1025</v>
      </c>
      <c r="B195" s="15" t="s">
        <v>1026</v>
      </c>
      <c r="C195" s="16" t="s">
        <v>500</v>
      </c>
      <c r="D195" s="16" t="s">
        <v>338</v>
      </c>
      <c r="E195" s="16" t="s">
        <v>1027</v>
      </c>
      <c r="F195" s="16" t="s">
        <v>1028</v>
      </c>
      <c r="G195" s="15" t="s">
        <v>41</v>
      </c>
      <c r="H195" s="15" t="s">
        <v>1018</v>
      </c>
      <c r="I195" s="15" t="s">
        <v>1019</v>
      </c>
      <c r="J195" s="16" t="s">
        <v>43</v>
      </c>
      <c r="K195" s="16" t="s">
        <v>77</v>
      </c>
      <c r="L195" s="28"/>
      <c r="M195" s="28"/>
      <c r="N195" s="17" t="s">
        <v>45</v>
      </c>
      <c r="O195" s="18"/>
      <c r="P195" s="19"/>
      <c r="Q195" s="19"/>
      <c r="R195" s="19"/>
      <c r="S195" s="20"/>
      <c r="T195" s="21"/>
      <c r="U195" s="21"/>
      <c r="V195" s="21"/>
      <c r="W195" s="22"/>
      <c r="X195" s="23"/>
      <c r="Y195" s="23"/>
      <c r="Z195" s="23"/>
      <c r="AA195" s="24"/>
      <c r="AB195" s="25" t="str">
        <f aca="false">IF(Z195&lt;&gt;"",Z195,IF(V195&lt;&gt;"",V195,IF(R195&lt;&gt;"",R195,IF(N195&lt;&gt;"",N195,IF(J195&lt;&gt;"","BEKLİYOR","")))))</f>
        <v>ONAY</v>
      </c>
    </row>
    <row r="196" customFormat="false" ht="42" hidden="false" customHeight="true" outlineLevel="0" collapsed="false">
      <c r="A196" s="26" t="s">
        <v>1029</v>
      </c>
      <c r="B196" s="26" t="s">
        <v>1030</v>
      </c>
      <c r="C196" s="27" t="s">
        <v>1031</v>
      </c>
      <c r="D196" s="27" t="s">
        <v>1032</v>
      </c>
      <c r="E196" s="27" t="s">
        <v>1033</v>
      </c>
      <c r="F196" s="27" t="s">
        <v>1034</v>
      </c>
      <c r="G196" s="26" t="s">
        <v>41</v>
      </c>
      <c r="H196" s="26" t="s">
        <v>1018</v>
      </c>
      <c r="I196" s="26" t="s">
        <v>1019</v>
      </c>
      <c r="J196" s="27" t="s">
        <v>52</v>
      </c>
      <c r="K196" s="27" t="s">
        <v>78</v>
      </c>
      <c r="L196" s="28"/>
      <c r="M196" s="28"/>
      <c r="N196" s="17" t="s">
        <v>45</v>
      </c>
      <c r="O196" s="18"/>
      <c r="P196" s="19"/>
      <c r="Q196" s="19"/>
      <c r="R196" s="19"/>
      <c r="S196" s="20"/>
      <c r="T196" s="21"/>
      <c r="U196" s="21"/>
      <c r="V196" s="21"/>
      <c r="W196" s="22"/>
      <c r="X196" s="23"/>
      <c r="Y196" s="23"/>
      <c r="Z196" s="23"/>
      <c r="AA196" s="24"/>
      <c r="AB196" s="29" t="str">
        <f aca="false">IF(Z196&lt;&gt;"",Z196,IF(V196&lt;&gt;"",V196,IF(R196&lt;&gt;"",R196,IF(N196&lt;&gt;"",N196,IF(J196&lt;&gt;"","BEKLİYOR","")))))</f>
        <v>ONAY</v>
      </c>
    </row>
    <row r="197" customFormat="false" ht="27.75" hidden="false" customHeight="true" outlineLevel="0" collapsed="false">
      <c r="A197" s="15" t="s">
        <v>1035</v>
      </c>
      <c r="B197" s="15" t="s">
        <v>1036</v>
      </c>
      <c r="C197" s="16" t="s">
        <v>1037</v>
      </c>
      <c r="D197" s="16" t="s">
        <v>56</v>
      </c>
      <c r="E197" s="16" t="s">
        <v>1038</v>
      </c>
      <c r="F197" s="16" t="s">
        <v>1039</v>
      </c>
      <c r="G197" s="15" t="s">
        <v>41</v>
      </c>
      <c r="H197" s="15" t="s">
        <v>1018</v>
      </c>
      <c r="I197" s="15" t="s">
        <v>1019</v>
      </c>
      <c r="J197" s="16" t="s">
        <v>60</v>
      </c>
      <c r="K197" s="16" t="s">
        <v>69</v>
      </c>
      <c r="L197" s="28"/>
      <c r="M197" s="28"/>
      <c r="N197" s="17" t="s">
        <v>45</v>
      </c>
      <c r="O197" s="18"/>
      <c r="P197" s="19"/>
      <c r="Q197" s="19"/>
      <c r="R197" s="19"/>
      <c r="S197" s="20"/>
      <c r="T197" s="21"/>
      <c r="U197" s="21"/>
      <c r="V197" s="21"/>
      <c r="W197" s="22"/>
      <c r="X197" s="23"/>
      <c r="Y197" s="23"/>
      <c r="Z197" s="23"/>
      <c r="AA197" s="24"/>
      <c r="AB197" s="25" t="str">
        <f aca="false">IF(Z197&lt;&gt;"",Z197,IF(V197&lt;&gt;"",V197,IF(R197&lt;&gt;"",R197,IF(N197&lt;&gt;"",N197,IF(J197&lt;&gt;"","BEKLİYOR","")))))</f>
        <v>ONAY</v>
      </c>
    </row>
    <row r="198" customFormat="false" ht="42" hidden="false" customHeight="true" outlineLevel="0" collapsed="false">
      <c r="A198" s="26" t="s">
        <v>1040</v>
      </c>
      <c r="B198" s="26" t="s">
        <v>1041</v>
      </c>
      <c r="C198" s="27" t="s">
        <v>661</v>
      </c>
      <c r="D198" s="27" t="s">
        <v>242</v>
      </c>
      <c r="E198" s="27" t="s">
        <v>1042</v>
      </c>
      <c r="F198" s="27" t="s">
        <v>1043</v>
      </c>
      <c r="G198" s="26" t="s">
        <v>130</v>
      </c>
      <c r="H198" s="26" t="s">
        <v>1018</v>
      </c>
      <c r="I198" s="26" t="s">
        <v>1019</v>
      </c>
      <c r="J198" s="27" t="s">
        <v>44</v>
      </c>
      <c r="K198" s="27" t="s">
        <v>85</v>
      </c>
      <c r="L198" s="28"/>
      <c r="M198" s="28"/>
      <c r="N198" s="17" t="s">
        <v>45</v>
      </c>
      <c r="O198" s="18"/>
      <c r="P198" s="19"/>
      <c r="Q198" s="19"/>
      <c r="R198" s="19"/>
      <c r="S198" s="20"/>
      <c r="T198" s="21"/>
      <c r="U198" s="21"/>
      <c r="V198" s="21"/>
      <c r="W198" s="22"/>
      <c r="X198" s="23"/>
      <c r="Y198" s="23"/>
      <c r="Z198" s="23"/>
      <c r="AA198" s="24"/>
      <c r="AB198" s="29" t="str">
        <f aca="false">IF(Z198&lt;&gt;"",Z198,IF(V198&lt;&gt;"",V198,IF(R198&lt;&gt;"",R198,IF(N198&lt;&gt;"",N198,IF(J198&lt;&gt;"","BEKLİYOR","")))))</f>
        <v>ONAY</v>
      </c>
    </row>
    <row r="199" customFormat="false" ht="27.75" hidden="false" customHeight="true" outlineLevel="0" collapsed="false">
      <c r="A199" s="15" t="s">
        <v>1044</v>
      </c>
      <c r="B199" s="15" t="s">
        <v>1045</v>
      </c>
      <c r="C199" s="16" t="s">
        <v>1046</v>
      </c>
      <c r="D199" s="16" t="s">
        <v>82</v>
      </c>
      <c r="E199" s="16" t="s">
        <v>1047</v>
      </c>
      <c r="F199" s="16" t="s">
        <v>1048</v>
      </c>
      <c r="G199" s="15" t="s">
        <v>41</v>
      </c>
      <c r="H199" s="15" t="s">
        <v>1018</v>
      </c>
      <c r="I199" s="15" t="s">
        <v>1019</v>
      </c>
      <c r="J199" s="16" t="s">
        <v>59</v>
      </c>
      <c r="K199" s="16" t="s">
        <v>77</v>
      </c>
      <c r="L199" s="28"/>
      <c r="M199" s="28"/>
      <c r="N199" s="17" t="s">
        <v>45</v>
      </c>
      <c r="O199" s="18"/>
      <c r="P199" s="19"/>
      <c r="Q199" s="19"/>
      <c r="R199" s="19"/>
      <c r="S199" s="20"/>
      <c r="T199" s="21"/>
      <c r="U199" s="21"/>
      <c r="V199" s="21"/>
      <c r="W199" s="22"/>
      <c r="X199" s="23"/>
      <c r="Y199" s="23"/>
      <c r="Z199" s="23"/>
      <c r="AA199" s="24"/>
      <c r="AB199" s="25" t="str">
        <f aca="false">IF(Z199&lt;&gt;"",Z199,IF(V199&lt;&gt;"",V199,IF(R199&lt;&gt;"",R199,IF(N199&lt;&gt;"",N199,IF(J199&lt;&gt;"","BEKLİYOR","")))))</f>
        <v>ONAY</v>
      </c>
    </row>
    <row r="200" customFormat="false" ht="27.75" hidden="false" customHeight="true" outlineLevel="0" collapsed="false">
      <c r="A200" s="26" t="s">
        <v>1049</v>
      </c>
      <c r="B200" s="26" t="s">
        <v>1050</v>
      </c>
      <c r="C200" s="27" t="s">
        <v>1046</v>
      </c>
      <c r="D200" s="27" t="s">
        <v>82</v>
      </c>
      <c r="E200" s="27" t="s">
        <v>1047</v>
      </c>
      <c r="F200" s="27" t="s">
        <v>1051</v>
      </c>
      <c r="G200" s="26" t="s">
        <v>41</v>
      </c>
      <c r="H200" s="26" t="s">
        <v>1018</v>
      </c>
      <c r="I200" s="26" t="s">
        <v>1019</v>
      </c>
      <c r="J200" s="27" t="s">
        <v>59</v>
      </c>
      <c r="K200" s="27" t="s">
        <v>77</v>
      </c>
      <c r="L200" s="28"/>
      <c r="M200" s="28"/>
      <c r="N200" s="17" t="s">
        <v>45</v>
      </c>
      <c r="O200" s="18"/>
      <c r="P200" s="19"/>
      <c r="Q200" s="19"/>
      <c r="R200" s="19"/>
      <c r="S200" s="20"/>
      <c r="T200" s="21"/>
      <c r="U200" s="21"/>
      <c r="V200" s="21"/>
      <c r="W200" s="22"/>
      <c r="X200" s="23"/>
      <c r="Y200" s="23"/>
      <c r="Z200" s="23"/>
      <c r="AA200" s="24"/>
      <c r="AB200" s="29" t="str">
        <f aca="false">IF(Z200&lt;&gt;"",Z200,IF(V200&lt;&gt;"",V200,IF(R200&lt;&gt;"",R200,IF(N200&lt;&gt;"",N200,IF(J200&lt;&gt;"","BEKLİYOR","")))))</f>
        <v>ONAY</v>
      </c>
    </row>
    <row r="201" customFormat="false" ht="27.75" hidden="false" customHeight="true" outlineLevel="0" collapsed="false">
      <c r="A201" s="15" t="s">
        <v>1052</v>
      </c>
      <c r="B201" s="15" t="s">
        <v>1053</v>
      </c>
      <c r="C201" s="16" t="s">
        <v>1046</v>
      </c>
      <c r="D201" s="16" t="s">
        <v>82</v>
      </c>
      <c r="E201" s="16" t="s">
        <v>1047</v>
      </c>
      <c r="F201" s="16" t="s">
        <v>1054</v>
      </c>
      <c r="G201" s="15" t="s">
        <v>41</v>
      </c>
      <c r="H201" s="15" t="s">
        <v>1018</v>
      </c>
      <c r="I201" s="15" t="s">
        <v>1019</v>
      </c>
      <c r="J201" s="16" t="s">
        <v>59</v>
      </c>
      <c r="K201" s="16" t="s">
        <v>77</v>
      </c>
      <c r="L201" s="28"/>
      <c r="M201" s="28"/>
      <c r="N201" s="17" t="s">
        <v>45</v>
      </c>
      <c r="O201" s="18"/>
      <c r="P201" s="19"/>
      <c r="Q201" s="19"/>
      <c r="R201" s="19"/>
      <c r="S201" s="20"/>
      <c r="T201" s="21"/>
      <c r="U201" s="21"/>
      <c r="V201" s="21"/>
      <c r="W201" s="22"/>
      <c r="X201" s="23"/>
      <c r="Y201" s="23"/>
      <c r="Z201" s="23"/>
      <c r="AA201" s="24"/>
      <c r="AB201" s="25" t="str">
        <f aca="false">IF(Z201&lt;&gt;"",Z201,IF(V201&lt;&gt;"",V201,IF(R201&lt;&gt;"",R201,IF(N201&lt;&gt;"",N201,IF(J201&lt;&gt;"","BEKLİYOR","")))))</f>
        <v>ONAY</v>
      </c>
    </row>
    <row r="202" customFormat="false" ht="42" hidden="false" customHeight="true" outlineLevel="0" collapsed="false">
      <c r="A202" s="26" t="s">
        <v>1055</v>
      </c>
      <c r="B202" s="26" t="s">
        <v>1056</v>
      </c>
      <c r="C202" s="27" t="s">
        <v>1057</v>
      </c>
      <c r="D202" s="27" t="s">
        <v>463</v>
      </c>
      <c r="E202" s="27" t="s">
        <v>1058</v>
      </c>
      <c r="F202" s="27" t="s">
        <v>1059</v>
      </c>
      <c r="G202" s="26" t="s">
        <v>41</v>
      </c>
      <c r="H202" s="26" t="s">
        <v>1018</v>
      </c>
      <c r="I202" s="26" t="s">
        <v>1019</v>
      </c>
      <c r="J202" s="27" t="s">
        <v>93</v>
      </c>
      <c r="K202" s="27" t="s">
        <v>60</v>
      </c>
      <c r="L202" s="28"/>
      <c r="M202" s="28"/>
      <c r="N202" s="17" t="s">
        <v>45</v>
      </c>
      <c r="O202" s="18"/>
      <c r="P202" s="19"/>
      <c r="Q202" s="19"/>
      <c r="R202" s="19"/>
      <c r="S202" s="20"/>
      <c r="T202" s="21"/>
      <c r="U202" s="21"/>
      <c r="V202" s="21"/>
      <c r="W202" s="22"/>
      <c r="X202" s="23"/>
      <c r="Y202" s="23"/>
      <c r="Z202" s="23"/>
      <c r="AA202" s="24"/>
      <c r="AB202" s="29" t="str">
        <f aca="false">IF(Z202&lt;&gt;"",Z202,IF(V202&lt;&gt;"",V202,IF(R202&lt;&gt;"",R202,IF(N202&lt;&gt;"",N202,IF(J202&lt;&gt;"","BEKLİYOR","")))))</f>
        <v>ONAY</v>
      </c>
    </row>
    <row r="203" customFormat="false" ht="27.75" hidden="false" customHeight="true" outlineLevel="0" collapsed="false">
      <c r="A203" s="15" t="s">
        <v>1060</v>
      </c>
      <c r="B203" s="15" t="s">
        <v>1061</v>
      </c>
      <c r="C203" s="16" t="s">
        <v>81</v>
      </c>
      <c r="D203" s="16" t="s">
        <v>82</v>
      </c>
      <c r="E203" s="16" t="s">
        <v>1062</v>
      </c>
      <c r="F203" s="16" t="s">
        <v>1063</v>
      </c>
      <c r="G203" s="15" t="s">
        <v>41</v>
      </c>
      <c r="H203" s="15" t="s">
        <v>1018</v>
      </c>
      <c r="I203" s="15" t="s">
        <v>1019</v>
      </c>
      <c r="J203" s="16" t="s">
        <v>44</v>
      </c>
      <c r="K203" s="16" t="s">
        <v>52</v>
      </c>
      <c r="L203" s="28"/>
      <c r="M203" s="28"/>
      <c r="N203" s="28"/>
      <c r="O203" s="18"/>
      <c r="P203" s="19"/>
      <c r="Q203" s="19"/>
      <c r="R203" s="19"/>
      <c r="S203" s="20"/>
      <c r="T203" s="21"/>
      <c r="U203" s="21"/>
      <c r="V203" s="21"/>
      <c r="W203" s="22"/>
      <c r="X203" s="23"/>
      <c r="Y203" s="23"/>
      <c r="Z203" s="23"/>
      <c r="AA203" s="24"/>
      <c r="AB203" s="25" t="str">
        <f aca="false">IF(Z203&lt;&gt;"",Z203,IF(V203&lt;&gt;"",V203,IF(R203&lt;&gt;"",R203,IF(N203&lt;&gt;"",N203,IF(J203&lt;&gt;"","BEKLİYOR","")))))</f>
        <v>BEKLİYOR</v>
      </c>
    </row>
    <row r="204" customFormat="false" ht="42" hidden="false" customHeight="true" outlineLevel="0" collapsed="false">
      <c r="A204" s="26" t="s">
        <v>1064</v>
      </c>
      <c r="B204" s="26" t="s">
        <v>1065</v>
      </c>
      <c r="C204" s="27" t="s">
        <v>1066</v>
      </c>
      <c r="D204" s="27" t="s">
        <v>1067</v>
      </c>
      <c r="E204" s="27" t="s">
        <v>1068</v>
      </c>
      <c r="F204" s="27" t="s">
        <v>1069</v>
      </c>
      <c r="G204" s="26" t="s">
        <v>41</v>
      </c>
      <c r="H204" s="26" t="s">
        <v>1070</v>
      </c>
      <c r="I204" s="26" t="s">
        <v>1019</v>
      </c>
      <c r="J204" s="27" t="s">
        <v>43</v>
      </c>
      <c r="K204" s="27" t="s">
        <v>68</v>
      </c>
      <c r="L204" s="28"/>
      <c r="M204" s="28"/>
      <c r="N204" s="17" t="s">
        <v>45</v>
      </c>
      <c r="O204" s="18"/>
      <c r="P204" s="19"/>
      <c r="Q204" s="19"/>
      <c r="R204" s="19"/>
      <c r="S204" s="20"/>
      <c r="T204" s="21"/>
      <c r="U204" s="21"/>
      <c r="V204" s="21"/>
      <c r="W204" s="22"/>
      <c r="X204" s="23"/>
      <c r="Y204" s="23"/>
      <c r="Z204" s="23"/>
      <c r="AA204" s="24"/>
      <c r="AB204" s="29" t="str">
        <f aca="false">IF(Z204&lt;&gt;"",Z204,IF(V204&lt;&gt;"",V204,IF(R204&lt;&gt;"",R204,IF(N204&lt;&gt;"",N204,IF(J204&lt;&gt;"","BEKLİYOR","")))))</f>
        <v>ONAY</v>
      </c>
    </row>
    <row r="205" customFormat="false" ht="42" hidden="false" customHeight="true" outlineLevel="0" collapsed="false">
      <c r="A205" s="15" t="s">
        <v>1071</v>
      </c>
      <c r="B205" s="15" t="s">
        <v>1072</v>
      </c>
      <c r="C205" s="16" t="s">
        <v>1073</v>
      </c>
      <c r="D205" s="16" t="s">
        <v>186</v>
      </c>
      <c r="E205" s="16" t="s">
        <v>1074</v>
      </c>
      <c r="F205" s="16" t="s">
        <v>1075</v>
      </c>
      <c r="G205" s="15" t="s">
        <v>41</v>
      </c>
      <c r="H205" s="15" t="s">
        <v>1070</v>
      </c>
      <c r="I205" s="15" t="s">
        <v>1019</v>
      </c>
      <c r="J205" s="16" t="s">
        <v>93</v>
      </c>
      <c r="K205" s="16" t="s">
        <v>69</v>
      </c>
      <c r="L205" s="28"/>
      <c r="M205" s="28"/>
      <c r="N205" s="17" t="s">
        <v>45</v>
      </c>
      <c r="O205" s="18"/>
      <c r="P205" s="19"/>
      <c r="Q205" s="19"/>
      <c r="R205" s="19"/>
      <c r="S205" s="20"/>
      <c r="T205" s="21"/>
      <c r="U205" s="21"/>
      <c r="V205" s="21"/>
      <c r="W205" s="22"/>
      <c r="X205" s="23"/>
      <c r="Y205" s="23"/>
      <c r="Z205" s="23"/>
      <c r="AA205" s="24"/>
      <c r="AB205" s="25" t="str">
        <f aca="false">IF(Z205&lt;&gt;"",Z205,IF(V205&lt;&gt;"",V205,IF(R205&lt;&gt;"",R205,IF(N205&lt;&gt;"",N205,IF(J205&lt;&gt;"","BEKLİYOR","")))))</f>
        <v>ONAY</v>
      </c>
    </row>
    <row r="206" customFormat="false" ht="42" hidden="false" customHeight="true" outlineLevel="0" collapsed="false">
      <c r="A206" s="26" t="s">
        <v>1076</v>
      </c>
      <c r="B206" s="26" t="s">
        <v>1077</v>
      </c>
      <c r="C206" s="27" t="s">
        <v>926</v>
      </c>
      <c r="D206" s="27" t="s">
        <v>313</v>
      </c>
      <c r="E206" s="27" t="s">
        <v>1078</v>
      </c>
      <c r="F206" s="27" t="s">
        <v>1079</v>
      </c>
      <c r="G206" s="26" t="s">
        <v>41</v>
      </c>
      <c r="H206" s="26" t="s">
        <v>1070</v>
      </c>
      <c r="I206" s="26" t="s">
        <v>1019</v>
      </c>
      <c r="J206" s="27" t="s">
        <v>85</v>
      </c>
      <c r="K206" s="27" t="s">
        <v>78</v>
      </c>
      <c r="L206" s="28"/>
      <c r="M206" s="28"/>
      <c r="N206" s="17" t="s">
        <v>45</v>
      </c>
      <c r="O206" s="18"/>
      <c r="P206" s="19"/>
      <c r="Q206" s="19"/>
      <c r="R206" s="19"/>
      <c r="S206" s="20"/>
      <c r="T206" s="21"/>
      <c r="U206" s="21"/>
      <c r="V206" s="21"/>
      <c r="W206" s="22"/>
      <c r="X206" s="23"/>
      <c r="Y206" s="23"/>
      <c r="Z206" s="23"/>
      <c r="AA206" s="24"/>
      <c r="AB206" s="29" t="str">
        <f aca="false">IF(Z206&lt;&gt;"",Z206,IF(V206&lt;&gt;"",V206,IF(R206&lt;&gt;"",R206,IF(N206&lt;&gt;"",N206,IF(J206&lt;&gt;"","BEKLİYOR","")))))</f>
        <v>ONAY</v>
      </c>
    </row>
    <row r="207" customFormat="false" ht="42" hidden="false" customHeight="true" outlineLevel="0" collapsed="false">
      <c r="A207" s="15" t="s">
        <v>1080</v>
      </c>
      <c r="B207" s="15" t="s">
        <v>1081</v>
      </c>
      <c r="C207" s="16" t="s">
        <v>1082</v>
      </c>
      <c r="D207" s="16" t="s">
        <v>252</v>
      </c>
      <c r="E207" s="16" t="s">
        <v>1083</v>
      </c>
      <c r="F207" s="16" t="s">
        <v>1084</v>
      </c>
      <c r="G207" s="15" t="s">
        <v>41</v>
      </c>
      <c r="H207" s="15" t="s">
        <v>1070</v>
      </c>
      <c r="I207" s="15" t="s">
        <v>1019</v>
      </c>
      <c r="J207" s="16" t="s">
        <v>59</v>
      </c>
      <c r="K207" s="16" t="s">
        <v>43</v>
      </c>
      <c r="L207" s="28"/>
      <c r="M207" s="28"/>
      <c r="N207" s="17" t="s">
        <v>45</v>
      </c>
      <c r="O207" s="18"/>
      <c r="P207" s="19"/>
      <c r="Q207" s="19"/>
      <c r="R207" s="19"/>
      <c r="S207" s="20"/>
      <c r="T207" s="21"/>
      <c r="U207" s="21"/>
      <c r="V207" s="21"/>
      <c r="W207" s="22"/>
      <c r="X207" s="23"/>
      <c r="Y207" s="23"/>
      <c r="Z207" s="23"/>
      <c r="AA207" s="24"/>
      <c r="AB207" s="25" t="str">
        <f aca="false">IF(Z207&lt;&gt;"",Z207,IF(V207&lt;&gt;"",V207,IF(R207&lt;&gt;"",R207,IF(N207&lt;&gt;"",N207,IF(J207&lt;&gt;"","BEKLİYOR","")))))</f>
        <v>ONAY</v>
      </c>
    </row>
    <row r="208" customFormat="false" ht="42" hidden="false" customHeight="true" outlineLevel="0" collapsed="false">
      <c r="A208" s="26" t="s">
        <v>1085</v>
      </c>
      <c r="B208" s="26" t="s">
        <v>1086</v>
      </c>
      <c r="C208" s="27" t="s">
        <v>1087</v>
      </c>
      <c r="D208" s="27" t="s">
        <v>174</v>
      </c>
      <c r="E208" s="27" t="s">
        <v>1088</v>
      </c>
      <c r="F208" s="27" t="s">
        <v>1089</v>
      </c>
      <c r="G208" s="26" t="s">
        <v>67</v>
      </c>
      <c r="H208" s="26" t="s">
        <v>1070</v>
      </c>
      <c r="I208" s="26" t="s">
        <v>1019</v>
      </c>
      <c r="J208" s="27" t="s">
        <v>60</v>
      </c>
      <c r="K208" s="27" t="s">
        <v>68</v>
      </c>
      <c r="L208" s="28"/>
      <c r="M208" s="28"/>
      <c r="N208" s="17" t="s">
        <v>45</v>
      </c>
      <c r="O208" s="18"/>
      <c r="P208" s="19"/>
      <c r="Q208" s="19"/>
      <c r="R208" s="19"/>
      <c r="S208" s="20"/>
      <c r="T208" s="21"/>
      <c r="U208" s="21"/>
      <c r="V208" s="21"/>
      <c r="W208" s="22"/>
      <c r="X208" s="23"/>
      <c r="Y208" s="23"/>
      <c r="Z208" s="23"/>
      <c r="AA208" s="24"/>
      <c r="AB208" s="29" t="str">
        <f aca="false">IF(Z208&lt;&gt;"",Z208,IF(V208&lt;&gt;"",V208,IF(R208&lt;&gt;"",R208,IF(N208&lt;&gt;"",N208,IF(J208&lt;&gt;"","BEKLİYOR","")))))</f>
        <v>ONAY</v>
      </c>
    </row>
    <row r="209" customFormat="false" ht="27.75" hidden="false" customHeight="true" outlineLevel="0" collapsed="false">
      <c r="A209" s="15" t="s">
        <v>1090</v>
      </c>
      <c r="B209" s="15" t="s">
        <v>1091</v>
      </c>
      <c r="C209" s="16" t="s">
        <v>1092</v>
      </c>
      <c r="D209" s="16" t="s">
        <v>56</v>
      </c>
      <c r="E209" s="16" t="s">
        <v>1093</v>
      </c>
      <c r="F209" s="16" t="s">
        <v>1094</v>
      </c>
      <c r="G209" s="15" t="s">
        <v>41</v>
      </c>
      <c r="H209" s="15" t="s">
        <v>1095</v>
      </c>
      <c r="I209" s="15" t="s">
        <v>1019</v>
      </c>
      <c r="J209" s="16" t="s">
        <v>43</v>
      </c>
      <c r="K209" s="16" t="s">
        <v>60</v>
      </c>
      <c r="L209" s="28"/>
      <c r="M209" s="28"/>
      <c r="N209" s="31" t="s">
        <v>70</v>
      </c>
      <c r="O209" s="18"/>
      <c r="P209" s="19"/>
      <c r="Q209" s="19"/>
      <c r="R209" s="19"/>
      <c r="S209" s="20"/>
      <c r="T209" s="21"/>
      <c r="U209" s="21"/>
      <c r="V209" s="21"/>
      <c r="W209" s="22"/>
      <c r="X209" s="23"/>
      <c r="Y209" s="23"/>
      <c r="Z209" s="23"/>
      <c r="AA209" s="24"/>
      <c r="AB209" s="25" t="str">
        <f aca="false">IF(Z209&lt;&gt;"",Z209,IF(V209&lt;&gt;"",V209,IF(R209&lt;&gt;"",R209,IF(N209&lt;&gt;"",N209,IF(J209&lt;&gt;"","BEKLİYOR","")))))</f>
        <v>DÜZELTME</v>
      </c>
    </row>
    <row r="210" customFormat="false" ht="42" hidden="false" customHeight="true" outlineLevel="0" collapsed="false">
      <c r="A210" s="26" t="s">
        <v>1096</v>
      </c>
      <c r="B210" s="26" t="s">
        <v>1097</v>
      </c>
      <c r="C210" s="27" t="s">
        <v>613</v>
      </c>
      <c r="D210" s="27" t="s">
        <v>199</v>
      </c>
      <c r="E210" s="27" t="s">
        <v>1098</v>
      </c>
      <c r="F210" s="27" t="s">
        <v>1099</v>
      </c>
      <c r="G210" s="26" t="s">
        <v>92</v>
      </c>
      <c r="H210" s="26" t="s">
        <v>1095</v>
      </c>
      <c r="I210" s="26" t="s">
        <v>1019</v>
      </c>
      <c r="J210" s="27" t="s">
        <v>69</v>
      </c>
      <c r="K210" s="27" t="s">
        <v>44</v>
      </c>
      <c r="L210" s="28"/>
      <c r="M210" s="28"/>
      <c r="N210" s="31" t="s">
        <v>70</v>
      </c>
      <c r="O210" s="18"/>
      <c r="P210" s="19"/>
      <c r="Q210" s="19"/>
      <c r="R210" s="19"/>
      <c r="S210" s="20"/>
      <c r="T210" s="21"/>
      <c r="U210" s="21"/>
      <c r="V210" s="21"/>
      <c r="W210" s="22"/>
      <c r="X210" s="23"/>
      <c r="Y210" s="23"/>
      <c r="Z210" s="23"/>
      <c r="AA210" s="24"/>
      <c r="AB210" s="29" t="str">
        <f aca="false">IF(Z210&lt;&gt;"",Z210,IF(V210&lt;&gt;"",V210,IF(R210&lt;&gt;"",R210,IF(N210&lt;&gt;"",N210,IF(J210&lt;&gt;"","BEKLİYOR","")))))</f>
        <v>DÜZELTME</v>
      </c>
    </row>
    <row r="211" customFormat="false" ht="27.75" hidden="false" customHeight="true" outlineLevel="0" collapsed="false">
      <c r="A211" s="15" t="s">
        <v>1100</v>
      </c>
      <c r="B211" s="15" t="s">
        <v>1101</v>
      </c>
      <c r="C211" s="16" t="s">
        <v>1102</v>
      </c>
      <c r="D211" s="16" t="s">
        <v>956</v>
      </c>
      <c r="E211" s="16" t="s">
        <v>1103</v>
      </c>
      <c r="F211" s="16" t="s">
        <v>1104</v>
      </c>
      <c r="G211" s="15" t="s">
        <v>41</v>
      </c>
      <c r="H211" s="15" t="s">
        <v>1095</v>
      </c>
      <c r="I211" s="15" t="s">
        <v>1019</v>
      </c>
      <c r="J211" s="16" t="s">
        <v>52</v>
      </c>
      <c r="K211" s="16" t="s">
        <v>93</v>
      </c>
      <c r="L211" s="28"/>
      <c r="M211" s="28"/>
      <c r="N211" s="31" t="s">
        <v>70</v>
      </c>
      <c r="O211" s="18"/>
      <c r="P211" s="19"/>
      <c r="Q211" s="19"/>
      <c r="R211" s="19"/>
      <c r="S211" s="20"/>
      <c r="T211" s="21"/>
      <c r="U211" s="21"/>
      <c r="V211" s="21"/>
      <c r="W211" s="22"/>
      <c r="X211" s="23"/>
      <c r="Y211" s="23"/>
      <c r="Z211" s="23"/>
      <c r="AA211" s="24"/>
      <c r="AB211" s="25" t="str">
        <f aca="false">IF(Z211&lt;&gt;"",Z211,IF(V211&lt;&gt;"",V211,IF(R211&lt;&gt;"",R211,IF(N211&lt;&gt;"",N211,IF(J211&lt;&gt;"","BEKLİYOR","")))))</f>
        <v>DÜZELTME</v>
      </c>
    </row>
    <row r="212" customFormat="false" ht="27.75" hidden="false" customHeight="true" outlineLevel="0" collapsed="false">
      <c r="A212" s="26" t="s">
        <v>1105</v>
      </c>
      <c r="B212" s="26" t="s">
        <v>1106</v>
      </c>
      <c r="C212" s="27" t="s">
        <v>1082</v>
      </c>
      <c r="D212" s="27" t="s">
        <v>252</v>
      </c>
      <c r="E212" s="27" t="s">
        <v>1107</v>
      </c>
      <c r="F212" s="27" t="s">
        <v>1108</v>
      </c>
      <c r="G212" s="26" t="s">
        <v>92</v>
      </c>
      <c r="H212" s="26" t="s">
        <v>1095</v>
      </c>
      <c r="I212" s="26" t="s">
        <v>1019</v>
      </c>
      <c r="J212" s="27" t="s">
        <v>59</v>
      </c>
      <c r="K212" s="27" t="s">
        <v>43</v>
      </c>
      <c r="L212" s="28"/>
      <c r="M212" s="28"/>
      <c r="N212" s="33" t="s">
        <v>143</v>
      </c>
      <c r="O212" s="18"/>
      <c r="P212" s="19"/>
      <c r="Q212" s="19"/>
      <c r="R212" s="19"/>
      <c r="S212" s="20"/>
      <c r="T212" s="21"/>
      <c r="U212" s="21"/>
      <c r="V212" s="21"/>
      <c r="W212" s="22"/>
      <c r="X212" s="23"/>
      <c r="Y212" s="23"/>
      <c r="Z212" s="23"/>
      <c r="AA212" s="24"/>
      <c r="AB212" s="29" t="str">
        <f aca="false">IF(Z212&lt;&gt;"",Z212,IF(V212&lt;&gt;"",V212,IF(R212&lt;&gt;"",R212,IF(N212&lt;&gt;"",N212,IF(J212&lt;&gt;"","BEKLİYOR","")))))</f>
        <v>RET</v>
      </c>
    </row>
    <row r="213" customFormat="false" ht="42" hidden="false" customHeight="true" outlineLevel="0" collapsed="false">
      <c r="A213" s="15" t="s">
        <v>1109</v>
      </c>
      <c r="B213" s="15" t="s">
        <v>1110</v>
      </c>
      <c r="C213" s="16" t="s">
        <v>1111</v>
      </c>
      <c r="D213" s="16" t="s">
        <v>359</v>
      </c>
      <c r="E213" s="16" t="s">
        <v>1112</v>
      </c>
      <c r="F213" s="16" t="s">
        <v>1113</v>
      </c>
      <c r="G213" s="15" t="s">
        <v>41</v>
      </c>
      <c r="H213" s="15" t="s">
        <v>1095</v>
      </c>
      <c r="I213" s="15" t="s">
        <v>1019</v>
      </c>
      <c r="J213" s="16" t="s">
        <v>44</v>
      </c>
      <c r="K213" s="16" t="s">
        <v>77</v>
      </c>
      <c r="L213" s="28"/>
      <c r="M213" s="28"/>
      <c r="N213" s="17" t="s">
        <v>45</v>
      </c>
      <c r="O213" s="18"/>
      <c r="P213" s="19"/>
      <c r="Q213" s="19"/>
      <c r="R213" s="19"/>
      <c r="S213" s="20"/>
      <c r="T213" s="21"/>
      <c r="U213" s="21"/>
      <c r="V213" s="21"/>
      <c r="W213" s="22"/>
      <c r="X213" s="23"/>
      <c r="Y213" s="23"/>
      <c r="Z213" s="23"/>
      <c r="AA213" s="24"/>
      <c r="AB213" s="25" t="str">
        <f aca="false">IF(Z213&lt;&gt;"",Z213,IF(V213&lt;&gt;"",V213,IF(R213&lt;&gt;"",R213,IF(N213&lt;&gt;"",N213,IF(J213&lt;&gt;"","BEKLİYOR","")))))</f>
        <v>ONAY</v>
      </c>
    </row>
    <row r="214" customFormat="false" ht="27.75" hidden="false" customHeight="true" outlineLevel="0" collapsed="false">
      <c r="A214" s="26" t="s">
        <v>1114</v>
      </c>
      <c r="B214" s="26" t="s">
        <v>1115</v>
      </c>
      <c r="C214" s="27" t="s">
        <v>1111</v>
      </c>
      <c r="D214" s="27" t="s">
        <v>359</v>
      </c>
      <c r="E214" s="27" t="s">
        <v>1116</v>
      </c>
      <c r="F214" s="27" t="s">
        <v>1117</v>
      </c>
      <c r="G214" s="26" t="s">
        <v>41</v>
      </c>
      <c r="H214" s="26" t="s">
        <v>1095</v>
      </c>
      <c r="I214" s="26" t="s">
        <v>1019</v>
      </c>
      <c r="J214" s="27" t="s">
        <v>44</v>
      </c>
      <c r="K214" s="27" t="s">
        <v>77</v>
      </c>
      <c r="L214" s="28"/>
      <c r="M214" s="28"/>
      <c r="N214" s="17" t="s">
        <v>45</v>
      </c>
      <c r="O214" s="18"/>
      <c r="P214" s="19"/>
      <c r="Q214" s="19"/>
      <c r="R214" s="19"/>
      <c r="S214" s="20"/>
      <c r="T214" s="21"/>
      <c r="U214" s="21"/>
      <c r="V214" s="21"/>
      <c r="W214" s="22"/>
      <c r="X214" s="23"/>
      <c r="Y214" s="23"/>
      <c r="Z214" s="23"/>
      <c r="AA214" s="24"/>
      <c r="AB214" s="29" t="str">
        <f aca="false">IF(Z214&lt;&gt;"",Z214,IF(V214&lt;&gt;"",V214,IF(R214&lt;&gt;"",R214,IF(N214&lt;&gt;"",N214,IF(J214&lt;&gt;"","BEKLİYOR","")))))</f>
        <v>ONAY</v>
      </c>
    </row>
    <row r="215" customFormat="false" ht="55.5" hidden="false" customHeight="true" outlineLevel="0" collapsed="false">
      <c r="A215" s="15" t="s">
        <v>1118</v>
      </c>
      <c r="B215" s="15" t="s">
        <v>1119</v>
      </c>
      <c r="C215" s="16" t="s">
        <v>1120</v>
      </c>
      <c r="D215" s="16" t="s">
        <v>269</v>
      </c>
      <c r="E215" s="16" t="s">
        <v>1121</v>
      </c>
      <c r="F215" s="16" t="s">
        <v>1122</v>
      </c>
      <c r="G215" s="15" t="s">
        <v>41</v>
      </c>
      <c r="H215" s="15" t="s">
        <v>1095</v>
      </c>
      <c r="I215" s="15" t="s">
        <v>1019</v>
      </c>
      <c r="J215" s="16" t="s">
        <v>93</v>
      </c>
      <c r="K215" s="16" t="s">
        <v>52</v>
      </c>
      <c r="L215" s="28"/>
      <c r="M215" s="28"/>
      <c r="N215" s="31" t="s">
        <v>70</v>
      </c>
      <c r="O215" s="18"/>
      <c r="P215" s="19"/>
      <c r="Q215" s="19"/>
      <c r="R215" s="19"/>
      <c r="S215" s="20"/>
      <c r="T215" s="21"/>
      <c r="U215" s="21"/>
      <c r="V215" s="21"/>
      <c r="W215" s="22"/>
      <c r="X215" s="23"/>
      <c r="Y215" s="23"/>
      <c r="Z215" s="23"/>
      <c r="AA215" s="24"/>
      <c r="AB215" s="25" t="str">
        <f aca="false">IF(Z215&lt;&gt;"",Z215,IF(V215&lt;&gt;"",V215,IF(R215&lt;&gt;"",R215,IF(N215&lt;&gt;"",N215,IF(J215&lt;&gt;"","BEKLİYOR","")))))</f>
        <v>DÜZELTME</v>
      </c>
    </row>
    <row r="216" customFormat="false" ht="27.75" hidden="false" customHeight="true" outlineLevel="0" collapsed="false">
      <c r="A216" s="26" t="s">
        <v>1123</v>
      </c>
      <c r="B216" s="26" t="s">
        <v>1124</v>
      </c>
      <c r="C216" s="27" t="s">
        <v>1125</v>
      </c>
      <c r="D216" s="27" t="s">
        <v>193</v>
      </c>
      <c r="E216" s="27" t="s">
        <v>1126</v>
      </c>
      <c r="F216" s="27" t="s">
        <v>1127</v>
      </c>
      <c r="G216" s="26" t="s">
        <v>41</v>
      </c>
      <c r="H216" s="26" t="s">
        <v>1095</v>
      </c>
      <c r="I216" s="26" t="s">
        <v>1019</v>
      </c>
      <c r="J216" s="27" t="s">
        <v>93</v>
      </c>
      <c r="K216" s="27" t="s">
        <v>78</v>
      </c>
      <c r="L216" s="28"/>
      <c r="M216" s="28"/>
      <c r="N216" s="17" t="s">
        <v>45</v>
      </c>
      <c r="O216" s="18"/>
      <c r="P216" s="19"/>
      <c r="Q216" s="19"/>
      <c r="R216" s="19"/>
      <c r="S216" s="20"/>
      <c r="T216" s="21"/>
      <c r="U216" s="21"/>
      <c r="V216" s="21"/>
      <c r="W216" s="22"/>
      <c r="X216" s="23"/>
      <c r="Y216" s="23"/>
      <c r="Z216" s="23"/>
      <c r="AA216" s="24"/>
      <c r="AB216" s="29" t="str">
        <f aca="false">IF(Z216&lt;&gt;"",Z216,IF(V216&lt;&gt;"",V216,IF(R216&lt;&gt;"",R216,IF(N216&lt;&gt;"",N216,IF(J216&lt;&gt;"","BEKLİYOR","")))))</f>
        <v>ONAY</v>
      </c>
    </row>
    <row r="217" customFormat="false" ht="27.75" hidden="false" customHeight="true" outlineLevel="0" collapsed="false">
      <c r="A217" s="15" t="s">
        <v>1128</v>
      </c>
      <c r="B217" s="15" t="s">
        <v>1129</v>
      </c>
      <c r="C217" s="16" t="s">
        <v>358</v>
      </c>
      <c r="D217" s="16" t="s">
        <v>359</v>
      </c>
      <c r="E217" s="16" t="s">
        <v>1130</v>
      </c>
      <c r="F217" s="16" t="s">
        <v>1131</v>
      </c>
      <c r="G217" s="15" t="s">
        <v>41</v>
      </c>
      <c r="H217" s="15" t="s">
        <v>1132</v>
      </c>
      <c r="I217" s="15" t="s">
        <v>1019</v>
      </c>
      <c r="J217" s="16" t="s">
        <v>68</v>
      </c>
      <c r="K217" s="16" t="s">
        <v>78</v>
      </c>
      <c r="L217" s="28"/>
      <c r="M217" s="28"/>
      <c r="N217" s="17" t="s">
        <v>45</v>
      </c>
      <c r="O217" s="18"/>
      <c r="P217" s="19"/>
      <c r="Q217" s="19"/>
      <c r="R217" s="19"/>
      <c r="S217" s="20"/>
      <c r="T217" s="21"/>
      <c r="U217" s="21"/>
      <c r="V217" s="21"/>
      <c r="W217" s="22"/>
      <c r="X217" s="23"/>
      <c r="Y217" s="23"/>
      <c r="Z217" s="23"/>
      <c r="AA217" s="24"/>
      <c r="AB217" s="25" t="str">
        <f aca="false">IF(Z217&lt;&gt;"",Z217,IF(V217&lt;&gt;"",V217,IF(R217&lt;&gt;"",R217,IF(N217&lt;&gt;"",N217,IF(J217&lt;&gt;"","BEKLİYOR","")))))</f>
        <v>ONAY</v>
      </c>
    </row>
    <row r="218" customFormat="false" ht="27.75" hidden="false" customHeight="true" outlineLevel="0" collapsed="false">
      <c r="A218" s="26" t="s">
        <v>1133</v>
      </c>
      <c r="B218" s="26" t="s">
        <v>1134</v>
      </c>
      <c r="C218" s="27" t="s">
        <v>343</v>
      </c>
      <c r="D218" s="27" t="s">
        <v>313</v>
      </c>
      <c r="E218" s="27" t="s">
        <v>1135</v>
      </c>
      <c r="F218" s="27" t="s">
        <v>1136</v>
      </c>
      <c r="G218" s="26" t="s">
        <v>41</v>
      </c>
      <c r="H218" s="26" t="s">
        <v>1132</v>
      </c>
      <c r="I218" s="26" t="s">
        <v>1019</v>
      </c>
      <c r="J218" s="27" t="s">
        <v>59</v>
      </c>
      <c r="K218" s="27" t="s">
        <v>69</v>
      </c>
      <c r="L218" s="28"/>
      <c r="M218" s="28"/>
      <c r="N218" s="17" t="s">
        <v>45</v>
      </c>
      <c r="O218" s="18"/>
      <c r="P218" s="19"/>
      <c r="Q218" s="19"/>
      <c r="R218" s="19"/>
      <c r="S218" s="20"/>
      <c r="T218" s="21"/>
      <c r="U218" s="21"/>
      <c r="V218" s="21"/>
      <c r="W218" s="22"/>
      <c r="X218" s="23"/>
      <c r="Y218" s="23"/>
      <c r="Z218" s="23"/>
      <c r="AA218" s="24"/>
      <c r="AB218" s="29" t="str">
        <f aca="false">IF(Z218&lt;&gt;"",Z218,IF(V218&lt;&gt;"",V218,IF(R218&lt;&gt;"",R218,IF(N218&lt;&gt;"",N218,IF(J218&lt;&gt;"","BEKLİYOR","")))))</f>
        <v>ONAY</v>
      </c>
    </row>
    <row r="219" customFormat="false" ht="42" hidden="false" customHeight="true" outlineLevel="0" collapsed="false">
      <c r="A219" s="15" t="s">
        <v>1137</v>
      </c>
      <c r="B219" s="15" t="s">
        <v>1138</v>
      </c>
      <c r="C219" s="16" t="s">
        <v>1139</v>
      </c>
      <c r="D219" s="16" t="s">
        <v>1140</v>
      </c>
      <c r="E219" s="16" t="s">
        <v>1141</v>
      </c>
      <c r="F219" s="16" t="s">
        <v>1142</v>
      </c>
      <c r="G219" s="15" t="s">
        <v>92</v>
      </c>
      <c r="H219" s="15" t="s">
        <v>1132</v>
      </c>
      <c r="I219" s="15" t="s">
        <v>1019</v>
      </c>
      <c r="J219" s="16" t="s">
        <v>85</v>
      </c>
      <c r="K219" s="16" t="s">
        <v>60</v>
      </c>
      <c r="L219" s="28"/>
      <c r="M219" s="28"/>
      <c r="N219" s="31" t="s">
        <v>70</v>
      </c>
      <c r="O219" s="18"/>
      <c r="P219" s="19"/>
      <c r="Q219" s="19"/>
      <c r="R219" s="19"/>
      <c r="S219" s="20"/>
      <c r="T219" s="21"/>
      <c r="U219" s="21"/>
      <c r="V219" s="21"/>
      <c r="W219" s="22"/>
      <c r="X219" s="23"/>
      <c r="Y219" s="23"/>
      <c r="Z219" s="23"/>
      <c r="AA219" s="24"/>
      <c r="AB219" s="25" t="str">
        <f aca="false">IF(Z219&lt;&gt;"",Z219,IF(V219&lt;&gt;"",V219,IF(R219&lt;&gt;"",R219,IF(N219&lt;&gt;"",N219,IF(J219&lt;&gt;"","BEKLİYOR","")))))</f>
        <v>DÜZELTME</v>
      </c>
    </row>
    <row r="220" customFormat="false" ht="42" hidden="false" customHeight="true" outlineLevel="0" collapsed="false">
      <c r="A220" s="26" t="s">
        <v>1143</v>
      </c>
      <c r="B220" s="26" t="s">
        <v>1144</v>
      </c>
      <c r="C220" s="27" t="s">
        <v>628</v>
      </c>
      <c r="D220" s="27" t="s">
        <v>193</v>
      </c>
      <c r="E220" s="27" t="s">
        <v>1145</v>
      </c>
      <c r="F220" s="27" t="s">
        <v>1146</v>
      </c>
      <c r="G220" s="26" t="s">
        <v>41</v>
      </c>
      <c r="H220" s="26" t="s">
        <v>1132</v>
      </c>
      <c r="I220" s="26" t="s">
        <v>1019</v>
      </c>
      <c r="J220" s="27" t="s">
        <v>78</v>
      </c>
      <c r="K220" s="27" t="s">
        <v>85</v>
      </c>
      <c r="L220" s="28"/>
      <c r="M220" s="28"/>
      <c r="N220" s="31" t="s">
        <v>70</v>
      </c>
      <c r="O220" s="18"/>
      <c r="P220" s="19"/>
      <c r="Q220" s="19"/>
      <c r="R220" s="19"/>
      <c r="S220" s="20"/>
      <c r="T220" s="21"/>
      <c r="U220" s="21"/>
      <c r="V220" s="21"/>
      <c r="W220" s="22"/>
      <c r="X220" s="23"/>
      <c r="Y220" s="23"/>
      <c r="Z220" s="23"/>
      <c r="AA220" s="24"/>
      <c r="AB220" s="29" t="str">
        <f aca="false">IF(Z220&lt;&gt;"",Z220,IF(V220&lt;&gt;"",V220,IF(R220&lt;&gt;"",R220,IF(N220&lt;&gt;"",N220,IF(J220&lt;&gt;"","BEKLİYOR","")))))</f>
        <v>DÜZELTME</v>
      </c>
    </row>
    <row r="221" customFormat="false" ht="42" hidden="false" customHeight="true" outlineLevel="0" collapsed="false">
      <c r="A221" s="15" t="s">
        <v>1147</v>
      </c>
      <c r="B221" s="15" t="s">
        <v>1148</v>
      </c>
      <c r="C221" s="16" t="s">
        <v>1037</v>
      </c>
      <c r="D221" s="16" t="s">
        <v>56</v>
      </c>
      <c r="E221" s="16" t="s">
        <v>1149</v>
      </c>
      <c r="F221" s="16" t="s">
        <v>1150</v>
      </c>
      <c r="G221" s="15" t="s">
        <v>41</v>
      </c>
      <c r="H221" s="15" t="s">
        <v>1132</v>
      </c>
      <c r="I221" s="15" t="s">
        <v>1019</v>
      </c>
      <c r="J221" s="16" t="s">
        <v>60</v>
      </c>
      <c r="K221" s="16" t="s">
        <v>68</v>
      </c>
      <c r="L221" s="28"/>
      <c r="M221" s="28"/>
      <c r="N221" s="17" t="s">
        <v>45</v>
      </c>
      <c r="O221" s="18"/>
      <c r="P221" s="19"/>
      <c r="Q221" s="19"/>
      <c r="R221" s="19"/>
      <c r="S221" s="20"/>
      <c r="T221" s="21"/>
      <c r="U221" s="21"/>
      <c r="V221" s="21"/>
      <c r="W221" s="22"/>
      <c r="X221" s="23"/>
      <c r="Y221" s="23"/>
      <c r="Z221" s="23"/>
      <c r="AA221" s="24"/>
      <c r="AB221" s="25" t="str">
        <f aca="false">IF(Z221&lt;&gt;"",Z221,IF(V221&lt;&gt;"",V221,IF(R221&lt;&gt;"",R221,IF(N221&lt;&gt;"",N221,IF(J221&lt;&gt;"","BEKLİYOR","")))))</f>
        <v>ONAY</v>
      </c>
    </row>
    <row r="222" customFormat="false" ht="42" hidden="false" customHeight="true" outlineLevel="0" collapsed="false">
      <c r="A222" s="26" t="s">
        <v>1151</v>
      </c>
      <c r="B222" s="26" t="s">
        <v>1152</v>
      </c>
      <c r="C222" s="27" t="s">
        <v>1153</v>
      </c>
      <c r="D222" s="27" t="s">
        <v>56</v>
      </c>
      <c r="E222" s="27" t="s">
        <v>1154</v>
      </c>
      <c r="F222" s="27" t="s">
        <v>1155</v>
      </c>
      <c r="G222" s="26" t="s">
        <v>41</v>
      </c>
      <c r="H222" s="26" t="s">
        <v>1132</v>
      </c>
      <c r="I222" s="26" t="s">
        <v>1019</v>
      </c>
      <c r="J222" s="27" t="s">
        <v>69</v>
      </c>
      <c r="K222" s="27" t="s">
        <v>68</v>
      </c>
      <c r="L222" s="28"/>
      <c r="M222" s="28"/>
      <c r="N222" s="17" t="s">
        <v>45</v>
      </c>
      <c r="O222" s="18"/>
      <c r="P222" s="19"/>
      <c r="Q222" s="19"/>
      <c r="R222" s="19"/>
      <c r="S222" s="20"/>
      <c r="T222" s="21"/>
      <c r="U222" s="21"/>
      <c r="V222" s="21"/>
      <c r="W222" s="22"/>
      <c r="X222" s="23"/>
      <c r="Y222" s="23"/>
      <c r="Z222" s="23"/>
      <c r="AA222" s="24"/>
      <c r="AB222" s="29" t="str">
        <f aca="false">IF(Z222&lt;&gt;"",Z222,IF(V222&lt;&gt;"",V222,IF(R222&lt;&gt;"",R222,IF(N222&lt;&gt;"",N222,IF(J222&lt;&gt;"","BEKLİYOR","")))))</f>
        <v>ONAY</v>
      </c>
    </row>
    <row r="223" customFormat="false" ht="42" hidden="false" customHeight="true" outlineLevel="0" collapsed="false">
      <c r="A223" s="15" t="s">
        <v>1156</v>
      </c>
      <c r="B223" s="15" t="s">
        <v>1157</v>
      </c>
      <c r="C223" s="16" t="s">
        <v>1158</v>
      </c>
      <c r="D223" s="16" t="s">
        <v>1159</v>
      </c>
      <c r="E223" s="16" t="s">
        <v>1160</v>
      </c>
      <c r="F223" s="16" t="s">
        <v>1161</v>
      </c>
      <c r="G223" s="15" t="s">
        <v>41</v>
      </c>
      <c r="H223" s="15" t="s">
        <v>1132</v>
      </c>
      <c r="I223" s="15" t="s">
        <v>1019</v>
      </c>
      <c r="J223" s="16" t="s">
        <v>43</v>
      </c>
      <c r="K223" s="16" t="s">
        <v>93</v>
      </c>
      <c r="L223" s="28"/>
      <c r="M223" s="28"/>
      <c r="N223" s="17" t="s">
        <v>45</v>
      </c>
      <c r="O223" s="18"/>
      <c r="P223" s="19"/>
      <c r="Q223" s="19"/>
      <c r="R223" s="19"/>
      <c r="S223" s="20"/>
      <c r="T223" s="21"/>
      <c r="U223" s="21"/>
      <c r="V223" s="21"/>
      <c r="W223" s="22"/>
      <c r="X223" s="23"/>
      <c r="Y223" s="23"/>
      <c r="Z223" s="23"/>
      <c r="AA223" s="24"/>
      <c r="AB223" s="25" t="str">
        <f aca="false">IF(Z223&lt;&gt;"",Z223,IF(V223&lt;&gt;"",V223,IF(R223&lt;&gt;"",R223,IF(N223&lt;&gt;"",N223,IF(J223&lt;&gt;"","BEKLİYOR","")))))</f>
        <v>ONAY</v>
      </c>
    </row>
    <row r="224" customFormat="false" ht="27.75" hidden="false" customHeight="true" outlineLevel="0" collapsed="false">
      <c r="A224" s="26" t="s">
        <v>1162</v>
      </c>
      <c r="B224" s="26" t="s">
        <v>1163</v>
      </c>
      <c r="C224" s="27" t="s">
        <v>1164</v>
      </c>
      <c r="D224" s="27" t="s">
        <v>1165</v>
      </c>
      <c r="E224" s="27" t="s">
        <v>1166</v>
      </c>
      <c r="F224" s="27" t="s">
        <v>1167</v>
      </c>
      <c r="G224" s="26" t="s">
        <v>92</v>
      </c>
      <c r="H224" s="26" t="s">
        <v>1132</v>
      </c>
      <c r="I224" s="26" t="s">
        <v>1019</v>
      </c>
      <c r="J224" s="27" t="s">
        <v>44</v>
      </c>
      <c r="K224" s="27" t="s">
        <v>52</v>
      </c>
      <c r="L224" s="28"/>
      <c r="M224" s="28"/>
      <c r="N224" s="17" t="s">
        <v>45</v>
      </c>
      <c r="O224" s="18"/>
      <c r="P224" s="19"/>
      <c r="Q224" s="19"/>
      <c r="R224" s="19"/>
      <c r="S224" s="20"/>
      <c r="T224" s="21"/>
      <c r="U224" s="21"/>
      <c r="V224" s="21"/>
      <c r="W224" s="22"/>
      <c r="X224" s="23"/>
      <c r="Y224" s="23"/>
      <c r="Z224" s="23"/>
      <c r="AA224" s="24"/>
      <c r="AB224" s="29" t="str">
        <f aca="false">IF(Z224&lt;&gt;"",Z224,IF(V224&lt;&gt;"",V224,IF(R224&lt;&gt;"",R224,IF(N224&lt;&gt;"",N224,IF(J224&lt;&gt;"","BEKLİYOR","")))))</f>
        <v>ONAY</v>
      </c>
    </row>
    <row r="225" customFormat="false" ht="42" hidden="false" customHeight="true" outlineLevel="0" collapsed="false">
      <c r="A225" s="15" t="s">
        <v>1168</v>
      </c>
      <c r="B225" s="15" t="s">
        <v>1169</v>
      </c>
      <c r="C225" s="16" t="s">
        <v>1022</v>
      </c>
      <c r="D225" s="16" t="s">
        <v>193</v>
      </c>
      <c r="E225" s="16" t="s">
        <v>1170</v>
      </c>
      <c r="F225" s="16" t="s">
        <v>1171</v>
      </c>
      <c r="G225" s="15" t="s">
        <v>41</v>
      </c>
      <c r="H225" s="15" t="s">
        <v>1172</v>
      </c>
      <c r="I225" s="15" t="s">
        <v>1019</v>
      </c>
      <c r="J225" s="16" t="s">
        <v>44</v>
      </c>
      <c r="K225" s="16" t="s">
        <v>85</v>
      </c>
      <c r="L225" s="28"/>
      <c r="M225" s="28"/>
      <c r="N225" s="31" t="s">
        <v>70</v>
      </c>
      <c r="O225" s="18"/>
      <c r="P225" s="19"/>
      <c r="Q225" s="19"/>
      <c r="R225" s="19"/>
      <c r="S225" s="20"/>
      <c r="T225" s="21"/>
      <c r="U225" s="21"/>
      <c r="V225" s="21"/>
      <c r="W225" s="22"/>
      <c r="X225" s="23"/>
      <c r="Y225" s="23"/>
      <c r="Z225" s="23"/>
      <c r="AA225" s="24"/>
      <c r="AB225" s="25" t="str">
        <f aca="false">IF(Z225&lt;&gt;"",Z225,IF(V225&lt;&gt;"",V225,IF(R225&lt;&gt;"",R225,IF(N225&lt;&gt;"",N225,IF(J225&lt;&gt;"","BEKLİYOR","")))))</f>
        <v>DÜZELTME</v>
      </c>
    </row>
    <row r="226" customFormat="false" ht="27.75" hidden="false" customHeight="true" outlineLevel="0" collapsed="false">
      <c r="A226" s="26" t="s">
        <v>1173</v>
      </c>
      <c r="B226" s="26" t="s">
        <v>1174</v>
      </c>
      <c r="C226" s="27" t="s">
        <v>1175</v>
      </c>
      <c r="D226" s="27" t="s">
        <v>193</v>
      </c>
      <c r="E226" s="27" t="s">
        <v>1176</v>
      </c>
      <c r="F226" s="27" t="s">
        <v>1177</v>
      </c>
      <c r="G226" s="26" t="s">
        <v>92</v>
      </c>
      <c r="H226" s="26" t="s">
        <v>1178</v>
      </c>
      <c r="I226" s="26" t="s">
        <v>1019</v>
      </c>
      <c r="J226" s="27" t="s">
        <v>43</v>
      </c>
      <c r="K226" s="27" t="s">
        <v>52</v>
      </c>
      <c r="L226" s="28"/>
      <c r="M226" s="28"/>
      <c r="N226" s="17" t="s">
        <v>45</v>
      </c>
      <c r="O226" s="18"/>
      <c r="P226" s="19"/>
      <c r="Q226" s="19"/>
      <c r="R226" s="19"/>
      <c r="S226" s="20"/>
      <c r="T226" s="21"/>
      <c r="U226" s="21"/>
      <c r="V226" s="21"/>
      <c r="W226" s="22"/>
      <c r="X226" s="23"/>
      <c r="Y226" s="23"/>
      <c r="Z226" s="23"/>
      <c r="AA226" s="24"/>
      <c r="AB226" s="29" t="str">
        <f aca="false">IF(Z226&lt;&gt;"",Z226,IF(V226&lt;&gt;"",V226,IF(R226&lt;&gt;"",R226,IF(N226&lt;&gt;"",N226,IF(J226&lt;&gt;"","BEKLİYOR","")))))</f>
        <v>ONAY</v>
      </c>
    </row>
    <row r="227" customFormat="false" ht="42" hidden="false" customHeight="true" outlineLevel="0" collapsed="false">
      <c r="A227" s="15" t="s">
        <v>1179</v>
      </c>
      <c r="B227" s="15" t="s">
        <v>1180</v>
      </c>
      <c r="C227" s="16" t="s">
        <v>81</v>
      </c>
      <c r="D227" s="16" t="s">
        <v>82</v>
      </c>
      <c r="E227" s="16" t="s">
        <v>1181</v>
      </c>
      <c r="F227" s="16" t="s">
        <v>1182</v>
      </c>
      <c r="G227" s="15" t="s">
        <v>41</v>
      </c>
      <c r="H227" s="15" t="s">
        <v>1178</v>
      </c>
      <c r="I227" s="15" t="s">
        <v>1019</v>
      </c>
      <c r="J227" s="16" t="s">
        <v>77</v>
      </c>
      <c r="K227" s="16" t="s">
        <v>68</v>
      </c>
      <c r="L227" s="28"/>
      <c r="M227" s="28"/>
      <c r="N227" s="28"/>
      <c r="O227" s="18"/>
      <c r="P227" s="19"/>
      <c r="Q227" s="19"/>
      <c r="R227" s="19"/>
      <c r="S227" s="20"/>
      <c r="T227" s="21"/>
      <c r="U227" s="21"/>
      <c r="V227" s="21"/>
      <c r="W227" s="22"/>
      <c r="X227" s="23"/>
      <c r="Y227" s="23"/>
      <c r="Z227" s="23"/>
      <c r="AA227" s="24"/>
      <c r="AB227" s="25" t="str">
        <f aca="false">IF(Z227&lt;&gt;"",Z227,IF(V227&lt;&gt;"",V227,IF(R227&lt;&gt;"",R227,IF(N227&lt;&gt;"",N227,IF(J227&lt;&gt;"","BEKLİYOR","")))))</f>
        <v>BEKLİYOR</v>
      </c>
    </row>
    <row r="228" customFormat="false" ht="15.75" hidden="false" customHeight="true" outlineLevel="0" collapsed="false">
      <c r="A228" s="26" t="s">
        <v>1183</v>
      </c>
      <c r="B228" s="26" t="s">
        <v>1184</v>
      </c>
      <c r="C228" s="27"/>
      <c r="D228" s="27"/>
      <c r="E228" s="27"/>
      <c r="F228" s="27"/>
      <c r="G228" s="26"/>
      <c r="H228" s="26"/>
      <c r="I228" s="26"/>
      <c r="J228" s="27"/>
      <c r="K228" s="27"/>
      <c r="L228" s="28"/>
      <c r="M228" s="28"/>
      <c r="N228" s="28"/>
      <c r="O228" s="18"/>
      <c r="P228" s="19"/>
      <c r="Q228" s="19"/>
      <c r="R228" s="19"/>
      <c r="S228" s="20"/>
      <c r="T228" s="21"/>
      <c r="U228" s="21"/>
      <c r="V228" s="21"/>
      <c r="W228" s="22"/>
      <c r="X228" s="23"/>
      <c r="Y228" s="23"/>
      <c r="Z228" s="23"/>
      <c r="AA228" s="24"/>
      <c r="AB228" s="29" t="str">
        <f aca="false">IF(Z228&lt;&gt;"",Z228,IF(V228&lt;&gt;"",V228,IF(R228&lt;&gt;"",R228,IF(N228&lt;&gt;"",N228,IF(J228&lt;&gt;"","BEKLİYOR","")))))</f>
        <v/>
      </c>
    </row>
    <row r="229" customFormat="false" ht="15.75" hidden="false" customHeight="true" outlineLevel="0" collapsed="false">
      <c r="A229" s="15" t="s">
        <v>1185</v>
      </c>
      <c r="B229" s="15" t="s">
        <v>1186</v>
      </c>
      <c r="C229" s="16"/>
      <c r="D229" s="16"/>
      <c r="E229" s="16"/>
      <c r="F229" s="16"/>
      <c r="G229" s="15"/>
      <c r="H229" s="15"/>
      <c r="I229" s="15"/>
      <c r="J229" s="16"/>
      <c r="K229" s="16"/>
      <c r="L229" s="28"/>
      <c r="M229" s="28"/>
      <c r="N229" s="28"/>
      <c r="O229" s="18"/>
      <c r="P229" s="19"/>
      <c r="Q229" s="19"/>
      <c r="R229" s="19"/>
      <c r="S229" s="20"/>
      <c r="T229" s="21"/>
      <c r="U229" s="21"/>
      <c r="V229" s="21"/>
      <c r="W229" s="22"/>
      <c r="X229" s="23"/>
      <c r="Y229" s="23"/>
      <c r="Z229" s="23"/>
      <c r="AA229" s="24"/>
      <c r="AB229" s="25" t="str">
        <f aca="false">IF(Z229&lt;&gt;"",Z229,IF(V229&lt;&gt;"",V229,IF(R229&lt;&gt;"",R229,IF(N229&lt;&gt;"",N229,IF(J229&lt;&gt;"","BEKLİYOR","")))))</f>
        <v/>
      </c>
    </row>
    <row r="230" customFormat="false" ht="15.75" hidden="false" customHeight="true" outlineLevel="0" collapsed="false">
      <c r="A230" s="26" t="s">
        <v>1187</v>
      </c>
      <c r="B230" s="26" t="s">
        <v>1188</v>
      </c>
      <c r="C230" s="27"/>
      <c r="D230" s="27"/>
      <c r="E230" s="27"/>
      <c r="F230" s="27"/>
      <c r="G230" s="26"/>
      <c r="H230" s="26"/>
      <c r="I230" s="26"/>
      <c r="J230" s="27"/>
      <c r="K230" s="27"/>
      <c r="L230" s="28"/>
      <c r="M230" s="28"/>
      <c r="N230" s="28"/>
      <c r="O230" s="18"/>
      <c r="P230" s="19"/>
      <c r="Q230" s="19"/>
      <c r="R230" s="19"/>
      <c r="S230" s="20"/>
      <c r="T230" s="21"/>
      <c r="U230" s="21"/>
      <c r="V230" s="21"/>
      <c r="W230" s="22"/>
      <c r="X230" s="23"/>
      <c r="Y230" s="23"/>
      <c r="Z230" s="23"/>
      <c r="AA230" s="24"/>
      <c r="AB230" s="29" t="str">
        <f aca="false">IF(Z230&lt;&gt;"",Z230,IF(V230&lt;&gt;"",V230,IF(R230&lt;&gt;"",R230,IF(N230&lt;&gt;"",N230,IF(J230&lt;&gt;"","BEKLİYOR","")))))</f>
        <v/>
      </c>
    </row>
    <row r="231" customFormat="false" ht="15.75" hidden="false" customHeight="true" outlineLevel="0" collapsed="false">
      <c r="A231" s="15" t="s">
        <v>1189</v>
      </c>
      <c r="B231" s="15" t="s">
        <v>1190</v>
      </c>
      <c r="C231" s="16"/>
      <c r="D231" s="16"/>
      <c r="E231" s="16"/>
      <c r="F231" s="16"/>
      <c r="G231" s="15"/>
      <c r="H231" s="15"/>
      <c r="I231" s="15"/>
      <c r="J231" s="16"/>
      <c r="K231" s="16"/>
      <c r="L231" s="28"/>
      <c r="M231" s="28"/>
      <c r="N231" s="28"/>
      <c r="O231" s="18"/>
      <c r="P231" s="19"/>
      <c r="Q231" s="19"/>
      <c r="R231" s="19"/>
      <c r="S231" s="20"/>
      <c r="T231" s="21"/>
      <c r="U231" s="21"/>
      <c r="V231" s="21"/>
      <c r="W231" s="22"/>
      <c r="X231" s="23"/>
      <c r="Y231" s="23"/>
      <c r="Z231" s="23"/>
      <c r="AA231" s="24"/>
      <c r="AB231" s="25" t="str">
        <f aca="false">IF(Z231&lt;&gt;"",Z231,IF(V231&lt;&gt;"",V231,IF(R231&lt;&gt;"",R231,IF(N231&lt;&gt;"",N231,IF(J231&lt;&gt;"","BEKLİYOR","")))))</f>
        <v/>
      </c>
    </row>
    <row r="232" customFormat="false" ht="15.75" hidden="false" customHeight="true" outlineLevel="0" collapsed="false">
      <c r="A232" s="26" t="s">
        <v>1191</v>
      </c>
      <c r="B232" s="26" t="s">
        <v>1192</v>
      </c>
      <c r="C232" s="27"/>
      <c r="D232" s="27"/>
      <c r="E232" s="27"/>
      <c r="F232" s="27"/>
      <c r="G232" s="26"/>
      <c r="H232" s="26"/>
      <c r="I232" s="26"/>
      <c r="J232" s="27"/>
      <c r="K232" s="27"/>
      <c r="L232" s="28"/>
      <c r="M232" s="28"/>
      <c r="N232" s="28"/>
      <c r="O232" s="18"/>
      <c r="P232" s="19"/>
      <c r="Q232" s="19"/>
      <c r="R232" s="19"/>
      <c r="S232" s="20"/>
      <c r="T232" s="21"/>
      <c r="U232" s="21"/>
      <c r="V232" s="21"/>
      <c r="W232" s="22"/>
      <c r="X232" s="23"/>
      <c r="Y232" s="23"/>
      <c r="Z232" s="23"/>
      <c r="AA232" s="24"/>
      <c r="AB232" s="29" t="str">
        <f aca="false">IF(Z232&lt;&gt;"",Z232,IF(V232&lt;&gt;"",V232,IF(R232&lt;&gt;"",R232,IF(N232&lt;&gt;"",N232,IF(J232&lt;&gt;"","BEKLİYOR","")))))</f>
        <v/>
      </c>
    </row>
    <row r="233" customFormat="false" ht="15.75" hidden="false" customHeight="true" outlineLevel="0" collapsed="false">
      <c r="A233" s="15" t="s">
        <v>1193</v>
      </c>
      <c r="B233" s="15" t="s">
        <v>1194</v>
      </c>
      <c r="C233" s="16"/>
      <c r="D233" s="16"/>
      <c r="E233" s="16"/>
      <c r="F233" s="16"/>
      <c r="G233" s="15"/>
      <c r="H233" s="15"/>
      <c r="I233" s="15"/>
      <c r="J233" s="16"/>
      <c r="K233" s="16"/>
      <c r="L233" s="28"/>
      <c r="M233" s="28"/>
      <c r="N233" s="28"/>
      <c r="O233" s="18"/>
      <c r="P233" s="19"/>
      <c r="Q233" s="19"/>
      <c r="R233" s="19"/>
      <c r="S233" s="20"/>
      <c r="T233" s="21"/>
      <c r="U233" s="21"/>
      <c r="V233" s="21"/>
      <c r="W233" s="22"/>
      <c r="X233" s="23"/>
      <c r="Y233" s="23"/>
      <c r="Z233" s="23"/>
      <c r="AA233" s="24"/>
      <c r="AB233" s="25" t="str">
        <f aca="false">IF(Z233&lt;&gt;"",Z233,IF(V233&lt;&gt;"",V233,IF(R233&lt;&gt;"",R233,IF(N233&lt;&gt;"",N233,IF(J233&lt;&gt;"","BEKLİYOR","")))))</f>
        <v/>
      </c>
    </row>
    <row r="234" customFormat="false" ht="15.75" hidden="false" customHeight="true" outlineLevel="0" collapsed="false">
      <c r="A234" s="26" t="s">
        <v>1195</v>
      </c>
      <c r="B234" s="26" t="s">
        <v>1196</v>
      </c>
      <c r="C234" s="27"/>
      <c r="D234" s="27"/>
      <c r="E234" s="27"/>
      <c r="F234" s="27"/>
      <c r="G234" s="26"/>
      <c r="H234" s="26"/>
      <c r="I234" s="26"/>
      <c r="J234" s="27"/>
      <c r="K234" s="27"/>
      <c r="L234" s="28"/>
      <c r="M234" s="28"/>
      <c r="N234" s="28"/>
      <c r="O234" s="18"/>
      <c r="P234" s="19"/>
      <c r="Q234" s="19"/>
      <c r="R234" s="19"/>
      <c r="S234" s="20"/>
      <c r="T234" s="21"/>
      <c r="U234" s="21"/>
      <c r="V234" s="21"/>
      <c r="W234" s="22"/>
      <c r="X234" s="23"/>
      <c r="Y234" s="23"/>
      <c r="Z234" s="23"/>
      <c r="AA234" s="24"/>
      <c r="AB234" s="29" t="str">
        <f aca="false">IF(Z234&lt;&gt;"",Z234,IF(V234&lt;&gt;"",V234,IF(R234&lt;&gt;"",R234,IF(N234&lt;&gt;"",N234,IF(J234&lt;&gt;"","BEKLİYOR","")))))</f>
        <v/>
      </c>
    </row>
    <row r="235" customFormat="false" ht="15.75" hidden="false" customHeight="true" outlineLevel="0" collapsed="false">
      <c r="A235" s="15" t="s">
        <v>1197</v>
      </c>
      <c r="B235" s="15" t="s">
        <v>1198</v>
      </c>
      <c r="C235" s="16"/>
      <c r="D235" s="16"/>
      <c r="E235" s="16"/>
      <c r="F235" s="16"/>
      <c r="G235" s="15"/>
      <c r="H235" s="15"/>
      <c r="I235" s="15"/>
      <c r="J235" s="16"/>
      <c r="K235" s="16"/>
      <c r="L235" s="28"/>
      <c r="M235" s="28"/>
      <c r="N235" s="28"/>
      <c r="O235" s="18"/>
      <c r="P235" s="19"/>
      <c r="Q235" s="19"/>
      <c r="R235" s="19"/>
      <c r="S235" s="20"/>
      <c r="T235" s="21"/>
      <c r="U235" s="21"/>
      <c r="V235" s="21"/>
      <c r="W235" s="22"/>
      <c r="X235" s="23"/>
      <c r="Y235" s="23"/>
      <c r="Z235" s="23"/>
      <c r="AA235" s="24"/>
      <c r="AB235" s="25" t="str">
        <f aca="false">IF(Z235&lt;&gt;"",Z235,IF(V235&lt;&gt;"",V235,IF(R235&lt;&gt;"",R235,IF(N235&lt;&gt;"",N235,IF(J235&lt;&gt;"","BEKLİYOR","")))))</f>
        <v/>
      </c>
    </row>
    <row r="236" customFormat="false" ht="15.75" hidden="false" customHeight="true" outlineLevel="0" collapsed="false">
      <c r="A236" s="26" t="s">
        <v>1199</v>
      </c>
      <c r="B236" s="26" t="s">
        <v>1200</v>
      </c>
      <c r="C236" s="27"/>
      <c r="D236" s="27"/>
      <c r="E236" s="27"/>
      <c r="F236" s="27"/>
      <c r="G236" s="26"/>
      <c r="H236" s="26"/>
      <c r="I236" s="26"/>
      <c r="J236" s="27"/>
      <c r="K236" s="27"/>
      <c r="L236" s="28"/>
      <c r="M236" s="28"/>
      <c r="N236" s="28"/>
      <c r="O236" s="18"/>
      <c r="P236" s="19"/>
      <c r="Q236" s="19"/>
      <c r="R236" s="19"/>
      <c r="S236" s="20"/>
      <c r="T236" s="21"/>
      <c r="U236" s="21"/>
      <c r="V236" s="21"/>
      <c r="W236" s="22"/>
      <c r="X236" s="23"/>
      <c r="Y236" s="23"/>
      <c r="Z236" s="23"/>
      <c r="AA236" s="24"/>
      <c r="AB236" s="29" t="str">
        <f aca="false">IF(Z236&lt;&gt;"",Z236,IF(V236&lt;&gt;"",V236,IF(R236&lt;&gt;"",R236,IF(N236&lt;&gt;"",N236,IF(J236&lt;&gt;"","BEKLİYOR","")))))</f>
        <v/>
      </c>
    </row>
    <row r="237" customFormat="false" ht="15.75" hidden="false" customHeight="true" outlineLevel="0" collapsed="false">
      <c r="A237" s="15" t="s">
        <v>1201</v>
      </c>
      <c r="B237" s="15" t="s">
        <v>1202</v>
      </c>
      <c r="C237" s="16"/>
      <c r="D237" s="16"/>
      <c r="E237" s="16"/>
      <c r="F237" s="16"/>
      <c r="G237" s="15"/>
      <c r="H237" s="15"/>
      <c r="I237" s="15"/>
      <c r="J237" s="16"/>
      <c r="K237" s="16"/>
      <c r="L237" s="28"/>
      <c r="M237" s="28"/>
      <c r="N237" s="28"/>
      <c r="O237" s="18"/>
      <c r="P237" s="19"/>
      <c r="Q237" s="19"/>
      <c r="R237" s="19"/>
      <c r="S237" s="20"/>
      <c r="T237" s="21"/>
      <c r="U237" s="21"/>
      <c r="V237" s="21"/>
      <c r="W237" s="22"/>
      <c r="X237" s="23"/>
      <c r="Y237" s="23"/>
      <c r="Z237" s="23"/>
      <c r="AA237" s="24"/>
      <c r="AB237" s="25" t="str">
        <f aca="false">IF(Z237&lt;&gt;"",Z237,IF(V237&lt;&gt;"",V237,IF(R237&lt;&gt;"",R237,IF(N237&lt;&gt;"",N237,IF(J237&lt;&gt;"","BEKLİYOR","")))))</f>
        <v/>
      </c>
    </row>
    <row r="238" customFormat="false" ht="15.75" hidden="false" customHeight="true" outlineLevel="0" collapsed="false">
      <c r="A238" s="26" t="s">
        <v>1203</v>
      </c>
      <c r="B238" s="26" t="s">
        <v>1204</v>
      </c>
      <c r="C238" s="27"/>
      <c r="D238" s="27"/>
      <c r="E238" s="27"/>
      <c r="F238" s="27"/>
      <c r="G238" s="26"/>
      <c r="H238" s="26"/>
      <c r="I238" s="26"/>
      <c r="J238" s="27"/>
      <c r="K238" s="27"/>
      <c r="L238" s="28"/>
      <c r="M238" s="28"/>
      <c r="N238" s="28"/>
      <c r="O238" s="18"/>
      <c r="P238" s="19"/>
      <c r="Q238" s="19"/>
      <c r="R238" s="19"/>
      <c r="S238" s="20"/>
      <c r="T238" s="21"/>
      <c r="U238" s="21"/>
      <c r="V238" s="21"/>
      <c r="W238" s="22"/>
      <c r="X238" s="23"/>
      <c r="Y238" s="23"/>
      <c r="Z238" s="23"/>
      <c r="AA238" s="24"/>
      <c r="AB238" s="29" t="str">
        <f aca="false">IF(Z238&lt;&gt;"",Z238,IF(V238&lt;&gt;"",V238,IF(R238&lt;&gt;"",R238,IF(N238&lt;&gt;"",N238,IF(J238&lt;&gt;"","BEKLİYOR","")))))</f>
        <v/>
      </c>
    </row>
    <row r="239" customFormat="false" ht="15.75" hidden="false" customHeight="true" outlineLevel="0" collapsed="false">
      <c r="A239" s="15" t="s">
        <v>1205</v>
      </c>
      <c r="B239" s="15" t="s">
        <v>1206</v>
      </c>
      <c r="C239" s="16"/>
      <c r="D239" s="16"/>
      <c r="E239" s="16"/>
      <c r="F239" s="16"/>
      <c r="G239" s="15"/>
      <c r="H239" s="15"/>
      <c r="I239" s="15"/>
      <c r="J239" s="16"/>
      <c r="K239" s="16"/>
      <c r="L239" s="28"/>
      <c r="M239" s="28"/>
      <c r="N239" s="28"/>
      <c r="O239" s="18"/>
      <c r="P239" s="19"/>
      <c r="Q239" s="19"/>
      <c r="R239" s="19"/>
      <c r="S239" s="20"/>
      <c r="T239" s="21"/>
      <c r="U239" s="21"/>
      <c r="V239" s="21"/>
      <c r="W239" s="22"/>
      <c r="X239" s="23"/>
      <c r="Y239" s="23"/>
      <c r="Z239" s="23"/>
      <c r="AA239" s="24"/>
      <c r="AB239" s="25" t="str">
        <f aca="false">IF(Z239&lt;&gt;"",Z239,IF(V239&lt;&gt;"",V239,IF(R239&lt;&gt;"",R239,IF(N239&lt;&gt;"",N239,IF(J239&lt;&gt;"","BEKLİYOR","")))))</f>
        <v/>
      </c>
    </row>
    <row r="240" customFormat="false" ht="15.75" hidden="false" customHeight="true" outlineLevel="0" collapsed="false">
      <c r="A240" s="26" t="s">
        <v>1207</v>
      </c>
      <c r="B240" s="26" t="s">
        <v>1208</v>
      </c>
      <c r="C240" s="27"/>
      <c r="D240" s="27"/>
      <c r="E240" s="27"/>
      <c r="F240" s="27"/>
      <c r="G240" s="26"/>
      <c r="H240" s="26"/>
      <c r="I240" s="26"/>
      <c r="J240" s="27"/>
      <c r="K240" s="27"/>
      <c r="L240" s="28"/>
      <c r="M240" s="28"/>
      <c r="N240" s="28"/>
      <c r="O240" s="18"/>
      <c r="P240" s="19"/>
      <c r="Q240" s="19"/>
      <c r="R240" s="19"/>
      <c r="S240" s="20"/>
      <c r="T240" s="21"/>
      <c r="U240" s="21"/>
      <c r="V240" s="21"/>
      <c r="W240" s="22"/>
      <c r="X240" s="23"/>
      <c r="Y240" s="23"/>
      <c r="Z240" s="23"/>
      <c r="AA240" s="24"/>
      <c r="AB240" s="29" t="str">
        <f aca="false">IF(Z240&lt;&gt;"",Z240,IF(V240&lt;&gt;"",V240,IF(R240&lt;&gt;"",R240,IF(N240&lt;&gt;"",N240,IF(J240&lt;&gt;"","BEKLİYOR","")))))</f>
        <v/>
      </c>
    </row>
    <row r="241" customFormat="false" ht="15.75" hidden="false" customHeight="true" outlineLevel="0" collapsed="false">
      <c r="A241" s="15" t="s">
        <v>1209</v>
      </c>
      <c r="B241" s="15" t="s">
        <v>1210</v>
      </c>
      <c r="C241" s="16"/>
      <c r="D241" s="16"/>
      <c r="E241" s="16"/>
      <c r="F241" s="16"/>
      <c r="G241" s="15"/>
      <c r="H241" s="15"/>
      <c r="I241" s="15"/>
      <c r="J241" s="16"/>
      <c r="K241" s="16"/>
      <c r="L241" s="28"/>
      <c r="M241" s="28"/>
      <c r="N241" s="28"/>
      <c r="O241" s="18"/>
      <c r="P241" s="19"/>
      <c r="Q241" s="19"/>
      <c r="R241" s="19"/>
      <c r="S241" s="20"/>
      <c r="T241" s="21"/>
      <c r="U241" s="21"/>
      <c r="V241" s="21"/>
      <c r="W241" s="22"/>
      <c r="X241" s="23"/>
      <c r="Y241" s="23"/>
      <c r="Z241" s="23"/>
      <c r="AA241" s="24"/>
      <c r="AB241" s="25" t="str">
        <f aca="false">IF(Z241&lt;&gt;"",Z241,IF(V241&lt;&gt;"",V241,IF(R241&lt;&gt;"",R241,IF(N241&lt;&gt;"",N241,IF(J241&lt;&gt;"","BEKLİYOR","")))))</f>
        <v/>
      </c>
    </row>
    <row r="242" customFormat="false" ht="15.75" hidden="false" customHeight="true" outlineLevel="0" collapsed="false">
      <c r="A242" s="26" t="s">
        <v>1211</v>
      </c>
      <c r="B242" s="26" t="s">
        <v>1212</v>
      </c>
      <c r="C242" s="27"/>
      <c r="D242" s="27"/>
      <c r="E242" s="27"/>
      <c r="F242" s="27"/>
      <c r="G242" s="26"/>
      <c r="H242" s="26"/>
      <c r="I242" s="26"/>
      <c r="J242" s="27"/>
      <c r="K242" s="27"/>
      <c r="L242" s="28"/>
      <c r="M242" s="28"/>
      <c r="N242" s="28"/>
      <c r="O242" s="18"/>
      <c r="P242" s="19"/>
      <c r="Q242" s="19"/>
      <c r="R242" s="19"/>
      <c r="S242" s="20"/>
      <c r="T242" s="21"/>
      <c r="U242" s="21"/>
      <c r="V242" s="21"/>
      <c r="W242" s="22"/>
      <c r="X242" s="23"/>
      <c r="Y242" s="23"/>
      <c r="Z242" s="23"/>
      <c r="AA242" s="24"/>
      <c r="AB242" s="29" t="str">
        <f aca="false">IF(Z242&lt;&gt;"",Z242,IF(V242&lt;&gt;"",V242,IF(R242&lt;&gt;"",R242,IF(N242&lt;&gt;"",N242,IF(J242&lt;&gt;"","BEKLİYOR","")))))</f>
        <v/>
      </c>
    </row>
    <row r="243" customFormat="false" ht="15.75" hidden="false" customHeight="true" outlineLevel="0" collapsed="false">
      <c r="A243" s="15" t="s">
        <v>1213</v>
      </c>
      <c r="B243" s="15" t="s">
        <v>1214</v>
      </c>
      <c r="C243" s="16"/>
      <c r="D243" s="16"/>
      <c r="E243" s="16"/>
      <c r="F243" s="16"/>
      <c r="G243" s="15"/>
      <c r="H243" s="15"/>
      <c r="I243" s="15"/>
      <c r="J243" s="16"/>
      <c r="K243" s="16"/>
      <c r="L243" s="28"/>
      <c r="M243" s="28"/>
      <c r="N243" s="28"/>
      <c r="O243" s="18"/>
      <c r="P243" s="19"/>
      <c r="Q243" s="19"/>
      <c r="R243" s="19"/>
      <c r="S243" s="20"/>
      <c r="T243" s="21"/>
      <c r="U243" s="21"/>
      <c r="V243" s="21"/>
      <c r="W243" s="22"/>
      <c r="X243" s="23"/>
      <c r="Y243" s="23"/>
      <c r="Z243" s="23"/>
      <c r="AA243" s="24"/>
      <c r="AB243" s="25" t="str">
        <f aca="false">IF(Z243&lt;&gt;"",Z243,IF(V243&lt;&gt;"",V243,IF(R243&lt;&gt;"",R243,IF(N243&lt;&gt;"",N243,IF(J243&lt;&gt;"","BEKLİYOR","")))))</f>
        <v/>
      </c>
    </row>
    <row r="244" customFormat="false" ht="15.75" hidden="false" customHeight="true" outlineLevel="0" collapsed="false">
      <c r="A244" s="26" t="s">
        <v>1215</v>
      </c>
      <c r="B244" s="26" t="s">
        <v>1216</v>
      </c>
      <c r="C244" s="27"/>
      <c r="D244" s="27"/>
      <c r="E244" s="27"/>
      <c r="F244" s="27"/>
      <c r="G244" s="26"/>
      <c r="H244" s="26"/>
      <c r="I244" s="26"/>
      <c r="J244" s="27"/>
      <c r="K244" s="27"/>
      <c r="L244" s="28"/>
      <c r="M244" s="28"/>
      <c r="N244" s="28"/>
      <c r="O244" s="18"/>
      <c r="P244" s="19"/>
      <c r="Q244" s="19"/>
      <c r="R244" s="19"/>
      <c r="S244" s="20"/>
      <c r="T244" s="21"/>
      <c r="U244" s="21"/>
      <c r="V244" s="21"/>
      <c r="W244" s="22"/>
      <c r="X244" s="23"/>
      <c r="Y244" s="23"/>
      <c r="Z244" s="23"/>
      <c r="AA244" s="24"/>
      <c r="AB244" s="29" t="str">
        <f aca="false">IF(Z244&lt;&gt;"",Z244,IF(V244&lt;&gt;"",V244,IF(R244&lt;&gt;"",R244,IF(N244&lt;&gt;"",N244,IF(J244&lt;&gt;"","BEKLİYOR","")))))</f>
        <v/>
      </c>
    </row>
    <row r="245" customFormat="false" ht="15.75" hidden="false" customHeight="true" outlineLevel="0" collapsed="false">
      <c r="A245" s="15" t="s">
        <v>1217</v>
      </c>
      <c r="B245" s="15" t="s">
        <v>1218</v>
      </c>
      <c r="C245" s="16"/>
      <c r="D245" s="16"/>
      <c r="E245" s="16"/>
      <c r="F245" s="16"/>
      <c r="G245" s="15"/>
      <c r="H245" s="15"/>
      <c r="I245" s="15"/>
      <c r="J245" s="16"/>
      <c r="K245" s="16"/>
      <c r="L245" s="28"/>
      <c r="M245" s="28"/>
      <c r="N245" s="28"/>
      <c r="O245" s="18"/>
      <c r="P245" s="19"/>
      <c r="Q245" s="19"/>
      <c r="R245" s="19"/>
      <c r="S245" s="20"/>
      <c r="T245" s="21"/>
      <c r="U245" s="21"/>
      <c r="V245" s="21"/>
      <c r="W245" s="22"/>
      <c r="X245" s="23"/>
      <c r="Y245" s="23"/>
      <c r="Z245" s="23"/>
      <c r="AA245" s="24"/>
      <c r="AB245" s="25" t="str">
        <f aca="false">IF(Z245&lt;&gt;"",Z245,IF(V245&lt;&gt;"",V245,IF(R245&lt;&gt;"",R245,IF(N245&lt;&gt;"",N245,IF(J245&lt;&gt;"","BEKLİYOR","")))))</f>
        <v/>
      </c>
    </row>
    <row r="246" customFormat="false" ht="15.75" hidden="false" customHeight="true" outlineLevel="0" collapsed="false">
      <c r="A246" s="26" t="s">
        <v>1219</v>
      </c>
      <c r="B246" s="26" t="s">
        <v>1220</v>
      </c>
      <c r="C246" s="27"/>
      <c r="D246" s="27"/>
      <c r="E246" s="27"/>
      <c r="F246" s="27"/>
      <c r="G246" s="26"/>
      <c r="H246" s="26"/>
      <c r="I246" s="26"/>
      <c r="J246" s="27"/>
      <c r="K246" s="27"/>
      <c r="L246" s="28"/>
      <c r="M246" s="28"/>
      <c r="N246" s="28"/>
      <c r="O246" s="18"/>
      <c r="P246" s="19"/>
      <c r="Q246" s="19"/>
      <c r="R246" s="19"/>
      <c r="S246" s="20"/>
      <c r="T246" s="21"/>
      <c r="U246" s="21"/>
      <c r="V246" s="21"/>
      <c r="W246" s="22"/>
      <c r="X246" s="23"/>
      <c r="Y246" s="23"/>
      <c r="Z246" s="23"/>
      <c r="AA246" s="24"/>
      <c r="AB246" s="29" t="str">
        <f aca="false">IF(Z246&lt;&gt;"",Z246,IF(V246&lt;&gt;"",V246,IF(R246&lt;&gt;"",R246,IF(N246&lt;&gt;"",N246,IF(J246&lt;&gt;"","BEKLİYOR","")))))</f>
        <v/>
      </c>
    </row>
    <row r="247" customFormat="false" ht="15.75" hidden="false" customHeight="true" outlineLevel="0" collapsed="false">
      <c r="A247" s="15" t="s">
        <v>1221</v>
      </c>
      <c r="B247" s="15" t="s">
        <v>1222</v>
      </c>
      <c r="C247" s="16"/>
      <c r="D247" s="16"/>
      <c r="E247" s="16"/>
      <c r="F247" s="16"/>
      <c r="G247" s="15"/>
      <c r="H247" s="15"/>
      <c r="I247" s="15"/>
      <c r="J247" s="16"/>
      <c r="K247" s="16"/>
      <c r="L247" s="28"/>
      <c r="M247" s="28"/>
      <c r="N247" s="28"/>
      <c r="O247" s="18"/>
      <c r="P247" s="19"/>
      <c r="Q247" s="19"/>
      <c r="R247" s="19"/>
      <c r="S247" s="20"/>
      <c r="T247" s="21"/>
      <c r="U247" s="21"/>
      <c r="V247" s="21"/>
      <c r="W247" s="22"/>
      <c r="X247" s="23"/>
      <c r="Y247" s="23"/>
      <c r="Z247" s="23"/>
      <c r="AA247" s="24"/>
      <c r="AB247" s="25" t="str">
        <f aca="false">IF(Z247&lt;&gt;"",Z247,IF(V247&lt;&gt;"",V247,IF(R247&lt;&gt;"",R247,IF(N247&lt;&gt;"",N247,IF(J247&lt;&gt;"","BEKLİYOR","")))))</f>
        <v/>
      </c>
    </row>
    <row r="248" customFormat="false" ht="15.75" hidden="false" customHeight="true" outlineLevel="0" collapsed="false">
      <c r="A248" s="26" t="s">
        <v>1223</v>
      </c>
      <c r="B248" s="26" t="s">
        <v>1224</v>
      </c>
      <c r="C248" s="27"/>
      <c r="D248" s="27"/>
      <c r="E248" s="27"/>
      <c r="F248" s="27"/>
      <c r="G248" s="26"/>
      <c r="H248" s="26"/>
      <c r="I248" s="26"/>
      <c r="J248" s="27"/>
      <c r="K248" s="27"/>
      <c r="L248" s="28"/>
      <c r="M248" s="28"/>
      <c r="N248" s="28"/>
      <c r="O248" s="18"/>
      <c r="P248" s="19"/>
      <c r="Q248" s="19"/>
      <c r="R248" s="19"/>
      <c r="S248" s="20"/>
      <c r="T248" s="21"/>
      <c r="U248" s="21"/>
      <c r="V248" s="21"/>
      <c r="W248" s="22"/>
      <c r="X248" s="23"/>
      <c r="Y248" s="23"/>
      <c r="Z248" s="23"/>
      <c r="AA248" s="24"/>
      <c r="AB248" s="29" t="str">
        <f aca="false">IF(Z248&lt;&gt;"",Z248,IF(V248&lt;&gt;"",V248,IF(R248&lt;&gt;"",R248,IF(N248&lt;&gt;"",N248,IF(J248&lt;&gt;"","BEKLİYOR","")))))</f>
        <v/>
      </c>
    </row>
    <row r="249" customFormat="false" ht="15.75" hidden="false" customHeight="true" outlineLevel="0" collapsed="false">
      <c r="A249" s="15" t="s">
        <v>1225</v>
      </c>
      <c r="B249" s="15" t="s">
        <v>1226</v>
      </c>
      <c r="C249" s="16"/>
      <c r="D249" s="16"/>
      <c r="E249" s="16"/>
      <c r="F249" s="16"/>
      <c r="G249" s="15"/>
      <c r="H249" s="15"/>
      <c r="I249" s="15"/>
      <c r="J249" s="16"/>
      <c r="K249" s="16"/>
      <c r="L249" s="28"/>
      <c r="M249" s="28"/>
      <c r="N249" s="28"/>
      <c r="O249" s="18"/>
      <c r="P249" s="19"/>
      <c r="Q249" s="19"/>
      <c r="R249" s="19"/>
      <c r="S249" s="20"/>
      <c r="T249" s="21"/>
      <c r="U249" s="21"/>
      <c r="V249" s="21"/>
      <c r="W249" s="22"/>
      <c r="X249" s="23"/>
      <c r="Y249" s="23"/>
      <c r="Z249" s="23"/>
      <c r="AA249" s="24"/>
      <c r="AB249" s="25" t="str">
        <f aca="false">IF(Z249&lt;&gt;"",Z249,IF(V249&lt;&gt;"",V249,IF(R249&lt;&gt;"",R249,IF(N249&lt;&gt;"",N249,IF(J249&lt;&gt;"","BEKLİYOR","")))))</f>
        <v/>
      </c>
    </row>
    <row r="250" customFormat="false" ht="15.75" hidden="false" customHeight="true" outlineLevel="0" collapsed="false">
      <c r="A250" s="26" t="s">
        <v>1227</v>
      </c>
      <c r="B250" s="26" t="s">
        <v>1228</v>
      </c>
      <c r="C250" s="27"/>
      <c r="D250" s="27"/>
      <c r="E250" s="27"/>
      <c r="F250" s="27"/>
      <c r="G250" s="26"/>
      <c r="H250" s="26"/>
      <c r="I250" s="26"/>
      <c r="J250" s="27"/>
      <c r="K250" s="27"/>
      <c r="L250" s="28"/>
      <c r="M250" s="28"/>
      <c r="N250" s="28"/>
      <c r="O250" s="18"/>
      <c r="P250" s="19"/>
      <c r="Q250" s="19"/>
      <c r="R250" s="19"/>
      <c r="S250" s="20"/>
      <c r="T250" s="21"/>
      <c r="U250" s="21"/>
      <c r="V250" s="21"/>
      <c r="W250" s="22"/>
      <c r="X250" s="23"/>
      <c r="Y250" s="23"/>
      <c r="Z250" s="23"/>
      <c r="AA250" s="24"/>
      <c r="AB250" s="29" t="str">
        <f aca="false">IF(Z250&lt;&gt;"",Z250,IF(V250&lt;&gt;"",V250,IF(R250&lt;&gt;"",R250,IF(N250&lt;&gt;"",N250,IF(J250&lt;&gt;"","BEKLİYOR","")))))</f>
        <v/>
      </c>
    </row>
    <row r="251" customFormat="false" ht="15.75" hidden="false" customHeight="true" outlineLevel="0" collapsed="false">
      <c r="A251" s="15" t="s">
        <v>1229</v>
      </c>
      <c r="B251" s="15" t="s">
        <v>1230</v>
      </c>
      <c r="C251" s="16"/>
      <c r="D251" s="16"/>
      <c r="E251" s="16"/>
      <c r="F251" s="16"/>
      <c r="G251" s="15"/>
      <c r="H251" s="15"/>
      <c r="I251" s="15"/>
      <c r="J251" s="16"/>
      <c r="K251" s="16"/>
      <c r="L251" s="28"/>
      <c r="M251" s="28"/>
      <c r="N251" s="28"/>
      <c r="O251" s="18"/>
      <c r="P251" s="19"/>
      <c r="Q251" s="19"/>
      <c r="R251" s="19"/>
      <c r="S251" s="20"/>
      <c r="T251" s="21"/>
      <c r="U251" s="21"/>
      <c r="V251" s="21"/>
      <c r="W251" s="22"/>
      <c r="X251" s="23"/>
      <c r="Y251" s="23"/>
      <c r="Z251" s="23"/>
      <c r="AA251" s="24"/>
      <c r="AB251" s="25" t="str">
        <f aca="false">IF(Z251&lt;&gt;"",Z251,IF(V251&lt;&gt;"",V251,IF(R251&lt;&gt;"",R251,IF(N251&lt;&gt;"",N251,IF(J251&lt;&gt;"","BEKLİYOR","")))))</f>
        <v/>
      </c>
    </row>
    <row r="252" customFormat="false" ht="15.75" hidden="false" customHeight="true" outlineLevel="0" collapsed="false">
      <c r="A252" s="26" t="s">
        <v>1231</v>
      </c>
      <c r="B252" s="26" t="s">
        <v>1232</v>
      </c>
      <c r="C252" s="27"/>
      <c r="D252" s="27"/>
      <c r="E252" s="27"/>
      <c r="F252" s="27"/>
      <c r="G252" s="26"/>
      <c r="H252" s="26"/>
      <c r="I252" s="26"/>
      <c r="J252" s="27"/>
      <c r="K252" s="27"/>
      <c r="L252" s="28"/>
      <c r="M252" s="28"/>
      <c r="N252" s="28"/>
      <c r="O252" s="18"/>
      <c r="P252" s="19"/>
      <c r="Q252" s="19"/>
      <c r="R252" s="19"/>
      <c r="S252" s="20"/>
      <c r="T252" s="21"/>
      <c r="U252" s="21"/>
      <c r="V252" s="21"/>
      <c r="W252" s="22"/>
      <c r="X252" s="23"/>
      <c r="Y252" s="23"/>
      <c r="Z252" s="23"/>
      <c r="AA252" s="24"/>
      <c r="AB252" s="29" t="str">
        <f aca="false">IF(Z252&lt;&gt;"",Z252,IF(V252&lt;&gt;"",V252,IF(R252&lt;&gt;"",R252,IF(N252&lt;&gt;"",N252,IF(J252&lt;&gt;"","BEKLİYOR","")))))</f>
        <v/>
      </c>
    </row>
  </sheetData>
  <autoFilter ref="A2:AB2"/>
  <mergeCells count="6">
    <mergeCell ref="A1:I1"/>
    <mergeCell ref="J1:K1"/>
    <mergeCell ref="L1:O1"/>
    <mergeCell ref="P1:S1"/>
    <mergeCell ref="T1:W1"/>
    <mergeCell ref="X1:AA1"/>
  </mergeCells>
  <dataValidations count="12">
    <dataValidation allowBlank="true" errorStyle="stop" operator="between" showDropDown="false" showErrorMessage="false" showInputMessage="false" sqref="L3:L400" type="list">
      <formula1>"ONAY,DÜZELTME,GÖRÜŞ,RET,KAPSAM DIŞI,KAEK,GERİ ÇEKİLDİ"</formula1>
      <formula2>0</formula2>
    </dataValidation>
    <dataValidation allowBlank="true" errorStyle="stop" operator="between" showDropDown="false" showErrorMessage="false" showInputMessage="false" sqref="M3:M400" type="list">
      <formula1>"ONAY,DÜZELTME,GÖRÜŞ,RET,KAPSAM DIŞI,KAEK,GERİ ÇEKİLDİ"</formula1>
      <formula2>0</formula2>
    </dataValidation>
    <dataValidation allowBlank="true" errorStyle="stop" operator="between" showDropDown="false" showErrorMessage="false" showInputMessage="false" sqref="N3:N400" type="list">
      <formula1>"ONAY,DÜZELTME,GÖRÜŞ,RET,KAPSAM DIŞI,KAEK,GERİ ÇEKİLDİ"</formula1>
      <formula2>0</formula2>
    </dataValidation>
    <dataValidation allowBlank="true" errorStyle="stop" operator="between" showDropDown="false" showErrorMessage="false" showInputMessage="false" sqref="P3:P400" type="list">
      <formula1>"ONAY,DÜZELTME,GÖRÜŞ,RET,KAPSAM DIŞI,KAEK,GERİ ÇEKİLDİ"</formula1>
      <formula2>0</formula2>
    </dataValidation>
    <dataValidation allowBlank="true" errorStyle="stop" operator="between" showDropDown="false" showErrorMessage="false" showInputMessage="false" sqref="Q3:Q400" type="list">
      <formula1>"ONAY,DÜZELTME,GÖRÜŞ,RET,KAPSAM DIŞI,KAEK,GERİ ÇEKİLDİ"</formula1>
      <formula2>0</formula2>
    </dataValidation>
    <dataValidation allowBlank="true" errorStyle="stop" operator="between" showDropDown="false" showErrorMessage="false" showInputMessage="false" sqref="R3:R400" type="list">
      <formula1>"ONAY,DÜZELTME,GÖRÜŞ,RET,KAPSAM DIŞI,KAEK,GERİ ÇEKİLDİ"</formula1>
      <formula2>0</formula2>
    </dataValidation>
    <dataValidation allowBlank="true" errorStyle="stop" operator="between" showDropDown="false" showErrorMessage="false" showInputMessage="false" sqref="T3:T400" type="list">
      <formula1>"ONAY,DÜZELTME,GÖRÜŞ,RET,KAPSAM DIŞI,KAEK,GERİ ÇEKİLDİ"</formula1>
      <formula2>0</formula2>
    </dataValidation>
    <dataValidation allowBlank="true" errorStyle="stop" operator="between" showDropDown="false" showErrorMessage="false" showInputMessage="false" sqref="U3:U400" type="list">
      <formula1>"ONAY,DÜZELTME,GÖRÜŞ,RET,KAPSAM DIŞI,KAEK,GERİ ÇEKİLDİ"</formula1>
      <formula2>0</formula2>
    </dataValidation>
    <dataValidation allowBlank="true" errorStyle="stop" operator="between" showDropDown="false" showErrorMessage="false" showInputMessage="false" sqref="V3:V400" type="list">
      <formula1>"ONAY,DÜZELTME,GÖRÜŞ,RET,KAPSAM DIŞI,KAEK,GERİ ÇEKİLDİ"</formula1>
      <formula2>0</formula2>
    </dataValidation>
    <dataValidation allowBlank="true" errorStyle="stop" operator="between" showDropDown="false" showErrorMessage="false" showInputMessage="false" sqref="X3:X400" type="list">
      <formula1>"ONAY,DÜZELTME,GÖRÜŞ,RET,KAPSAM DIŞI,KAEK,GERİ ÇEKİLDİ"</formula1>
      <formula2>0</formula2>
    </dataValidation>
    <dataValidation allowBlank="true" errorStyle="stop" operator="between" showDropDown="false" showErrorMessage="false" showInputMessage="false" sqref="Y3:Y400" type="list">
      <formula1>"ONAY,DÜZELTME,GÖRÜŞ,RET,KAPSAM DIŞI,KAEK,GERİ ÇEKİLDİ"</formula1>
      <formula2>0</formula2>
    </dataValidation>
    <dataValidation allowBlank="true" errorStyle="stop" operator="between" showDropDown="false" showErrorMessage="false" showInputMessage="false" sqref="Z3:Z400" type="list">
      <formula1>"ONAY,DÜZELTME,GÖRÜŞ,RET,KAPSAM DIŞI,KAEK,GERİ ÇEKİLDİ"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8"/>
    <col collapsed="false" customWidth="true" hidden="false" outlineLevel="0" max="8" min="3" style="0" width="8"/>
    <col collapsed="false" customWidth="true" hidden="false" outlineLevel="0" max="9" min="9" style="0" width="7"/>
    <col collapsed="false" customWidth="true" hidden="false" outlineLevel="0" max="16" min="10" style="0" width="8"/>
    <col collapsed="false" customWidth="true" hidden="false" outlineLevel="0" max="17" min="17" style="0" width="7"/>
    <col collapsed="false" customWidth="true" hidden="false" outlineLevel="0" max="24" min="18" style="0" width="8"/>
    <col collapsed="false" customWidth="true" hidden="false" outlineLevel="0" max="25" min="25" style="0" width="7"/>
    <col collapsed="false" customWidth="true" hidden="false" outlineLevel="0" max="32" min="26" style="0" width="8"/>
    <col collapsed="false" customWidth="true" hidden="false" outlineLevel="0" max="33" min="33" style="0" width="7"/>
    <col collapsed="false" customWidth="true" hidden="false" outlineLevel="0" max="37" min="34" style="0" width="8"/>
  </cols>
  <sheetData>
    <row r="1" customFormat="false" ht="25.5" hidden="false" customHeight="true" outlineLevel="0" collapsed="false">
      <c r="A1" s="37" t="s">
        <v>1233</v>
      </c>
      <c r="B1" s="37"/>
      <c r="C1" s="37"/>
      <c r="D1" s="37"/>
      <c r="E1" s="37"/>
      <c r="F1" s="37"/>
      <c r="G1" s="37"/>
      <c r="H1" s="3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row>
    <row r="2" customFormat="false" ht="18" hidden="false" customHeight="true" outlineLevel="0" collapsed="false">
      <c r="C2" s="38" t="s">
        <v>1234</v>
      </c>
      <c r="D2" s="38"/>
      <c r="E2" s="38"/>
      <c r="F2" s="38"/>
      <c r="G2" s="38"/>
      <c r="H2" s="38"/>
      <c r="I2" s="38"/>
      <c r="J2" s="38"/>
      <c r="K2" s="39" t="s">
        <v>1235</v>
      </c>
      <c r="L2" s="39"/>
      <c r="M2" s="39"/>
      <c r="N2" s="39"/>
      <c r="O2" s="39"/>
      <c r="P2" s="39"/>
      <c r="Q2" s="39"/>
      <c r="R2" s="39"/>
      <c r="S2" s="40" t="s">
        <v>1236</v>
      </c>
      <c r="T2" s="40"/>
      <c r="U2" s="40"/>
      <c r="V2" s="40"/>
      <c r="W2" s="40"/>
      <c r="X2" s="40"/>
      <c r="Y2" s="40"/>
      <c r="Z2" s="40"/>
      <c r="AA2" s="41" t="s">
        <v>1237</v>
      </c>
      <c r="AB2" s="41"/>
      <c r="AC2" s="41"/>
      <c r="AD2" s="41"/>
      <c r="AE2" s="41"/>
      <c r="AF2" s="41"/>
      <c r="AG2" s="41"/>
      <c r="AH2" s="41"/>
      <c r="AI2" s="42" t="s">
        <v>1238</v>
      </c>
      <c r="AJ2" s="42"/>
      <c r="AK2" s="42"/>
    </row>
    <row r="3" customFormat="false" ht="30" hidden="false" customHeight="true" outlineLevel="0" collapsed="false">
      <c r="A3" s="43" t="s">
        <v>1239</v>
      </c>
      <c r="B3" s="44" t="s">
        <v>1240</v>
      </c>
      <c r="C3" s="45" t="s">
        <v>45</v>
      </c>
      <c r="D3" s="45" t="s">
        <v>70</v>
      </c>
      <c r="E3" s="45" t="s">
        <v>177</v>
      </c>
      <c r="F3" s="45" t="s">
        <v>189</v>
      </c>
      <c r="G3" s="45" t="s">
        <v>143</v>
      </c>
      <c r="H3" s="45" t="s">
        <v>123</v>
      </c>
      <c r="I3" s="46" t="s">
        <v>1241</v>
      </c>
      <c r="J3" s="45" t="s">
        <v>1242</v>
      </c>
      <c r="K3" s="47" t="s">
        <v>45</v>
      </c>
      <c r="L3" s="47" t="s">
        <v>70</v>
      </c>
      <c r="M3" s="47" t="s">
        <v>177</v>
      </c>
      <c r="N3" s="47" t="s">
        <v>189</v>
      </c>
      <c r="O3" s="47" t="s">
        <v>143</v>
      </c>
      <c r="P3" s="47" t="s">
        <v>123</v>
      </c>
      <c r="Q3" s="48" t="s">
        <v>1241</v>
      </c>
      <c r="R3" s="47" t="s">
        <v>1242</v>
      </c>
      <c r="S3" s="49" t="s">
        <v>45</v>
      </c>
      <c r="T3" s="49" t="s">
        <v>70</v>
      </c>
      <c r="U3" s="49" t="s">
        <v>177</v>
      </c>
      <c r="V3" s="49" t="s">
        <v>189</v>
      </c>
      <c r="W3" s="49" t="s">
        <v>143</v>
      </c>
      <c r="X3" s="49" t="s">
        <v>123</v>
      </c>
      <c r="Y3" s="50" t="s">
        <v>1241</v>
      </c>
      <c r="Z3" s="49" t="s">
        <v>1242</v>
      </c>
      <c r="AA3" s="51" t="s">
        <v>45</v>
      </c>
      <c r="AB3" s="51" t="s">
        <v>70</v>
      </c>
      <c r="AC3" s="51" t="s">
        <v>177</v>
      </c>
      <c r="AD3" s="51" t="s">
        <v>189</v>
      </c>
      <c r="AE3" s="51" t="s">
        <v>143</v>
      </c>
      <c r="AF3" s="51" t="s">
        <v>123</v>
      </c>
      <c r="AG3" s="52" t="s">
        <v>1241</v>
      </c>
      <c r="AH3" s="51" t="s">
        <v>1242</v>
      </c>
      <c r="AI3" s="53" t="s">
        <v>45</v>
      </c>
      <c r="AJ3" s="53" t="s">
        <v>70</v>
      </c>
      <c r="AK3" s="53" t="s">
        <v>1243</v>
      </c>
    </row>
    <row r="4" customFormat="false" ht="15" hidden="false" customHeight="true" outlineLevel="0" collapsed="false">
      <c r="A4" s="54" t="n">
        <v>1</v>
      </c>
      <c r="B4" s="55" t="s">
        <v>43</v>
      </c>
      <c r="C4" s="56" t="n">
        <v>9</v>
      </c>
      <c r="D4" s="57" t="n">
        <v>13</v>
      </c>
      <c r="E4" s="58" t="n">
        <v>1</v>
      </c>
      <c r="F4" s="59"/>
      <c r="G4" s="59"/>
      <c r="H4" s="59"/>
      <c r="I4" s="60" t="n">
        <v>23</v>
      </c>
      <c r="J4" s="59"/>
      <c r="K4" s="61"/>
      <c r="L4" s="61"/>
      <c r="M4" s="61"/>
      <c r="N4" s="61"/>
      <c r="O4" s="61"/>
      <c r="P4" s="61"/>
      <c r="Q4" s="62"/>
      <c r="R4" s="61"/>
      <c r="S4" s="63"/>
      <c r="T4" s="63"/>
      <c r="U4" s="63"/>
      <c r="V4" s="63"/>
      <c r="W4" s="63"/>
      <c r="X4" s="63"/>
      <c r="Y4" s="64"/>
      <c r="Z4" s="63"/>
      <c r="AA4" s="65"/>
      <c r="AB4" s="65"/>
      <c r="AC4" s="65"/>
      <c r="AD4" s="65"/>
      <c r="AE4" s="65"/>
      <c r="AF4" s="65"/>
      <c r="AG4" s="66"/>
      <c r="AH4" s="65"/>
      <c r="AI4" s="67" t="n">
        <v>9</v>
      </c>
      <c r="AJ4" s="68" t="n">
        <v>13</v>
      </c>
      <c r="AK4" s="69"/>
    </row>
    <row r="5" customFormat="false" ht="15" hidden="false" customHeight="true" outlineLevel="0" collapsed="false">
      <c r="A5" s="70" t="n">
        <v>2</v>
      </c>
      <c r="B5" s="71" t="s">
        <v>93</v>
      </c>
      <c r="C5" s="56" t="n">
        <v>31</v>
      </c>
      <c r="D5" s="57" t="n">
        <v>1</v>
      </c>
      <c r="E5" s="58" t="n">
        <v>1</v>
      </c>
      <c r="F5" s="59"/>
      <c r="G5" s="59"/>
      <c r="H5" s="59"/>
      <c r="I5" s="60" t="n">
        <v>33</v>
      </c>
      <c r="J5" s="59"/>
      <c r="K5" s="61"/>
      <c r="L5" s="61"/>
      <c r="M5" s="61"/>
      <c r="N5" s="61"/>
      <c r="O5" s="61"/>
      <c r="P5" s="61"/>
      <c r="Q5" s="62"/>
      <c r="R5" s="61"/>
      <c r="S5" s="63"/>
      <c r="T5" s="63"/>
      <c r="U5" s="63"/>
      <c r="V5" s="63"/>
      <c r="W5" s="63"/>
      <c r="X5" s="63"/>
      <c r="Y5" s="64"/>
      <c r="Z5" s="63"/>
      <c r="AA5" s="65"/>
      <c r="AB5" s="65"/>
      <c r="AC5" s="65"/>
      <c r="AD5" s="65"/>
      <c r="AE5" s="65"/>
      <c r="AF5" s="65"/>
      <c r="AG5" s="66"/>
      <c r="AH5" s="65"/>
      <c r="AI5" s="67" t="n">
        <v>31</v>
      </c>
      <c r="AJ5" s="68" t="n">
        <v>1</v>
      </c>
      <c r="AK5" s="69"/>
    </row>
    <row r="6" customFormat="false" ht="15" hidden="false" customHeight="true" outlineLevel="0" collapsed="false">
      <c r="A6" s="54" t="n">
        <v>3</v>
      </c>
      <c r="B6" s="55" t="s">
        <v>78</v>
      </c>
      <c r="C6" s="56" t="n">
        <v>12</v>
      </c>
      <c r="D6" s="57" t="n">
        <v>3</v>
      </c>
      <c r="E6" s="58" t="n">
        <v>3</v>
      </c>
      <c r="F6" s="59"/>
      <c r="G6" s="59"/>
      <c r="H6" s="59"/>
      <c r="I6" s="60" t="n">
        <v>18</v>
      </c>
      <c r="J6" s="59"/>
      <c r="K6" s="61"/>
      <c r="L6" s="61"/>
      <c r="M6" s="61"/>
      <c r="N6" s="61"/>
      <c r="O6" s="61"/>
      <c r="P6" s="61"/>
      <c r="Q6" s="62"/>
      <c r="R6" s="61"/>
      <c r="S6" s="63"/>
      <c r="T6" s="63"/>
      <c r="U6" s="63"/>
      <c r="V6" s="63"/>
      <c r="W6" s="63"/>
      <c r="X6" s="63"/>
      <c r="Y6" s="64"/>
      <c r="Z6" s="63"/>
      <c r="AA6" s="65"/>
      <c r="AB6" s="65"/>
      <c r="AC6" s="65"/>
      <c r="AD6" s="65"/>
      <c r="AE6" s="65"/>
      <c r="AF6" s="65"/>
      <c r="AG6" s="66"/>
      <c r="AH6" s="65"/>
      <c r="AI6" s="67" t="n">
        <v>12</v>
      </c>
      <c r="AJ6" s="68" t="n">
        <v>3</v>
      </c>
      <c r="AK6" s="69"/>
    </row>
    <row r="7" customFormat="false" ht="15" hidden="false" customHeight="true" outlineLevel="0" collapsed="false">
      <c r="A7" s="70" t="n">
        <v>4</v>
      </c>
      <c r="B7" s="71" t="s">
        <v>85</v>
      </c>
      <c r="C7" s="56" t="n">
        <v>13</v>
      </c>
      <c r="D7" s="57" t="n">
        <v>1</v>
      </c>
      <c r="E7" s="59"/>
      <c r="F7" s="59"/>
      <c r="G7" s="59"/>
      <c r="H7" s="59"/>
      <c r="I7" s="60" t="n">
        <v>14</v>
      </c>
      <c r="J7" s="59"/>
      <c r="K7" s="61"/>
      <c r="L7" s="61"/>
      <c r="M7" s="61"/>
      <c r="N7" s="61"/>
      <c r="O7" s="61"/>
      <c r="P7" s="61"/>
      <c r="Q7" s="62"/>
      <c r="R7" s="61"/>
      <c r="S7" s="63"/>
      <c r="T7" s="63"/>
      <c r="U7" s="63"/>
      <c r="V7" s="63"/>
      <c r="W7" s="63"/>
      <c r="X7" s="63"/>
      <c r="Y7" s="64"/>
      <c r="Z7" s="63"/>
      <c r="AA7" s="65"/>
      <c r="AB7" s="65"/>
      <c r="AC7" s="65"/>
      <c r="AD7" s="65"/>
      <c r="AE7" s="65"/>
      <c r="AF7" s="65"/>
      <c r="AG7" s="66"/>
      <c r="AH7" s="65"/>
      <c r="AI7" s="67" t="n">
        <v>13</v>
      </c>
      <c r="AJ7" s="68" t="n">
        <v>1</v>
      </c>
      <c r="AK7" s="69"/>
    </row>
    <row r="8" customFormat="false" ht="15" hidden="false" customHeight="true" outlineLevel="0" collapsed="false">
      <c r="A8" s="54" t="n">
        <v>5</v>
      </c>
      <c r="B8" s="55" t="s">
        <v>77</v>
      </c>
      <c r="C8" s="56" t="n">
        <v>18</v>
      </c>
      <c r="D8" s="57" t="n">
        <v>4</v>
      </c>
      <c r="E8" s="58" t="n">
        <v>2</v>
      </c>
      <c r="F8" s="59"/>
      <c r="G8" s="59"/>
      <c r="H8" s="59"/>
      <c r="I8" s="60" t="n">
        <v>24</v>
      </c>
      <c r="J8" s="59"/>
      <c r="K8" s="61"/>
      <c r="L8" s="61"/>
      <c r="M8" s="61"/>
      <c r="N8" s="61"/>
      <c r="O8" s="61"/>
      <c r="P8" s="61"/>
      <c r="Q8" s="62"/>
      <c r="R8" s="61"/>
      <c r="S8" s="63"/>
      <c r="T8" s="63"/>
      <c r="U8" s="63"/>
      <c r="V8" s="63"/>
      <c r="W8" s="63"/>
      <c r="X8" s="63"/>
      <c r="Y8" s="64"/>
      <c r="Z8" s="63"/>
      <c r="AA8" s="65"/>
      <c r="AB8" s="65"/>
      <c r="AC8" s="65"/>
      <c r="AD8" s="65"/>
      <c r="AE8" s="65"/>
      <c r="AF8" s="65"/>
      <c r="AG8" s="66"/>
      <c r="AH8" s="65"/>
      <c r="AI8" s="67" t="n">
        <v>18</v>
      </c>
      <c r="AJ8" s="68" t="n">
        <v>4</v>
      </c>
      <c r="AK8" s="69"/>
    </row>
    <row r="9" customFormat="false" ht="15" hidden="false" customHeight="true" outlineLevel="0" collapsed="false">
      <c r="A9" s="70" t="n">
        <v>6</v>
      </c>
      <c r="B9" s="71" t="s">
        <v>99</v>
      </c>
      <c r="C9" s="56" t="n">
        <v>27</v>
      </c>
      <c r="D9" s="59"/>
      <c r="E9" s="58" t="n">
        <v>1</v>
      </c>
      <c r="F9" s="59"/>
      <c r="G9" s="59"/>
      <c r="H9" s="59"/>
      <c r="I9" s="60" t="n">
        <v>28</v>
      </c>
      <c r="J9" s="59"/>
      <c r="K9" s="61"/>
      <c r="L9" s="61"/>
      <c r="M9" s="61"/>
      <c r="N9" s="61"/>
      <c r="O9" s="61"/>
      <c r="P9" s="61"/>
      <c r="Q9" s="62"/>
      <c r="R9" s="61"/>
      <c r="S9" s="63"/>
      <c r="T9" s="63"/>
      <c r="U9" s="63"/>
      <c r="V9" s="63"/>
      <c r="W9" s="63"/>
      <c r="X9" s="63"/>
      <c r="Y9" s="64"/>
      <c r="Z9" s="63"/>
      <c r="AA9" s="65"/>
      <c r="AB9" s="65"/>
      <c r="AC9" s="65"/>
      <c r="AD9" s="65"/>
      <c r="AE9" s="65"/>
      <c r="AF9" s="65"/>
      <c r="AG9" s="66"/>
      <c r="AH9" s="65"/>
      <c r="AI9" s="67" t="n">
        <v>27</v>
      </c>
      <c r="AJ9" s="68"/>
      <c r="AK9" s="69"/>
    </row>
    <row r="10" customFormat="false" ht="15" hidden="false" customHeight="true" outlineLevel="0" collapsed="false">
      <c r="A10" s="54" t="n">
        <v>7</v>
      </c>
      <c r="B10" s="55" t="s">
        <v>52</v>
      </c>
      <c r="C10" s="56" t="n">
        <v>23</v>
      </c>
      <c r="D10" s="57" t="n">
        <v>3</v>
      </c>
      <c r="E10" s="59"/>
      <c r="F10" s="59"/>
      <c r="G10" s="59"/>
      <c r="H10" s="59"/>
      <c r="I10" s="60" t="n">
        <v>26</v>
      </c>
      <c r="J10" s="59"/>
      <c r="K10" s="61"/>
      <c r="L10" s="61"/>
      <c r="M10" s="61"/>
      <c r="N10" s="61"/>
      <c r="O10" s="61"/>
      <c r="P10" s="61"/>
      <c r="Q10" s="62"/>
      <c r="R10" s="61"/>
      <c r="S10" s="63"/>
      <c r="T10" s="63"/>
      <c r="U10" s="63"/>
      <c r="V10" s="63"/>
      <c r="W10" s="63"/>
      <c r="X10" s="63"/>
      <c r="Y10" s="64"/>
      <c r="Z10" s="63"/>
      <c r="AA10" s="65"/>
      <c r="AB10" s="65"/>
      <c r="AC10" s="65"/>
      <c r="AD10" s="65"/>
      <c r="AE10" s="65"/>
      <c r="AF10" s="65"/>
      <c r="AG10" s="66"/>
      <c r="AH10" s="65"/>
      <c r="AI10" s="67" t="n">
        <v>23</v>
      </c>
      <c r="AJ10" s="68" t="n">
        <v>3</v>
      </c>
      <c r="AK10" s="69"/>
    </row>
    <row r="11" customFormat="false" ht="15" hidden="false" customHeight="true" outlineLevel="0" collapsed="false">
      <c r="A11" s="70" t="n">
        <v>8</v>
      </c>
      <c r="B11" s="71" t="s">
        <v>44</v>
      </c>
      <c r="C11" s="56" t="n">
        <v>25</v>
      </c>
      <c r="D11" s="57" t="n">
        <v>1</v>
      </c>
      <c r="E11" s="59"/>
      <c r="F11" s="59"/>
      <c r="G11" s="59"/>
      <c r="H11" s="59"/>
      <c r="I11" s="60" t="n">
        <v>26</v>
      </c>
      <c r="J11" s="59"/>
      <c r="K11" s="61"/>
      <c r="L11" s="61"/>
      <c r="M11" s="61"/>
      <c r="N11" s="61"/>
      <c r="O11" s="61"/>
      <c r="P11" s="61"/>
      <c r="Q11" s="62"/>
      <c r="R11" s="61"/>
      <c r="S11" s="63"/>
      <c r="T11" s="63"/>
      <c r="U11" s="63"/>
      <c r="V11" s="63"/>
      <c r="W11" s="63"/>
      <c r="X11" s="63"/>
      <c r="Y11" s="64"/>
      <c r="Z11" s="63"/>
      <c r="AA11" s="65"/>
      <c r="AB11" s="65"/>
      <c r="AC11" s="65"/>
      <c r="AD11" s="65"/>
      <c r="AE11" s="65"/>
      <c r="AF11" s="65"/>
      <c r="AG11" s="66"/>
      <c r="AH11" s="65"/>
      <c r="AI11" s="67" t="n">
        <v>25</v>
      </c>
      <c r="AJ11" s="68" t="n">
        <v>1</v>
      </c>
      <c r="AK11" s="69"/>
    </row>
    <row r="12" customFormat="false" ht="15" hidden="false" customHeight="true" outlineLevel="0" collapsed="false">
      <c r="A12" s="54" t="n">
        <v>9</v>
      </c>
      <c r="B12" s="55" t="s">
        <v>68</v>
      </c>
      <c r="C12" s="56" t="n">
        <v>11</v>
      </c>
      <c r="D12" s="57" t="n">
        <v>1</v>
      </c>
      <c r="E12" s="58" t="n">
        <v>1</v>
      </c>
      <c r="F12" s="59"/>
      <c r="G12" s="59"/>
      <c r="H12" s="59"/>
      <c r="I12" s="60" t="n">
        <v>13</v>
      </c>
      <c r="J12" s="59"/>
      <c r="K12" s="61"/>
      <c r="L12" s="61"/>
      <c r="M12" s="61"/>
      <c r="N12" s="61"/>
      <c r="O12" s="61"/>
      <c r="P12" s="61"/>
      <c r="Q12" s="62"/>
      <c r="R12" s="61"/>
      <c r="S12" s="63"/>
      <c r="T12" s="63"/>
      <c r="U12" s="63"/>
      <c r="V12" s="63"/>
      <c r="W12" s="63"/>
      <c r="X12" s="63"/>
      <c r="Y12" s="64"/>
      <c r="Z12" s="63"/>
      <c r="AA12" s="65"/>
      <c r="AB12" s="65"/>
      <c r="AC12" s="65"/>
      <c r="AD12" s="65"/>
      <c r="AE12" s="65"/>
      <c r="AF12" s="65"/>
      <c r="AG12" s="66"/>
      <c r="AH12" s="65"/>
      <c r="AI12" s="67" t="n">
        <v>11</v>
      </c>
      <c r="AJ12" s="68" t="n">
        <v>1</v>
      </c>
      <c r="AK12" s="69"/>
    </row>
    <row r="13" customFormat="false" ht="15" hidden="false" customHeight="true" outlineLevel="0" collapsed="false">
      <c r="A13" s="70" t="n">
        <v>10</v>
      </c>
      <c r="B13" s="71" t="s">
        <v>69</v>
      </c>
      <c r="C13" s="56" t="n">
        <v>29</v>
      </c>
      <c r="D13" s="57" t="n">
        <v>3</v>
      </c>
      <c r="E13" s="59"/>
      <c r="F13" s="59"/>
      <c r="G13" s="59"/>
      <c r="H13" s="59"/>
      <c r="I13" s="60" t="n">
        <v>32</v>
      </c>
      <c r="J13" s="59"/>
      <c r="K13" s="61"/>
      <c r="L13" s="61"/>
      <c r="M13" s="61"/>
      <c r="N13" s="61"/>
      <c r="O13" s="61"/>
      <c r="P13" s="61"/>
      <c r="Q13" s="62"/>
      <c r="R13" s="61"/>
      <c r="S13" s="63"/>
      <c r="T13" s="63"/>
      <c r="U13" s="63"/>
      <c r="V13" s="63"/>
      <c r="W13" s="63"/>
      <c r="X13" s="63"/>
      <c r="Y13" s="64"/>
      <c r="Z13" s="63"/>
      <c r="AA13" s="65"/>
      <c r="AB13" s="65"/>
      <c r="AC13" s="65"/>
      <c r="AD13" s="65"/>
      <c r="AE13" s="65"/>
      <c r="AF13" s="65"/>
      <c r="AG13" s="66"/>
      <c r="AH13" s="65"/>
      <c r="AI13" s="67" t="n">
        <v>29</v>
      </c>
      <c r="AJ13" s="68" t="n">
        <v>3</v>
      </c>
      <c r="AK13" s="69"/>
    </row>
    <row r="14" customFormat="false" ht="15" hidden="false" customHeight="true" outlineLevel="0" collapsed="false">
      <c r="A14" s="54" t="n">
        <v>11</v>
      </c>
      <c r="B14" s="55" t="s">
        <v>60</v>
      </c>
      <c r="C14" s="56" t="n">
        <v>18</v>
      </c>
      <c r="D14" s="59"/>
      <c r="E14" s="58" t="n">
        <v>2</v>
      </c>
      <c r="F14" s="59"/>
      <c r="G14" s="59"/>
      <c r="H14" s="59"/>
      <c r="I14" s="60" t="n">
        <v>20</v>
      </c>
      <c r="J14" s="59"/>
      <c r="K14" s="61"/>
      <c r="L14" s="61"/>
      <c r="M14" s="61"/>
      <c r="N14" s="61"/>
      <c r="O14" s="61"/>
      <c r="P14" s="61"/>
      <c r="Q14" s="62"/>
      <c r="R14" s="61"/>
      <c r="S14" s="63"/>
      <c r="T14" s="63"/>
      <c r="U14" s="63"/>
      <c r="V14" s="63"/>
      <c r="W14" s="63"/>
      <c r="X14" s="63"/>
      <c r="Y14" s="64"/>
      <c r="Z14" s="63"/>
      <c r="AA14" s="65"/>
      <c r="AB14" s="65"/>
      <c r="AC14" s="65"/>
      <c r="AD14" s="65"/>
      <c r="AE14" s="65"/>
      <c r="AF14" s="65"/>
      <c r="AG14" s="66"/>
      <c r="AH14" s="65"/>
      <c r="AI14" s="67" t="n">
        <v>18</v>
      </c>
      <c r="AJ14" s="68"/>
      <c r="AK14" s="69"/>
    </row>
    <row r="15" customFormat="false" ht="15" hidden="false" customHeight="true" outlineLevel="0" collapsed="false">
      <c r="A15" s="70" t="n">
        <v>12</v>
      </c>
      <c r="B15" s="71" t="s">
        <v>59</v>
      </c>
      <c r="C15" s="56" t="n">
        <v>17</v>
      </c>
      <c r="D15" s="57" t="n">
        <v>4</v>
      </c>
      <c r="E15" s="58" t="n">
        <v>4</v>
      </c>
      <c r="F15" s="59"/>
      <c r="G15" s="59"/>
      <c r="H15" s="59"/>
      <c r="I15" s="60" t="n">
        <v>25</v>
      </c>
      <c r="J15" s="59"/>
      <c r="K15" s="61"/>
      <c r="L15" s="61"/>
      <c r="M15" s="61"/>
      <c r="N15" s="61"/>
      <c r="O15" s="61"/>
      <c r="P15" s="61"/>
      <c r="Q15" s="62"/>
      <c r="R15" s="61"/>
      <c r="S15" s="63"/>
      <c r="T15" s="63"/>
      <c r="U15" s="63"/>
      <c r="V15" s="63"/>
      <c r="W15" s="63"/>
      <c r="X15" s="63"/>
      <c r="Y15" s="64"/>
      <c r="Z15" s="63"/>
      <c r="AA15" s="65"/>
      <c r="AB15" s="65"/>
      <c r="AC15" s="65"/>
      <c r="AD15" s="65"/>
      <c r="AE15" s="65"/>
      <c r="AF15" s="65"/>
      <c r="AG15" s="66"/>
      <c r="AH15" s="65"/>
      <c r="AI15" s="67" t="n">
        <v>17</v>
      </c>
      <c r="AJ15" s="68" t="n">
        <v>4</v>
      </c>
      <c r="AK15" s="69"/>
    </row>
    <row r="16" customFormat="false" ht="18" hidden="false" customHeight="true" outlineLevel="0" collapsed="false">
      <c r="A16" s="72"/>
      <c r="B16" s="73" t="s">
        <v>1238</v>
      </c>
      <c r="C16" s="74" t="n">
        <v>233</v>
      </c>
      <c r="D16" s="74" t="n">
        <v>34</v>
      </c>
      <c r="E16" s="74" t="n">
        <v>15</v>
      </c>
      <c r="F16" s="74"/>
      <c r="G16" s="74"/>
      <c r="H16" s="74"/>
      <c r="I16" s="74" t="n">
        <v>282</v>
      </c>
      <c r="J16" s="74"/>
      <c r="K16" s="75"/>
      <c r="L16" s="75"/>
      <c r="M16" s="75"/>
      <c r="N16" s="75"/>
      <c r="O16" s="75"/>
      <c r="P16" s="75"/>
      <c r="Q16" s="75"/>
      <c r="R16" s="75"/>
      <c r="S16" s="76"/>
      <c r="T16" s="76"/>
      <c r="U16" s="76"/>
      <c r="V16" s="76"/>
      <c r="W16" s="76"/>
      <c r="X16" s="76"/>
      <c r="Y16" s="76"/>
      <c r="Z16" s="76"/>
      <c r="AA16" s="77"/>
      <c r="AB16" s="77"/>
      <c r="AC16" s="77"/>
      <c r="AD16" s="77"/>
      <c r="AE16" s="77"/>
      <c r="AF16" s="77"/>
      <c r="AG16" s="77"/>
      <c r="AH16" s="77"/>
      <c r="AI16" s="78" t="n">
        <v>233</v>
      </c>
      <c r="AJ16" s="79" t="n">
        <v>34</v>
      </c>
      <c r="AK16" s="80" t="n">
        <v>0</v>
      </c>
    </row>
  </sheetData>
  <mergeCells count="6">
    <mergeCell ref="A1:AK1"/>
    <mergeCell ref="C2:J2"/>
    <mergeCell ref="K2:R2"/>
    <mergeCell ref="S2:Z2"/>
    <mergeCell ref="AA2:AH2"/>
    <mergeCell ref="AI2:A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8"/>
    <col collapsed="false" customWidth="true" hidden="false" outlineLevel="0" max="14" min="3" style="0" width="10"/>
  </cols>
  <sheetData>
    <row r="1" customFormat="false" ht="25.5" hidden="false" customHeight="true" outlineLevel="0" collapsed="false">
      <c r="A1" s="37" t="s">
        <v>1244</v>
      </c>
      <c r="B1" s="37"/>
      <c r="C1" s="37"/>
      <c r="D1" s="37"/>
      <c r="E1" s="37"/>
      <c r="F1" s="37"/>
      <c r="G1" s="37"/>
      <c r="H1" s="37"/>
      <c r="I1" s="37"/>
      <c r="J1" s="37"/>
      <c r="K1" s="37"/>
      <c r="L1" s="37"/>
      <c r="M1" s="37"/>
      <c r="N1" s="37"/>
      <c r="O1" s="37"/>
    </row>
    <row r="2" customFormat="false" ht="18" hidden="false" customHeight="true" outlineLevel="0" collapsed="false">
      <c r="C2" s="38" t="s">
        <v>1245</v>
      </c>
      <c r="D2" s="38"/>
      <c r="E2" s="38"/>
      <c r="F2" s="38"/>
      <c r="G2" s="39" t="s">
        <v>1246</v>
      </c>
      <c r="H2" s="39"/>
      <c r="I2" s="39"/>
      <c r="J2" s="39"/>
      <c r="K2" s="40" t="s">
        <v>1247</v>
      </c>
      <c r="L2" s="40"/>
      <c r="M2" s="40"/>
      <c r="N2" s="40"/>
    </row>
    <row r="3" customFormat="false" ht="30" hidden="false" customHeight="true" outlineLevel="0" collapsed="false">
      <c r="A3" s="43" t="s">
        <v>1239</v>
      </c>
      <c r="B3" s="44" t="s">
        <v>1240</v>
      </c>
      <c r="C3" s="45" t="s">
        <v>1248</v>
      </c>
      <c r="D3" s="45" t="s">
        <v>1249</v>
      </c>
      <c r="E3" s="45" t="s">
        <v>1250</v>
      </c>
      <c r="F3" s="45" t="s">
        <v>1251</v>
      </c>
      <c r="G3" s="47" t="s">
        <v>1248</v>
      </c>
      <c r="H3" s="47" t="s">
        <v>1249</v>
      </c>
      <c r="I3" s="47" t="s">
        <v>1250</v>
      </c>
      <c r="J3" s="47" t="s">
        <v>1251</v>
      </c>
      <c r="K3" s="49" t="s">
        <v>1248</v>
      </c>
      <c r="L3" s="49" t="s">
        <v>1249</v>
      </c>
      <c r="M3" s="49" t="s">
        <v>1250</v>
      </c>
      <c r="N3" s="49" t="s">
        <v>1251</v>
      </c>
    </row>
    <row r="4" customFormat="false" ht="15" hidden="false" customHeight="true" outlineLevel="0" collapsed="false">
      <c r="A4" s="54" t="n">
        <v>1</v>
      </c>
      <c r="B4" s="55" t="s">
        <v>43</v>
      </c>
      <c r="C4" s="57" t="n">
        <v>14</v>
      </c>
      <c r="D4" s="81" t="n">
        <v>4</v>
      </c>
      <c r="E4" s="82" t="n">
        <v>10</v>
      </c>
      <c r="F4" s="83" t="s">
        <v>1252</v>
      </c>
      <c r="G4" s="61"/>
      <c r="H4" s="61"/>
      <c r="I4" s="61"/>
      <c r="J4" s="84" t="s">
        <v>1253</v>
      </c>
      <c r="K4" s="63"/>
      <c r="L4" s="63"/>
      <c r="M4" s="63"/>
      <c r="N4" s="85" t="s">
        <v>1253</v>
      </c>
    </row>
    <row r="5" customFormat="false" ht="15" hidden="false" customHeight="true" outlineLevel="0" collapsed="false">
      <c r="A5" s="70" t="n">
        <v>2</v>
      </c>
      <c r="B5" s="71" t="s">
        <v>93</v>
      </c>
      <c r="C5" s="57" t="n">
        <v>2</v>
      </c>
      <c r="D5" s="81" t="n">
        <v>2</v>
      </c>
      <c r="E5" s="59"/>
      <c r="F5" s="83" t="s">
        <v>1254</v>
      </c>
      <c r="G5" s="61"/>
      <c r="H5" s="61"/>
      <c r="I5" s="61"/>
      <c r="J5" s="84" t="s">
        <v>1253</v>
      </c>
      <c r="K5" s="63"/>
      <c r="L5" s="63"/>
      <c r="M5" s="63"/>
      <c r="N5" s="85" t="s">
        <v>1253</v>
      </c>
    </row>
    <row r="6" customFormat="false" ht="15" hidden="false" customHeight="true" outlineLevel="0" collapsed="false">
      <c r="A6" s="54" t="n">
        <v>3</v>
      </c>
      <c r="B6" s="55" t="s">
        <v>78</v>
      </c>
      <c r="C6" s="57" t="n">
        <v>6</v>
      </c>
      <c r="D6" s="81" t="n">
        <v>4</v>
      </c>
      <c r="E6" s="82" t="n">
        <v>2</v>
      </c>
      <c r="F6" s="83" t="s">
        <v>1255</v>
      </c>
      <c r="G6" s="61"/>
      <c r="H6" s="61"/>
      <c r="I6" s="61"/>
      <c r="J6" s="84" t="s">
        <v>1253</v>
      </c>
      <c r="K6" s="63"/>
      <c r="L6" s="63"/>
      <c r="M6" s="63"/>
      <c r="N6" s="85" t="s">
        <v>1253</v>
      </c>
    </row>
    <row r="7" customFormat="false" ht="15" hidden="false" customHeight="true" outlineLevel="0" collapsed="false">
      <c r="A7" s="70" t="n">
        <v>4</v>
      </c>
      <c r="B7" s="71" t="s">
        <v>85</v>
      </c>
      <c r="C7" s="57" t="n">
        <v>1</v>
      </c>
      <c r="D7" s="81" t="n">
        <v>1</v>
      </c>
      <c r="E7" s="59"/>
      <c r="F7" s="83" t="s">
        <v>1254</v>
      </c>
      <c r="G7" s="61"/>
      <c r="H7" s="61"/>
      <c r="I7" s="61"/>
      <c r="J7" s="84" t="s">
        <v>1253</v>
      </c>
      <c r="K7" s="63"/>
      <c r="L7" s="63"/>
      <c r="M7" s="63"/>
      <c r="N7" s="85" t="s">
        <v>1253</v>
      </c>
    </row>
    <row r="8" customFormat="false" ht="15" hidden="false" customHeight="true" outlineLevel="0" collapsed="false">
      <c r="A8" s="54" t="n">
        <v>5</v>
      </c>
      <c r="B8" s="55" t="s">
        <v>77</v>
      </c>
      <c r="C8" s="57" t="n">
        <v>6</v>
      </c>
      <c r="D8" s="81" t="n">
        <v>2</v>
      </c>
      <c r="E8" s="82" t="n">
        <v>4</v>
      </c>
      <c r="F8" s="83" t="s">
        <v>1256</v>
      </c>
      <c r="G8" s="61"/>
      <c r="H8" s="61"/>
      <c r="I8" s="61"/>
      <c r="J8" s="84" t="s">
        <v>1253</v>
      </c>
      <c r="K8" s="63"/>
      <c r="L8" s="63"/>
      <c r="M8" s="63"/>
      <c r="N8" s="85" t="s">
        <v>1253</v>
      </c>
    </row>
    <row r="9" customFormat="false" ht="15" hidden="false" customHeight="true" outlineLevel="0" collapsed="false">
      <c r="A9" s="70" t="n">
        <v>6</v>
      </c>
      <c r="B9" s="71" t="s">
        <v>99</v>
      </c>
      <c r="C9" s="57" t="n">
        <v>1</v>
      </c>
      <c r="D9" s="59"/>
      <c r="E9" s="82" t="n">
        <v>1</v>
      </c>
      <c r="F9" s="83" t="s">
        <v>1257</v>
      </c>
      <c r="G9" s="61"/>
      <c r="H9" s="61"/>
      <c r="I9" s="61"/>
      <c r="J9" s="84" t="s">
        <v>1253</v>
      </c>
      <c r="K9" s="63"/>
      <c r="L9" s="63"/>
      <c r="M9" s="63"/>
      <c r="N9" s="85" t="s">
        <v>1253</v>
      </c>
    </row>
    <row r="10" customFormat="false" ht="15" hidden="false" customHeight="true" outlineLevel="0" collapsed="false">
      <c r="A10" s="54" t="n">
        <v>7</v>
      </c>
      <c r="B10" s="55" t="s">
        <v>52</v>
      </c>
      <c r="C10" s="57" t="n">
        <v>3</v>
      </c>
      <c r="D10" s="81" t="n">
        <v>2</v>
      </c>
      <c r="E10" s="82" t="n">
        <v>1</v>
      </c>
      <c r="F10" s="83" t="s">
        <v>1255</v>
      </c>
      <c r="G10" s="61"/>
      <c r="H10" s="61"/>
      <c r="I10" s="61"/>
      <c r="J10" s="84" t="s">
        <v>1253</v>
      </c>
      <c r="K10" s="63"/>
      <c r="L10" s="63"/>
      <c r="M10" s="63"/>
      <c r="N10" s="85" t="s">
        <v>1253</v>
      </c>
    </row>
    <row r="11" customFormat="false" ht="15" hidden="false" customHeight="true" outlineLevel="0" collapsed="false">
      <c r="A11" s="70" t="n">
        <v>8</v>
      </c>
      <c r="B11" s="71" t="s">
        <v>44</v>
      </c>
      <c r="C11" s="57" t="n">
        <v>1</v>
      </c>
      <c r="D11" s="81" t="n">
        <v>1</v>
      </c>
      <c r="E11" s="59"/>
      <c r="F11" s="83" t="s">
        <v>1254</v>
      </c>
      <c r="G11" s="61"/>
      <c r="H11" s="61"/>
      <c r="I11" s="61"/>
      <c r="J11" s="84" t="s">
        <v>1253</v>
      </c>
      <c r="K11" s="63"/>
      <c r="L11" s="63"/>
      <c r="M11" s="63"/>
      <c r="N11" s="85" t="s">
        <v>1253</v>
      </c>
    </row>
    <row r="12" customFormat="false" ht="15" hidden="false" customHeight="true" outlineLevel="0" collapsed="false">
      <c r="A12" s="54" t="n">
        <v>9</v>
      </c>
      <c r="B12" s="55" t="s">
        <v>68</v>
      </c>
      <c r="C12" s="57" t="n">
        <v>2</v>
      </c>
      <c r="D12" s="81" t="n">
        <v>1</v>
      </c>
      <c r="E12" s="82" t="n">
        <v>1</v>
      </c>
      <c r="F12" s="83" t="s">
        <v>1258</v>
      </c>
      <c r="G12" s="61"/>
      <c r="H12" s="61"/>
      <c r="I12" s="61"/>
      <c r="J12" s="84" t="s">
        <v>1253</v>
      </c>
      <c r="K12" s="63"/>
      <c r="L12" s="63"/>
      <c r="M12" s="63"/>
      <c r="N12" s="85" t="s">
        <v>1253</v>
      </c>
    </row>
    <row r="13" customFormat="false" ht="15" hidden="false" customHeight="true" outlineLevel="0" collapsed="false">
      <c r="A13" s="70" t="n">
        <v>10</v>
      </c>
      <c r="B13" s="71" t="s">
        <v>69</v>
      </c>
      <c r="C13" s="57" t="n">
        <v>3</v>
      </c>
      <c r="D13" s="81" t="n">
        <v>3</v>
      </c>
      <c r="E13" s="59"/>
      <c r="F13" s="83" t="s">
        <v>1254</v>
      </c>
      <c r="G13" s="61"/>
      <c r="H13" s="61"/>
      <c r="I13" s="61"/>
      <c r="J13" s="84" t="s">
        <v>1253</v>
      </c>
      <c r="K13" s="63"/>
      <c r="L13" s="63"/>
      <c r="M13" s="63"/>
      <c r="N13" s="85" t="s">
        <v>1253</v>
      </c>
    </row>
    <row r="14" customFormat="false" ht="15" hidden="false" customHeight="true" outlineLevel="0" collapsed="false">
      <c r="A14" s="54" t="n">
        <v>11</v>
      </c>
      <c r="B14" s="55" t="s">
        <v>60</v>
      </c>
      <c r="C14" s="57" t="n">
        <v>2</v>
      </c>
      <c r="D14" s="81" t="n">
        <v>1</v>
      </c>
      <c r="E14" s="82" t="n">
        <v>1</v>
      </c>
      <c r="F14" s="83" t="s">
        <v>1258</v>
      </c>
      <c r="G14" s="61"/>
      <c r="H14" s="61"/>
      <c r="I14" s="61"/>
      <c r="J14" s="84" t="s">
        <v>1253</v>
      </c>
      <c r="K14" s="63"/>
      <c r="L14" s="63"/>
      <c r="M14" s="63"/>
      <c r="N14" s="85" t="s">
        <v>1253</v>
      </c>
    </row>
    <row r="15" customFormat="false" ht="15" hidden="false" customHeight="true" outlineLevel="0" collapsed="false">
      <c r="A15" s="70" t="n">
        <v>12</v>
      </c>
      <c r="B15" s="71" t="s">
        <v>59</v>
      </c>
      <c r="C15" s="57" t="n">
        <v>8</v>
      </c>
      <c r="D15" s="81" t="n">
        <v>3</v>
      </c>
      <c r="E15" s="82" t="n">
        <v>5</v>
      </c>
      <c r="F15" s="83" t="s">
        <v>1259</v>
      </c>
      <c r="G15" s="61"/>
      <c r="H15" s="61"/>
      <c r="I15" s="61"/>
      <c r="J15" s="84" t="s">
        <v>1253</v>
      </c>
      <c r="K15" s="63"/>
      <c r="L15" s="63"/>
      <c r="M15" s="63"/>
      <c r="N15" s="85" t="s">
        <v>1253</v>
      </c>
    </row>
    <row r="16" customFormat="false" ht="18" hidden="false" customHeight="true" outlineLevel="0" collapsed="false">
      <c r="A16" s="72"/>
      <c r="B16" s="73" t="s">
        <v>1238</v>
      </c>
      <c r="C16" s="86"/>
      <c r="D16" s="86"/>
      <c r="E16" s="86"/>
      <c r="F16" s="86"/>
      <c r="G16" s="87"/>
      <c r="H16" s="87"/>
      <c r="I16" s="87"/>
      <c r="J16" s="87"/>
      <c r="K16" s="88"/>
      <c r="L16" s="88"/>
      <c r="M16" s="88"/>
      <c r="N16" s="88"/>
    </row>
  </sheetData>
  <mergeCells count="4">
    <mergeCell ref="A1:O1"/>
    <mergeCell ref="C2:F2"/>
    <mergeCell ref="G2:J2"/>
    <mergeCell ref="K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2"/>
    <col collapsed="false" customWidth="true" hidden="false" outlineLevel="0" max="4" min="4" style="0" width="6"/>
    <col collapsed="false" customWidth="true" hidden="false" outlineLevel="0" max="5" min="5" style="0" width="4"/>
    <col collapsed="false" customWidth="true" hidden="false" outlineLevel="0" max="6" min="6" style="0" width="2"/>
    <col collapsed="false" customWidth="true" hidden="false" outlineLevel="0" max="7" min="7" style="0" width="16"/>
    <col collapsed="false" customWidth="true" hidden="false" outlineLevel="0" max="8" min="8" style="0" width="12"/>
    <col collapsed="false" customWidth="true" hidden="false" outlineLevel="0" max="9" min="9" style="0" width="6"/>
    <col collapsed="false" customWidth="true" hidden="false" outlineLevel="0" max="10" min="10" style="0" width="4"/>
  </cols>
  <sheetData>
    <row r="1" customFormat="false" ht="31.5" hidden="false" customHeight="true" outlineLevel="0" collapsed="false">
      <c r="A1" s="89" t="s">
        <v>1260</v>
      </c>
      <c r="B1" s="89"/>
      <c r="C1" s="89"/>
      <c r="D1" s="89"/>
      <c r="E1" s="89"/>
      <c r="F1" s="89"/>
      <c r="G1" s="89"/>
      <c r="H1" s="89"/>
      <c r="I1" s="89"/>
      <c r="J1" s="89"/>
    </row>
    <row r="3" customFormat="false" ht="21.75" hidden="false" customHeight="true" outlineLevel="0" collapsed="false">
      <c r="B3" s="90" t="s">
        <v>1261</v>
      </c>
      <c r="C3" s="90"/>
      <c r="D3" s="90"/>
      <c r="E3" s="90"/>
      <c r="G3" s="91" t="s">
        <v>1262</v>
      </c>
      <c r="H3" s="91"/>
      <c r="I3" s="91"/>
      <c r="J3" s="91"/>
    </row>
    <row r="4" customFormat="false" ht="18" hidden="false" customHeight="true" outlineLevel="0" collapsed="false">
      <c r="B4" s="92" t="s">
        <v>1263</v>
      </c>
      <c r="C4" s="92"/>
      <c r="D4" s="92"/>
      <c r="E4" s="93" t="n">
        <v>250</v>
      </c>
      <c r="G4" s="92" t="s">
        <v>41</v>
      </c>
      <c r="H4" s="92"/>
      <c r="I4" s="92"/>
      <c r="J4" s="93" t="n">
        <v>160</v>
      </c>
    </row>
    <row r="5" customFormat="false" ht="18" hidden="false" customHeight="true" outlineLevel="0" collapsed="false">
      <c r="B5" s="92" t="s">
        <v>1264</v>
      </c>
      <c r="C5" s="92"/>
      <c r="D5" s="92"/>
      <c r="E5" s="93" t="n">
        <v>250</v>
      </c>
      <c r="G5" s="92" t="s">
        <v>130</v>
      </c>
      <c r="H5" s="92"/>
      <c r="I5" s="92"/>
      <c r="J5" s="93" t="n">
        <v>6</v>
      </c>
    </row>
    <row r="6" customFormat="false" ht="18" hidden="false" customHeight="true" outlineLevel="0" collapsed="false">
      <c r="B6" s="94" t="s">
        <v>1265</v>
      </c>
      <c r="C6" s="94"/>
      <c r="D6" s="94"/>
      <c r="E6" s="93" t="n">
        <v>7</v>
      </c>
      <c r="G6" s="92" t="s">
        <v>67</v>
      </c>
      <c r="H6" s="92"/>
      <c r="I6" s="92"/>
      <c r="J6" s="93" t="n">
        <v>18</v>
      </c>
    </row>
    <row r="7" customFormat="false" ht="18" hidden="false" customHeight="true" outlineLevel="0" collapsed="false">
      <c r="B7" s="92" t="s">
        <v>1266</v>
      </c>
      <c r="C7" s="92"/>
      <c r="D7" s="92"/>
      <c r="E7" s="93" t="n">
        <v>218</v>
      </c>
      <c r="G7" s="92" t="s">
        <v>92</v>
      </c>
      <c r="H7" s="92"/>
      <c r="I7" s="92"/>
      <c r="J7" s="93" t="n">
        <v>41</v>
      </c>
    </row>
    <row r="9" customFormat="false" ht="21.75" hidden="false" customHeight="true" outlineLevel="0" collapsed="false">
      <c r="B9" s="95" t="s">
        <v>1267</v>
      </c>
      <c r="C9" s="95"/>
      <c r="D9" s="95"/>
      <c r="E9" s="95"/>
      <c r="G9" s="96" t="s">
        <v>1268</v>
      </c>
      <c r="H9" s="96"/>
      <c r="I9" s="96"/>
      <c r="J9" s="96"/>
    </row>
    <row r="10" customFormat="false" ht="18" hidden="false" customHeight="true" outlineLevel="0" collapsed="false">
      <c r="B10" s="97" t="s">
        <v>45</v>
      </c>
      <c r="C10" s="97"/>
      <c r="D10" s="97"/>
      <c r="E10" s="98" t="n">
        <v>127</v>
      </c>
      <c r="G10" s="92" t="s">
        <v>1269</v>
      </c>
      <c r="H10" s="92"/>
      <c r="I10" s="92"/>
      <c r="J10" s="93" t="n">
        <v>30</v>
      </c>
    </row>
    <row r="11" customFormat="false" ht="18" hidden="false" customHeight="true" outlineLevel="0" collapsed="false">
      <c r="B11" s="94" t="s">
        <v>70</v>
      </c>
      <c r="C11" s="94"/>
      <c r="D11" s="94"/>
      <c r="E11" s="99" t="n">
        <v>77</v>
      </c>
      <c r="G11" s="92" t="s">
        <v>1270</v>
      </c>
      <c r="H11" s="92"/>
      <c r="I11" s="92"/>
      <c r="J11" s="93" t="n">
        <v>5</v>
      </c>
    </row>
    <row r="12" customFormat="false" ht="18" hidden="false" customHeight="true" outlineLevel="0" collapsed="false">
      <c r="B12" s="100" t="s">
        <v>177</v>
      </c>
      <c r="C12" s="100"/>
      <c r="D12" s="100"/>
      <c r="E12" s="101" t="n">
        <v>4</v>
      </c>
      <c r="G12" s="92" t="s">
        <v>1271</v>
      </c>
      <c r="H12" s="92"/>
      <c r="I12" s="92"/>
      <c r="J12" s="93" t="n">
        <v>0</v>
      </c>
    </row>
    <row r="13" customFormat="false" ht="18" hidden="false" customHeight="true" outlineLevel="0" collapsed="false">
      <c r="B13" s="102" t="s">
        <v>143</v>
      </c>
      <c r="C13" s="102"/>
      <c r="D13" s="102"/>
      <c r="E13" s="103" t="n">
        <v>5</v>
      </c>
    </row>
    <row r="14" customFormat="false" ht="18" hidden="false" customHeight="true" outlineLevel="0" collapsed="false">
      <c r="B14" s="104" t="s">
        <v>189</v>
      </c>
      <c r="C14" s="104"/>
      <c r="D14" s="104"/>
      <c r="E14" s="105" t="n">
        <v>4</v>
      </c>
    </row>
    <row r="15" customFormat="false" ht="18" hidden="false" customHeight="true" outlineLevel="0" collapsed="false">
      <c r="B15" s="106" t="s">
        <v>123</v>
      </c>
      <c r="C15" s="106"/>
      <c r="D15" s="106"/>
      <c r="E15" s="107" t="n">
        <v>1</v>
      </c>
    </row>
  </sheetData>
  <mergeCells count="22">
    <mergeCell ref="A1:J1"/>
    <mergeCell ref="B3:E3"/>
    <mergeCell ref="G3:J3"/>
    <mergeCell ref="B4:D4"/>
    <mergeCell ref="G4:I4"/>
    <mergeCell ref="B5:D5"/>
    <mergeCell ref="G5:I5"/>
    <mergeCell ref="B6:D6"/>
    <mergeCell ref="G6:I6"/>
    <mergeCell ref="B7:D7"/>
    <mergeCell ref="G7:I7"/>
    <mergeCell ref="B9:E9"/>
    <mergeCell ref="G9:J9"/>
    <mergeCell ref="B10:D10"/>
    <mergeCell ref="G10:I10"/>
    <mergeCell ref="B11:D11"/>
    <mergeCell ref="G11:I11"/>
    <mergeCell ref="B12:D12"/>
    <mergeCell ref="G12:I12"/>
    <mergeCell ref="B13:D13"/>
    <mergeCell ref="B14:D14"/>
    <mergeCell ref="B15:D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2026-03-13T11:13:16Z</dcterms:created>
  <dc:creator>openpyxl</dc:creator>
  <dc:description/>
  <dc:language>en-US</dc:language>
  <cp:lastModifiedBy/>
  <dcterms:modified xsi:type="dcterms:W3CDTF">2026-03-13T11:13:18Z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